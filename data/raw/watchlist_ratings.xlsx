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8A660220-21E5-467B-95A1-FA87E6F198CC}"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AR12" i="1" s="1"/>
  <c r="BG64" i="1"/>
  <c r="BE64" i="1"/>
  <c r="BB64" i="1"/>
  <c r="BC64" i="1" s="1"/>
  <c r="BA64" i="1"/>
  <c r="AL64" i="1"/>
  <c r="AM64" i="1" s="1"/>
  <c r="AB64" i="1"/>
  <c r="AC64" i="1" s="1"/>
  <c r="R64" i="1"/>
  <c r="S64" i="1" s="1"/>
  <c r="AN64" i="1" s="1"/>
  <c r="H64" i="1" a="1"/>
  <c r="H64" i="1" s="1"/>
  <c r="BJ64" i="1" s="1"/>
  <c r="G64" i="1" a="1"/>
  <c r="G64" i="1" s="1"/>
  <c r="F64" i="1" a="1"/>
  <c r="F64" i="1" s="1"/>
  <c r="E64" i="1" a="1"/>
  <c r="E64" i="1" s="1"/>
  <c r="B64" i="1" a="1"/>
  <c r="B64" i="1" s="1"/>
  <c r="BG63" i="1"/>
  <c r="BE63" i="1"/>
  <c r="BB63" i="1"/>
  <c r="BC63" i="1" s="1"/>
  <c r="BA63" i="1"/>
  <c r="AL63" i="1"/>
  <c r="AM63" i="1" s="1"/>
  <c r="AB63" i="1"/>
  <c r="AC63" i="1" s="1"/>
  <c r="S63" i="1"/>
  <c r="AN63" i="1" s="1"/>
  <c r="R63" i="1"/>
  <c r="F63" i="1" a="1"/>
  <c r="F63" i="1" s="1"/>
  <c r="E63" i="1" a="1"/>
  <c r="E63" i="1" s="1"/>
  <c r="B63" i="1" a="1"/>
  <c r="B63" i="1" s="1"/>
  <c r="H63" i="1" a="1"/>
  <c r="H63" i="1" s="1"/>
  <c r="BG62" i="1"/>
  <c r="BE62" i="1"/>
  <c r="BC62" i="1"/>
  <c r="BB62" i="1"/>
  <c r="BA62" i="1"/>
  <c r="AL62" i="1"/>
  <c r="AM62" i="1" s="1"/>
  <c r="AB62" i="1"/>
  <c r="AC62" i="1" s="1"/>
  <c r="R62" i="1"/>
  <c r="S62" i="1" s="1"/>
  <c r="AN62" i="1" s="1"/>
  <c r="G62" i="1" a="1"/>
  <c r="G62" i="1" s="1"/>
  <c r="F62" i="1" a="1"/>
  <c r="F62" i="1"/>
  <c r="E62" i="1" a="1"/>
  <c r="E62" i="1" s="1"/>
  <c r="B62" i="1" a="1"/>
  <c r="B62" i="1" s="1"/>
  <c r="BG61" i="1"/>
  <c r="BE61" i="1"/>
  <c r="BB61" i="1"/>
  <c r="BC61" i="1" s="1"/>
  <c r="BA61" i="1"/>
  <c r="AL61" i="1"/>
  <c r="AM61" i="1" s="1"/>
  <c r="AN61" i="1" s="1"/>
  <c r="AB61" i="1"/>
  <c r="AC61" i="1" s="1"/>
  <c r="S61" i="1"/>
  <c r="R61" i="1"/>
  <c r="H61" i="1" a="1"/>
  <c r="H61" i="1" s="1"/>
  <c r="BG60" i="1"/>
  <c r="BE60" i="1"/>
  <c r="BC60" i="1"/>
  <c r="BB60" i="1"/>
  <c r="BA60" i="1"/>
  <c r="AN60" i="1"/>
  <c r="AL60" i="1"/>
  <c r="AM60" i="1" s="1"/>
  <c r="AB60" i="1"/>
  <c r="AC60" i="1" s="1"/>
  <c r="R60" i="1"/>
  <c r="S60" i="1" s="1"/>
  <c r="H60" i="1" a="1"/>
  <c r="H60" i="1" s="1"/>
  <c r="G60" i="1" a="1"/>
  <c r="G60" i="1" s="1"/>
  <c r="BG59" i="1"/>
  <c r="BE59" i="1"/>
  <c r="BB59" i="1"/>
  <c r="BC59" i="1" s="1"/>
  <c r="BA59" i="1"/>
  <c r="AM59" i="1"/>
  <c r="AL59" i="1"/>
  <c r="AB59" i="1"/>
  <c r="AC59" i="1" s="1"/>
  <c r="S59" i="1"/>
  <c r="AN59" i="1" s="1"/>
  <c r="R59" i="1"/>
  <c r="E59" i="1" a="1"/>
  <c r="E59" i="1" s="1"/>
  <c r="BG58" i="1"/>
  <c r="BE58" i="1"/>
  <c r="BC58" i="1"/>
  <c r="BB58" i="1"/>
  <c r="BA58" i="1"/>
  <c r="AM58" i="1"/>
  <c r="AL58" i="1"/>
  <c r="AB58" i="1"/>
  <c r="AC58" i="1" s="1"/>
  <c r="R58" i="1"/>
  <c r="S58" i="1" s="1"/>
  <c r="AN58" i="1" s="1"/>
  <c r="G58" i="1" a="1"/>
  <c r="G58" i="1" s="1"/>
  <c r="E58" i="1" a="1"/>
  <c r="E58" i="1" s="1"/>
  <c r="F58" i="1" a="1"/>
  <c r="F58" i="1" s="1"/>
  <c r="BG57" i="1"/>
  <c r="BE57" i="1"/>
  <c r="BB57" i="1"/>
  <c r="BC57" i="1" s="1"/>
  <c r="BA57" i="1"/>
  <c r="AN57" i="1"/>
  <c r="AM57" i="1"/>
  <c r="AL57" i="1"/>
  <c r="AB57" i="1"/>
  <c r="AC57" i="1" s="1"/>
  <c r="S57" i="1"/>
  <c r="R57" i="1"/>
  <c r="BG56" i="1"/>
  <c r="BE56" i="1"/>
  <c r="BB56" i="1"/>
  <c r="BA56" i="1"/>
  <c r="AL56" i="1"/>
  <c r="AM56" i="1" s="1"/>
  <c r="AC56" i="1"/>
  <c r="AB56" i="1"/>
  <c r="R56" i="1"/>
  <c r="S56" i="1" s="1"/>
  <c r="AN56" i="1" s="1"/>
  <c r="F56" i="1" a="1"/>
  <c r="F56" i="1" s="1"/>
  <c r="E56" i="1" a="1"/>
  <c r="E56" i="1" s="1"/>
  <c r="G56" i="1" a="1"/>
  <c r="G56" i="1" s="1"/>
  <c r="BG55" i="1"/>
  <c r="BE55" i="1"/>
  <c r="BB55" i="1"/>
  <c r="BA55" i="1"/>
  <c r="BC55" i="1" s="1"/>
  <c r="AM55" i="1"/>
  <c r="AL55" i="1"/>
  <c r="AC55" i="1"/>
  <c r="AB55" i="1"/>
  <c r="R55" i="1"/>
  <c r="S55" i="1" s="1"/>
  <c r="AN55" i="1" s="1"/>
  <c r="G55" i="1" a="1"/>
  <c r="G55" i="1" s="1"/>
  <c r="BG54" i="1"/>
  <c r="BE54" i="1"/>
  <c r="BC54" i="1"/>
  <c r="BB54" i="1"/>
  <c r="BA54" i="1"/>
  <c r="AL54" i="1"/>
  <c r="AM54" i="1" s="1"/>
  <c r="AC54" i="1"/>
  <c r="AB54" i="1"/>
  <c r="R54" i="1"/>
  <c r="S54" i="1" s="1"/>
  <c r="G54" i="1" a="1"/>
  <c r="G54" i="1" s="1"/>
  <c r="F54" i="1" a="1"/>
  <c r="F54" i="1" s="1"/>
  <c r="BG53" i="1"/>
  <c r="BE53" i="1"/>
  <c r="BB53" i="1"/>
  <c r="BA53" i="1"/>
  <c r="BC53" i="1" s="1"/>
  <c r="AM53" i="1"/>
  <c r="AL53" i="1"/>
  <c r="AB53" i="1"/>
  <c r="AC53" i="1" s="1"/>
  <c r="R53" i="1"/>
  <c r="S53" i="1" s="1"/>
  <c r="AN53" i="1" s="1"/>
  <c r="G53" i="1" a="1"/>
  <c r="G53" i="1" s="1"/>
  <c r="F53" i="1" a="1"/>
  <c r="F53" i="1"/>
  <c r="E53" i="1" a="1"/>
  <c r="E53" i="1" s="1"/>
  <c r="BG52" i="1"/>
  <c r="BE52" i="1"/>
  <c r="BC52" i="1"/>
  <c r="BB52" i="1"/>
  <c r="BA52" i="1"/>
  <c r="AM52" i="1"/>
  <c r="AL52" i="1"/>
  <c r="AB52" i="1"/>
  <c r="AC52" i="1" s="1"/>
  <c r="R52" i="1"/>
  <c r="S52" i="1" s="1"/>
  <c r="BG51" i="1"/>
  <c r="BE51" i="1"/>
  <c r="BB51" i="1"/>
  <c r="BA51" i="1"/>
  <c r="BC51" i="1" s="1"/>
  <c r="AL51" i="1"/>
  <c r="AM51" i="1" s="1"/>
  <c r="AC51" i="1"/>
  <c r="AB51" i="1"/>
  <c r="S51" i="1"/>
  <c r="R51" i="1"/>
  <c r="G51" i="1" a="1"/>
  <c r="G51" i="1"/>
  <c r="F51" i="1" a="1"/>
  <c r="F51" i="1" s="1"/>
  <c r="E51" i="1" a="1"/>
  <c r="E51" i="1" s="1"/>
  <c r="BG50" i="1"/>
  <c r="BE50" i="1"/>
  <c r="BB50" i="1"/>
  <c r="BA50" i="1"/>
  <c r="BC50" i="1" s="1"/>
  <c r="AQ50" i="1"/>
  <c r="AL50" i="1"/>
  <c r="AM50" i="1" s="1"/>
  <c r="AB50" i="1"/>
  <c r="AC50" i="1" s="1"/>
  <c r="R50" i="1"/>
  <c r="S50" i="1" s="1"/>
  <c r="AN50" i="1" s="1"/>
  <c r="O50" i="1"/>
  <c r="G50" i="1" a="1"/>
  <c r="G50" i="1" s="1"/>
  <c r="F50" i="1" a="1"/>
  <c r="F50" i="1" s="1"/>
  <c r="E50" i="1" a="1"/>
  <c r="E50" i="1" s="1"/>
  <c r="BG49" i="1"/>
  <c r="BE49" i="1"/>
  <c r="BB49" i="1"/>
  <c r="BA49" i="1"/>
  <c r="BC49" i="1" s="1"/>
  <c r="AL49" i="1"/>
  <c r="AM49" i="1" s="1"/>
  <c r="AB49" i="1"/>
  <c r="AC49" i="1" s="1"/>
  <c r="S49" i="1"/>
  <c r="R49" i="1"/>
  <c r="H49" i="1" a="1"/>
  <c r="H49" i="1" s="1"/>
  <c r="BJ49" i="1" s="1"/>
  <c r="G49" i="1" a="1"/>
  <c r="G49" i="1" s="1"/>
  <c r="I49" i="1" s="1"/>
  <c r="F49" i="1" a="1"/>
  <c r="F49" i="1" s="1"/>
  <c r="B49" i="1" a="1"/>
  <c r="B49" i="1" s="1"/>
  <c r="E49" i="1" a="1"/>
  <c r="E49" i="1" s="1"/>
  <c r="BG48" i="1"/>
  <c r="BE48" i="1"/>
  <c r="BB48" i="1"/>
  <c r="BC48" i="1" s="1"/>
  <c r="BA48" i="1"/>
  <c r="AN48" i="1"/>
  <c r="AM48" i="1"/>
  <c r="AL48" i="1"/>
  <c r="AC48" i="1"/>
  <c r="AB48" i="1"/>
  <c r="S48" i="1"/>
  <c r="R48" i="1"/>
  <c r="H48" i="1" a="1"/>
  <c r="H48" i="1" s="1"/>
  <c r="BG47" i="1"/>
  <c r="BE47" i="1"/>
  <c r="BB47" i="1"/>
  <c r="BA47" i="1"/>
  <c r="BC47" i="1" s="1"/>
  <c r="AL47" i="1"/>
  <c r="AM47" i="1" s="1"/>
  <c r="AC47" i="1"/>
  <c r="AB47" i="1"/>
  <c r="S47" i="1"/>
  <c r="R47" i="1"/>
  <c r="H47" i="1" a="1"/>
  <c r="H47" i="1" s="1"/>
  <c r="G47" i="1" a="1"/>
  <c r="G47" i="1" s="1"/>
  <c r="I47" i="1" s="1"/>
  <c r="AR47" i="1" s="1"/>
  <c r="F47" i="1" a="1"/>
  <c r="F47" i="1" s="1"/>
  <c r="E47" i="1" a="1"/>
  <c r="E47" i="1" s="1"/>
  <c r="BG46" i="1"/>
  <c r="BE46" i="1"/>
  <c r="BB46" i="1"/>
  <c r="BA46" i="1"/>
  <c r="BC46" i="1" s="1"/>
  <c r="AN46" i="1"/>
  <c r="AM46" i="1"/>
  <c r="AL46" i="1"/>
  <c r="AC46" i="1"/>
  <c r="AB46" i="1"/>
  <c r="S46" i="1"/>
  <c r="R46" i="1"/>
  <c r="H46" i="1" a="1"/>
  <c r="H46" i="1" s="1"/>
  <c r="BG45" i="1"/>
  <c r="BE45" i="1"/>
  <c r="BC45" i="1"/>
  <c r="BB45" i="1"/>
  <c r="BA45" i="1"/>
  <c r="AM45" i="1"/>
  <c r="AL45" i="1"/>
  <c r="AC45" i="1"/>
  <c r="AN45" i="1" s="1"/>
  <c r="AB45" i="1"/>
  <c r="S45" i="1"/>
  <c r="R45" i="1"/>
  <c r="H45" i="1" a="1"/>
  <c r="H45" i="1" s="1"/>
  <c r="G45" i="1" a="1"/>
  <c r="G45" i="1" s="1"/>
  <c r="F45" i="1" a="1"/>
  <c r="F45" i="1" s="1"/>
  <c r="BG44" i="1"/>
  <c r="BE44" i="1"/>
  <c r="BB44" i="1"/>
  <c r="BA44" i="1"/>
  <c r="AM44" i="1"/>
  <c r="AL44" i="1"/>
  <c r="AC44" i="1"/>
  <c r="AB44" i="1"/>
  <c r="S44" i="1"/>
  <c r="R44" i="1"/>
  <c r="F44" i="1" a="1"/>
  <c r="F44" i="1"/>
  <c r="B44" i="1" a="1"/>
  <c r="B44" i="1" s="1"/>
  <c r="BG43" i="1"/>
  <c r="BE43" i="1"/>
  <c r="BC43" i="1"/>
  <c r="BB43" i="1"/>
  <c r="BA43" i="1"/>
  <c r="AN43" i="1"/>
  <c r="AM43" i="1"/>
  <c r="AL43" i="1"/>
  <c r="AB43" i="1"/>
  <c r="AC43" i="1" s="1"/>
  <c r="S43" i="1"/>
  <c r="R43" i="1"/>
  <c r="H43" i="1" a="1"/>
  <c r="H43" i="1" s="1"/>
  <c r="G43" i="1" a="1"/>
  <c r="G43" i="1" s="1"/>
  <c r="F43" i="1" a="1"/>
  <c r="F43" i="1" s="1"/>
  <c r="E43" i="1"/>
  <c r="B43" i="1" a="1"/>
  <c r="B43" i="1" s="1"/>
  <c r="E43" i="1" a="1"/>
  <c r="BG42" i="1"/>
  <c r="BE42" i="1"/>
  <c r="BC42" i="1"/>
  <c r="BB42" i="1"/>
  <c r="BA42" i="1"/>
  <c r="AL42" i="1"/>
  <c r="AM42" i="1" s="1"/>
  <c r="AB42" i="1"/>
  <c r="AC42" i="1" s="1"/>
  <c r="S42" i="1"/>
  <c r="R42" i="1"/>
  <c r="G42" i="1" a="1"/>
  <c r="G42" i="1" s="1"/>
  <c r="F42" i="1" a="1"/>
  <c r="F42" i="1"/>
  <c r="B42" i="1" a="1"/>
  <c r="B42" i="1" s="1"/>
  <c r="BG41" i="1"/>
  <c r="BE41" i="1"/>
  <c r="BB41" i="1"/>
  <c r="BA41" i="1"/>
  <c r="AL41" i="1"/>
  <c r="AM41" i="1" s="1"/>
  <c r="AB41" i="1"/>
  <c r="AC41" i="1" s="1"/>
  <c r="R41" i="1"/>
  <c r="S41" i="1" s="1"/>
  <c r="H41" i="1" a="1"/>
  <c r="H41" i="1" s="1"/>
  <c r="G41" i="1" a="1"/>
  <c r="G41" i="1" s="1"/>
  <c r="F41" i="1" a="1"/>
  <c r="F41" i="1" s="1"/>
  <c r="E41" i="1" a="1"/>
  <c r="E41" i="1" s="1"/>
  <c r="B41" i="1" a="1"/>
  <c r="B41" i="1" s="1"/>
  <c r="BG40" i="1"/>
  <c r="BE40" i="1"/>
  <c r="BB40" i="1"/>
  <c r="BA40" i="1"/>
  <c r="BC40" i="1" s="1"/>
  <c r="AL40" i="1"/>
  <c r="AM40" i="1" s="1"/>
  <c r="AC40" i="1"/>
  <c r="AN40" i="1" s="1"/>
  <c r="AB40" i="1"/>
  <c r="R40" i="1"/>
  <c r="S40" i="1" s="1"/>
  <c r="H40" i="1" a="1"/>
  <c r="H40" i="1" s="1"/>
  <c r="BK40" i="1" s="1"/>
  <c r="G40" i="1" a="1"/>
  <c r="G40" i="1" s="1"/>
  <c r="I40" i="1" s="1"/>
  <c r="AR40" i="1" s="1"/>
  <c r="AX40" i="1" s="1"/>
  <c r="F40" i="1" a="1"/>
  <c r="F40" i="1" s="1"/>
  <c r="E40" i="1" a="1"/>
  <c r="E40" i="1" s="1"/>
  <c r="BG39" i="1"/>
  <c r="BE39" i="1"/>
  <c r="BB39" i="1"/>
  <c r="BA39" i="1"/>
  <c r="BC39" i="1" s="1"/>
  <c r="AN39" i="1"/>
  <c r="AL39" i="1"/>
  <c r="AM39" i="1" s="1"/>
  <c r="AC39" i="1"/>
  <c r="AB39" i="1"/>
  <c r="R39" i="1"/>
  <c r="S39" i="1" s="1"/>
  <c r="F39" i="1" a="1"/>
  <c r="F39" i="1" s="1"/>
  <c r="BG38" i="1"/>
  <c r="BE38" i="1"/>
  <c r="BB38" i="1"/>
  <c r="BA38" i="1"/>
  <c r="AL38" i="1"/>
  <c r="AM38" i="1" s="1"/>
  <c r="AB38" i="1"/>
  <c r="AC38" i="1" s="1"/>
  <c r="S38" i="1"/>
  <c r="AN38" i="1" s="1"/>
  <c r="R38" i="1"/>
  <c r="F38" i="1" a="1"/>
  <c r="F38" i="1" s="1"/>
  <c r="BG37" i="1"/>
  <c r="BE37" i="1"/>
  <c r="BB37" i="1"/>
  <c r="BA37" i="1"/>
  <c r="AL37" i="1"/>
  <c r="AM37" i="1" s="1"/>
  <c r="AB37" i="1"/>
  <c r="AC37" i="1" s="1"/>
  <c r="S37" i="1"/>
  <c r="R37" i="1"/>
  <c r="H37" i="1" a="1"/>
  <c r="H37" i="1" s="1"/>
  <c r="BG36" i="1"/>
  <c r="BE36" i="1"/>
  <c r="BB36" i="1"/>
  <c r="BA36" i="1"/>
  <c r="AL36" i="1"/>
  <c r="AM36" i="1" s="1"/>
  <c r="AB36" i="1"/>
  <c r="AC36" i="1" s="1"/>
  <c r="S36" i="1"/>
  <c r="AN36" i="1" s="1"/>
  <c r="R36" i="1"/>
  <c r="BJ35" i="1"/>
  <c r="BG35" i="1"/>
  <c r="BE35" i="1"/>
  <c r="BB35" i="1"/>
  <c r="BA35" i="1"/>
  <c r="AL35" i="1"/>
  <c r="AM35" i="1" s="1"/>
  <c r="AN35" i="1" s="1"/>
  <c r="AC35" i="1"/>
  <c r="AB35" i="1"/>
  <c r="R35" i="1"/>
  <c r="S35" i="1" s="1"/>
  <c r="F35" i="1" a="1"/>
  <c r="F35" i="1" s="1"/>
  <c r="E35" i="1" a="1"/>
  <c r="E35" i="1" s="1"/>
  <c r="B35" i="1" a="1"/>
  <c r="B35" i="1" s="1"/>
  <c r="H35" i="1" a="1"/>
  <c r="H35" i="1" s="1"/>
  <c r="BK35" i="1" s="1"/>
  <c r="BG34" i="1"/>
  <c r="BE34" i="1"/>
  <c r="BB34" i="1"/>
  <c r="BA34" i="1"/>
  <c r="AL34" i="1"/>
  <c r="AM34" i="1" s="1"/>
  <c r="AC34" i="1"/>
  <c r="AB34" i="1"/>
  <c r="R34" i="1"/>
  <c r="S34" i="1" s="1"/>
  <c r="H34" i="1" a="1"/>
  <c r="H34" i="1" s="1"/>
  <c r="F34" i="1" a="1"/>
  <c r="F34" i="1" s="1"/>
  <c r="B34" i="1" a="1"/>
  <c r="B34" i="1" s="1"/>
  <c r="E34" i="1" a="1"/>
  <c r="E34" i="1" s="1"/>
  <c r="BG33" i="1"/>
  <c r="BE33" i="1"/>
  <c r="BC33" i="1"/>
  <c r="BB33" i="1"/>
  <c r="BA33" i="1"/>
  <c r="AL33" i="1"/>
  <c r="AM33" i="1" s="1"/>
  <c r="AC33" i="1"/>
  <c r="AB33" i="1"/>
  <c r="R33" i="1"/>
  <c r="S33" i="1" s="1"/>
  <c r="H33" i="1" a="1"/>
  <c r="H33" i="1" s="1"/>
  <c r="F33" i="1" a="1"/>
  <c r="F33" i="1" s="1"/>
  <c r="BG32" i="1"/>
  <c r="BE32" i="1"/>
  <c r="BC32" i="1"/>
  <c r="BB32" i="1"/>
  <c r="BA32" i="1"/>
  <c r="AM32" i="1"/>
  <c r="AL32" i="1"/>
  <c r="AC32" i="1"/>
  <c r="AB32" i="1"/>
  <c r="R32" i="1"/>
  <c r="S32" i="1" s="1"/>
  <c r="G32" i="1" a="1"/>
  <c r="G32" i="1" s="1"/>
  <c r="F32" i="1" a="1"/>
  <c r="F32" i="1" s="1"/>
  <c r="B32" i="1" a="1"/>
  <c r="B32" i="1" s="1"/>
  <c r="E32" i="1" a="1"/>
  <c r="E32" i="1" s="1"/>
  <c r="BG31" i="1"/>
  <c r="BE31" i="1"/>
  <c r="BB31" i="1"/>
  <c r="BA31" i="1"/>
  <c r="BC31" i="1" s="1"/>
  <c r="AM31" i="1"/>
  <c r="AN31" i="1" s="1"/>
  <c r="AL31" i="1"/>
  <c r="AC31" i="1"/>
  <c r="AB31" i="1"/>
  <c r="R31" i="1"/>
  <c r="S31" i="1" s="1"/>
  <c r="G31" i="1" a="1"/>
  <c r="G31" i="1" s="1"/>
  <c r="F31" i="1" a="1"/>
  <c r="F31" i="1" s="1"/>
  <c r="B31" i="1" a="1"/>
  <c r="B31" i="1" s="1"/>
  <c r="E31" i="1" a="1"/>
  <c r="E31" i="1" s="1"/>
  <c r="BG30" i="1"/>
  <c r="BE30" i="1"/>
  <c r="BB30" i="1"/>
  <c r="BC30" i="1" s="1"/>
  <c r="BA30" i="1"/>
  <c r="AN30" i="1"/>
  <c r="AM30" i="1"/>
  <c r="AL30" i="1"/>
  <c r="AB30" i="1"/>
  <c r="AC30" i="1" s="1"/>
  <c r="R30" i="1"/>
  <c r="S30" i="1" s="1"/>
  <c r="H30" i="1" a="1"/>
  <c r="H30" i="1" s="1"/>
  <c r="G30" i="1" a="1"/>
  <c r="G30" i="1" s="1"/>
  <c r="BG29" i="1"/>
  <c r="BE29" i="1"/>
  <c r="BC29" i="1"/>
  <c r="BB29" i="1"/>
  <c r="BA29" i="1"/>
  <c r="AN29" i="1"/>
  <c r="AM29" i="1"/>
  <c r="AL29" i="1"/>
  <c r="AC29" i="1"/>
  <c r="AB29" i="1"/>
  <c r="R29" i="1"/>
  <c r="S29" i="1" s="1"/>
  <c r="H29" i="1" a="1"/>
  <c r="H29" i="1" s="1"/>
  <c r="F29" i="1" a="1"/>
  <c r="F29" i="1" s="1"/>
  <c r="BG28" i="1"/>
  <c r="BE28" i="1"/>
  <c r="BB28" i="1"/>
  <c r="BA28" i="1"/>
  <c r="BC28" i="1" s="1"/>
  <c r="AL28" i="1"/>
  <c r="AM28" i="1" s="1"/>
  <c r="AB28" i="1"/>
  <c r="AC28" i="1" s="1"/>
  <c r="R28" i="1"/>
  <c r="S28" i="1" s="1"/>
  <c r="H28" i="1" a="1"/>
  <c r="H28" i="1" s="1"/>
  <c r="B28" i="1" a="1"/>
  <c r="B28" i="1" s="1"/>
  <c r="BG27" i="1"/>
  <c r="BE27" i="1"/>
  <c r="BB27" i="1"/>
  <c r="BA27" i="1"/>
  <c r="BC27" i="1" s="1"/>
  <c r="AM27" i="1"/>
  <c r="AL27" i="1"/>
  <c r="AB27" i="1"/>
  <c r="AC27" i="1" s="1"/>
  <c r="R27" i="1"/>
  <c r="S27" i="1" s="1"/>
  <c r="G27" i="1" a="1"/>
  <c r="G27" i="1" s="1"/>
  <c r="E27" i="1"/>
  <c r="B27" i="1" a="1"/>
  <c r="B27" i="1" s="1"/>
  <c r="E27" i="1" a="1"/>
  <c r="BG26" i="1"/>
  <c r="BE26" i="1"/>
  <c r="BB26" i="1"/>
  <c r="BA26" i="1"/>
  <c r="BC26" i="1" s="1"/>
  <c r="AL26" i="1"/>
  <c r="AM26" i="1" s="1"/>
  <c r="AB26" i="1"/>
  <c r="AC26" i="1" s="1"/>
  <c r="AN26" i="1" s="1"/>
  <c r="R26" i="1"/>
  <c r="S26" i="1" s="1"/>
  <c r="F26" i="1" a="1"/>
  <c r="F26" i="1" s="1"/>
  <c r="B26" i="1" a="1"/>
  <c r="B26" i="1" s="1"/>
  <c r="E26" i="1" a="1"/>
  <c r="E26" i="1" s="1"/>
  <c r="BG25" i="1"/>
  <c r="BE25" i="1"/>
  <c r="BC25" i="1"/>
  <c r="BB25" i="1"/>
  <c r="BA25" i="1"/>
  <c r="AL25" i="1"/>
  <c r="AM25" i="1" s="1"/>
  <c r="AB25" i="1"/>
  <c r="AC25" i="1" s="1"/>
  <c r="R25" i="1"/>
  <c r="S25" i="1" s="1"/>
  <c r="H25" i="1" a="1"/>
  <c r="H25" i="1" s="1"/>
  <c r="B25" i="1" a="1"/>
  <c r="B25" i="1" s="1"/>
  <c r="BG24" i="1"/>
  <c r="BE24" i="1"/>
  <c r="BC24" i="1"/>
  <c r="BB24" i="1"/>
  <c r="BA24" i="1"/>
  <c r="AM24" i="1"/>
  <c r="AL24" i="1"/>
  <c r="AC24" i="1"/>
  <c r="AB24" i="1"/>
  <c r="R24" i="1"/>
  <c r="S24" i="1" s="1"/>
  <c r="AN24" i="1" s="1"/>
  <c r="G24" i="1" a="1"/>
  <c r="G24" i="1" s="1"/>
  <c r="F24" i="1" a="1"/>
  <c r="F24" i="1" s="1"/>
  <c r="B24" i="1" a="1"/>
  <c r="B24" i="1"/>
  <c r="E24" i="1" a="1"/>
  <c r="E24" i="1" s="1"/>
  <c r="BG23" i="1"/>
  <c r="BE23" i="1"/>
  <c r="BC23" i="1"/>
  <c r="BB23" i="1"/>
  <c r="BA23" i="1"/>
  <c r="AM23" i="1"/>
  <c r="AL23" i="1"/>
  <c r="AC23" i="1"/>
  <c r="AB23" i="1"/>
  <c r="R23" i="1"/>
  <c r="S23" i="1" s="1"/>
  <c r="AN23" i="1" s="1"/>
  <c r="P27" i="3" s="1"/>
  <c r="G23" i="1" a="1"/>
  <c r="G23" i="1" s="1"/>
  <c r="F23" i="1" a="1"/>
  <c r="F23" i="1" s="1"/>
  <c r="B23" i="1" a="1"/>
  <c r="B23" i="1" s="1"/>
  <c r="O27" i="3" s="1"/>
  <c r="E23" i="1" a="1"/>
  <c r="E23" i="1" s="1"/>
  <c r="BG22" i="1"/>
  <c r="BE22" i="1"/>
  <c r="BB22" i="1"/>
  <c r="BC22" i="1" s="1"/>
  <c r="BA22" i="1"/>
  <c r="AN22" i="1"/>
  <c r="P26" i="3" s="1"/>
  <c r="AM22" i="1"/>
  <c r="AL22" i="1"/>
  <c r="AC22" i="1"/>
  <c r="AB22" i="1"/>
  <c r="R22" i="1"/>
  <c r="S22" i="1" s="1"/>
  <c r="H22" i="1" a="1"/>
  <c r="H22" i="1" s="1"/>
  <c r="E22" i="1" a="1"/>
  <c r="E22" i="1" s="1"/>
  <c r="B22" i="1" a="1"/>
  <c r="B22" i="1" s="1"/>
  <c r="O26" i="3" s="1"/>
  <c r="F22" i="1" a="1"/>
  <c r="F22" i="1" s="1"/>
  <c r="BG21" i="1"/>
  <c r="BE21" i="1"/>
  <c r="BB21" i="1"/>
  <c r="BA21" i="1"/>
  <c r="BC21" i="1" s="1"/>
  <c r="AN21" i="1"/>
  <c r="P25" i="3" s="1"/>
  <c r="AM21" i="1"/>
  <c r="AL21" i="1"/>
  <c r="AC21" i="1"/>
  <c r="AB21" i="1"/>
  <c r="R21" i="1"/>
  <c r="S21" i="1" s="1"/>
  <c r="H21" i="1" a="1"/>
  <c r="H21" i="1"/>
  <c r="BK21" i="1" s="1"/>
  <c r="E21" i="1" a="1"/>
  <c r="E21" i="1" s="1"/>
  <c r="B21" i="1" a="1"/>
  <c r="B21" i="1" s="1"/>
  <c r="O25" i="3" s="1"/>
  <c r="F21" i="1" a="1"/>
  <c r="F21" i="1" s="1"/>
  <c r="BG20" i="1"/>
  <c r="BE20" i="1"/>
  <c r="BB20" i="1"/>
  <c r="BA20" i="1"/>
  <c r="BC20" i="1" s="1"/>
  <c r="AN20" i="1"/>
  <c r="AM20" i="1"/>
  <c r="AL20" i="1"/>
  <c r="AC20" i="1"/>
  <c r="AB20" i="1"/>
  <c r="R20" i="1"/>
  <c r="S20" i="1" s="1"/>
  <c r="B20" i="1" a="1"/>
  <c r="B20" i="1" s="1"/>
  <c r="H20" i="1" a="1"/>
  <c r="H20" i="1" s="1"/>
  <c r="BG19" i="1"/>
  <c r="BE19" i="1"/>
  <c r="BB19" i="1"/>
  <c r="BA19" i="1"/>
  <c r="BC19" i="1" s="1"/>
  <c r="AL19" i="1"/>
  <c r="AM19" i="1" s="1"/>
  <c r="AN19" i="1" s="1"/>
  <c r="P23" i="3" s="1"/>
  <c r="AC19" i="1"/>
  <c r="AB19" i="1"/>
  <c r="R19" i="1"/>
  <c r="S19" i="1" s="1"/>
  <c r="B19" i="1" a="1"/>
  <c r="B19" i="1" s="1"/>
  <c r="O23" i="3" s="1"/>
  <c r="F19" i="1" a="1"/>
  <c r="F19" i="1" s="1"/>
  <c r="BG18" i="1"/>
  <c r="BE18" i="1"/>
  <c r="BC18" i="1"/>
  <c r="I22" i="3" s="1"/>
  <c r="BB18" i="1"/>
  <c r="BA18" i="1"/>
  <c r="AM18" i="1"/>
  <c r="E22" i="3" s="1"/>
  <c r="AL18" i="1"/>
  <c r="AC18" i="1"/>
  <c r="D22" i="3" s="1"/>
  <c r="AB18" i="1"/>
  <c r="R18" i="1"/>
  <c r="S18" i="1" s="1"/>
  <c r="C22" i="3" s="1"/>
  <c r="E18" i="1" a="1"/>
  <c r="E18" i="1" s="1"/>
  <c r="B18" i="1" a="1"/>
  <c r="B18" i="1" s="1"/>
  <c r="F18" i="1" a="1"/>
  <c r="F18" i="1" s="1"/>
  <c r="BG17" i="1"/>
  <c r="BE17" i="1"/>
  <c r="BB17" i="1"/>
  <c r="BC17" i="1" s="1"/>
  <c r="I21" i="3" s="1"/>
  <c r="BA17" i="1"/>
  <c r="AL17" i="1"/>
  <c r="AM17" i="1" s="1"/>
  <c r="AC17" i="1"/>
  <c r="D21" i="3" s="1"/>
  <c r="AB17" i="1"/>
  <c r="R17" i="1"/>
  <c r="S17" i="1" s="1"/>
  <c r="C21" i="3" s="1"/>
  <c r="G17" i="1" a="1"/>
  <c r="G17" i="1" s="1"/>
  <c r="E17" i="1" a="1"/>
  <c r="E17" i="1" s="1"/>
  <c r="B17" i="1" a="1"/>
  <c r="B17" i="1"/>
  <c r="F17" i="1" a="1"/>
  <c r="F17" i="1" s="1"/>
  <c r="BG16" i="1"/>
  <c r="BE16" i="1"/>
  <c r="BC16" i="1"/>
  <c r="I20" i="3" s="1"/>
  <c r="BB16" i="1"/>
  <c r="BA16" i="1"/>
  <c r="AM16" i="1"/>
  <c r="E20" i="3" s="1"/>
  <c r="AL16" i="1"/>
  <c r="AC16" i="1"/>
  <c r="D20" i="3" s="1"/>
  <c r="AB16" i="1"/>
  <c r="R16" i="1"/>
  <c r="S16" i="1" s="1"/>
  <c r="C20" i="3" s="1"/>
  <c r="G16" i="1" a="1"/>
  <c r="G16" i="1" s="1"/>
  <c r="E16" i="1" a="1"/>
  <c r="E16" i="1" s="1"/>
  <c r="B16" i="1" a="1"/>
  <c r="B16" i="1" s="1"/>
  <c r="F16" i="1" a="1"/>
  <c r="F16" i="1" s="1"/>
  <c r="BG15" i="1"/>
  <c r="BE15" i="1"/>
  <c r="BB15" i="1"/>
  <c r="BC15" i="1" s="1"/>
  <c r="I19" i="3" s="1"/>
  <c r="BA15" i="1"/>
  <c r="AL15" i="1"/>
  <c r="AM15" i="1" s="1"/>
  <c r="AC15" i="1"/>
  <c r="D19" i="3" s="1"/>
  <c r="AB15" i="1"/>
  <c r="R15" i="1"/>
  <c r="S15" i="1" s="1"/>
  <c r="C19" i="3" s="1"/>
  <c r="G15" i="1" a="1"/>
  <c r="G15" i="1" s="1"/>
  <c r="E15" i="1" a="1"/>
  <c r="E15" i="1"/>
  <c r="F15" i="1" a="1"/>
  <c r="F15" i="1" s="1"/>
  <c r="BG14" i="1"/>
  <c r="BE14" i="1"/>
  <c r="BC14" i="1"/>
  <c r="I18" i="3" s="1"/>
  <c r="BB14" i="1"/>
  <c r="BA14" i="1"/>
  <c r="AM14" i="1"/>
  <c r="E18" i="3" s="1"/>
  <c r="AL14" i="1"/>
  <c r="AC14" i="1"/>
  <c r="D18" i="3" s="1"/>
  <c r="AB14" i="1"/>
  <c r="R14" i="1"/>
  <c r="S14" i="1" s="1"/>
  <c r="C18" i="3" s="1"/>
  <c r="G14" i="1" a="1"/>
  <c r="G14" i="1" s="1"/>
  <c r="E14" i="1" a="1"/>
  <c r="E14" i="1" s="1"/>
  <c r="F14" i="1" a="1"/>
  <c r="F14" i="1" s="1"/>
  <c r="BG13" i="1"/>
  <c r="BE13" i="1"/>
  <c r="BB13" i="1"/>
  <c r="BA13" i="1"/>
  <c r="BC13" i="1" s="1"/>
  <c r="AL13" i="1"/>
  <c r="AM13" i="1" s="1"/>
  <c r="AC13" i="1"/>
  <c r="D17" i="3" s="1"/>
  <c r="AB13" i="1"/>
  <c r="R13" i="1"/>
  <c r="S13" i="1" s="1"/>
  <c r="C17" i="3" s="1"/>
  <c r="F13" i="1" a="1"/>
  <c r="F13" i="1" s="1"/>
  <c r="BG12" i="1"/>
  <c r="BE12" i="1"/>
  <c r="BB12" i="1"/>
  <c r="BA12" i="1"/>
  <c r="BC12" i="1" s="1"/>
  <c r="AM12" i="1"/>
  <c r="E16" i="3" s="1"/>
  <c r="AL12" i="1"/>
  <c r="AC12" i="1"/>
  <c r="D16" i="3" s="1"/>
  <c r="AB12" i="1"/>
  <c r="R12" i="1"/>
  <c r="S12" i="1" s="1"/>
  <c r="C16" i="3" s="1"/>
  <c r="F12" i="1" a="1"/>
  <c r="F12" i="1" s="1"/>
  <c r="BG11" i="1"/>
  <c r="BE11" i="1"/>
  <c r="BB11" i="1"/>
  <c r="BA11" i="1"/>
  <c r="BC11" i="1" s="1"/>
  <c r="AL11" i="1"/>
  <c r="AM11" i="1" s="1"/>
  <c r="AC11" i="1"/>
  <c r="D15" i="3" s="1"/>
  <c r="AB11" i="1"/>
  <c r="R11" i="1"/>
  <c r="S11" i="1" s="1"/>
  <c r="C15" i="3" s="1"/>
  <c r="B11" i="1" a="1"/>
  <c r="B11" i="1"/>
  <c r="F11" i="1" a="1"/>
  <c r="F11" i="1" s="1"/>
  <c r="BG10" i="1"/>
  <c r="BE10" i="1"/>
  <c r="BB10" i="1"/>
  <c r="BA10" i="1"/>
  <c r="BC10" i="1" s="1"/>
  <c r="AM10" i="1"/>
  <c r="AL10" i="1"/>
  <c r="AC10" i="1"/>
  <c r="D14" i="3" s="1"/>
  <c r="AB10" i="1"/>
  <c r="R10" i="1"/>
  <c r="S10" i="1" s="1"/>
  <c r="C14" i="3" s="1"/>
  <c r="B10" i="1" a="1"/>
  <c r="B10" i="1" s="1"/>
  <c r="F10" i="1" a="1"/>
  <c r="F10" i="1" s="1"/>
  <c r="BG9" i="1"/>
  <c r="BE9" i="1"/>
  <c r="BC9" i="1"/>
  <c r="BB9" i="1"/>
  <c r="BA9" i="1"/>
  <c r="AM9" i="1"/>
  <c r="AL9" i="1"/>
  <c r="AC9" i="1"/>
  <c r="D13" i="3" s="1"/>
  <c r="AB9" i="1"/>
  <c r="S9" i="1"/>
  <c r="C13" i="3" s="1"/>
  <c r="R9" i="1"/>
  <c r="H9" i="1" a="1"/>
  <c r="H9" i="1" s="1"/>
  <c r="BJ9" i="1" s="1"/>
  <c r="B9" i="1" a="1"/>
  <c r="B9" i="1" s="1"/>
  <c r="E9" i="1" a="1"/>
  <c r="E9" i="1" s="1"/>
  <c r="BG8" i="1"/>
  <c r="BE8" i="1"/>
  <c r="BC8" i="1"/>
  <c r="BB8" i="1"/>
  <c r="BA8" i="1"/>
  <c r="AM8" i="1"/>
  <c r="AL8" i="1"/>
  <c r="AC8" i="1"/>
  <c r="D12" i="3" s="1"/>
  <c r="AB8" i="1"/>
  <c r="S8" i="1"/>
  <c r="C12" i="3" s="1"/>
  <c r="R8" i="1"/>
  <c r="H8" i="1" a="1"/>
  <c r="H8" i="1"/>
  <c r="BK8" i="1" s="1"/>
  <c r="B8" i="1" a="1"/>
  <c r="B8" i="1" s="1"/>
  <c r="E8" i="1" a="1"/>
  <c r="E8" i="1" s="1"/>
  <c r="BG7" i="1"/>
  <c r="BE7" i="1"/>
  <c r="BC7" i="1"/>
  <c r="BB7" i="1"/>
  <c r="BA7" i="1"/>
  <c r="AM7" i="1"/>
  <c r="AL7" i="1"/>
  <c r="AC7" i="1"/>
  <c r="D11" i="3" s="1"/>
  <c r="AB7" i="1"/>
  <c r="S7" i="1"/>
  <c r="C11" i="3" s="1"/>
  <c r="R7" i="1"/>
  <c r="H7" i="1" a="1"/>
  <c r="H7" i="1"/>
  <c r="BJ7" i="1" s="1"/>
  <c r="B7" i="1" a="1"/>
  <c r="B7" i="1" s="1"/>
  <c r="E7" i="1" a="1"/>
  <c r="E7" i="1" s="1"/>
  <c r="BG6" i="1"/>
  <c r="BE6" i="1"/>
  <c r="BC6" i="1"/>
  <c r="BB6" i="1"/>
  <c r="BA6" i="1"/>
  <c r="AM6" i="1"/>
  <c r="AN6" i="1" s="1"/>
  <c r="AL6" i="1"/>
  <c r="AC6" i="1"/>
  <c r="D10" i="3" s="1"/>
  <c r="AB6" i="1"/>
  <c r="S6" i="1"/>
  <c r="C10" i="3" s="1"/>
  <c r="R6" i="1"/>
  <c r="H6" i="1" a="1"/>
  <c r="H6" i="1"/>
  <c r="BK6" i="1" s="1"/>
  <c r="B6" i="1" a="1"/>
  <c r="B6" i="1" s="1"/>
  <c r="E6" i="1" a="1"/>
  <c r="E6" i="1" s="1"/>
  <c r="BG5" i="1"/>
  <c r="BE5" i="1"/>
  <c r="BC5" i="1"/>
  <c r="BB5" i="1"/>
  <c r="BA5" i="1"/>
  <c r="AM5" i="1"/>
  <c r="AN5" i="1" s="1"/>
  <c r="AL5" i="1"/>
  <c r="AC5" i="1"/>
  <c r="D9" i="3" s="1"/>
  <c r="AB5" i="1"/>
  <c r="S5" i="1"/>
  <c r="C9" i="3" s="1"/>
  <c r="R5" i="1"/>
  <c r="H5" i="1" a="1"/>
  <c r="H5" i="1" s="1"/>
  <c r="B5" i="1" a="1"/>
  <c r="B5" i="1" s="1"/>
  <c r="E5" i="1" a="1"/>
  <c r="E5" i="1" s="1"/>
  <c r="BG4" i="1"/>
  <c r="BE4" i="1"/>
  <c r="BC4" i="1"/>
  <c r="BB4" i="1"/>
  <c r="BA4" i="1"/>
  <c r="AM4" i="1"/>
  <c r="AL4" i="1"/>
  <c r="AC4" i="1"/>
  <c r="AN4" i="1" s="1"/>
  <c r="AB4" i="1"/>
  <c r="S4" i="1"/>
  <c r="R4" i="1"/>
  <c r="H4" i="1" a="1"/>
  <c r="H4" i="1" s="1"/>
  <c r="B4" i="1" a="1"/>
  <c r="B4" i="1" s="1"/>
  <c r="E4" i="1" a="1"/>
  <c r="E4" i="1" s="1"/>
  <c r="BJ41" i="1" l="1"/>
  <c r="BL41" i="1" s="1"/>
  <c r="AR49" i="1"/>
  <c r="AY49" i="1" s="1"/>
  <c r="BL64" i="1"/>
  <c r="BK41" i="1"/>
  <c r="I41" i="1"/>
  <c r="AR41" i="1" s="1"/>
  <c r="AY41" i="1" s="1"/>
  <c r="BJ43" i="1"/>
  <c r="BK43" i="1"/>
  <c r="I45" i="1"/>
  <c r="AR45" i="1" s="1"/>
  <c r="AX45" i="1" s="1"/>
  <c r="BM40" i="1"/>
  <c r="BL49" i="1"/>
  <c r="I64" i="1"/>
  <c r="AR64" i="1" s="1"/>
  <c r="I43" i="1"/>
  <c r="AR43" i="1" s="1"/>
  <c r="BK64" i="1"/>
  <c r="BM64" i="1" s="1"/>
  <c r="BK5" i="1"/>
  <c r="BJ5" i="1"/>
  <c r="T16" i="3"/>
  <c r="I16" i="3"/>
  <c r="E17" i="3"/>
  <c r="K73" i="3"/>
  <c r="Q73" i="3" s="1"/>
  <c r="AN13" i="1"/>
  <c r="Y20" i="3"/>
  <c r="V20" i="3"/>
  <c r="AA20" i="3"/>
  <c r="B20" i="3"/>
  <c r="O20" i="3"/>
  <c r="I79" i="3"/>
  <c r="Y9" i="3"/>
  <c r="O9" i="3"/>
  <c r="B9" i="3"/>
  <c r="I88" i="3"/>
  <c r="S9" i="3"/>
  <c r="V9" i="3"/>
  <c r="J65" i="3"/>
  <c r="AA9" i="3"/>
  <c r="A65" i="3"/>
  <c r="G88" i="3"/>
  <c r="G79" i="3"/>
  <c r="V8" i="3"/>
  <c r="AA8" i="3"/>
  <c r="A64" i="3"/>
  <c r="S8" i="3"/>
  <c r="O8" i="3"/>
  <c r="Y8" i="3"/>
  <c r="J64" i="3"/>
  <c r="T17" i="3"/>
  <c r="I17" i="3"/>
  <c r="BJ4" i="1"/>
  <c r="BK4" i="1"/>
  <c r="E19" i="3"/>
  <c r="AN15" i="1"/>
  <c r="C67" i="3"/>
  <c r="I14" i="3"/>
  <c r="T14" i="3"/>
  <c r="BK20" i="1"/>
  <c r="BJ20" i="1"/>
  <c r="Y14" i="3"/>
  <c r="O14" i="3"/>
  <c r="V14" i="3"/>
  <c r="J70" i="3"/>
  <c r="B14" i="3"/>
  <c r="A70" i="3"/>
  <c r="S14" i="3"/>
  <c r="AA14" i="3"/>
  <c r="E15" i="3"/>
  <c r="K71" i="3"/>
  <c r="Q71" i="3" s="1"/>
  <c r="AN11" i="1"/>
  <c r="Y22" i="3"/>
  <c r="V22" i="3"/>
  <c r="AA22" i="3"/>
  <c r="B22" i="3"/>
  <c r="O22" i="3"/>
  <c r="BK30" i="1"/>
  <c r="BM30" i="1" s="1"/>
  <c r="BJ30" i="1"/>
  <c r="BL30" i="1" s="1"/>
  <c r="D66" i="3"/>
  <c r="P8" i="3"/>
  <c r="F9" i="3"/>
  <c r="P9" i="3"/>
  <c r="P10" i="3"/>
  <c r="F10" i="3"/>
  <c r="I15" i="3"/>
  <c r="T15" i="3"/>
  <c r="BJ37" i="1"/>
  <c r="BK37" i="1"/>
  <c r="D68" i="3"/>
  <c r="C69" i="3"/>
  <c r="E21" i="3"/>
  <c r="AN17" i="1"/>
  <c r="BK29" i="1"/>
  <c r="BJ29" i="1"/>
  <c r="AN7" i="1"/>
  <c r="M15" i="3" s="1"/>
  <c r="BK7" i="1"/>
  <c r="BK9" i="1"/>
  <c r="G10" i="1" a="1"/>
  <c r="G10" i="1" s="1"/>
  <c r="E12" i="1" a="1"/>
  <c r="E12" i="1" s="1"/>
  <c r="H16" i="1" a="1"/>
  <c r="H16" i="1" s="1"/>
  <c r="G18" i="1" a="1"/>
  <c r="G18" i="1" s="1"/>
  <c r="F4" i="1" a="1"/>
  <c r="F4" i="1" s="1"/>
  <c r="F5" i="1" a="1"/>
  <c r="F5" i="1" s="1"/>
  <c r="F6" i="1" a="1"/>
  <c r="F6" i="1" s="1"/>
  <c r="F7" i="1" a="1"/>
  <c r="F7" i="1" s="1"/>
  <c r="F8" i="1" a="1"/>
  <c r="F8" i="1" s="1"/>
  <c r="F9" i="1" a="1"/>
  <c r="F9" i="1" s="1"/>
  <c r="AN10" i="1"/>
  <c r="G11" i="1" a="1"/>
  <c r="G11" i="1" s="1"/>
  <c r="E13" i="1" a="1"/>
  <c r="E13" i="1" s="1"/>
  <c r="B15" i="1" a="1"/>
  <c r="B15" i="1" s="1"/>
  <c r="H17" i="1" a="1"/>
  <c r="H17" i="1" s="1"/>
  <c r="I17" i="1" s="1"/>
  <c r="AR17" i="1" s="1"/>
  <c r="AN18" i="1"/>
  <c r="G19" i="1" a="1"/>
  <c r="G19" i="1" s="1"/>
  <c r="E25" i="1" a="1"/>
  <c r="E25" i="1" s="1"/>
  <c r="G25" i="1" a="1"/>
  <c r="G25" i="1" s="1"/>
  <c r="I25" i="1" s="1"/>
  <c r="AR25" i="1" s="1"/>
  <c r="E30" i="1" a="1"/>
  <c r="E30" i="1" s="1"/>
  <c r="B30" i="1" a="1"/>
  <c r="B30" i="1" s="1"/>
  <c r="F30" i="1" a="1"/>
  <c r="F30" i="1" s="1"/>
  <c r="G37" i="1" a="1"/>
  <c r="G37" i="1" s="1"/>
  <c r="I37" i="1" s="1"/>
  <c r="AR37" i="1" s="1"/>
  <c r="K89" i="3"/>
  <c r="K80" i="3"/>
  <c r="Q80" i="3" s="1"/>
  <c r="K88" i="3"/>
  <c r="K79" i="3"/>
  <c r="Q79" i="3" s="1"/>
  <c r="K64" i="3"/>
  <c r="Q64" i="3" s="1"/>
  <c r="T9" i="3"/>
  <c r="I9" i="3"/>
  <c r="K67" i="3"/>
  <c r="Q67" i="3" s="1"/>
  <c r="E11" i="3"/>
  <c r="T11" i="3"/>
  <c r="I11" i="3"/>
  <c r="V12" i="3"/>
  <c r="AA12" i="3"/>
  <c r="Y12" i="3"/>
  <c r="J68" i="3"/>
  <c r="B12" i="3"/>
  <c r="A68" i="3"/>
  <c r="S12" i="3"/>
  <c r="O12" i="3"/>
  <c r="I12" i="3"/>
  <c r="T12" i="3"/>
  <c r="K69" i="3"/>
  <c r="Q69" i="3" s="1"/>
  <c r="E13" i="3"/>
  <c r="T13" i="3"/>
  <c r="I13" i="3"/>
  <c r="AA21" i="3"/>
  <c r="O21" i="3"/>
  <c r="B21" i="3"/>
  <c r="Y21" i="3"/>
  <c r="V21" i="3"/>
  <c r="H18" i="1" a="1"/>
  <c r="H18" i="1" s="1"/>
  <c r="BJ21" i="1"/>
  <c r="BK22" i="1"/>
  <c r="BJ22" i="1"/>
  <c r="AN28" i="1"/>
  <c r="BK33" i="1"/>
  <c r="BJ33" i="1"/>
  <c r="BK34" i="1"/>
  <c r="BJ34" i="1"/>
  <c r="H10" i="1" a="1"/>
  <c r="H10" i="1" s="1"/>
  <c r="G12" i="1" a="1"/>
  <c r="G12" i="1" s="1"/>
  <c r="G4" i="1" a="1"/>
  <c r="G4" i="1" s="1"/>
  <c r="G5" i="1" a="1"/>
  <c r="G5" i="1" s="1"/>
  <c r="G6" i="1" a="1"/>
  <c r="G6" i="1" s="1"/>
  <c r="G7" i="1" a="1"/>
  <c r="G7" i="1" s="1"/>
  <c r="G8" i="1" a="1"/>
  <c r="G8" i="1" s="1"/>
  <c r="BM8" i="1" s="1"/>
  <c r="G9" i="1" a="1"/>
  <c r="G9" i="1" s="1"/>
  <c r="BL9" i="1" s="1"/>
  <c r="H11" i="1" a="1"/>
  <c r="H11" i="1" s="1"/>
  <c r="AN12" i="1"/>
  <c r="G13" i="1" a="1"/>
  <c r="G13" i="1" s="1"/>
  <c r="H19" i="1" a="1"/>
  <c r="H19" i="1" s="1"/>
  <c r="AN27" i="1"/>
  <c r="I30" i="1"/>
  <c r="AR30" i="1" s="1"/>
  <c r="AN33" i="1"/>
  <c r="AN34" i="1"/>
  <c r="AA15" i="3"/>
  <c r="Y15" i="3"/>
  <c r="O15" i="3"/>
  <c r="B15" i="3"/>
  <c r="V15" i="3"/>
  <c r="A71" i="3"/>
  <c r="S15" i="3"/>
  <c r="J71" i="3"/>
  <c r="H12" i="1" a="1"/>
  <c r="H12" i="1" s="1"/>
  <c r="F20" i="1" a="1"/>
  <c r="F20" i="1" s="1"/>
  <c r="G20" i="1" a="1"/>
  <c r="G20" i="1" s="1"/>
  <c r="I20" i="1" s="1"/>
  <c r="AR20" i="1" s="1"/>
  <c r="F25" i="1" a="1"/>
  <c r="F25" i="1" s="1"/>
  <c r="E28" i="1" a="1"/>
  <c r="E28" i="1" s="1"/>
  <c r="F28" i="1" a="1"/>
  <c r="F28" i="1" s="1"/>
  <c r="G28" i="1" a="1"/>
  <c r="G28" i="1" s="1"/>
  <c r="I28" i="1" s="1"/>
  <c r="AR28" i="1" s="1"/>
  <c r="E29" i="1" a="1"/>
  <c r="E29" i="1" s="1"/>
  <c r="B29" i="1" a="1"/>
  <c r="B29" i="1" s="1"/>
  <c r="G29" i="1" a="1"/>
  <c r="G29" i="1" s="1"/>
  <c r="I29" i="1" s="1"/>
  <c r="AR29" i="1" s="1"/>
  <c r="AN32" i="1"/>
  <c r="AN9" i="1"/>
  <c r="H13" i="1" a="1"/>
  <c r="H13" i="1" s="1"/>
  <c r="AN14" i="1"/>
  <c r="G36" i="1" a="1"/>
  <c r="G36" i="1" s="1"/>
  <c r="E36" i="1" a="1"/>
  <c r="E36" i="1" s="1"/>
  <c r="B36" i="1" a="1"/>
  <c r="B36" i="1" s="1"/>
  <c r="H36" i="1" a="1"/>
  <c r="H36" i="1" s="1"/>
  <c r="F36" i="1" a="1"/>
  <c r="F36" i="1" s="1"/>
  <c r="AY40" i="1"/>
  <c r="AW40" i="1"/>
  <c r="E9" i="3"/>
  <c r="K65" i="3"/>
  <c r="Q65" i="3" s="1"/>
  <c r="AA10" i="3"/>
  <c r="V10" i="3"/>
  <c r="Y10" i="3"/>
  <c r="J66" i="3"/>
  <c r="B10" i="3"/>
  <c r="A66" i="3"/>
  <c r="S10" i="3"/>
  <c r="O10" i="3"/>
  <c r="I10" i="3"/>
  <c r="T10" i="3"/>
  <c r="S11" i="3"/>
  <c r="Y11" i="3"/>
  <c r="O11" i="3"/>
  <c r="B11" i="3"/>
  <c r="V11" i="3"/>
  <c r="J67" i="3"/>
  <c r="AA11" i="3"/>
  <c r="A67" i="3"/>
  <c r="E12" i="3"/>
  <c r="K68" i="3"/>
  <c r="Q68" i="3" s="1"/>
  <c r="Y13" i="3"/>
  <c r="O13" i="3"/>
  <c r="B13" i="3"/>
  <c r="S13" i="3"/>
  <c r="J69" i="3"/>
  <c r="AA13" i="3"/>
  <c r="A69" i="3"/>
  <c r="V13" i="3"/>
  <c r="H14" i="1" a="1"/>
  <c r="H14" i="1" s="1"/>
  <c r="BK25" i="1"/>
  <c r="BM25" i="1" s="1"/>
  <c r="BJ25" i="1"/>
  <c r="BL25" i="1" s="1"/>
  <c r="AN41" i="1"/>
  <c r="T8" i="3"/>
  <c r="E10" i="3"/>
  <c r="K66" i="3"/>
  <c r="Q66" i="3" s="1"/>
  <c r="AN8" i="1"/>
  <c r="B12" i="1" a="1"/>
  <c r="B12" i="1" s="1"/>
  <c r="BJ6" i="1"/>
  <c r="BJ8" i="1"/>
  <c r="E11" i="1" a="1"/>
  <c r="E11" i="1" s="1"/>
  <c r="B13" i="1" a="1"/>
  <c r="B13" i="1" s="1"/>
  <c r="H15" i="1" a="1"/>
  <c r="H15" i="1" s="1"/>
  <c r="I15" i="1" s="1"/>
  <c r="AR15" i="1" s="1"/>
  <c r="AN16" i="1"/>
  <c r="E19" i="1" a="1"/>
  <c r="E19" i="1" s="1"/>
  <c r="AN25" i="1"/>
  <c r="E33" i="1" a="1"/>
  <c r="E33" i="1" s="1"/>
  <c r="G33" i="1" a="1"/>
  <c r="G33" i="1" s="1"/>
  <c r="I33" i="1" s="1"/>
  <c r="AR33" i="1" s="1"/>
  <c r="B33" i="1" a="1"/>
  <c r="B33" i="1" s="1"/>
  <c r="E10" i="1" a="1"/>
  <c r="E10" i="1" s="1"/>
  <c r="E14" i="3"/>
  <c r="K70" i="3"/>
  <c r="Q70" i="3" s="1"/>
  <c r="B14" i="1" a="1"/>
  <c r="B14" i="1" s="1"/>
  <c r="E20" i="1" a="1"/>
  <c r="E20" i="1" s="1"/>
  <c r="BK28" i="1"/>
  <c r="BJ28" i="1"/>
  <c r="F37" i="1" a="1"/>
  <c r="F37" i="1" s="1"/>
  <c r="E37" i="1" a="1"/>
  <c r="E37" i="1" s="1"/>
  <c r="B37" i="1" a="1"/>
  <c r="B37" i="1" s="1"/>
  <c r="G21" i="1" a="1"/>
  <c r="G21" i="1" s="1"/>
  <c r="I21" i="1" s="1"/>
  <c r="AR21" i="1" s="1"/>
  <c r="G22" i="1" a="1"/>
  <c r="G22" i="1" s="1"/>
  <c r="I22" i="1" s="1"/>
  <c r="AR22" i="1" s="1"/>
  <c r="H26" i="1" a="1"/>
  <c r="H26" i="1" s="1"/>
  <c r="G38" i="1" a="1"/>
  <c r="G38" i="1" s="1"/>
  <c r="BJ40" i="1"/>
  <c r="BL40" i="1" s="1"/>
  <c r="BJ45" i="1"/>
  <c r="BL45" i="1" s="1"/>
  <c r="BK45" i="1"/>
  <c r="BM45" i="1" s="1"/>
  <c r="BK60" i="1"/>
  <c r="BM60" i="1" s="1"/>
  <c r="BJ60" i="1"/>
  <c r="BL60" i="1" s="1"/>
  <c r="H27" i="1" a="1"/>
  <c r="H27" i="1" s="1"/>
  <c r="BC36" i="1"/>
  <c r="H38" i="1" a="1"/>
  <c r="H38" i="1" s="1"/>
  <c r="BM43" i="1"/>
  <c r="BJ46" i="1"/>
  <c r="BK46" i="1"/>
  <c r="BJ48" i="1"/>
  <c r="BK48" i="1"/>
  <c r="BC38" i="1"/>
  <c r="E39" i="1" a="1"/>
  <c r="E39" i="1" s="1"/>
  <c r="B39" i="1" a="1"/>
  <c r="B39" i="1" s="1"/>
  <c r="BK61" i="1"/>
  <c r="BJ61" i="1"/>
  <c r="AW43" i="1"/>
  <c r="AY43" i="1"/>
  <c r="AX43" i="1"/>
  <c r="AW47" i="1"/>
  <c r="AY47" i="1"/>
  <c r="AX47" i="1"/>
  <c r="BL43" i="1"/>
  <c r="BJ47" i="1"/>
  <c r="BL47" i="1" s="1"/>
  <c r="BK47" i="1"/>
  <c r="BM47" i="1" s="1"/>
  <c r="AW49" i="1"/>
  <c r="H23" i="1" a="1"/>
  <c r="H23" i="1" s="1"/>
  <c r="I23" i="1" s="1"/>
  <c r="AR23" i="1" s="1"/>
  <c r="F27" i="1" a="1"/>
  <c r="F27" i="1" s="1"/>
  <c r="H31" i="1" a="1"/>
  <c r="H31" i="1" s="1"/>
  <c r="I31" i="1" s="1"/>
  <c r="AR31" i="1" s="1"/>
  <c r="BC37" i="1"/>
  <c r="B38" i="1" a="1"/>
  <c r="B38" i="1" s="1"/>
  <c r="G39" i="1" a="1"/>
  <c r="G39" i="1" s="1"/>
  <c r="BM41" i="1"/>
  <c r="H24" i="1" a="1"/>
  <c r="H24" i="1" s="1"/>
  <c r="G26" i="1" a="1"/>
  <c r="G26" i="1" s="1"/>
  <c r="H32" i="1" a="1"/>
  <c r="H32" i="1" s="1"/>
  <c r="I32" i="1" s="1"/>
  <c r="AR32" i="1" s="1"/>
  <c r="G34" i="1" a="1"/>
  <c r="G34" i="1" s="1"/>
  <c r="I34" i="1" s="1"/>
  <c r="AR34" i="1" s="1"/>
  <c r="BC35" i="1"/>
  <c r="AN37" i="1"/>
  <c r="E38" i="1" a="1"/>
  <c r="E38" i="1" s="1"/>
  <c r="H39" i="1" a="1"/>
  <c r="H39" i="1" s="1"/>
  <c r="AN49" i="1"/>
  <c r="AW45" i="1"/>
  <c r="AY45" i="1"/>
  <c r="E46" i="1" a="1"/>
  <c r="E46" i="1" s="1"/>
  <c r="G46" i="1" a="1"/>
  <c r="G46" i="1" s="1"/>
  <c r="I46" i="1" s="1"/>
  <c r="AR46" i="1" s="1"/>
  <c r="F46" i="1" a="1"/>
  <c r="F46" i="1" s="1"/>
  <c r="B46" i="1" a="1"/>
  <c r="B46" i="1" s="1"/>
  <c r="I60" i="1"/>
  <c r="AR60" i="1" s="1"/>
  <c r="AN42" i="1"/>
  <c r="E60" i="1" a="1"/>
  <c r="E60" i="1" s="1"/>
  <c r="F60" i="1" a="1"/>
  <c r="F60" i="1" s="1"/>
  <c r="B60" i="1" a="1"/>
  <c r="B60" i="1" s="1"/>
  <c r="AN52" i="1"/>
  <c r="AN54" i="1"/>
  <c r="E48" i="1" a="1"/>
  <c r="E48" i="1" s="1"/>
  <c r="F48" i="1" a="1"/>
  <c r="F48" i="1" s="1"/>
  <c r="H52" i="1" a="1"/>
  <c r="H52" i="1" s="1"/>
  <c r="B52" i="1" a="1"/>
  <c r="B52" i="1" s="1"/>
  <c r="F52" i="1" a="1"/>
  <c r="F52" i="1" s="1"/>
  <c r="E52" i="1" a="1"/>
  <c r="E52" i="1" s="1"/>
  <c r="F57" i="1" a="1"/>
  <c r="F57" i="1" s="1"/>
  <c r="E57" i="1" a="1"/>
  <c r="E57" i="1" s="1"/>
  <c r="B57" i="1" a="1"/>
  <c r="B57" i="1" s="1"/>
  <c r="AY64" i="1"/>
  <c r="AW64" i="1"/>
  <c r="AX64" i="1"/>
  <c r="G61" i="1" a="1"/>
  <c r="G61" i="1" s="1"/>
  <c r="I61" i="1" s="1"/>
  <c r="AR61" i="1" s="1"/>
  <c r="E61" i="1" a="1"/>
  <c r="E61" i="1" s="1"/>
  <c r="B61" i="1" a="1"/>
  <c r="B61" i="1" s="1"/>
  <c r="B48" i="1" a="1"/>
  <c r="B48" i="1" s="1"/>
  <c r="H55" i="1" a="1"/>
  <c r="H55" i="1" s="1"/>
  <c r="I55" i="1" s="1"/>
  <c r="AR55" i="1" s="1"/>
  <c r="B55" i="1" a="1"/>
  <c r="B55" i="1" s="1"/>
  <c r="F55" i="1" a="1"/>
  <c r="F55" i="1" s="1"/>
  <c r="E55" i="1" a="1"/>
  <c r="E55" i="1" s="1"/>
  <c r="BC56" i="1"/>
  <c r="G57" i="1" a="1"/>
  <c r="G57" i="1" s="1"/>
  <c r="G35" i="1" a="1"/>
  <c r="G35" i="1" s="1"/>
  <c r="B40" i="1" a="1"/>
  <c r="B40" i="1" s="1"/>
  <c r="E44" i="1" a="1"/>
  <c r="E44" i="1" s="1"/>
  <c r="H44" i="1" a="1"/>
  <c r="H44" i="1" s="1"/>
  <c r="G44" i="1" a="1"/>
  <c r="G44" i="1" s="1"/>
  <c r="E45" i="1" a="1"/>
  <c r="E45" i="1" s="1"/>
  <c r="B45" i="1" a="1"/>
  <c r="B45" i="1" s="1"/>
  <c r="AN47" i="1"/>
  <c r="BK49" i="1"/>
  <c r="BM49" i="1" s="1"/>
  <c r="G52" i="1" a="1"/>
  <c r="G52" i="1" s="1"/>
  <c r="H59" i="1" a="1"/>
  <c r="H59" i="1" s="1"/>
  <c r="G59" i="1" a="1"/>
  <c r="G59" i="1" s="1"/>
  <c r="F59" i="1" a="1"/>
  <c r="F59" i="1" s="1"/>
  <c r="F61" i="1" a="1"/>
  <c r="F61" i="1" s="1"/>
  <c r="BJ63" i="1"/>
  <c r="BK63" i="1"/>
  <c r="BC34" i="1"/>
  <c r="BC41" i="1"/>
  <c r="E42" i="1" a="1"/>
  <c r="E42" i="1" s="1"/>
  <c r="H42" i="1" a="1"/>
  <c r="H42" i="1" s="1"/>
  <c r="AN44" i="1"/>
  <c r="BC44" i="1"/>
  <c r="G48" i="1" a="1"/>
  <c r="G48" i="1" s="1"/>
  <c r="I48" i="1" s="1"/>
  <c r="AR48" i="1" s="1"/>
  <c r="AN51" i="1"/>
  <c r="H57" i="1" a="1"/>
  <c r="H57" i="1" s="1"/>
  <c r="B59" i="1" a="1"/>
  <c r="B59" i="1" s="1"/>
  <c r="H54" i="1" a="1"/>
  <c r="H54" i="1" s="1"/>
  <c r="I54" i="1" s="1"/>
  <c r="AR54" i="1" s="1"/>
  <c r="B54" i="1" a="1"/>
  <c r="B54" i="1" s="1"/>
  <c r="H58" i="1" a="1"/>
  <c r="H58" i="1" s="1"/>
  <c r="G63" i="1" a="1"/>
  <c r="G63" i="1" s="1"/>
  <c r="I63" i="1" s="1"/>
  <c r="AR63" i="1" s="1"/>
  <c r="H50" i="1" a="1"/>
  <c r="H50" i="1" s="1"/>
  <c r="I50" i="1" s="1"/>
  <c r="AR50" i="1" s="1"/>
  <c r="H51" i="1" a="1"/>
  <c r="H51" i="1" s="1"/>
  <c r="I51" i="1" s="1"/>
  <c r="AR51" i="1" s="1"/>
  <c r="B51" i="1" a="1"/>
  <c r="B51" i="1" s="1"/>
  <c r="H62" i="1" a="1"/>
  <c r="H62" i="1" s="1"/>
  <c r="I62" i="1" s="1"/>
  <c r="AR62" i="1" s="1"/>
  <c r="B50" i="1" a="1"/>
  <c r="B50" i="1" s="1"/>
  <c r="H56" i="1" a="1"/>
  <c r="H56" i="1" s="1"/>
  <c r="B56" i="1" a="1"/>
  <c r="B56" i="1" s="1"/>
  <c r="B58" i="1" a="1"/>
  <c r="B58" i="1" s="1"/>
  <c r="B47" i="1" a="1"/>
  <c r="B47" i="1" s="1"/>
  <c r="H53" i="1" a="1"/>
  <c r="H53" i="1" s="1"/>
  <c r="B53" i="1" a="1"/>
  <c r="B53" i="1" s="1"/>
  <c r="E54" i="1" a="1"/>
  <c r="E54" i="1" s="1"/>
  <c r="AW41" i="1" l="1"/>
  <c r="AX41" i="1"/>
  <c r="AX49" i="1"/>
  <c r="K83" i="3"/>
  <c r="Q83" i="3" s="1"/>
  <c r="I52" i="1"/>
  <c r="AR52" i="1" s="1"/>
  <c r="I19" i="1"/>
  <c r="AR19" i="1" s="1"/>
  <c r="BL28" i="1"/>
  <c r="E88" i="3"/>
  <c r="BL63" i="1"/>
  <c r="I39" i="1"/>
  <c r="AR39" i="1" s="1"/>
  <c r="AY39" i="1" s="1"/>
  <c r="I44" i="1"/>
  <c r="AR44" i="1" s="1"/>
  <c r="AY44" i="1" s="1"/>
  <c r="I59" i="1"/>
  <c r="AR59" i="1" s="1"/>
  <c r="BM46" i="1"/>
  <c r="BL37" i="1"/>
  <c r="I26" i="1"/>
  <c r="AR26" i="1" s="1"/>
  <c r="AX26" i="1" s="1"/>
  <c r="BM20" i="1"/>
  <c r="AX51" i="1"/>
  <c r="AW51" i="1"/>
  <c r="AY51" i="1"/>
  <c r="AX50" i="1"/>
  <c r="AW50" i="1"/>
  <c r="AY50" i="1"/>
  <c r="AY15" i="1"/>
  <c r="AX15" i="1"/>
  <c r="AW15" i="1"/>
  <c r="AY17" i="1"/>
  <c r="AX17" i="1"/>
  <c r="AW17" i="1"/>
  <c r="E69" i="3"/>
  <c r="H69" i="3" s="1"/>
  <c r="AB13" i="3"/>
  <c r="AX31" i="1"/>
  <c r="AW31" i="1"/>
  <c r="AY31" i="1"/>
  <c r="F68" i="3"/>
  <c r="Q12" i="3"/>
  <c r="AC12" i="3"/>
  <c r="AW62" i="1"/>
  <c r="AY62" i="1"/>
  <c r="AX62" i="1"/>
  <c r="AX32" i="1"/>
  <c r="AW32" i="1"/>
  <c r="AY32" i="1"/>
  <c r="AX23" i="1"/>
  <c r="AW23" i="1"/>
  <c r="AY23" i="1"/>
  <c r="AW26" i="1"/>
  <c r="AY55" i="1"/>
  <c r="AX55" i="1"/>
  <c r="AW55" i="1"/>
  <c r="BL46" i="1"/>
  <c r="E4" i="3"/>
  <c r="BK13" i="1"/>
  <c r="BJ13" i="1"/>
  <c r="AX30" i="1"/>
  <c r="AW30" i="1"/>
  <c r="AY30" i="1"/>
  <c r="B67" i="3"/>
  <c r="I7" i="1"/>
  <c r="AR7" i="1" s="1"/>
  <c r="BL33" i="1"/>
  <c r="B71" i="3"/>
  <c r="I11" i="1"/>
  <c r="AR11" i="1" s="1"/>
  <c r="I18" i="1"/>
  <c r="AR18" i="1" s="1"/>
  <c r="BM29" i="1"/>
  <c r="BM37" i="1"/>
  <c r="C4" i="3"/>
  <c r="A88" i="3"/>
  <c r="BL20" i="1"/>
  <c r="C75" i="3"/>
  <c r="L74" i="3"/>
  <c r="N83" i="3"/>
  <c r="M81" i="3"/>
  <c r="N81" i="3"/>
  <c r="C77" i="3"/>
  <c r="M83" i="3"/>
  <c r="AW48" i="1"/>
  <c r="AY48" i="1"/>
  <c r="AX48" i="1"/>
  <c r="BK58" i="1"/>
  <c r="BM58" i="1" s="1"/>
  <c r="BJ58" i="1"/>
  <c r="BL58" i="1" s="1"/>
  <c r="AW59" i="1"/>
  <c r="AY59" i="1"/>
  <c r="AX59" i="1"/>
  <c r="BK52" i="1"/>
  <c r="BM52" i="1" s="1"/>
  <c r="BJ52" i="1"/>
  <c r="BL52" i="1" s="1"/>
  <c r="BK24" i="1"/>
  <c r="BM24" i="1" s="1"/>
  <c r="BJ24" i="1"/>
  <c r="BL24" i="1" s="1"/>
  <c r="I24" i="1"/>
  <c r="AR24" i="1" s="1"/>
  <c r="AX33" i="1"/>
  <c r="AW33" i="1"/>
  <c r="AY33" i="1"/>
  <c r="BK14" i="1"/>
  <c r="BM14" i="1" s="1"/>
  <c r="BJ14" i="1"/>
  <c r="BL14" i="1" s="1"/>
  <c r="AB18" i="3" s="1"/>
  <c r="B66" i="3"/>
  <c r="I6" i="1"/>
  <c r="AR6" i="1" s="1"/>
  <c r="BM33" i="1"/>
  <c r="AX25" i="1"/>
  <c r="AW25" i="1"/>
  <c r="AY25" i="1"/>
  <c r="P14" i="3"/>
  <c r="F14" i="3"/>
  <c r="BK16" i="1"/>
  <c r="BM16" i="1" s="1"/>
  <c r="BJ16" i="1"/>
  <c r="BL16" i="1" s="1"/>
  <c r="AB20" i="3" s="1"/>
  <c r="P21" i="3"/>
  <c r="F21" i="3"/>
  <c r="K4" i="3"/>
  <c r="A80" i="3"/>
  <c r="E77" i="3"/>
  <c r="H77" i="3" s="1"/>
  <c r="L75" i="3"/>
  <c r="D75" i="3"/>
  <c r="A4" i="3"/>
  <c r="E83" i="3"/>
  <c r="H83" i="3" s="1"/>
  <c r="M77" i="3"/>
  <c r="F17" i="3"/>
  <c r="P17" i="3"/>
  <c r="AW44" i="1"/>
  <c r="BJ56" i="1"/>
  <c r="BL56" i="1" s="1"/>
  <c r="BK56" i="1"/>
  <c r="BM56" i="1" s="1"/>
  <c r="BJ42" i="1"/>
  <c r="BL42" i="1" s="1"/>
  <c r="BK42" i="1"/>
  <c r="BM42" i="1" s="1"/>
  <c r="BJ44" i="1"/>
  <c r="BL44" i="1" s="1"/>
  <c r="BK44" i="1"/>
  <c r="BM44" i="1" s="1"/>
  <c r="AW46" i="1"/>
  <c r="AY46" i="1"/>
  <c r="AX46" i="1"/>
  <c r="BK23" i="1"/>
  <c r="BM23" i="1" s="1"/>
  <c r="Q27" i="3" s="1"/>
  <c r="BJ23" i="1"/>
  <c r="BL23" i="1" s="1"/>
  <c r="C68" i="3"/>
  <c r="BL8" i="1"/>
  <c r="E80" i="3"/>
  <c r="F13" i="3"/>
  <c r="P13" i="3"/>
  <c r="BK54" i="1"/>
  <c r="BM54" i="1" s="1"/>
  <c r="BJ54" i="1"/>
  <c r="BL54" i="1" s="1"/>
  <c r="BJ59" i="1"/>
  <c r="BL59" i="1" s="1"/>
  <c r="BK59" i="1"/>
  <c r="BM59" i="1" s="1"/>
  <c r="BJ55" i="1"/>
  <c r="BL55" i="1" s="1"/>
  <c r="BK55" i="1"/>
  <c r="BM55" i="1" s="1"/>
  <c r="BK39" i="1"/>
  <c r="BM39" i="1" s="1"/>
  <c r="BJ39" i="1"/>
  <c r="BL39" i="1" s="1"/>
  <c r="BK38" i="1"/>
  <c r="BM38" i="1" s="1"/>
  <c r="BJ38" i="1"/>
  <c r="BL38" i="1" s="1"/>
  <c r="I38" i="1"/>
  <c r="AR38" i="1" s="1"/>
  <c r="BM28" i="1"/>
  <c r="C66" i="3"/>
  <c r="BL6" i="1"/>
  <c r="E89" i="3"/>
  <c r="AY20" i="1"/>
  <c r="AX20" i="1"/>
  <c r="AW20" i="1"/>
  <c r="BK19" i="1"/>
  <c r="BM19" i="1" s="1"/>
  <c r="Q23" i="3" s="1"/>
  <c r="BJ19" i="1"/>
  <c r="BL19" i="1" s="1"/>
  <c r="B65" i="3"/>
  <c r="I5" i="1"/>
  <c r="AR5" i="1" s="1"/>
  <c r="A89" i="3"/>
  <c r="N75" i="3"/>
  <c r="P83" i="3"/>
  <c r="P74" i="3"/>
  <c r="AW63" i="1"/>
  <c r="AX63" i="1"/>
  <c r="AY63" i="1"/>
  <c r="BJ62" i="1"/>
  <c r="BL62" i="1" s="1"/>
  <c r="BK62" i="1"/>
  <c r="BM62" i="1" s="1"/>
  <c r="AY52" i="1"/>
  <c r="AX52" i="1"/>
  <c r="AW52" i="1"/>
  <c r="BK26" i="1"/>
  <c r="BM26" i="1" s="1"/>
  <c r="BJ26" i="1"/>
  <c r="BL26" i="1" s="1"/>
  <c r="S16" i="3"/>
  <c r="AA16" i="3"/>
  <c r="Y16" i="3"/>
  <c r="O16" i="3"/>
  <c r="B16" i="3"/>
  <c r="A72" i="3"/>
  <c r="V16" i="3"/>
  <c r="J72" i="3"/>
  <c r="E79" i="3"/>
  <c r="BK36" i="1"/>
  <c r="BM36" i="1" s="1"/>
  <c r="BJ36" i="1"/>
  <c r="BL36" i="1" s="1"/>
  <c r="AX29" i="1"/>
  <c r="AW29" i="1"/>
  <c r="AY29" i="1"/>
  <c r="B73" i="3"/>
  <c r="I13" i="1"/>
  <c r="AR13" i="1" s="1"/>
  <c r="B64" i="3"/>
  <c r="I4" i="1"/>
  <c r="AR4" i="1" s="1"/>
  <c r="BL22" i="1"/>
  <c r="AY19" i="1"/>
  <c r="AX19" i="1"/>
  <c r="AW19" i="1"/>
  <c r="B70" i="3"/>
  <c r="I10" i="1"/>
  <c r="AR10" i="1" s="1"/>
  <c r="I14" i="1"/>
  <c r="AR14" i="1" s="1"/>
  <c r="M17" i="3"/>
  <c r="BM6" i="1"/>
  <c r="BM21" i="1"/>
  <c r="Q25" i="3" s="1"/>
  <c r="P19" i="3"/>
  <c r="F19" i="3"/>
  <c r="N77" i="3"/>
  <c r="M75" i="3"/>
  <c r="F77" i="3"/>
  <c r="C74" i="3"/>
  <c r="D74" i="3"/>
  <c r="E74" i="3"/>
  <c r="H74" i="3" s="1"/>
  <c r="B77" i="3"/>
  <c r="I35" i="1"/>
  <c r="AR35" i="1" s="1"/>
  <c r="BM35" i="1"/>
  <c r="I58" i="1"/>
  <c r="AR58" i="1" s="1"/>
  <c r="AY60" i="1"/>
  <c r="AX60" i="1"/>
  <c r="AW60" i="1"/>
  <c r="BL35" i="1"/>
  <c r="BK27" i="1"/>
  <c r="BM27" i="1" s="1"/>
  <c r="BJ27" i="1"/>
  <c r="BL27" i="1" s="1"/>
  <c r="I27" i="1"/>
  <c r="AR27" i="1" s="1"/>
  <c r="AW22" i="1"/>
  <c r="AY22" i="1"/>
  <c r="AX22" i="1"/>
  <c r="Y18" i="3"/>
  <c r="V18" i="3"/>
  <c r="AA18" i="3"/>
  <c r="B18" i="3"/>
  <c r="O18" i="3"/>
  <c r="P12" i="3"/>
  <c r="F12" i="3"/>
  <c r="BK12" i="1"/>
  <c r="BM12" i="1" s="1"/>
  <c r="BJ12" i="1"/>
  <c r="BL12" i="1" s="1"/>
  <c r="AB16" i="3" s="1"/>
  <c r="F16" i="3"/>
  <c r="P16" i="3"/>
  <c r="I12" i="1"/>
  <c r="BM22" i="1"/>
  <c r="Q26" i="3" s="1"/>
  <c r="F22" i="3"/>
  <c r="P22" i="3"/>
  <c r="D69" i="3"/>
  <c r="BM9" i="1"/>
  <c r="M16" i="3"/>
  <c r="K74" i="3"/>
  <c r="Q74" i="3" s="1"/>
  <c r="P77" i="3"/>
  <c r="M74" i="3"/>
  <c r="N74" i="3"/>
  <c r="O74" i="3"/>
  <c r="L77" i="3"/>
  <c r="B83" i="3"/>
  <c r="BK57" i="1"/>
  <c r="BM57" i="1" s="1"/>
  <c r="BJ57" i="1"/>
  <c r="BL57" i="1" s="1"/>
  <c r="BK53" i="1"/>
  <c r="BM53" i="1" s="1"/>
  <c r="BJ53" i="1"/>
  <c r="BL53" i="1" s="1"/>
  <c r="I53" i="1"/>
  <c r="AR53" i="1" s="1"/>
  <c r="BK51" i="1"/>
  <c r="BM51" i="1" s="1"/>
  <c r="BJ51" i="1"/>
  <c r="BL51" i="1" s="1"/>
  <c r="BM63" i="1"/>
  <c r="I57" i="1"/>
  <c r="AR57" i="1" s="1"/>
  <c r="AY54" i="1"/>
  <c r="AX54" i="1"/>
  <c r="AW54" i="1"/>
  <c r="BM48" i="1"/>
  <c r="AY21" i="1"/>
  <c r="AX21" i="1"/>
  <c r="AW21" i="1"/>
  <c r="F20" i="3"/>
  <c r="P20" i="3"/>
  <c r="I42" i="1"/>
  <c r="AR42" i="1" s="1"/>
  <c r="BK11" i="1"/>
  <c r="BJ11" i="1"/>
  <c r="E81" i="3" s="1"/>
  <c r="H81" i="3" s="1"/>
  <c r="BK10" i="1"/>
  <c r="BJ10" i="1"/>
  <c r="BL21" i="1"/>
  <c r="AW37" i="1"/>
  <c r="AY37" i="1"/>
  <c r="AX37" i="1"/>
  <c r="BK17" i="1"/>
  <c r="BM17" i="1" s="1"/>
  <c r="BJ17" i="1"/>
  <c r="BL17" i="1" s="1"/>
  <c r="AB21" i="3" s="1"/>
  <c r="D67" i="3"/>
  <c r="BM7" i="1"/>
  <c r="F15" i="3"/>
  <c r="P15" i="3"/>
  <c r="D64" i="3"/>
  <c r="BM4" i="1"/>
  <c r="F74" i="3" s="1"/>
  <c r="B81" i="3"/>
  <c r="E75" i="3"/>
  <c r="H75" i="3" s="1"/>
  <c r="K77" i="3"/>
  <c r="Q77" i="3" s="1"/>
  <c r="L83" i="3"/>
  <c r="AY61" i="1"/>
  <c r="AX61" i="1"/>
  <c r="AW61" i="1"/>
  <c r="I56" i="1"/>
  <c r="AR56" i="1" s="1"/>
  <c r="AY34" i="1"/>
  <c r="AX34" i="1"/>
  <c r="AW34" i="1"/>
  <c r="BL61" i="1"/>
  <c r="BL48" i="1"/>
  <c r="BK15" i="1"/>
  <c r="BM15" i="1" s="1"/>
  <c r="BJ15" i="1"/>
  <c r="BL15" i="1" s="1"/>
  <c r="AB19" i="3" s="1"/>
  <c r="I36" i="1"/>
  <c r="AR36" i="1" s="1"/>
  <c r="AX28" i="1"/>
  <c r="AW28" i="1"/>
  <c r="AY28" i="1"/>
  <c r="B69" i="3"/>
  <c r="I9" i="1"/>
  <c r="AR9" i="1" s="1"/>
  <c r="BL34" i="1"/>
  <c r="BK18" i="1"/>
  <c r="BM18" i="1" s="1"/>
  <c r="BJ18" i="1"/>
  <c r="BL18" i="1" s="1"/>
  <c r="AB22" i="3" s="1"/>
  <c r="AA19" i="3"/>
  <c r="O19" i="3"/>
  <c r="B19" i="3"/>
  <c r="Y19" i="3"/>
  <c r="V19" i="3"/>
  <c r="F11" i="3"/>
  <c r="P11" i="3"/>
  <c r="M14" i="3"/>
  <c r="I16" i="1"/>
  <c r="AR16" i="1" s="1"/>
  <c r="C64" i="3"/>
  <c r="BL4" i="1"/>
  <c r="D77" i="3"/>
  <c r="L81" i="3"/>
  <c r="P75" i="3"/>
  <c r="P81" i="3"/>
  <c r="K81" i="3"/>
  <c r="Q81" i="3" s="1"/>
  <c r="C65" i="3"/>
  <c r="BL5" i="1"/>
  <c r="BK50" i="1"/>
  <c r="BM50" i="1" s="1"/>
  <c r="BJ50" i="1"/>
  <c r="BL50" i="1" s="1"/>
  <c r="BK32" i="1"/>
  <c r="BM32" i="1" s="1"/>
  <c r="BJ32" i="1"/>
  <c r="BL32" i="1" s="1"/>
  <c r="BK31" i="1"/>
  <c r="BM31" i="1" s="1"/>
  <c r="BJ31" i="1"/>
  <c r="BL31" i="1" s="1"/>
  <c r="BM61" i="1"/>
  <c r="S17" i="3"/>
  <c r="AA17" i="3"/>
  <c r="Y17" i="3"/>
  <c r="O17" i="3"/>
  <c r="J73" i="3"/>
  <c r="A73" i="3"/>
  <c r="B17" i="3"/>
  <c r="V17" i="3"/>
  <c r="F18" i="3"/>
  <c r="P18" i="3"/>
  <c r="B68" i="3"/>
  <c r="I8" i="1"/>
  <c r="AR8" i="1" s="1"/>
  <c r="BM34" i="1"/>
  <c r="BL29" i="1"/>
  <c r="A79" i="3"/>
  <c r="BL7" i="1"/>
  <c r="B75" i="3"/>
  <c r="B74" i="3"/>
  <c r="D83" i="3"/>
  <c r="C81" i="3"/>
  <c r="D81" i="3"/>
  <c r="O81" i="3"/>
  <c r="K75" i="3"/>
  <c r="Q75" i="3" s="1"/>
  <c r="C83" i="3"/>
  <c r="D65" i="3"/>
  <c r="BM5" i="1"/>
  <c r="F75" i="3" s="1"/>
  <c r="G75" i="3" s="1"/>
  <c r="G77" i="3" l="1"/>
  <c r="AW39" i="1"/>
  <c r="O75" i="3"/>
  <c r="AX39" i="1"/>
  <c r="O83" i="3"/>
  <c r="AX44" i="1"/>
  <c r="O77" i="3"/>
  <c r="AY26" i="1"/>
  <c r="AC19" i="3"/>
  <c r="Q19" i="3"/>
  <c r="AC21" i="3"/>
  <c r="Q21" i="3"/>
  <c r="D71" i="3"/>
  <c r="BM11" i="1"/>
  <c r="F81" i="3" s="1"/>
  <c r="G81" i="3" s="1"/>
  <c r="AX27" i="1"/>
  <c r="AW27" i="1"/>
  <c r="AY27" i="1"/>
  <c r="AW4" i="1"/>
  <c r="AY4" i="1"/>
  <c r="AX4" i="1"/>
  <c r="AW6" i="1"/>
  <c r="AY6" i="1"/>
  <c r="AX6" i="1"/>
  <c r="AY18" i="1"/>
  <c r="AX18" i="1"/>
  <c r="AW18" i="1"/>
  <c r="AW36" i="1"/>
  <c r="AY36" i="1"/>
  <c r="AX36" i="1"/>
  <c r="AW56" i="1"/>
  <c r="AX56" i="1"/>
  <c r="AY56" i="1"/>
  <c r="AX8" i="1"/>
  <c r="AW8" i="1"/>
  <c r="AY8" i="1"/>
  <c r="AC22" i="3"/>
  <c r="Q22" i="3"/>
  <c r="AX9" i="1"/>
  <c r="AW9" i="1"/>
  <c r="AY9" i="1"/>
  <c r="O89" i="3" a="1"/>
  <c r="O80" i="3" a="1"/>
  <c r="F64" i="3"/>
  <c r="Q8" i="3"/>
  <c r="AC8" i="3"/>
  <c r="AW42" i="1"/>
  <c r="AX42" i="1"/>
  <c r="AY42" i="1"/>
  <c r="AY12" i="1"/>
  <c r="AX12" i="1"/>
  <c r="AW12" i="1"/>
  <c r="AY14" i="1"/>
  <c r="AX14" i="1"/>
  <c r="AW14" i="1"/>
  <c r="AX5" i="1"/>
  <c r="AW5" i="1"/>
  <c r="AY5" i="1"/>
  <c r="E66" i="3"/>
  <c r="H66" i="3" s="1"/>
  <c r="AB10" i="3"/>
  <c r="AC20" i="3"/>
  <c r="Q20" i="3"/>
  <c r="AY11" i="1"/>
  <c r="AX11" i="1"/>
  <c r="AW11" i="1"/>
  <c r="C73" i="3"/>
  <c r="BL13" i="1"/>
  <c r="AY16" i="1"/>
  <c r="AX16" i="1"/>
  <c r="AW16" i="1"/>
  <c r="E65" i="3"/>
  <c r="H65" i="3" s="1"/>
  <c r="AB9" i="3"/>
  <c r="AY58" i="1"/>
  <c r="AX58" i="1"/>
  <c r="AW58" i="1"/>
  <c r="AY10" i="1"/>
  <c r="AX10" i="1"/>
  <c r="AW10" i="1"/>
  <c r="AY13" i="1"/>
  <c r="AX13" i="1"/>
  <c r="AW13" i="1"/>
  <c r="E68" i="3"/>
  <c r="H68" i="3" s="1"/>
  <c r="AB12" i="3"/>
  <c r="D73" i="3"/>
  <c r="BM13" i="1"/>
  <c r="F83" i="3" s="1"/>
  <c r="G83" i="3" s="1"/>
  <c r="F65" i="3"/>
  <c r="AC9" i="3"/>
  <c r="Q9" i="3"/>
  <c r="AB11" i="3"/>
  <c r="E67" i="3"/>
  <c r="H67" i="3" s="1"/>
  <c r="E64" i="3"/>
  <c r="H64" i="3" s="1"/>
  <c r="AB8" i="3"/>
  <c r="AX57" i="1"/>
  <c r="AY57" i="1"/>
  <c r="AW57" i="1"/>
  <c r="AC18" i="3"/>
  <c r="Q18" i="3"/>
  <c r="F69" i="3"/>
  <c r="G69" i="3" s="1"/>
  <c r="AC13" i="3"/>
  <c r="Q13" i="3"/>
  <c r="AX35" i="1"/>
  <c r="AW35" i="1"/>
  <c r="AY35" i="1"/>
  <c r="AW38" i="1"/>
  <c r="AY38" i="1"/>
  <c r="AX38" i="1"/>
  <c r="AW7" i="1"/>
  <c r="AY7" i="1"/>
  <c r="AX7" i="1"/>
  <c r="Z21" i="3"/>
  <c r="J21" i="3"/>
  <c r="AC11" i="3"/>
  <c r="F67" i="3"/>
  <c r="G67" i="3" s="1"/>
  <c r="Q11" i="3"/>
  <c r="C70" i="3"/>
  <c r="BL10" i="1"/>
  <c r="Q16" i="3"/>
  <c r="AC16" i="3"/>
  <c r="G74" i="3"/>
  <c r="D70" i="3"/>
  <c r="BM10" i="1"/>
  <c r="I4" i="3" s="1"/>
  <c r="C71" i="3"/>
  <c r="BL11" i="1"/>
  <c r="AX53" i="1"/>
  <c r="AW53" i="1"/>
  <c r="AY53" i="1"/>
  <c r="Q10" i="3"/>
  <c r="F66" i="3"/>
  <c r="AC10" i="3"/>
  <c r="AX24" i="1"/>
  <c r="AW24" i="1"/>
  <c r="AY24" i="1"/>
  <c r="Z19" i="3"/>
  <c r="J19" i="3"/>
  <c r="C88" i="3" l="1"/>
  <c r="O88" i="3" a="1"/>
  <c r="O88" i="3" s="1"/>
  <c r="O79" i="3" a="1"/>
  <c r="O79" i="3" s="1"/>
  <c r="O80" i="3"/>
  <c r="C80" i="3"/>
  <c r="O89" i="3"/>
  <c r="C89" i="3"/>
  <c r="G68" i="3"/>
  <c r="C79" i="3"/>
  <c r="Z17" i="3"/>
  <c r="J17" i="3"/>
  <c r="Z15" i="3"/>
  <c r="J15" i="3"/>
  <c r="J9" i="3"/>
  <c r="Z9" i="3"/>
  <c r="J13" i="3"/>
  <c r="Z13" i="3"/>
  <c r="Q15" i="3"/>
  <c r="F71" i="3"/>
  <c r="AC15" i="3"/>
  <c r="Z10" i="3"/>
  <c r="J10" i="3"/>
  <c r="E73" i="3"/>
  <c r="H73" i="3" s="1"/>
  <c r="AB17" i="3"/>
  <c r="G66" i="3"/>
  <c r="F70" i="3"/>
  <c r="AC14" i="3"/>
  <c r="Q14" i="3"/>
  <c r="J18" i="3"/>
  <c r="Z18" i="3"/>
  <c r="Z14" i="3"/>
  <c r="J14" i="3"/>
  <c r="E71" i="3"/>
  <c r="H71" i="3" s="1"/>
  <c r="AB15" i="3"/>
  <c r="E70" i="3"/>
  <c r="H70" i="3" s="1"/>
  <c r="AB14" i="3"/>
  <c r="F73" i="3"/>
  <c r="AC17" i="3"/>
  <c r="Q17" i="3"/>
  <c r="G65" i="3"/>
  <c r="J20" i="3"/>
  <c r="Z20" i="3"/>
  <c r="J11" i="3"/>
  <c r="Z11" i="3"/>
  <c r="Z16" i="3"/>
  <c r="J16" i="3"/>
  <c r="G64" i="3"/>
  <c r="Z12" i="3"/>
  <c r="J12" i="3"/>
  <c r="J22" i="3"/>
  <c r="Z22" i="3"/>
  <c r="M89" i="3" a="1"/>
  <c r="M89" i="3" s="1"/>
  <c r="M80" i="3"/>
  <c r="G4" i="3"/>
  <c r="M88" i="3" a="1"/>
  <c r="M88" i="3" s="1"/>
  <c r="M79" i="3" a="1"/>
  <c r="M79" i="3" s="1"/>
  <c r="Z8" i="3"/>
  <c r="G73" i="3" l="1"/>
  <c r="G71"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5000000}">
      <text>
        <r>
          <rPr>
            <sz val="10"/>
            <rFont val="Arial"/>
            <family val="2"/>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10000000}">
      <text>
        <r>
          <rPr>
            <sz val="10"/>
            <rFont val="Arial"/>
            <family val="2"/>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11000000}">
      <text>
        <r>
          <rPr>
            <sz val="10"/>
            <rFont val="Arial"/>
            <family val="2"/>
          </rPr>
          <t>Old: 0.5 → New: 0.72
[R1 Glassdoor] Ajuste framework: usar rating_Glassdoor/5. VEEV 3.6/5 = 0.72. Fuente: Glassdoor 1,507 reviews.
— Audit 2026-04-18 (ajuste framework)</t>
        </r>
      </text>
    </comment>
    <comment ref="U4" authorId="0" shapeId="0" xr:uid="{00000000-0006-0000-0000-000032000000}">
      <text>
        <r>
          <rPr>
            <sz val="10"/>
            <rFont val="Arial"/>
            <family val="2"/>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3E000000}">
      <text>
        <r>
          <rPr>
            <sz val="10"/>
            <rFont val="Arial"/>
            <family val="2"/>
          </rPr>
          <t>Old: 10 → New: 8
[R2 Customers] Calidad de clientes excelente (big pharma, top 20 farmacéuticas) pero 28% revenue en top 10 cuenta aquí. 10/10 solo si concentración baja.
— Audit 2026-04-18</t>
        </r>
      </text>
    </comment>
    <comment ref="Y4" authorId="0" shapeId="0" xr:uid="{00000000-0006-0000-0000-00003F000000}">
      <text>
        <r>
          <rPr>
            <sz val="10"/>
            <rFont val="Arial"/>
            <family val="2"/>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43000000}">
      <text>
        <r>
          <rPr>
            <sz val="10"/>
            <rFont val="Arial"/>
            <family val="2"/>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44000000}">
      <text>
        <r>
          <rPr>
            <sz val="10"/>
            <rFont val="Arial"/>
            <family val="2"/>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53000000}">
      <text>
        <r>
          <rPr>
            <sz val="10"/>
            <rFont val="Arial"/>
            <family val="2"/>
          </rPr>
          <t>Old: 15 → New: 14
[R3 Durability] Top-tier pero no perfecto. Vault CRM propia desde 2025, aún en primera ola productiva. 14/15 prudente hasta ver madurez multi-año.
— Audit 2026-04-18</t>
        </r>
      </text>
    </comment>
    <comment ref="AI4" authorId="0" shapeId="0" xr:uid="{00000000-0006-0000-0000-00005A000000}">
      <text>
        <r>
          <rPr>
            <sz val="10"/>
            <rFont val="Arial"/>
            <family val="2"/>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5B000000}">
      <text>
        <r>
          <rPr>
            <sz val="10"/>
            <rFont val="Arial"/>
            <family val="2"/>
          </rPr>
          <t>Old: 15 → New: 14
[R3 MOAT Structural] Ancho y duradero pero Salesforce es ataque estructural, no táctico. 14/15 refleja esto.
— Audit 2026-04-18</t>
        </r>
      </text>
    </comment>
    <comment ref="AK4" authorId="0" shapeId="0" xr:uid="{00000000-0006-0000-0000-000061000000}">
      <text>
        <r>
          <rPr>
            <sz val="10"/>
            <rFont val="Arial"/>
            <family val="2"/>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12000000}">
      <text>
        <r>
          <rPr>
            <sz val="10"/>
            <rFont val="Arial"/>
            <family val="2"/>
          </rPr>
          <t>Old: 0.5 → New: 0.8
[R1 Glassdoor] Ajuste framework: rating/5. MSFT 4.0/5 = 0.80. Fuente: Glassdoor 67K reviews, 78% recommend, 78% CEO approval.
— Audit 2026-04-18 (ajuste framework)</t>
        </r>
      </text>
    </comment>
    <comment ref="P5" authorId="0" shapeId="0" xr:uid="{00000000-0006-0000-0000-000025000000}">
      <text>
        <r>
          <rPr>
            <sz val="10"/>
            <rFont val="Arial"/>
            <family val="2"/>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2D000000}">
      <text>
        <r>
          <rPr>
            <sz val="10"/>
            <rFont val="Arial"/>
            <family val="2"/>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45000000}">
      <text>
        <r>
          <rPr>
            <sz val="10"/>
            <rFont val="Arial"/>
            <family val="2"/>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54000000}">
      <text>
        <r>
          <rPr>
            <sz val="10"/>
            <rFont val="Arial"/>
            <family val="2"/>
          </rPr>
          <t>Old: 15 → New: 14
[R3 Durability] Windows + Office ecosystem muy duraderos pero AI-native disruption (Anthropic, Google DeepMind, Perplexity) puede erosionar moat de productividad. 14/15.
— Audit 2026-04-18</t>
        </r>
      </text>
    </comment>
    <comment ref="AF5" authorId="0" shapeId="0" xr:uid="{00000000-0006-0000-0000-000058000000}">
      <text>
        <r>
          <rPr>
            <sz val="10"/>
            <rFont val="Arial"/>
            <family val="2"/>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5C000000}">
      <text>
        <r>
          <rPr>
            <sz val="10"/>
            <rFont val="Arial"/>
            <family val="2"/>
          </rPr>
          <t>Old: 14 → New: 13
[R3 MOAT Structural] Sigue ancho pero AI erosiona switching costs en productivity suite. Ya hay alternativas Copilot-grade fuera del ecosistema MSFT. 13/15.
— Audit 2026-04-18</t>
        </r>
      </text>
    </comment>
    <comment ref="AK5" authorId="0" shapeId="0" xr:uid="{00000000-0006-0000-0000-000062000000}">
      <text>
        <r>
          <rPr>
            <sz val="10"/>
            <rFont val="Arial"/>
            <family val="2"/>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06000000}">
      <text>
        <r>
          <rPr>
            <sz val="10"/>
            <rFont val="Arial"/>
            <family val="2"/>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3000000}">
      <text>
        <r>
          <rPr>
            <sz val="10"/>
            <rFont val="Arial"/>
            <family val="2"/>
          </rPr>
          <t>Old: 0.5 → New: 0.74
[R1 Glassdoor] Ajuste framework: rating/5. ADYEN 3.7/5 = 0.74. Fuente: Glassdoor 894 reviews, 74% recommend.
— Audit 2026-04-18 (ajuste framework)</t>
        </r>
      </text>
    </comment>
    <comment ref="T6" authorId="0" shapeId="0" xr:uid="{00000000-0006-0000-0000-00002E000000}">
      <text>
        <r>
          <rPr>
            <sz val="10"/>
            <rFont val="Arial"/>
            <family val="2"/>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35000000}">
      <text>
        <r>
          <rPr>
            <sz val="10"/>
            <rFont val="Arial"/>
            <family val="2"/>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40000000}">
      <text>
        <r>
          <rPr>
            <sz val="10"/>
            <rFont val="Arial"/>
            <family val="2"/>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46000000}">
      <text>
        <r>
          <rPr>
            <sz val="10"/>
            <rFont val="Arial"/>
            <family val="2"/>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55000000}">
      <text>
        <r>
          <rPr>
            <sz val="10"/>
            <rFont val="Arial"/>
            <family val="2"/>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63000000}">
      <text>
        <r>
          <rPr>
            <sz val="10"/>
            <rFont val="Arial"/>
            <family val="2"/>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0F000000}">
      <text>
        <r>
          <rPr>
            <sz val="10"/>
            <rFont val="Arial"/>
            <family val="2"/>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4000000}">
      <text>
        <r>
          <rPr>
            <sz val="10"/>
            <rFont val="Arial"/>
            <family val="2"/>
          </rPr>
          <t>Old: -0.5 → New: 0.66
[R1 Glassdoor] Ajuste framework: rating/5. BN 3.3/5 = 0.66. Fuente: Glassdoor 571 reviews.
— Audit 2026-04-18 (ajuste framework)</t>
        </r>
      </text>
    </comment>
    <comment ref="P7" authorId="0" shapeId="0" xr:uid="{00000000-0006-0000-0000-000026000000}">
      <text>
        <r>
          <rPr>
            <sz val="10"/>
            <rFont val="Arial"/>
            <family val="2"/>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F000000}">
      <text>
        <r>
          <rPr>
            <sz val="10"/>
            <rFont val="Arial"/>
            <family val="2"/>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41000000}">
      <text>
        <r>
          <rPr>
            <sz val="10"/>
            <rFont val="Arial"/>
            <family val="2"/>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47000000}">
      <text>
        <r>
          <rPr>
            <sz val="10"/>
            <rFont val="Arial"/>
            <family val="2"/>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56000000}">
      <text>
        <r>
          <rPr>
            <sz val="10"/>
            <rFont val="Arial"/>
            <family val="2"/>
          </rPr>
          <t>Old: 15 → New: 14
[R3 Durability] Compounder histórico real (20y IRR 16%, 10y 17%, 5y 22% per Flatt) pero el office miss demuestra que no es invulnerable. 14/15.
— Audit 2026-04-18</t>
        </r>
      </text>
    </comment>
    <comment ref="AK7" authorId="0" shapeId="0" xr:uid="{00000000-0006-0000-0000-000064000000}">
      <text>
        <r>
          <rPr>
            <sz val="10"/>
            <rFont val="Arial"/>
            <family val="2"/>
          </rPr>
          <t>Old: -4 → New: -5
[R3 Terminal Risk] Office RE + insurance leverage tail risk + private credit bubble potencial. Terminal muy improbable pero tail risk justifica -5 vs -4.
— Audit 2026-04-18</t>
        </r>
      </text>
    </comment>
    <comment ref="O8" authorId="0" shapeId="0" xr:uid="{00000000-0006-0000-0000-000015000000}">
      <text>
        <r>
          <rPr>
            <sz val="10"/>
            <rFont val="Arial"/>
            <family val="2"/>
          </rPr>
          <t>Old: 1 → New: 0.78
[R1 Glassdoor] 3.9/5 con 72% recommend, 68% outlook positivo (18,552 reviews). Compensation 4.2/5 (uno de los mejores). WLB 3.3, culture 3.6. Aplicar fórmula: 3.9/5 = 0.78.
— Audit 2026-04-18</t>
        </r>
      </text>
    </comment>
    <comment ref="AA8" authorId="0" shapeId="0" xr:uid="{00000000-0006-0000-0000-000048000000}">
      <text>
        <r>
          <rPr>
            <sz val="10"/>
            <rFont val="Arial"/>
            <family val="2"/>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65000000}">
      <text>
        <r>
          <rPr>
            <sz val="10"/>
            <rFont val="Arial"/>
            <family val="2"/>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16000000}">
      <text>
        <r>
          <rPr>
            <sz val="10"/>
            <rFont val="Arial"/>
            <family val="2"/>
          </rPr>
          <t>Old: 1 → New: 0.8
Glassdoor 4.0/5 → 0.80 (formula rating/5). 85% recommend, WLB 4.2. Source: Glassdoor Descartes Systems reviews.</t>
        </r>
      </text>
    </comment>
    <comment ref="P9" authorId="1" shapeId="0" xr:uid="{00000000-0006-0000-0000-000027000000}">
      <text>
        <r>
          <rPr>
            <sz val="10"/>
            <rFont val="Arial"/>
            <family val="2"/>
          </rPr>
          <t>Old: 0 → New: 0.5
Ed Ryan CEO desde 2013. Ejecutor sólido pero no top-tier (vs. Nadella/Flatt). Entrega M&amp;A disciplinada (8 adq. desde FY25) + márgenes 46% EBITDA. Source: DSGX FY26 earnings release.</t>
        </r>
      </text>
    </comment>
    <comment ref="V9" authorId="1" shapeId="0" xr:uid="{00000000-0006-0000-0000-000036000000}">
      <text>
        <r>
          <rPr>
            <sz val="10"/>
            <rFont val="Arial"/>
            <family val="2"/>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49000000}">
      <text>
        <r>
          <rPr>
            <sz val="10"/>
            <rFont val="Arial"/>
            <family val="2"/>
          </rPr>
          <t>Old: -5 → New: -7
Risks underscored: ejecución M&amp;A (8 adq. recientes), valoración 53x PE/28x EV/EBITDA, y AI/automation podría desintermediar network. Source: DSGX FY26 release + Morningstar.</t>
        </r>
      </text>
    </comment>
    <comment ref="AK9" authorId="1" shapeId="0" xr:uid="{00000000-0006-0000-0000-000066000000}">
      <text>
        <r>
          <rPr>
            <sz val="10"/>
            <rFont val="Arial"/>
            <family val="2"/>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17000000}">
      <text>
        <r>
          <rPr>
            <sz val="10"/>
            <rFont val="Arial"/>
            <family val="2"/>
          </rPr>
          <t>Old: 1 → New: 0.82
Glassdoor 4.1/5 → 0.82 (formula rating/5). 84% recommend, 4.1 WLB, 4.2 culture. Source: Glassdoor RATIONAL reviews.</t>
        </r>
      </text>
    </comment>
    <comment ref="P10" authorId="1" shapeId="0" xr:uid="{00000000-0006-0000-0000-000028000000}">
      <text>
        <r>
          <rPr>
            <sz val="10"/>
            <rFont val="Arial"/>
            <family val="2"/>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37000000}">
      <text>
        <r>
          <rPr>
            <sz val="10"/>
            <rFont val="Arial"/>
            <family val="2"/>
          </rPr>
          <t>Old: 11 → New: 10
Potential ajustado: FY25 +6% revenue, +8% FX-adj. Asia -11% (China softness material). 50% share combi ovens límite; crecimiento iVario incremental. Source: RATIONAL AG Annual Report FY25.</t>
        </r>
      </text>
    </comment>
    <comment ref="AA10" authorId="1" shapeId="0" xr:uid="{00000000-0006-0000-0000-00004A000000}">
      <text>
        <r>
          <rPr>
            <sz val="10"/>
            <rFont val="Arial"/>
            <family val="2"/>
          </rPr>
          <t>Old: -6 → New: -7
Risks: Asia -11% (China/Japón), exposición cíclica restauración, commodities (acero), costes energía en Alemania. Source: EQS News Q2 2025 + Annual Report.</t>
        </r>
      </text>
    </comment>
    <comment ref="K11" authorId="1" shapeId="0" xr:uid="{00000000-0006-0000-0000-000001000000}">
      <text>
        <r>
          <rPr>
            <sz val="10"/>
            <rFont val="Arial"/>
            <family val="2"/>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18000000}">
      <text>
        <r>
          <rPr>
            <sz val="10"/>
            <rFont val="Arial"/>
            <family val="2"/>
          </rPr>
          <t>Old: 0 → New: 0.72
Glassdoor 3.6/5 → 0.72 (formula rating/5). Nota bajó 5% en 12 meses. Cultura agresiva metrics-driven criticada. WLB 3.3. Source: Glassdoor Zscaler reviews.</t>
        </r>
      </text>
    </comment>
    <comment ref="U11" authorId="1" shapeId="0" xr:uid="{00000000-0006-0000-0000-000033000000}">
      <text>
        <r>
          <rPr>
            <sz val="10"/>
            <rFont val="Arial"/>
            <family val="2"/>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4B000000}">
      <text>
        <r>
          <rPr>
            <sz val="10"/>
            <rFont val="Arial"/>
            <family val="2"/>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5D000000}">
      <text>
        <r>
          <rPr>
            <sz val="10"/>
            <rFont val="Arial"/>
            <family val="2"/>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67000000}">
      <text>
        <r>
          <rPr>
            <sz val="10"/>
            <rFont val="Arial"/>
            <family val="2"/>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19000000}">
      <text>
        <r>
          <rPr>
            <sz val="10"/>
            <rFont val="Arial"/>
            <family val="2"/>
          </rPr>
          <t>Old: 1 → New: 0.82
Glassdoor 4.1/5 → 0.82 (formula). Nintendo of America 4.2/5 = 0.84. Culture 4.2, buena WLB para Japón. Source: Glassdoor Nintendo reviews.</t>
        </r>
      </text>
    </comment>
    <comment ref="P12" authorId="1" shapeId="0" xr:uid="{00000000-0006-0000-0000-000029000000}">
      <text>
        <r>
          <rPr>
            <sz val="10"/>
            <rFont val="Arial"/>
            <family val="2"/>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8000000}">
      <text>
        <r>
          <rPr>
            <sz val="10"/>
            <rFont val="Arial"/>
            <family val="2"/>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4C000000}">
      <text>
        <r>
          <rPr>
            <sz val="10"/>
            <rFont val="Arial"/>
            <family val="2"/>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1A000000}">
      <text>
        <r>
          <rPr>
            <sz val="10"/>
            <rFont val="Arial"/>
            <family val="2"/>
          </rPr>
          <t>Old: 0 → New: 0.72
Glassdoor 3.6/5 → 0.72 (formula). WLB 3.1, culture 3.3, 60% recommend. Reputación dual: tech roles OK, warehouse workers conflict. Source: Glassdoor Amazon reviews (207k reviews).</t>
        </r>
      </text>
    </comment>
    <comment ref="Q13" authorId="1" shapeId="0" xr:uid="{00000000-0006-0000-0000-00002C000000}">
      <text>
        <r>
          <rPr>
            <sz val="10"/>
            <rFont val="Arial"/>
            <family val="2"/>
          </rPr>
          <t>Old: 0 → New: 0.5
Ownership: Bezos retiene ~8.6% stake + Exec Chair activo. Alineación founder aún presente aunque diluida. 0 subestimaba. Adjust 0 → 0.5. Source: AMZN proxy statement 2025.</t>
        </r>
      </text>
    </comment>
    <comment ref="AA13" authorId="1" shapeId="0" xr:uid="{00000000-0006-0000-0000-00004D000000}">
      <text>
        <r>
          <rPr>
            <sz val="10"/>
            <rFont val="Arial"/>
            <family val="2"/>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68000000}">
      <text>
        <r>
          <rPr>
            <sz val="10"/>
            <rFont val="Arial"/>
            <family val="2"/>
          </rPr>
          <t>Old: -4 → New: -5
Terminal risk: antitrust separación estructural + AI eroding AWS competitive edge (hyperscaler arms race, Trainium vs Nvidia incierto). Source: FinancialContent AMZN AI utility + FTC case.</t>
        </r>
      </text>
    </comment>
    <comment ref="L14" authorId="1" shapeId="0" xr:uid="{00000000-0006-0000-0000-000007000000}">
      <text>
        <r>
          <rPr>
            <sz val="10"/>
            <rFont val="Arial"/>
            <family val="2"/>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1B000000}">
      <text>
        <r>
          <rPr>
            <sz val="10"/>
            <rFont val="Arial"/>
            <family val="2"/>
          </rPr>
          <t>Old: 1 → New: 0.84
Glassdoor 4.2/5 → 0.84 (formula). 87% recommend — de los más altos de la watchlist. Source: Glassdoor Schneider Electric.</t>
        </r>
      </text>
    </comment>
    <comment ref="V14" authorId="1" shapeId="0" xr:uid="{00000000-0006-0000-0000-000039000000}">
      <text>
        <r>
          <rPr>
            <sz val="10"/>
            <rFont val="Arial"/>
            <family val="2"/>
          </rPr>
          <t>Old: 14 → New: 15
Potential upgrade: FY25 +8.9% organic, +15% NA, datacenter triple-dígito. Electrification structural 10-20y tailwind. Source: SE FY25 annual results.</t>
        </r>
      </text>
    </comment>
    <comment ref="L15" authorId="1" shapeId="0" xr:uid="{00000000-0006-0000-0000-000008000000}">
      <text>
        <r>
          <rPr>
            <sz val="10"/>
            <rFont val="Arial"/>
            <family val="2"/>
          </rPr>
          <t>Old: 1 → New: 2
Optionality upgrade: online 27% de ventas (€10.7B), Zara Try-on IA en 43 markets, adjacencies (Zara Home, Pull&amp;Bear, Massimo Dutti). Source: ITX FY25 results.</t>
        </r>
      </text>
    </comment>
    <comment ref="O15" authorId="1" shapeId="0" xr:uid="{00000000-0006-0000-0000-00001C000000}">
      <text>
        <r>
          <rPr>
            <sz val="10"/>
            <rFont val="Arial"/>
            <family val="2"/>
          </rPr>
          <t>Old: 0 → New: 0.74
Glassdoor 3.7/5 → 0.74 (formula). 64% recommend. Retail WLB típico pero culture Ortega OK. Source: Glassdoor Inditex.</t>
        </r>
      </text>
    </comment>
    <comment ref="AA15" authorId="1" shapeId="0" xr:uid="{00000000-0006-0000-0000-00004E000000}">
      <text>
        <r>
          <rPr>
            <sz val="10"/>
            <rFont val="Arial"/>
            <family val="2"/>
          </rPr>
          <t>Old: -6 → New: -8
Risks elevados: Shein/Temu Chinese fast fashion ataque real, discrecional consumo, sostenibilidad backlash. Source: ITX FY25 + Modaes takeaways.</t>
        </r>
      </text>
    </comment>
    <comment ref="AK15" authorId="1" shapeId="0" xr:uid="{00000000-0006-0000-0000-000069000000}">
      <text>
        <r>
          <rPr>
            <sz val="10"/>
            <rFont val="Arial"/>
            <family val="2"/>
          </rPr>
          <t>Old: -3 → New: -4
Terminal risk: fast fashion Chinese AI-driven (Shein algorithm + Temu) amenaza estructural 5-10y sobre modelo Zara. Source: industry analysis.</t>
        </r>
      </text>
    </comment>
    <comment ref="L16" authorId="1" shapeId="0" xr:uid="{00000000-0006-0000-0000-000009000000}">
      <text>
        <r>
          <rPr>
            <sz val="10"/>
            <rFont val="Arial"/>
            <family val="2"/>
          </rPr>
          <t>Old: 2 → New: 3
Optionality real demostrada: Nákd, TREK, BEAR (acquisiciones exitosas), Thailand plant (Chonburi), US Mebane expansion. Source: LOTB FY25 press + ESM Magazine.</t>
        </r>
      </text>
    </comment>
    <comment ref="O16" authorId="1" shapeId="0" xr:uid="{00000000-0006-0000-0000-00001D000000}">
      <text>
        <r>
          <rPr>
            <sz val="10"/>
            <rFont val="Arial"/>
            <family val="2"/>
          </rPr>
          <t>Old: 0 → New: 0.76
Glassdoor 3.8/5 → 0.76 (formula). Culture small-company Boone family aligned. Source: Glassdoor Lotus Bakeries.</t>
        </r>
      </text>
    </comment>
    <comment ref="T16" authorId="1" shapeId="0" xr:uid="{00000000-0006-0000-0000-000030000000}">
      <text>
        <r>
          <rPr>
            <sz val="10"/>
            <rFont val="Arial"/>
            <family val="2"/>
          </rPr>
          <t>Old: 15 → New: 16
R2 Fin upgrade: 10% revenue growth 2025 (€1.355B), 20%+ EBITDA margin, net cash strong. Source: LOTB Annual Results 2025.</t>
        </r>
      </text>
    </comment>
    <comment ref="V16" authorId="1" shapeId="0" xr:uid="{00000000-0006-0000-0000-00003A000000}">
      <text>
        <r>
          <rPr>
            <sz val="10"/>
            <rFont val="Arial"/>
            <family val="2"/>
          </rPr>
          <t>Old: 11 → New: 13
Potential upgrade material: US BEAR +17% growth outstanding, Biscoff +13% organic, Thailand plant starting, India potential sin tapar. Source: LOTB FY25 press release.</t>
        </r>
      </text>
    </comment>
    <comment ref="AA16" authorId="1" shapeId="0" xr:uid="{00000000-0006-0000-0000-00004F000000}">
      <text>
        <r>
          <rPr>
            <sz val="10"/>
            <rFont val="Arial"/>
            <family val="2"/>
          </rPr>
          <t>Old: -6 → New: -7
Risks: Biscoff 57% de branded revenue — concentración producto real. Commodity (butter, sugar) exposure. Source: LOTB Annual Report 2025.</t>
        </r>
      </text>
    </comment>
    <comment ref="AG16" authorId="1" shapeId="0" xr:uid="{00000000-0006-0000-0000-000059000000}">
      <text>
        <r>
          <rPr>
            <sz val="10"/>
            <rFont val="Arial"/>
            <family val="2"/>
          </rPr>
          <t>Old: 12 → New: 13
Capital Allocation upgrade: M&amp;A disciplinado (Nákd 2015, TREK 2019, BEAR 2018) todos integrados bien. Source: LOTB track record.</t>
        </r>
      </text>
    </comment>
    <comment ref="L17" authorId="1" shapeId="0" xr:uid="{00000000-0006-0000-0000-00000A000000}">
      <text>
        <r>
          <rPr>
            <sz val="10"/>
            <rFont val="Arial"/>
            <family val="2"/>
          </rPr>
          <t>Old: 2 → New: 3
Optionality upgrade: M&amp;A serial optionality probada, 2 adquisiciones FY26 YTD por £129M (Safetec €73M + Brownline €150M). 40+ companies portfolio. Source: Halma press releases 2025/26.</t>
        </r>
      </text>
    </comment>
    <comment ref="O17" authorId="1" shapeId="0" xr:uid="{00000000-0006-0000-0000-00001E000000}">
      <text>
        <r>
          <rPr>
            <sz val="10"/>
            <rFont val="Arial"/>
            <family val="2"/>
          </rPr>
          <t>Old: 1 → New: 0.86
Glassdoor 4.3/5 → 0.86 (formula). De los más altos del mercado. 4.0 compensation. Source: Glassdoor Halma.</t>
        </r>
      </text>
    </comment>
    <comment ref="P17" authorId="1" shapeId="0" xr:uid="{00000000-0006-0000-0000-00002A000000}">
      <text>
        <r>
          <rPr>
            <sz val="10"/>
            <rFont val="Arial"/>
            <family val="2"/>
          </rPr>
          <t>Old: 0 → New: 1
CORRECCIÓN: Marc Ronchetti CEO desde 2023 ejecutando modelo descentralizado top-tier (47 años consecutivos record profit). Calidad management = 1. Source: Halma FY2024/25.</t>
        </r>
      </text>
    </comment>
    <comment ref="O18" authorId="1" shapeId="0" xr:uid="{00000000-0006-0000-0000-00001F000000}">
      <text>
        <r>
          <rPr>
            <sz val="10"/>
            <rFont val="Arial"/>
            <family val="2"/>
          </rPr>
          <t>Old: 0 → New: 0.78
Glassdoor 3.9/5 → 0.78 (formula). Culture software sólida. Source: Glassdoor FICO.</t>
        </r>
      </text>
    </comment>
    <comment ref="V18" authorId="1" shapeId="0" xr:uid="{00000000-0006-0000-0000-00003B000000}">
      <text>
        <r>
          <rPr>
            <sz val="10"/>
            <rFont val="Arial"/>
            <family val="2"/>
          </rPr>
          <t>Old: 12 → New: 10
Potential DOWNGRADE: FY26 guidance $2.35B vs consensus $2.44B lagged. Pricing hikes ($4.95→$10/score) alcanzaron límite regulatorio. Source: FICO Q1 FY26 + National Mortgage News.</t>
        </r>
      </text>
    </comment>
    <comment ref="AA18" authorId="1" shapeId="0" xr:uid="{00000000-0006-0000-0000-000050000000}">
      <text>
        <r>
          <rPr>
            <sz val="10"/>
            <rFont val="Arial"/>
            <family val="2"/>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7000000}">
      <text>
        <r>
          <rPr>
            <sz val="10"/>
            <rFont val="Arial"/>
            <family val="2"/>
          </rPr>
          <t>Old: 15 → New: 14
Durability ligero ajuste: regulatory reset material posible. Credit scoring sigue siendo core pero monopolio puede ser atacado. Source: DOJ + CFPB scrutiny.</t>
        </r>
      </text>
    </comment>
    <comment ref="AJ18" authorId="1" shapeId="0" xr:uid="{00000000-0006-0000-0000-00005E000000}">
      <text>
        <r>
          <rPr>
            <sz val="10"/>
            <rFont val="Arial"/>
            <family val="2"/>
          </rPr>
          <t>Old: 15 → New: 13
MOAT Structural: VantageScore gaining + AI-based alternative models + DOJ tying probe comprimen dominio 90%+. Source: FinancialContent + Yahoo Finance FICO.</t>
        </r>
      </text>
    </comment>
    <comment ref="AK18" authorId="1" shapeId="0" xr:uid="{00000000-0006-0000-0000-00006A000000}">
      <text>
        <r>
          <rPr>
            <sz val="10"/>
            <rFont val="Arial"/>
            <family val="2"/>
          </rPr>
          <t>Old: -3 → New: -6
Terminal Risk: combinación DOJ antitrust (forced separation potential) + AI alternative scoring multiplies 10y tail risk. Source: Hawley + Ballard Spahr mortgage update.</t>
        </r>
      </text>
    </comment>
    <comment ref="K19" authorId="1" shapeId="0" xr:uid="{00000000-0006-0000-0000-000002000000}">
      <text>
        <r>
          <rPr>
            <sz val="10"/>
            <rFont val="Arial"/>
            <family val="2"/>
          </rPr>
          <t>Old: 6 → New: 7
MOAT upgrade: 275 companies niche leaders (dental + demolition + systems) con moat estructural en cada vertical, similar a Halma. Source: Lifco FY2025 Year-end Report.</t>
        </r>
      </text>
    </comment>
    <comment ref="L19" authorId="1" shapeId="0" xr:uid="{00000000-0006-0000-0000-00000B000000}">
      <text>
        <r>
          <rPr>
            <sz val="10"/>
            <rFont val="Arial"/>
            <family val="2"/>
          </rPr>
          <t>Old: 2 → New: 3
Optionality upgrade: 17 adquisiciones en 2025 (3,913 MSEK EV, ~598 MSEK EBITA added). Serial acquirer model probado. Source: Lifco FY2025 + Substack Compounding Tortoise.</t>
        </r>
      </text>
    </comment>
    <comment ref="O19" authorId="1" shapeId="0" xr:uid="{00000000-0006-0000-0000-000020000000}">
      <text>
        <r>
          <rPr>
            <sz val="10"/>
            <rFont val="Arial"/>
            <family val="2"/>
          </rPr>
          <t>Old: 1 → New: 0.7
Glassdoor 3.5/5 → 0.70 (formula). N=20 reviews Lifco Group (limited sample). Source: Glassdoor.</t>
        </r>
      </text>
    </comment>
    <comment ref="P19" authorId="1" shapeId="0" xr:uid="{00000000-0006-0000-0000-00002B000000}">
      <text>
        <r>
          <rPr>
            <sz val="10"/>
            <rFont val="Arial"/>
            <family val="2"/>
          </rPr>
          <t>Old: 0 → New: 0.5
Per Waldemarson CEO desde 2019 (Fredrik Karlsson salió a fundar Röko 2019). Management sólido pero no star level. Adj 0→0.5. Source: Lifco IR.</t>
        </r>
      </text>
    </comment>
    <comment ref="T19" authorId="1" shapeId="0" xr:uid="{00000000-0006-0000-0000-000031000000}">
      <text>
        <r>
          <rPr>
            <sz val="10"/>
            <rFont val="Arial"/>
            <family val="2"/>
          </rPr>
          <t>Old: 14 → New: 15
R2 Fin upgrade: EBITA margin 22.4% en 2025 (record), FCF sólido, net sales 28.3B SEK. Source: Lifco FY2025 Year-end Report.</t>
        </r>
      </text>
    </comment>
    <comment ref="AA19" authorId="1" shapeId="0" xr:uid="{00000000-0006-0000-0000-000051000000}">
      <text>
        <r>
          <rPr>
            <sz val="10"/>
            <rFont val="Arial"/>
            <family val="2"/>
          </rPr>
          <t>Old: -6 → New: -7
Risks: valoración premium (35x PE), Karlsson departure legacy risk, rate sensitivity M&amp;A. Source: Substack deep dives + Ad-hoc news.</t>
        </r>
      </text>
    </comment>
    <comment ref="AJ19" authorId="1" shapeId="0" xr:uid="{00000000-0006-0000-0000-00005F000000}">
      <text>
        <r>
          <rPr>
            <sz val="10"/>
            <rFont val="Arial"/>
            <family val="2"/>
          </rPr>
          <t>Old: 12 → New: 13
MOAT Structural: 275 companies diversifican, portfolio structural advantage comparable a Halma. Source: Lifco Annual Report.</t>
        </r>
      </text>
    </comment>
    <comment ref="AK19" authorId="1" shapeId="0" xr:uid="{00000000-0006-0000-0000-00006B000000}">
      <text>
        <r>
          <rPr>
            <sz val="10"/>
            <rFont val="Arial"/>
            <family val="2"/>
          </rPr>
          <t>Old: -4 → New: -3
Terminal Risk lower: portfolio 275 companies 37 countries reduce tail risk individual. Adj -4→-3. Source: portfolio analysis.</t>
        </r>
      </text>
    </comment>
    <comment ref="K20" authorId="1" shapeId="0" xr:uid="{00000000-0006-0000-0000-000003000000}">
      <text>
        <r>
          <rPr>
            <sz val="10"/>
            <rFont val="Arial"/>
            <family val="2"/>
          </rPr>
          <t>Old: 6 → New: 7
MOAT upgrade: network effects ticketing (178M tickets 2025, 9B EUR GTV) + promoter relationships (Ocesa, France). European #1. Source: CTS Eventim FY2025.</t>
        </r>
      </text>
    </comment>
    <comment ref="O20" authorId="1" shapeId="0" xr:uid="{00000000-0006-0000-0000-000021000000}">
      <text>
        <r>
          <rPr>
            <sz val="10"/>
            <rFont val="Arial"/>
            <family val="2"/>
          </rPr>
          <t>Old: 0 → New: 0.5
Glassdoor: sin data robusta encontrada; estimación conservadora 0.5. Schulenberg founder culture sólida. Source: conservative estimate.</t>
        </r>
      </text>
    </comment>
    <comment ref="V20" authorId="1" shapeId="0" xr:uid="{00000000-0006-0000-0000-00003C000000}">
      <text>
        <r>
          <rPr>
            <sz val="10"/>
            <rFont val="Arial"/>
            <family val="2"/>
          </rPr>
          <t>Old: 11 → New: 12
Potential upgrade: revenue €3B+ por primera vez (+9.6%), Live Entertainment exceeded €2B. Expansion geográfica ongoing (France, Mexico, Italy). Source: CTS Eventim FY2025 release.</t>
        </r>
      </text>
    </comment>
    <comment ref="L21" authorId="1" shapeId="0" xr:uid="{00000000-0006-0000-0000-00000C000000}">
      <text>
        <r>
          <rPr>
            <sz val="10"/>
            <rFont val="Arial"/>
            <family val="2"/>
          </rPr>
          <t>Old: 1 → New: 2
Optionality upgrade: int'l sales +23% Q3 2025 (43% of total, record). Strategic brands 57 countries. Coke distribution partnership. Source: MNST Q3 2025 + Simply Wall St.</t>
        </r>
      </text>
    </comment>
    <comment ref="O21" authorId="1" shapeId="0" xr:uid="{00000000-0006-0000-0000-000022000000}">
      <text>
        <r>
          <rPr>
            <sz val="10"/>
            <rFont val="Arial"/>
            <family val="2"/>
          </rPr>
          <t>Old: 0 → New: 0.78
Glassdoor 3.9/5 → 0.78 (formula). Culture MAT team energy sólida. Source: Glassdoor Monster Energy.</t>
        </r>
      </text>
    </comment>
    <comment ref="AA21" authorId="1" shapeId="0" xr:uid="{00000000-0006-0000-0000-000052000000}">
      <text>
        <r>
          <rPr>
            <sz val="10"/>
            <rFont val="Arial"/>
            <family val="2"/>
          </rPr>
          <t>Old: -7 → New: -9
Risks aumentados: Celsius (CELH) atacando share (CELH growth &gt;30% YoY), GLP-1 obesidad headwind incierto, private label erosión. Source: MNST 10-K 2025 + industry analysis.</t>
        </r>
      </text>
    </comment>
    <comment ref="AK21" authorId="1" shapeId="0" xr:uid="{00000000-0006-0000-0000-00006C000000}">
      <text>
        <r>
          <rPr>
            <sz val="10"/>
            <rFont val="Arial"/>
            <family val="2"/>
          </rPr>
          <t>Old: -3 → New: -4
Terminal Risk: combinación Celsius attacker + GLP-1 potencial hit energy beverages + Sacks/Schlosberg succession. Source: DCF model MNST + 10-K.</t>
        </r>
      </text>
    </comment>
    <comment ref="K22" authorId="1" shapeId="0" xr:uid="{00000000-0006-0000-0000-000004000000}">
      <text>
        <r>
          <rPr>
            <sz val="10"/>
            <rFont val="Arial"/>
            <family val="2"/>
          </rPr>
          <t>Old: 6 → New: 7
MOAT upgrade: two-sided network efecto real — 5M+ active listings, 2B+ guest arrivals histórico. Barrera entrada masiva. Source: ABNB 10-K 2025.</t>
        </r>
      </text>
    </comment>
    <comment ref="L22" authorId="1" shapeId="0" xr:uid="{00000000-0006-0000-0000-00000D000000}">
      <text>
        <r>
          <rPr>
            <sz val="10"/>
            <rFont val="Arial"/>
            <family val="2"/>
          </rPr>
          <t>Old: 2 → New: 3
Optionality upgrade: Airbnb Services + Experiences (May 2025 launch, ~50% experiences bookings not attached to stay), hoteles boutique (NYC, LA, Madrid, SF). Source: ABNB Q4 2025 release.</t>
        </r>
      </text>
    </comment>
    <comment ref="O22" authorId="1" shapeId="0" xr:uid="{00000000-0006-0000-0000-000023000000}">
      <text>
        <r>
          <rPr>
            <sz val="10"/>
            <rFont val="Arial"/>
            <family val="2"/>
          </rPr>
          <t>Old: 1 → New: 0.82
Glassdoor 4.1/5 → 0.82 (formula). 78% recommend. Compensation 4.2. Source: Glassdoor Airbnb.</t>
        </r>
      </text>
    </comment>
    <comment ref="U22" authorId="1" shapeId="0" xr:uid="{00000000-0006-0000-0000-000034000000}">
      <text>
        <r>
          <rPr>
            <sz val="10"/>
            <rFont val="Arial"/>
            <family val="2"/>
          </rPr>
          <t>Old: 15 → New: 16
R2 MOAT upgrade: network effect más potente de lo reconocido — 5M listings imposibles de replicar, guest data asset. Source: ABNB analysis.</t>
        </r>
      </text>
    </comment>
    <comment ref="V22" authorId="1" shapeId="0" xr:uid="{00000000-0006-0000-0000-00003D000000}">
      <text>
        <r>
          <rPr>
            <sz val="10"/>
            <rFont val="Arial"/>
            <family val="2"/>
          </rPr>
          <t>Old: 13 → New: 14
Potential upgrade: Services + Experiences + hoteles partnerships abren TAM más allá de alquileres corto plazo. Source: ABNB Q4 2025 + Chesky narrativa.</t>
        </r>
      </text>
    </comment>
    <comment ref="Y22" authorId="1" shapeId="0" xr:uid="{00000000-0006-0000-0000-000042000000}">
      <text>
        <r>
          <rPr>
            <sz val="10"/>
            <rFont val="Arial"/>
            <family val="2"/>
          </rPr>
          <t>Old: 11 → New: 12
Mgmt upgrade: Chesky founder-CEO visionario top-tier, managing product-led transformation. Source: Fortune interview + Airbnb exec team.</t>
        </r>
      </text>
    </comment>
    <comment ref="AJ22" authorId="1" shapeId="0" xr:uid="{00000000-0006-0000-0000-000060000000}">
      <text>
        <r>
          <rPr>
            <sz val="10"/>
            <rFont val="Arial"/>
            <family val="2"/>
          </rPr>
          <t>Old: 11 → New: 12
MOAT structural: two-sided network = structural advantage robusto. Source: network effects analysis.</t>
        </r>
      </text>
    </comment>
    <comment ref="L23" authorId="1" shapeId="0" xr:uid="{00000000-0006-0000-0000-00000E000000}">
      <text>
        <r>
          <rPr>
            <sz val="10"/>
            <rFont val="Arial"/>
            <family val="2"/>
          </rPr>
          <t>Old: 1 → New: 2
Optionality: plan doblar stores a 5,000 (desde 2,746 H1 2025). Eastern Poland sin penetrar, land cheap. 20%/año store growth target. Source: DNP H1 2025 + Substack deep dives.</t>
        </r>
      </text>
    </comment>
    <comment ref="O23" authorId="1" shapeId="0" xr:uid="{00000000-0006-0000-0000-000024000000}">
      <text>
        <r>
          <rPr>
            <sz val="10"/>
            <rFont val="Arial"/>
            <family val="2"/>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<sst xmlns="http://schemas.openxmlformats.org/spreadsheetml/2006/main" count="789" uniqueCount="423">
  <si>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</si>
  <si>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</si>
  <si>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</si>
  <si>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</si>
  <si>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</si>
  <si>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</si>
  <si>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</si>
  <si>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</si>
  <si>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</si>
  <si>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</si>
  <si>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</si>
  <si>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</si>
  <si>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</si>
  <si>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</si>
  <si>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</si>
  <si>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</si>
  <si>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</si>
  <si>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</si>
  <si>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</si>
  <si>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</si>
  <si>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</si>
  <si>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</si>
  <si>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</si>
  <si>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</si>
  <si>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</si>
  <si>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</si>
  <si>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</si>
  <si>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</si>
  <si>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</si>
  <si>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</si>
  <si>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</si>
  <si>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</si>
  <si>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</si>
  <si>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</si>
  <si>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</si>
  <si>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</si>
  <si>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</si>
  <si>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</si>
  <si>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</si>
  <si>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</si>
  <si>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</si>
  <si>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</si>
  <si>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</si>
  <si>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</si>
  <si>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</si>
  <si>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</si>
  <si>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</si>
  <si>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</si>
  <si>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</si>
  <si>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</si>
  <si>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</si>
  <si>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</si>
  <si>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</si>
  <si>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</si>
  <si>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</si>
  <si>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</si>
  <si>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</si>
  <si>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</si>
  <si>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</si>
  <si>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</si>
  <si>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</si>
  <si>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</si>
  <si>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</si>
  <si>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</si>
  <si>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</si>
  <si>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</si>
  <si>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</si>
  <si>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</si>
  <si>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</si>
  <si>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</si>
  <si>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</si>
  <si>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</si>
  <si>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Vertical Saas</t>
  </si>
  <si>
    <t>Compounder</t>
  </si>
  <si>
    <t>USD</t>
  </si>
  <si>
    <t>1,616</t>
  </si>
  <si>
    <t>2,737</t>
  </si>
  <si>
    <t>2026-04-26</t>
  </si>
  <si>
    <t>04/03/2026</t>
  </si>
  <si>
    <t>27/05/2026</t>
  </si>
  <si>
    <t>Mag 7</t>
  </si>
  <si>
    <t>102,853</t>
  </si>
  <si>
    <t>153,471</t>
  </si>
  <si>
    <t>28/01/2026</t>
  </si>
  <si>
    <t>29/04/2026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</si>
  <si>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</si>
  <si>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</si>
  <si>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</si>
  <si>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</si>
  <si>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</si>
  <si>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</si>
  <si>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</si>
  <si>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</si>
  <si>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</si>
  <si>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</si>
  <si>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</si>
  <si>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</si>
  <si>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</si>
  <si>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</si>
  <si>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</si>
  <si>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</si>
  <si>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</si>
  <si>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</si>
  <si>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</si>
  <si>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</si>
  <si>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</si>
  <si>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</si>
  <si>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</si>
  <si>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</si>
  <si>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</si>
  <si>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</si>
  <si>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</si>
  <si>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</si>
  <si>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</si>
  <si>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</si>
  <si>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</si>
  <si>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</si>
  <si>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</si>
  <si>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</si>
  <si>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25/03/2026</t>
  </si>
  <si>
    <t>08/05/2026</t>
  </si>
  <si>
    <t>72,933</t>
  </si>
  <si>
    <t>109,218</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</si>
  <si>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</si>
  <si>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</si>
  <si>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</si>
  <si>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</si>
  <si>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</si>
  <si>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</si>
  <si>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</si>
  <si>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</si>
  <si>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</si>
  <si>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</si>
  <si>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</si>
  <si>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</si>
  <si>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</si>
  <si>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</si>
  <si>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</si>
  <si>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</si>
  <si>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</si>
  <si>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</si>
  <si>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</si>
  <si>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</si>
  <si>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28/04/2026</t>
  </si>
  <si>
    <t>Industrial</t>
  </si>
  <si>
    <t>SEK</t>
  </si>
  <si>
    <t>5,330</t>
  </si>
  <si>
    <t>8,331</t>
  </si>
  <si>
    <t>24/04/2026</t>
  </si>
  <si>
    <t>14/07/2026</t>
  </si>
  <si>
    <t>547</t>
  </si>
  <si>
    <t>866</t>
  </si>
  <si>
    <t>2,190</t>
  </si>
  <si>
    <t>3,033</t>
  </si>
  <si>
    <t>07/05/2026</t>
  </si>
  <si>
    <t>5,360</t>
  </si>
  <si>
    <t>8,448</t>
  </si>
  <si>
    <t>PLN</t>
  </si>
  <si>
    <t>1,234</t>
  </si>
  <si>
    <t>2,052</t>
  </si>
  <si>
    <t>1,338</t>
  </si>
  <si>
    <t>1,939</t>
  </si>
  <si>
    <t>03/02/2026</t>
  </si>
  <si>
    <t>1,740</t>
  </si>
  <si>
    <t>2,615</t>
  </si>
  <si>
    <t>27</t>
  </si>
  <si>
    <t>46</t>
  </si>
  <si>
    <t>N/D</t>
  </si>
  <si>
    <t>CHF</t>
  </si>
  <si>
    <t>468</t>
  </si>
  <si>
    <t>735</t>
  </si>
  <si>
    <t>29/04/2025</t>
  </si>
  <si>
    <t>63,814</t>
  </si>
  <si>
    <t>105,017</t>
  </si>
  <si>
    <t>5,891</t>
  </si>
  <si>
    <t>10,451</t>
  </si>
  <si>
    <t>05/05/2026</t>
  </si>
  <si>
    <t>539</t>
  </si>
  <si>
    <t>962</t>
  </si>
  <si>
    <t>10/02/2026</t>
  </si>
  <si>
    <t>2,115</t>
  </si>
  <si>
    <t>3,811</t>
  </si>
  <si>
    <t>03/03/2026</t>
  </si>
  <si>
    <t>09/06/2026</t>
  </si>
  <si>
    <t>95,721</t>
  </si>
  <si>
    <t>150,852</t>
  </si>
  <si>
    <t>04/02/2026</t>
  </si>
  <si>
    <t>5,110</t>
  </si>
  <si>
    <t>7,402</t>
  </si>
  <si>
    <t>22/04/2026</t>
  </si>
  <si>
    <t>16/07/2026</t>
  </si>
  <si>
    <t>Sports</t>
  </si>
  <si>
    <t>1,582</t>
  </si>
  <si>
    <t>2,395</t>
  </si>
  <si>
    <t>18/02/2026</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</si>
  <si>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</si>
  <si>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</si>
  <si>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</si>
  <si>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</si>
  <si>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</si>
  <si>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</si>
  <si>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</si>
  <si>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</si>
  <si>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</si>
  <si>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</si>
  <si>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</si>
  <si>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</si>
  <si>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</si>
  <si>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</si>
  <si>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</si>
  <si>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</si>
  <si>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</si>
  <si>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</si>
  <si>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</si>
  <si>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26/03/2026</t>
  </si>
  <si>
    <t>51,426</t>
  </si>
  <si>
    <t>94,595</t>
  </si>
  <si>
    <t>15/04/2026</t>
  </si>
  <si>
    <t>4,637</t>
  </si>
  <si>
    <t>6,442</t>
  </si>
  <si>
    <t>1,204</t>
  </si>
  <si>
    <t>2,059</t>
  </si>
  <si>
    <t>29/10/2025</t>
  </si>
  <si>
    <t>30/04/2026</t>
  </si>
  <si>
    <t>55</t>
  </si>
  <si>
    <t>77</t>
  </si>
  <si>
    <t>31/03/2026</t>
  </si>
  <si>
    <t>28/08/2026</t>
  </si>
  <si>
    <t>348</t>
  </si>
  <si>
    <t>506</t>
  </si>
  <si>
    <t>03/03/2025</t>
  </si>
  <si>
    <t>1,275</t>
  </si>
  <si>
    <t>1,854</t>
  </si>
  <si>
    <t>23/02/2026</t>
  </si>
  <si>
    <t>27/07/2026</t>
  </si>
  <si>
    <t>Special situation</t>
  </si>
  <si>
    <t>1,435</t>
  </si>
  <si>
    <t>2,094</t>
  </si>
  <si>
    <t>116</t>
  </si>
  <si>
    <t>183</t>
  </si>
  <si>
    <t>210</t>
  </si>
  <si>
    <t>308</t>
  </si>
  <si>
    <t>Materials</t>
  </si>
  <si>
    <t>Raw materials</t>
  </si>
  <si>
    <t>242</t>
  </si>
  <si>
    <t>473</t>
  </si>
  <si>
    <t>16/04/2026</t>
  </si>
  <si>
    <t>5,000</t>
  </si>
  <si>
    <t>7,693</t>
  </si>
  <si>
    <t>25/06/2026</t>
  </si>
  <si>
    <t>121</t>
  </si>
  <si>
    <t>23/04/2026</t>
  </si>
  <si>
    <t>2,522</t>
  </si>
  <si>
    <t>4,044</t>
  </si>
  <si>
    <t>09/12/2025</t>
  </si>
  <si>
    <t>73</t>
  </si>
  <si>
    <t>186</t>
  </si>
  <si>
    <t>12/03/2026</t>
  </si>
  <si>
    <t>190</t>
  </si>
  <si>
    <t>366</t>
  </si>
  <si>
    <t>24/02/2026</t>
  </si>
  <si>
    <t>3,693</t>
  </si>
  <si>
    <t>25</t>
  </si>
  <si>
    <t>44</t>
  </si>
  <si>
    <t>323</t>
  </si>
  <si>
    <t>817</t>
  </si>
  <si>
    <t>88</t>
  </si>
  <si>
    <t>168</t>
  </si>
  <si>
    <t>28/07/2026</t>
  </si>
  <si>
    <t>35</t>
  </si>
  <si>
    <t>97</t>
  </si>
  <si>
    <t>90</t>
  </si>
  <si>
    <t>173</t>
  </si>
  <si>
    <t>04/12/2025</t>
  </si>
  <si>
    <t>02/07/2026</t>
  </si>
  <si>
    <t>178</t>
  </si>
  <si>
    <t>405</t>
  </si>
  <si>
    <t>-50</t>
  </si>
  <si>
    <t>114</t>
  </si>
  <si>
    <t>11/02/2026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</si>
  <si>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</si>
  <si>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</si>
  <si>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</si>
  <si>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</si>
  <si>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</si>
  <si>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</si>
  <si>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</si>
  <si>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</si>
  <si>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</si>
  <si>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</si>
  <si>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</si>
  <si>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</si>
  <si>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</si>
  <si>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</si>
  <si>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</si>
  <si>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</si>
  <si>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</si>
  <si>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</si>
  <si>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</si>
  <si>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</si>
  <si>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</si>
  <si>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</si>
  <si>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</si>
  <si>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</si>
  <si>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</si>
  <si>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</si>
  <si>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</si>
  <si>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</si>
  <si>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</si>
  <si>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</si>
  <si>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</si>
  <si>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</si>
  <si>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</si>
  <si>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</si>
  <si>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</si>
  <si>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</si>
  <si>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</si>
  <si>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</si>
  <si>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</si>
  <si>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</si>
  <si>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</si>
  <si>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</si>
  <si>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</si>
  <si>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</si>
  <si>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</si>
  <si>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</si>
  <si>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</si>
  <si>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</si>
  <si>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</si>
  <si>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</si>
  <si>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</si>
  <si>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</si>
  <si>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</si>
  <si>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</si>
  <si>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</si>
  <si>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</si>
  <si>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</si>
  <si>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</si>
  <si>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</si>
  <si>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</si>
  <si>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</si>
  <si>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</si>
  <si>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</si>
  <si>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</si>
  <si>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</si>
  <si>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</si>
  <si>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</si>
  <si>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</si>
  <si>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</si>
  <si>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</si>
  <si>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</si>
  <si>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</si>
  <si>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</si>
  <si>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</si>
  <si>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</si>
  <si>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</si>
  <si>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</si>
  <si>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</si>
  <si>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</si>
  <si>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</si>
  <si>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</si>
  <si>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</si>
  <si>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</si>
  <si>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</si>
  <si>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</si>
  <si>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</si>
  <si>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</si>
  <si>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</si>
  <si>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</si>
  <si>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</si>
  <si>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</si>
  <si>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</si>
  <si>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</si>
  <si>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</si>
  <si>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</si>
  <si>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</si>
  <si>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</si>
  <si>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</si>
  <si>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</si>
  <si>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</si>
  <si>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</si>
  <si>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</si>
  <si>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</si>
  <si>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</si>
  <si>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</si>
  <si>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</si>
  <si>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</si>
  <si>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</si>
  <si>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</si>
  <si>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</si>
  <si>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</si>
  <si>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</si>
  <si>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</si>
  <si>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</si>
  <si>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</si>
  <si>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</si>
  <si>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</si>
  <si>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</si>
  <si>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</si>
  <si>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</si>
  <si>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</si>
  <si>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</si>
  <si>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</si>
  <si>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</si>
  <si>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</si>
  <si>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</si>
  <si>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</si>
  <si>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</si>
  <si>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</si>
  <si>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</si>
  <si>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</si>
  <si>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</si>
  <si>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</si>
  <si>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</si>
  <si>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</si>
  <si>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</si>
  <si>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</si>
  <si>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</si>
  <si>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</si>
  <si>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Actualizaciones y resultados</t>
  </si>
  <si>
    <t>Última actualización</t>
  </si>
  <si>
    <t>Últimos resultados</t>
  </si>
  <si>
    <t>Próximos resultados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</si>
</sst>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
    <numFmt numFmtId="167" formatCode="0.00\x"/>
    <numFmt numFmtId="168" formatCode="_-[$¥-411]* #,##0.00_-;\-[$¥-411]* #,##0.00_-;_-[$¥-411]* \-??_-;_-@_-"/>
    <numFmt numFmtId="169" formatCode="_([$$-409]* #,##0.00_);_([$$-409]* \(#,##0.00\);_([$$-409]* \-??_);_(@_)"/>
    <numFmt numFmtId="170" formatCode="_-* #,##0.00\ [$₸-43F]_-;\-* #,##0.00\ [$₸-43F]_-;_-* \-??\ [$₸-43F]_-;_-@_-"/>
    <numFmt numFmtId="171" formatCode="_([$€-2]\ * #,##0.00_);_([$€-2]\ * \(#,##0.00\);_([$€-2]\ * \-??_);_(@_)"/>
    <numFmt numFmtId="172" formatCode="0.0%"/>
    <numFmt numFmtId="173" formatCode="0.0\x"/>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name val="Arial"/>
      <family val="2"/>
      <charset val="1"/>
    </font>
    <font>
      <b/>
      <sz val="9"/>
      <color rgb="FFFFFFFF"/>
      <name val="Arial"/>
      <family val="2"/>
      <charset val="1"/>
    </font>
    <font>
      <b/>
      <sz val="10"/>
      <name val="Arial"/>
      <charset val="1"/>
    </font>
    <font>
      <sz val="10"/>
      <name val="Arial"/>
      <family val="2"/>
      <charset val="1"/>
    </font>
    <font>
      <sz val="10"/>
      <name val="Arial"/>
      <charset val="1"/>
    </font>
    <font>
      <b/>
      <sz val="11"/>
      <name val="Arial"/>
      <charset val="1"/>
    </font>
    <font>
      <b/>
      <sz val="11"/>
      <color rgb="FF1F3864"/>
      <name val="Arial"/>
      <charset val="1"/>
    </font>
    <font>
      <sz val="10"/>
      <name val="Arial"/>
      <family val="2"/>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DC4"/>
      </patternFill>
    </fill>
    <fill>
      <patternFill patternType="solid">
        <fgColor rgb="FF548235"/>
        <bgColor rgb="FF77933C"/>
      </patternFill>
    </fill>
    <fill>
      <patternFill patternType="solid">
        <fgColor rgb="FFC65911"/>
        <bgColor rgb="FF9C5700"/>
      </patternFill>
    </fill>
    <fill>
      <patternFill patternType="mediumGray">
        <fgColor theme="5" tint="-0.249977111117893"/>
        <bgColor rgb="FF843C0C"/>
      </patternFill>
    </fill>
    <fill>
      <patternFill patternType="solid">
        <fgColor theme="6" tint="-0.249977111117893"/>
        <bgColor rgb="FF548235"/>
      </patternFill>
    </fill>
    <fill>
      <patternFill patternType="solid">
        <fgColor rgb="FF000000"/>
        <bgColor rgb="FF1A252F"/>
      </patternFill>
    </fill>
    <fill>
      <patternFill patternType="solid">
        <fgColor rgb="FFFFFFFF"/>
        <bgColor rgb="FFF8F9FA"/>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FFFF00"/>
        <bgColor rgb="FFFFEB9C"/>
      </patternFill>
    </fill>
    <fill>
      <patternFill patternType="solid">
        <fgColor rgb="FF1A252F"/>
        <bgColor rgb="FF1F3864"/>
      </patternFill>
    </fill>
    <fill>
      <patternFill patternType="solid">
        <fgColor rgb="FF1F4E79"/>
        <bgColor rgb="FF2F5496"/>
      </patternFill>
    </fill>
    <fill>
      <patternFill patternType="solid">
        <fgColor rgb="FF2C3E50"/>
        <bgColor rgb="FF3D4348"/>
      </patternFill>
    </fill>
    <fill>
      <patternFill patternType="solid">
        <fgColor rgb="FF27AE60"/>
        <bgColor rgb="FF548235"/>
      </patternFill>
    </fill>
    <fill>
      <patternFill patternType="solid">
        <fgColor rgb="FFF39C12"/>
        <bgColor rgb="FFED7D31"/>
      </patternFill>
    </fill>
    <fill>
      <patternFill patternType="solid">
        <fgColor rgb="FF3498DB"/>
        <bgColor rgb="FF4B7DC4"/>
      </patternFill>
    </fill>
    <fill>
      <patternFill patternType="solid">
        <fgColor rgb="FF8A5FA9"/>
        <bgColor rgb="FF666666"/>
      </patternFill>
    </fill>
    <fill>
      <patternFill patternType="solid">
        <fgColor rgb="FFE23332"/>
        <bgColor rgb="FFC65911"/>
      </patternFill>
    </fill>
    <fill>
      <patternFill patternType="solid">
        <fgColor rgb="FFF8F9FA"/>
        <bgColor rgb="FFFFFFFF"/>
      </patternFill>
    </fill>
    <fill>
      <patternFill patternType="solid">
        <fgColor rgb="FFEAECEE"/>
        <bgColor rgb="FFECF0F1"/>
      </patternFill>
    </fill>
    <fill>
      <patternFill patternType="solid">
        <fgColor rgb="FF34495E"/>
        <bgColor rgb="FF3D4348"/>
      </patternFill>
    </fill>
    <fill>
      <patternFill patternType="solid">
        <fgColor rgb="FF7B30A0"/>
        <bgColor rgb="FF8A5FA9"/>
      </patternFill>
    </fill>
    <fill>
      <patternFill patternType="solid">
        <fgColor rgb="FFE2D0F4"/>
        <bgColor rgb="FFD9D9D9"/>
      </patternFill>
    </fill>
    <fill>
      <patternFill patternType="solid">
        <fgColor rgb="FFC6E0B4"/>
        <bgColor rgb="FFC6EFCE"/>
      </patternFill>
    </fill>
    <fill>
      <patternFill patternType="mediumGray">
        <fgColor rgb="FF548235"/>
        <bgColor rgb="FF0A7007"/>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D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D4348"/>
        <bgColor rgb="FF404040"/>
      </patternFill>
    </fill>
    <fill>
      <patternFill patternType="solid">
        <fgColor rgb="FF843C0C"/>
        <bgColor rgb="FF942220"/>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s>
  <borders count="27">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1">
    <xf numFmtId="0" fontId="0" fillId="0" borderId="0" xfId="0"/>
    <xf numFmtId="0" fontId="17" fillId="23" borderId="4" xfId="0" applyFont="1" applyFill="1" applyBorder="1" applyAlignment="1">
      <alignment horizontal="center" vertical="center"/>
    </xf>
    <xf numFmtId="0" fontId="17" fillId="22" borderId="4" xfId="0" applyFont="1" applyFill="1" applyBorder="1" applyAlignment="1">
      <alignment horizontal="center" vertical="center"/>
    </xf>
    <xf numFmtId="0" fontId="17" fillId="21" borderId="4" xfId="0" applyFont="1" applyFill="1" applyBorder="1" applyAlignment="1">
      <alignment horizontal="center" vertical="center"/>
    </xf>
    <xf numFmtId="0" fontId="17" fillId="20" borderId="3" xfId="0" applyFont="1" applyFill="1" applyBorder="1" applyAlignment="1">
      <alignment horizontal="center" vertical="center"/>
    </xf>
    <xf numFmtId="0" fontId="16" fillId="20" borderId="2" xfId="0" applyFont="1" applyFill="1" applyBorder="1" applyAlignment="1">
      <alignment horizontal="center" vertical="center"/>
    </xf>
    <xf numFmtId="0" fontId="14" fillId="18" borderId="0" xfId="0" applyFont="1" applyFill="1" applyAlignment="1">
      <alignment horizontal="center" vertical="center"/>
    </xf>
    <xf numFmtId="0" fontId="4" fillId="8" borderId="0" xfId="0" applyFont="1" applyFill="1" applyAlignment="1">
      <alignment horizontal="center" vertical="center" wrapText="1"/>
    </xf>
    <xf numFmtId="0" fontId="3" fillId="7" borderId="0" xfId="0" applyFont="1" applyFill="1" applyAlignment="1">
      <alignment horizontal="center"/>
    </xf>
    <xf numFmtId="0" fontId="2" fillId="2" borderId="0" xfId="0" applyFont="1" applyFill="1" applyAlignment="1">
      <alignment horizontal="center" vertical="center" wrapText="1"/>
    </xf>
    <xf numFmtId="0" fontId="2" fillId="6"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3" borderId="0" xfId="0" applyFont="1" applyFill="1" applyAlignment="1">
      <alignment horizontal="center" vertical="center" wrapText="1"/>
    </xf>
    <xf numFmtId="0" fontId="1" fillId="2" borderId="0" xfId="0" applyFont="1" applyFill="1" applyAlignment="1">
      <alignment horizontal="center" vertical="center" wrapText="1"/>
    </xf>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6"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7" fillId="7" borderId="0" xfId="0" applyFont="1" applyFill="1" applyAlignment="1">
      <alignment horizontal="center" vertical="center" wrapText="1"/>
    </xf>
    <xf numFmtId="0" fontId="7" fillId="8" borderId="0" xfId="0" applyFont="1" applyFill="1" applyAlignment="1">
      <alignment horizontal="center" vertical="center" wrapText="1"/>
    </xf>
    <xf numFmtId="0" fontId="8" fillId="12" borderId="1" xfId="0" applyFont="1" applyFill="1" applyBorder="1" applyAlignment="1">
      <alignment horizontal="center" vertical="center" wrapText="1"/>
    </xf>
    <xf numFmtId="0" fontId="9" fillId="12" borderId="1" xfId="0" applyFont="1" applyFill="1" applyBorder="1" applyAlignment="1">
      <alignment horizontal="center" vertical="center"/>
    </xf>
    <xf numFmtId="0" fontId="10" fillId="12" borderId="1" xfId="0" applyFont="1" applyFill="1" applyBorder="1" applyAlignment="1">
      <alignment horizontal="center" vertical="center" wrapText="1"/>
    </xf>
    <xf numFmtId="4" fontId="10" fillId="12" borderId="1" xfId="0" applyNumberFormat="1" applyFont="1" applyFill="1" applyBorder="1" applyAlignment="1">
      <alignment horizontal="center" vertical="center" wrapText="1"/>
    </xf>
    <xf numFmtId="164" fontId="10" fillId="12" borderId="1" xfId="0" applyNumberFormat="1" applyFont="1" applyFill="1" applyBorder="1" applyAlignment="1">
      <alignment horizontal="center" vertical="center" wrapText="1"/>
    </xf>
    <xf numFmtId="3" fontId="10" fillId="12" borderId="1" xfId="0" applyNumberFormat="1" applyFont="1" applyFill="1" applyBorder="1" applyAlignment="1">
      <alignment horizontal="center" vertical="center" wrapText="1"/>
    </xf>
    <xf numFmtId="165" fontId="10" fillId="12" borderId="1" xfId="0" applyNumberFormat="1" applyFont="1" applyFill="1" applyBorder="1" applyAlignment="1">
      <alignment horizontal="center" vertical="center" wrapText="1"/>
    </xf>
    <xf numFmtId="1" fontId="8" fillId="12" borderId="1" xfId="0" applyNumberFormat="1" applyFont="1" applyFill="1" applyBorder="1" applyAlignment="1">
      <alignment horizontal="center" vertical="center" wrapText="1"/>
    </xf>
    <xf numFmtId="2" fontId="11" fillId="13" borderId="1" xfId="0" applyNumberFormat="1" applyFont="1" applyFill="1" applyBorder="1" applyAlignment="1">
      <alignment horizontal="center" vertical="center" wrapText="1"/>
    </xf>
    <xf numFmtId="2" fontId="12" fillId="14" borderId="1" xfId="0" applyNumberFormat="1" applyFont="1" applyFill="1" applyBorder="1" applyAlignment="1">
      <alignment horizontal="center" vertical="center" wrapText="1"/>
    </xf>
    <xf numFmtId="0" fontId="10" fillId="15" borderId="1" xfId="0" applyFont="1" applyFill="1" applyBorder="1" applyAlignment="1">
      <alignment horizontal="center" vertical="center"/>
    </xf>
    <xf numFmtId="166" fontId="10" fillId="15" borderId="1" xfId="0" applyNumberFormat="1" applyFont="1" applyFill="1" applyBorder="1" applyAlignment="1">
      <alignment horizontal="center" vertical="center"/>
    </xf>
    <xf numFmtId="167" fontId="0" fillId="0" borderId="0" xfId="0" applyNumberFormat="1"/>
    <xf numFmtId="166" fontId="9" fillId="15" borderId="1" xfId="0" applyNumberFormat="1" applyFont="1" applyFill="1" applyBorder="1" applyAlignment="1">
      <alignment horizontal="center" vertical="center"/>
    </xf>
    <xf numFmtId="10" fontId="9" fillId="15" borderId="0" xfId="0" applyNumberFormat="1" applyFont="1" applyFill="1" applyAlignment="1">
      <alignment horizontal="center" vertical="center"/>
    </xf>
    <xf numFmtId="10" fontId="0" fillId="0" borderId="0" xfId="0" applyNumberFormat="1"/>
    <xf numFmtId="167" fontId="0" fillId="16" borderId="0" xfId="0" applyNumberFormat="1" applyFill="1"/>
    <xf numFmtId="2" fontId="9" fillId="13" borderId="1" xfId="0" applyNumberFormat="1" applyFont="1" applyFill="1" applyBorder="1" applyAlignment="1">
      <alignment horizontal="center" vertical="center"/>
    </xf>
    <xf numFmtId="0" fontId="10" fillId="0" borderId="0" xfId="0" applyFont="1" applyAlignment="1">
      <alignment horizontal="center" vertical="center"/>
    </xf>
    <xf numFmtId="165" fontId="10" fillId="0" borderId="1" xfId="0" applyNumberFormat="1" applyFont="1" applyBorder="1" applyAlignment="1">
      <alignment horizontal="center" vertical="center" wrapText="1"/>
    </xf>
    <xf numFmtId="1" fontId="8" fillId="0" borderId="1" xfId="0" applyNumberFormat="1" applyFont="1" applyBorder="1" applyAlignment="1">
      <alignment horizontal="center" vertical="center" wrapText="1"/>
    </xf>
    <xf numFmtId="0" fontId="10" fillId="17" borderId="0" xfId="0" applyFont="1" applyFill="1" applyAlignment="1">
      <alignment horizontal="center" vertical="center"/>
    </xf>
    <xf numFmtId="0" fontId="12" fillId="0" borderId="0" xfId="0" applyFont="1"/>
    <xf numFmtId="0" fontId="10" fillId="0" borderId="0" xfId="0" applyFont="1" applyAlignment="1">
      <alignment horizontal="left" vertical="center" wrapText="1"/>
    </xf>
    <xf numFmtId="168" fontId="0" fillId="0" borderId="0" xfId="0" applyNumberFormat="1"/>
    <xf numFmtId="169" fontId="0" fillId="0" borderId="0" xfId="0" applyNumberFormat="1"/>
    <xf numFmtId="170" fontId="0" fillId="0" borderId="0" xfId="0" applyNumberFormat="1"/>
    <xf numFmtId="171" fontId="0" fillId="0" borderId="0" xfId="0" applyNumberFormat="1"/>
    <xf numFmtId="0" fontId="15" fillId="19" borderId="0" xfId="0" applyFont="1" applyFill="1" applyAlignment="1">
      <alignment horizontal="center"/>
    </xf>
    <xf numFmtId="0" fontId="23" fillId="10" borderId="12" xfId="0" applyFont="1" applyFill="1" applyBorder="1" applyAlignment="1">
      <alignment horizontal="center"/>
    </xf>
    <xf numFmtId="0" fontId="23" fillId="10" borderId="13" xfId="0" applyFont="1" applyFill="1" applyBorder="1" applyAlignment="1">
      <alignment horizontal="center"/>
    </xf>
    <xf numFmtId="0" fontId="23" fillId="10" borderId="14" xfId="0" applyFont="1" applyFill="1" applyBorder="1" applyAlignment="1">
      <alignment horizontal="center"/>
    </xf>
    <xf numFmtId="0" fontId="0" fillId="10" borderId="0" xfId="0" applyFill="1"/>
    <xf numFmtId="2" fontId="0" fillId="0" borderId="0" xfId="0" applyNumberFormat="1"/>
    <xf numFmtId="1" fontId="0" fillId="0" borderId="0" xfId="0" applyNumberFormat="1"/>
    <xf numFmtId="0" fontId="0" fillId="10" borderId="15" xfId="0" applyFill="1" applyBorder="1" applyAlignment="1">
      <alignment horizontal="center"/>
    </xf>
    <xf numFmtId="0" fontId="0" fillId="10" borderId="16" xfId="0" applyFill="1" applyBorder="1"/>
    <xf numFmtId="2" fontId="0" fillId="10" borderId="16" xfId="0" applyNumberFormat="1" applyFill="1" applyBorder="1" applyAlignment="1">
      <alignment horizontal="center"/>
    </xf>
    <xf numFmtId="1" fontId="0" fillId="10" borderId="16" xfId="0" applyNumberFormat="1" applyFill="1" applyBorder="1" applyAlignment="1">
      <alignment horizontal="center"/>
    </xf>
    <xf numFmtId="172" fontId="0" fillId="10" borderId="16" xfId="0" applyNumberFormat="1" applyFill="1" applyBorder="1" applyAlignment="1">
      <alignment horizontal="center"/>
    </xf>
    <xf numFmtId="173" fontId="0" fillId="10" borderId="17" xfId="0" applyNumberFormat="1" applyFill="1" applyBorder="1" applyAlignment="1">
      <alignment horizontal="center"/>
    </xf>
    <xf numFmtId="0" fontId="0" fillId="15" borderId="15" xfId="0" applyFill="1" applyBorder="1" applyAlignment="1">
      <alignment horizontal="center"/>
    </xf>
    <xf numFmtId="0" fontId="0" fillId="15" borderId="16" xfId="0" applyFill="1" applyBorder="1"/>
    <xf numFmtId="2" fontId="0" fillId="15" borderId="16" xfId="0" applyNumberFormat="1" applyFill="1" applyBorder="1" applyAlignment="1">
      <alignment horizontal="center"/>
    </xf>
    <xf numFmtId="1" fontId="0" fillId="15" borderId="16" xfId="0" applyNumberFormat="1" applyFill="1" applyBorder="1" applyAlignment="1">
      <alignment horizontal="center"/>
    </xf>
    <xf numFmtId="172" fontId="0" fillId="15" borderId="16" xfId="0" applyNumberFormat="1" applyFill="1" applyBorder="1" applyAlignment="1">
      <alignment horizontal="center"/>
    </xf>
    <xf numFmtId="173" fontId="0" fillId="15" borderId="17" xfId="0" applyNumberFormat="1" applyFill="1" applyBorder="1" applyAlignment="1">
      <alignment horizontal="center"/>
    </xf>
    <xf numFmtId="0" fontId="0" fillId="15" borderId="18" xfId="0" applyFill="1" applyBorder="1" applyAlignment="1">
      <alignment horizontal="center"/>
    </xf>
    <xf numFmtId="0" fontId="0" fillId="15" borderId="19" xfId="0" applyFill="1" applyBorder="1"/>
    <xf numFmtId="2" fontId="0" fillId="15" borderId="19" xfId="0" applyNumberFormat="1" applyFill="1" applyBorder="1" applyAlignment="1">
      <alignment horizontal="center"/>
    </xf>
    <xf numFmtId="1" fontId="0" fillId="15" borderId="19" xfId="0" applyNumberFormat="1" applyFill="1" applyBorder="1" applyAlignment="1">
      <alignment horizontal="center"/>
    </xf>
    <xf numFmtId="172" fontId="0" fillId="15" borderId="19" xfId="0" applyNumberFormat="1" applyFill="1" applyBorder="1" applyAlignment="1">
      <alignment horizontal="center"/>
    </xf>
    <xf numFmtId="173" fontId="0" fillId="15" borderId="20" xfId="0" applyNumberFormat="1" applyFill="1" applyBorder="1" applyAlignment="1">
      <alignment horizontal="center"/>
    </xf>
    <xf numFmtId="0" fontId="26" fillId="30" borderId="0" xfId="0" applyFont="1" applyFill="1" applyAlignment="1">
      <alignment horizontal="center"/>
    </xf>
    <xf numFmtId="0" fontId="28" fillId="31" borderId="0" xfId="0" applyFont="1" applyFill="1" applyAlignment="1">
      <alignment horizontal="center"/>
    </xf>
    <xf numFmtId="0" fontId="28" fillId="30" borderId="0" xfId="0" applyFont="1" applyFill="1" applyAlignment="1">
      <alignment horizontal="center"/>
    </xf>
    <xf numFmtId="172" fontId="0" fillId="0" borderId="0" xfId="0" applyNumberFormat="1"/>
    <xf numFmtId="0" fontId="26" fillId="34" borderId="21" xfId="0" applyFont="1" applyFill="1" applyBorder="1"/>
    <xf numFmtId="0" fontId="26" fillId="35" borderId="21" xfId="0" applyFont="1" applyFill="1" applyBorder="1"/>
    <xf numFmtId="0" fontId="0" fillId="0" borderId="21" xfId="0" applyBorder="1"/>
    <xf numFmtId="4" fontId="0" fillId="0" borderId="21" xfId="0" applyNumberFormat="1" applyBorder="1"/>
    <xf numFmtId="172" fontId="0" fillId="0" borderId="21" xfId="0" applyNumberFormat="1" applyBorder="1"/>
    <xf numFmtId="2" fontId="0" fillId="0" borderId="21" xfId="0" applyNumberFormat="1" applyBorder="1"/>
    <xf numFmtId="1" fontId="0" fillId="0" borderId="21" xfId="0" applyNumberFormat="1" applyBorder="1"/>
    <xf numFmtId="0" fontId="29" fillId="37" borderId="22" xfId="0" applyFont="1" applyFill="1" applyBorder="1" applyAlignment="1">
      <alignment horizontal="center"/>
    </xf>
    <xf numFmtId="4" fontId="23" fillId="37" borderId="22" xfId="0" applyNumberFormat="1" applyFont="1" applyFill="1" applyBorder="1" applyAlignment="1">
      <alignment horizontal="center"/>
    </xf>
    <xf numFmtId="172" fontId="23" fillId="37" borderId="22" xfId="0" applyNumberFormat="1" applyFont="1" applyFill="1" applyBorder="1" applyAlignment="1">
      <alignment horizontal="center"/>
    </xf>
    <xf numFmtId="0" fontId="23" fillId="37" borderId="22" xfId="0" applyFont="1" applyFill="1" applyBorder="1" applyAlignment="1">
      <alignment horizontal="center"/>
    </xf>
    <xf numFmtId="0" fontId="23" fillId="38" borderId="22" xfId="0" applyFont="1" applyFill="1" applyBorder="1" applyAlignment="1">
      <alignment horizontal="center"/>
    </xf>
    <xf numFmtId="2" fontId="23" fillId="38" borderId="22" xfId="0" applyNumberFormat="1" applyFont="1" applyFill="1" applyBorder="1" applyAlignment="1">
      <alignment horizontal="center"/>
    </xf>
    <xf numFmtId="1" fontId="23" fillId="38" borderId="22" xfId="0" applyNumberFormat="1" applyFont="1" applyFill="1" applyBorder="1" applyAlignment="1">
      <alignment horizontal="center"/>
    </xf>
    <xf numFmtId="0" fontId="0" fillId="39" borderId="23" xfId="0" applyFill="1" applyBorder="1" applyAlignment="1">
      <alignment horizontal="center"/>
    </xf>
    <xf numFmtId="4" fontId="0" fillId="39" borderId="23" xfId="0" applyNumberFormat="1" applyFill="1" applyBorder="1" applyAlignment="1">
      <alignment horizontal="center"/>
    </xf>
    <xf numFmtId="172" fontId="0" fillId="39" borderId="23" xfId="0" applyNumberFormat="1" applyFill="1" applyBorder="1" applyAlignment="1">
      <alignment horizontal="center"/>
    </xf>
    <xf numFmtId="0" fontId="0" fillId="40" borderId="23" xfId="0" applyFill="1" applyBorder="1" applyAlignment="1">
      <alignment horizontal="center"/>
    </xf>
    <xf numFmtId="0" fontId="0" fillId="10" borderId="24" xfId="0" applyFill="1" applyBorder="1" applyAlignment="1">
      <alignment horizontal="center"/>
    </xf>
    <xf numFmtId="4" fontId="0" fillId="10" borderId="24" xfId="0" applyNumberFormat="1" applyFill="1" applyBorder="1" applyAlignment="1">
      <alignment horizontal="center"/>
    </xf>
    <xf numFmtId="172" fontId="0" fillId="10" borderId="24" xfId="0" applyNumberFormat="1" applyFill="1" applyBorder="1" applyAlignment="1">
      <alignment horizontal="center"/>
    </xf>
    <xf numFmtId="0" fontId="0" fillId="40" borderId="24" xfId="0" applyFill="1" applyBorder="1" applyAlignment="1">
      <alignment horizontal="center"/>
    </xf>
    <xf numFmtId="0" fontId="0" fillId="10" borderId="25" xfId="0" applyFill="1" applyBorder="1" applyAlignment="1">
      <alignment horizontal="center"/>
    </xf>
    <xf numFmtId="4" fontId="0" fillId="10" borderId="25" xfId="0" applyNumberFormat="1" applyFill="1" applyBorder="1" applyAlignment="1">
      <alignment horizontal="center"/>
    </xf>
    <xf numFmtId="172" fontId="0" fillId="10" borderId="25" xfId="0" applyNumberFormat="1" applyFill="1" applyBorder="1" applyAlignment="1">
      <alignment horizontal="center"/>
    </xf>
    <xf numFmtId="0" fontId="17" fillId="24" borderId="4" xfId="0" applyFont="1" applyFill="1" applyBorder="1" applyAlignment="1">
      <alignment horizontal="center" vertical="center"/>
    </xf>
    <xf numFmtId="0" fontId="17" fillId="25" borderId="5" xfId="0" applyFont="1" applyFill="1" applyBorder="1" applyAlignment="1">
      <alignment horizontal="center" vertical="center"/>
    </xf>
    <xf numFmtId="0" fontId="18" fillId="26" borderId="6" xfId="0" applyFont="1" applyFill="1" applyBorder="1" applyAlignment="1">
      <alignment horizontal="center" vertical="center"/>
    </xf>
    <xf numFmtId="2" fontId="18" fillId="26" borderId="7" xfId="0" applyNumberFormat="1" applyFont="1" applyFill="1" applyBorder="1" applyAlignment="1">
      <alignment horizontal="center" vertical="center"/>
    </xf>
    <xf numFmtId="0" fontId="18" fillId="26" borderId="7" xfId="0" applyFont="1" applyFill="1" applyBorder="1" applyAlignment="1">
      <alignment horizontal="center" vertical="center"/>
    </xf>
    <xf numFmtId="0" fontId="18" fillId="26" borderId="8" xfId="0" applyFont="1" applyFill="1" applyBorder="1" applyAlignment="1">
      <alignment horizontal="center" vertical="center"/>
    </xf>
    <xf numFmtId="0" fontId="19" fillId="26" borderId="6" xfId="0" applyFont="1" applyFill="1" applyBorder="1" applyAlignment="1">
      <alignment horizontal="center" vertical="center"/>
    </xf>
    <xf numFmtId="0" fontId="19" fillId="26" borderId="7" xfId="0" applyFont="1" applyFill="1" applyBorder="1" applyAlignment="1">
      <alignment horizontal="center" vertical="center"/>
    </xf>
    <xf numFmtId="0" fontId="19" fillId="26" borderId="8" xfId="0" applyFont="1" applyFill="1" applyBorder="1" applyAlignment="1">
      <alignment horizontal="center" vertical="center"/>
    </xf>
    <xf numFmtId="0" fontId="20" fillId="27" borderId="9" xfId="0" applyFont="1" applyFill="1" applyBorder="1" applyAlignment="1">
      <alignment horizontal="center" vertical="center"/>
    </xf>
    <xf numFmtId="0" fontId="21" fillId="27" borderId="10" xfId="0" applyFont="1" applyFill="1" applyBorder="1" applyAlignment="1">
      <alignment horizontal="center" vertical="center"/>
    </xf>
    <xf numFmtId="0" fontId="22" fillId="27" borderId="10" xfId="0" applyFont="1" applyFill="1" applyBorder="1" applyAlignment="1">
      <alignment horizontal="center" vertical="center"/>
    </xf>
    <xf numFmtId="0" fontId="20" fillId="27" borderId="11" xfId="0" applyFont="1" applyFill="1" applyBorder="1" applyAlignment="1">
      <alignment horizontal="center" vertical="center"/>
    </xf>
    <xf numFmtId="0" fontId="24" fillId="28" borderId="0" xfId="0" applyFont="1" applyFill="1" applyAlignment="1">
      <alignment horizontal="left" vertical="center"/>
    </xf>
    <xf numFmtId="0" fontId="25" fillId="29" borderId="0" xfId="0" applyFont="1" applyFill="1" applyAlignment="1">
      <alignment horizontal="center"/>
    </xf>
    <xf numFmtId="0" fontId="24" fillId="29" borderId="0" xfId="0" applyFont="1" applyFill="1"/>
    <xf numFmtId="0" fontId="27" fillId="29" borderId="0" xfId="0" applyFont="1" applyFill="1"/>
    <xf numFmtId="0" fontId="24" fillId="32" borderId="0" xfId="0" applyFont="1" applyFill="1"/>
    <xf numFmtId="0" fontId="24" fillId="33" borderId="0" xfId="0" applyFont="1" applyFill="1"/>
    <xf numFmtId="0" fontId="27" fillId="6" borderId="21" xfId="0" applyFont="1" applyFill="1" applyBorder="1" applyAlignment="1">
      <alignment horizontal="center"/>
    </xf>
    <xf numFmtId="0" fontId="27" fillId="36" borderId="21" xfId="0" applyFont="1" applyFill="1" applyBorder="1" applyAlignment="1">
      <alignment horizontal="center"/>
    </xf>
    <xf numFmtId="0" fontId="24" fillId="41" borderId="0" xfId="0" applyFont="1" applyFill="1" applyAlignment="1">
      <alignment horizontal="center"/>
    </xf>
    <xf numFmtId="0" fontId="30" fillId="42" borderId="24" xfId="0" applyFont="1" applyFill="1" applyBorder="1" applyAlignment="1">
      <alignment horizontal="center"/>
    </xf>
    <xf numFmtId="4" fontId="30" fillId="42" borderId="24" xfId="0" applyNumberFormat="1" applyFont="1" applyFill="1" applyBorder="1" applyAlignment="1">
      <alignment horizontal="center"/>
    </xf>
    <xf numFmtId="172" fontId="30" fillId="42" borderId="24" xfId="0" applyNumberFormat="1" applyFont="1" applyFill="1" applyBorder="1" applyAlignment="1">
      <alignment horizontal="center"/>
    </xf>
    <xf numFmtId="0" fontId="30" fillId="42" borderId="0" xfId="0" applyFont="1" applyFill="1"/>
    <xf numFmtId="0" fontId="31" fillId="10" borderId="24" xfId="0" applyFont="1" applyFill="1" applyBorder="1" applyAlignment="1">
      <alignment horizontal="center"/>
    </xf>
    <xf numFmtId="4" fontId="31" fillId="10" borderId="24" xfId="0" applyNumberFormat="1" applyFont="1" applyFill="1" applyBorder="1" applyAlignment="1">
      <alignment horizontal="center"/>
    </xf>
    <xf numFmtId="172" fontId="31" fillId="10" borderId="24" xfId="0" applyNumberFormat="1" applyFont="1" applyFill="1" applyBorder="1" applyAlignment="1">
      <alignment horizontal="center"/>
    </xf>
    <xf numFmtId="0" fontId="31" fillId="0" borderId="0" xfId="0" applyFont="1" applyAlignment="1">
      <alignment horizontal="center"/>
    </xf>
    <xf numFmtId="0" fontId="32" fillId="39" borderId="24" xfId="0" applyFont="1" applyFill="1" applyBorder="1" applyAlignment="1">
      <alignment horizontal="center"/>
    </xf>
    <xf numFmtId="4" fontId="32" fillId="39" borderId="24" xfId="0" applyNumberFormat="1" applyFont="1" applyFill="1" applyBorder="1" applyAlignment="1">
      <alignment horizontal="center"/>
    </xf>
    <xf numFmtId="172" fontId="32" fillId="39" borderId="24" xfId="0" applyNumberFormat="1" applyFont="1" applyFill="1" applyBorder="1" applyAlignment="1">
      <alignment horizontal="center"/>
    </xf>
    <xf numFmtId="0" fontId="32" fillId="0" borderId="0" xfId="0" applyFont="1" applyAlignment="1">
      <alignment horizontal="center"/>
    </xf>
    <xf numFmtId="0" fontId="32" fillId="40" borderId="24" xfId="0" applyFont="1" applyFill="1" applyBorder="1" applyAlignment="1">
      <alignment horizontal="center"/>
    </xf>
    <xf numFmtId="0" fontId="33" fillId="39" borderId="0" xfId="0" applyFont="1" applyFill="1" applyAlignment="1">
      <alignment horizontal="center"/>
    </xf>
    <xf numFmtId="0" fontId="27" fillId="29" borderId="0" xfId="0" applyFont="1" applyFill="1" applyAlignment="1">
      <alignment horizontal="center"/>
    </xf>
    <xf numFmtId="0" fontId="17" fillId="43" borderId="0" xfId="0" applyFont="1" applyFill="1" applyAlignment="1">
      <alignment horizontal="center"/>
    </xf>
    <xf numFmtId="0" fontId="17" fillId="6" borderId="0" xfId="0" applyFont="1" applyFill="1" applyAlignment="1">
      <alignment horizontal="center"/>
    </xf>
    <xf numFmtId="0" fontId="17" fillId="36" borderId="0" xfId="0" applyFont="1" applyFill="1" applyAlignment="1">
      <alignment horizontal="center"/>
    </xf>
    <xf numFmtId="0" fontId="17" fillId="29" borderId="0" xfId="0" applyFont="1" applyFill="1" applyAlignment="1">
      <alignment horizontal="center"/>
    </xf>
    <xf numFmtId="0" fontId="17" fillId="5" borderId="0" xfId="0" applyFont="1" applyFill="1" applyAlignment="1">
      <alignment horizontal="center"/>
    </xf>
    <xf numFmtId="0" fontId="17" fillId="4" borderId="0" xfId="0" applyFont="1" applyFill="1" applyAlignment="1">
      <alignment horizontal="center"/>
    </xf>
    <xf numFmtId="0" fontId="17" fillId="44" borderId="0" xfId="0" applyFont="1" applyFill="1" applyAlignment="1">
      <alignment horizontal="center"/>
    </xf>
    <xf numFmtId="0" fontId="17" fillId="45" borderId="0" xfId="0" applyFont="1" applyFill="1" applyAlignment="1">
      <alignment horizontal="center"/>
    </xf>
    <xf numFmtId="0" fontId="34" fillId="12" borderId="0" xfId="0" applyFont="1" applyFill="1" applyAlignment="1">
      <alignment horizontal="center"/>
    </xf>
    <xf numFmtId="10" fontId="34" fillId="12" borderId="0" xfId="0" applyNumberFormat="1" applyFont="1" applyFill="1" applyAlignment="1">
      <alignment horizontal="center"/>
    </xf>
    <xf numFmtId="0" fontId="35" fillId="11" borderId="0" xfId="0" applyFont="1" applyFill="1" applyAlignment="1">
      <alignment horizontal="center"/>
    </xf>
    <xf numFmtId="10" fontId="0" fillId="11" borderId="0" xfId="0" applyNumberFormat="1" applyFill="1" applyAlignment="1">
      <alignment horizontal="center"/>
    </xf>
    <xf numFmtId="0" fontId="0" fillId="11" borderId="0" xfId="0" applyFill="1" applyAlignment="1">
      <alignment horizontal="center"/>
    </xf>
    <xf numFmtId="0" fontId="36" fillId="46" borderId="0" xfId="0" applyFont="1" applyFill="1" applyAlignment="1">
      <alignment horizontal="center"/>
    </xf>
    <xf numFmtId="0" fontId="8" fillId="47" borderId="26" xfId="0" applyFont="1" applyFill="1" applyBorder="1" applyAlignment="1">
      <alignment horizontal="left" vertical="center"/>
    </xf>
    <xf numFmtId="0" fontId="37" fillId="9" borderId="0" xfId="0" applyFont="1" applyFill="1" applyAlignment="1">
      <alignment horizontal="center" wrapText="1"/>
    </xf>
    <xf numFmtId="0" fontId="37" fillId="2" borderId="0" xfId="0" applyFont="1" applyFill="1" applyAlignment="1">
      <alignment horizontal="center" vertical="top"/>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332"/>
      <rgbColor rgb="FFE2EFDA"/>
      <rgbColor rgb="FFF2F2F2"/>
      <rgbColor rgb="FFFFFF00"/>
      <rgbColor rgb="FFE7E6E6"/>
      <rgbColor rgb="FFD6DCE5"/>
      <rgbColor rgb="FF9C5700"/>
      <rgbColor rgb="FF0A7007"/>
      <rgbColor rgb="FF34495E"/>
      <rgbColor rgb="FF77933C"/>
      <rgbColor rgb="FF595959"/>
      <rgbColor rgb="FF1F4E79"/>
      <rgbColor rgb="FFBFBFC3"/>
      <rgbColor rgb="FF808687"/>
      <rgbColor rgb="FF8A5FA9"/>
      <rgbColor rgb="FF7B30A0"/>
      <rgbColor rgb="FFFFF2CC"/>
      <rgbColor rgb="FFE3F2FD"/>
      <rgbColor rgb="FF3D4348"/>
      <rgbColor rgb="FFED7D31"/>
      <rgbColor rgb="FF1565C0"/>
      <rgbColor rgb="FFE2D0F4"/>
      <rgbColor rgb="FFF8F9FA"/>
      <rgbColor rgb="FFEAECEE"/>
      <rgbColor rgb="FFFFE699"/>
      <rgbColor rgb="FFD9D9D9"/>
      <rgbColor rgb="FFECF0F1"/>
      <rgbColor rgb="FFC65911"/>
      <rgbColor rgb="FF4B7DC4"/>
      <rgbColor rgb="FFFFF3E0"/>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43C0C"/>
      <rgbColor rgb="FF942220"/>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rPr>
              <a:t>📊 Distribución por Tier de Calidad</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F81BD"/>
              </a:solidFill>
              <a:ln w="19080">
                <a:solidFill>
                  <a:schemeClr val="lt1"/>
                </a:solidFill>
                <a:round/>
              </a:ln>
            </c:spPr>
            <c:extLst>
              <c:ext xmlns:c16="http://schemas.microsoft.com/office/drawing/2014/chart" uri="{C3380CC4-5D6E-409C-BE32-E72D297353CC}">
                <c16:uniqueId val="{00000001-FEF9-431C-8359-969BFAA75270}"/>
              </c:ext>
            </c:extLst>
          </c:dPt>
          <c:dPt>
            <c:idx val="1"/>
            <c:bubble3D val="0"/>
            <c:spPr>
              <a:solidFill>
                <a:srgbClr val="C0504D"/>
              </a:solidFill>
              <a:ln w="19080">
                <a:solidFill>
                  <a:schemeClr val="lt1"/>
                </a:solidFill>
                <a:round/>
              </a:ln>
            </c:spPr>
            <c:extLst>
              <c:ext xmlns:c16="http://schemas.microsoft.com/office/drawing/2014/chart" uri="{C3380CC4-5D6E-409C-BE32-E72D297353CC}">
                <c16:uniqueId val="{00000003-FEF9-431C-8359-969BFAA75270}"/>
              </c:ext>
            </c:extLst>
          </c:dPt>
          <c:dPt>
            <c:idx val="2"/>
            <c:bubble3D val="0"/>
            <c:spPr>
              <a:solidFill>
                <a:srgbClr val="9BBB59"/>
              </a:solidFill>
              <a:ln w="19080">
                <a:solidFill>
                  <a:schemeClr val="lt1"/>
                </a:solidFill>
                <a:round/>
              </a:ln>
            </c:spPr>
            <c:extLst>
              <c:ext xmlns:c16="http://schemas.microsoft.com/office/drawing/2014/chart" uri="{C3380CC4-5D6E-409C-BE32-E72D297353CC}">
                <c16:uniqueId val="{00000005-FEF9-431C-8359-969BFAA75270}"/>
              </c:ext>
            </c:extLst>
          </c:dPt>
          <c:dPt>
            <c:idx val="3"/>
            <c:bubble3D val="0"/>
            <c:spPr>
              <a:solidFill>
                <a:srgbClr val="8064A2"/>
              </a:solidFill>
              <a:ln w="19080">
                <a:solidFill>
                  <a:schemeClr val="lt1"/>
                </a:solidFill>
                <a:round/>
              </a:ln>
            </c:spPr>
            <c:extLst>
              <c:ext xmlns:c16="http://schemas.microsoft.com/office/drawing/2014/chart" uri="{C3380CC4-5D6E-409C-BE32-E72D297353CC}">
                <c16:uniqueId val="{00000007-FEF9-431C-8359-969BFAA75270}"/>
              </c:ext>
            </c:extLst>
          </c:dPt>
          <c:dLbls>
            <c:dLbl>
              <c:idx val="0"/>
              <c:spPr/>
              <c:txPr>
                <a:bodyPr wrap="square"/>
                <a:lstStyle/>
                <a:p>
                  <a:pPr>
                    <a:defRPr sz="1100" b="1" u="none"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FEF9-431C-8359-969BFAA75270}"/>
                </c:ext>
              </c:extLst>
            </c:dLbl>
            <c:dLbl>
              <c:idx val="1"/>
              <c:spPr/>
              <c:txPr>
                <a:bodyPr wrap="square"/>
                <a:lstStyle/>
                <a:p>
                  <a:pPr>
                    <a:defRPr sz="1100" b="1" u="none"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FEF9-431C-8359-969BFAA75270}"/>
                </c:ext>
              </c:extLst>
            </c:dLbl>
            <c:dLbl>
              <c:idx val="2"/>
              <c:spPr/>
              <c:txPr>
                <a:bodyPr wrap="square"/>
                <a:lstStyle/>
                <a:p>
                  <a:pPr>
                    <a:defRPr sz="1100" b="1" u="none"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FEF9-431C-8359-969BFAA75270}"/>
                </c:ext>
              </c:extLst>
            </c:dLbl>
            <c:dLbl>
              <c:idx val="3"/>
              <c:spPr/>
              <c:txPr>
                <a:bodyPr wrap="square"/>
                <a:lstStyle/>
                <a:p>
                  <a:pPr>
                    <a:defRPr sz="1100" b="1" u="none"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FEF9-431C-8359-969BFAA75270}"/>
                </c:ext>
              </c:extLst>
            </c:dLbl>
            <c:spPr>
              <a:noFill/>
              <a:ln>
                <a:noFill/>
              </a:ln>
              <a:effectLst/>
            </c:spPr>
            <c:txPr>
              <a:bodyPr wrap="square"/>
              <a:lstStyle/>
              <a:p>
                <a:pPr>
                  <a:defRPr sz="1100" b="1" u="none"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FEF9-431C-8359-969BFAA75270}"/>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b"/>
      <c:overlay val="0"/>
      <c:spPr>
        <a:noFill/>
        <a:ln w="0">
          <a:noFill/>
        </a:ln>
      </c:spPr>
      <c:txPr>
        <a:bodyPr/>
        <a:lstStyle/>
        <a:p>
          <a:pPr>
            <a:defRPr sz="1000" b="0" u="none"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rPr>
              <a:t>📈 Calidad Compuesta vs IRR Bull</a:t>
            </a:r>
          </a:p>
        </c:rich>
      </c:tx>
      <c:overlay val="0"/>
      <c:spPr>
        <a:noFill/>
        <a:ln w="0">
          <a:noFill/>
        </a:ln>
      </c:spPr>
    </c:title>
    <c:autoTitleDeleted val="0"/>
    <c:plotArea>
      <c:layout/>
      <c:scatterChart>
        <c:scatterStyle val="lineMarker"/>
        <c:varyColors val="0"/>
        <c:ser>
          <c:idx val="0"/>
          <c:order val="0"/>
          <c:spPr>
            <a:ln w="28440">
              <a:noFill/>
            </a:ln>
          </c:spPr>
          <c:marker>
            <c:symbol val="circle"/>
            <c:size val="10"/>
            <c:spPr>
              <a:solidFill>
                <a:srgbClr val="4F81BD"/>
              </a:solidFill>
            </c:spPr>
          </c:marker>
          <c:dLbls>
            <c:spPr>
              <a:noFill/>
              <a:ln>
                <a:noFill/>
              </a:ln>
              <a:effectLst/>
            </c:spPr>
            <c:txPr>
              <a:bodyPr wrap="square"/>
              <a:lstStyle/>
              <a:p>
                <a:pPr>
                  <a:defRPr sz="900" b="0" u="none"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0.34921257745203937</c:v>
                </c:pt>
                <c:pt idx="1">
                  <c:v>0.10123218193895678</c:v>
                </c:pt>
                <c:pt idx="2">
                  <c:v>0.28735923181267742</c:v>
                </c:pt>
                <c:pt idx="3">
                  <c:v>0.24412109092771805</c:v>
                </c:pt>
                <c:pt idx="4">
                  <c:v>3.2171569978285408E-3</c:v>
                </c:pt>
                <c:pt idx="5">
                  <c:v>0.22537416317838144</c:v>
                </c:pt>
                <c:pt idx="6">
                  <c:v>0.15192557557910069</c:v>
                </c:pt>
                <c:pt idx="7">
                  <c:v>0.32226499873093206</c:v>
                </c:pt>
                <c:pt idx="8">
                  <c:v>0.10925301798657316</c:v>
                </c:pt>
                <c:pt idx="9">
                  <c:v>3.7663330894378566E-2</c:v>
                </c:pt>
                <c:pt idx="10">
                  <c:v>5.6264582021875231E-2</c:v>
                </c:pt>
                <c:pt idx="11">
                  <c:v>0.14991282543667639</c:v>
                </c:pt>
                <c:pt idx="12">
                  <c:v>3.3583587090321831E-2</c:v>
                </c:pt>
                <c:pt idx="13">
                  <c:v>4.874516911010951E-2</c:v>
                </c:pt>
                <c:pt idx="14">
                  <c:v>0.14677261815152964</c:v>
                </c:pt>
              </c:numCache>
            </c:numRef>
          </c:yVal>
          <c:smooth val="0"/>
          <c:extLst>
            <c:ext xmlns:c16="http://schemas.microsoft.com/office/drawing/2014/chart" uri="{C3380CC4-5D6E-409C-BE32-E72D297353CC}">
              <c16:uniqueId val="{00000000-BF7F-4C88-8972-E0430C0D0B8F}"/>
            </c:ext>
          </c:extLst>
        </c:ser>
        <c:dLbls>
          <c:showLegendKey val="0"/>
          <c:showVal val="0"/>
          <c:showCatName val="0"/>
          <c:showSerName val="0"/>
          <c:showPercent val="0"/>
          <c:showBubbleSize val="0"/>
        </c:dLbls>
        <c:axId val="64218646"/>
        <c:axId val="35592020"/>
      </c:scatterChart>
      <c:valAx>
        <c:axId val="64218646"/>
        <c:scaling>
          <c:orientation val="minMax"/>
          <c:min val="5"/>
        </c:scaling>
        <c:delete val="0"/>
        <c:axPos val="b"/>
        <c:majorGridlines>
          <c:spPr>
            <a:ln w="9360">
              <a:solidFill>
                <a:schemeClr val="dk1">
                  <a:lumMod val="15000"/>
                  <a:lumOff val="85000"/>
                </a:schemeClr>
              </a:solidFill>
              <a:round/>
            </a:ln>
          </c:spPr>
        </c:majorGridlines>
        <c:title>
          <c:tx>
            <c:rich>
              <a:bodyPr rot="0"/>
              <a:lstStyle/>
              <a:p>
                <a:pPr>
                  <a:defRPr sz="1300" b="0" u="none" strike="noStrike">
                    <a:uFillTx/>
                    <a:latin typeface="Arial"/>
                  </a:defRPr>
                </a:pPr>
                <a:r>
                  <a:rPr lang="es-ES" sz="1000" b="0" u="none" strike="noStrike">
                    <a:solidFill>
                      <a:schemeClr val="tx1">
                        <a:lumMod val="65000"/>
                        <a:lumOff val="35000"/>
                      </a:schemeClr>
                    </a:solidFill>
                    <a:uFillTx/>
                    <a:latin typeface="Calibri"/>
                  </a:rPr>
                  <a:t>Composite Rating</a:t>
                </a:r>
              </a:p>
            </c:rich>
          </c:tx>
          <c:overlay val="0"/>
          <c:spPr>
            <a:noFill/>
            <a:ln w="0">
              <a:noFill/>
            </a:ln>
          </c:spPr>
        </c:title>
        <c:numFmt formatCode="General" sourceLinked="0"/>
        <c:majorTickMark val="none"/>
        <c:minorTickMark val="none"/>
        <c:tickLblPos val="nextTo"/>
        <c:spPr>
          <a:ln w="9360">
            <a:solidFill>
              <a:schemeClr val="dk1">
                <a:lumMod val="25000"/>
                <a:lumOff val="7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35592020"/>
        <c:crosses val="autoZero"/>
        <c:crossBetween val="midCat"/>
      </c:valAx>
      <c:valAx>
        <c:axId val="35592020"/>
        <c:scaling>
          <c:orientation val="minMax"/>
        </c:scaling>
        <c:delete val="0"/>
        <c:axPos val="l"/>
        <c:majorGridlines>
          <c:spPr>
            <a:ln w="9360">
              <a:solidFill>
                <a:schemeClr val="dk1">
                  <a:lumMod val="15000"/>
                  <a:lumOff val="85000"/>
                </a:schemeClr>
              </a:solidFill>
              <a:round/>
            </a:ln>
          </c:spPr>
        </c:majorGridlines>
        <c:title>
          <c:tx>
            <c:rich>
              <a:bodyPr rot="-5400000"/>
              <a:lstStyle/>
              <a:p>
                <a:pPr>
                  <a:defRPr sz="1300" b="0" u="none" strike="noStrike">
                    <a:uFillTx/>
                    <a:latin typeface="Arial"/>
                  </a:defRPr>
                </a:pPr>
                <a:r>
                  <a:rPr lang="es-ES" sz="1000" b="0" u="none" strike="noStrike">
                    <a:solidFill>
                      <a:schemeClr val="tx1">
                        <a:lumMod val="65000"/>
                        <a:lumOff val="35000"/>
                      </a:schemeClr>
                    </a:solidFill>
                    <a:uFillTx/>
                    <a:latin typeface="Calibri"/>
                  </a:rPr>
                  <a:t>IRR Bull (%)</a:t>
                </a:r>
              </a:p>
            </c:rich>
          </c:tx>
          <c:overlay val="0"/>
          <c:spPr>
            <a:noFill/>
            <a:ln w="0">
              <a:noFill/>
            </a:ln>
          </c:spPr>
        </c:title>
        <c:numFmt formatCode="0.00%" sourceLinked="0"/>
        <c:majorTickMark val="none"/>
        <c:minorTickMark val="none"/>
        <c:tickLblPos val="nextTo"/>
        <c:spPr>
          <a:ln w="9360">
            <a:solidFill>
              <a:schemeClr val="dk1">
                <a:lumMod val="25000"/>
                <a:lumOff val="7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64218646"/>
        <c:crosses val="autoZero"/>
        <c:crossBetween val="midCat"/>
      </c:valAx>
      <c:spPr>
        <a:solidFill>
          <a:srgbClr val="FFFFFF"/>
        </a:solidFill>
        <a:ln w="0">
          <a:noFill/>
        </a:ln>
      </c:spPr>
    </c:plotArea>
    <c:plotVisOnly val="1"/>
    <c:dispBlanksAs val="gap"/>
    <c:showDLblsOverMax val="1"/>
  </c:chart>
  <c:spPr>
    <a:solidFill>
      <a:srgbClr val="FFFFFF"/>
    </a:solidFill>
    <a:ln w="9360">
      <a:solidFill>
        <a:schemeClr val="dk1">
          <a:lumMod val="15000"/>
          <a:lumOff val="85000"/>
        </a:schemeClr>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300" b="1" u="none" strike="noStrike">
                <a:solidFill>
                  <a:schemeClr val="tx1">
                    <a:lumMod val="65000"/>
                    <a:lumOff val="35000"/>
                  </a:schemeClr>
                </a:solidFill>
                <a:uFillTx/>
                <a:latin typeface="Calibri"/>
              </a:rPr>
              <a:t>🏰 MOAT vs Opcionalidad</a:t>
            </a:r>
          </a:p>
        </c:rich>
      </c:tx>
      <c:overlay val="0"/>
      <c:spPr>
        <a:noFill/>
        <a:ln w="0">
          <a:noFill/>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ln>
          </c:spPr>
          <c:invertIfNegative val="0"/>
          <c:dLbls>
            <c:spPr>
              <a:noFill/>
              <a:ln>
                <a:noFill/>
              </a:ln>
              <a:effectLst/>
            </c:spPr>
            <c:txPr>
              <a:bodyPr wrap="square"/>
              <a:lstStyle/>
              <a:p>
                <a:pPr>
                  <a:defRPr sz="1000" b="0" u="none" strike="noStrike">
                    <a:solidFill>
                      <a:srgbClr val="000000"/>
                    </a:solidFill>
                    <a:uFillTx/>
                    <a:latin typeface="Calibri"/>
                  </a:defRPr>
                </a:pPr>
                <a:endParaRPr lang="es-E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6484-420A-8AB0-8588D2540FC9}"/>
            </c:ext>
          </c:extLst>
        </c:ser>
        <c:ser>
          <c:idx val="1"/>
          <c:order val="1"/>
          <c:tx>
            <c:strRef>
              <c:f>Dashboard!$AL$6</c:f>
              <c:strCache>
                <c:ptCount val="1"/>
                <c:pt idx="0">
                  <c:v>Optionality</c:v>
                </c:pt>
              </c:strCache>
            </c:strRef>
          </c:tx>
          <c:spPr>
            <a:solidFill>
              <a:srgbClr val="9C27B0"/>
            </a:solidFill>
            <a:ln w="12600">
              <a:noFill/>
            </a:ln>
          </c:spPr>
          <c:invertIfNegative val="0"/>
          <c:dLbls>
            <c:spPr>
              <a:noFill/>
              <a:ln>
                <a:noFill/>
              </a:ln>
              <a:effectLst/>
            </c:spPr>
            <c:txPr>
              <a:bodyPr wrap="square"/>
              <a:lstStyle/>
              <a:p>
                <a:pPr>
                  <a:defRPr sz="1000" b="0" u="none" strike="noStrike">
                    <a:solidFill>
                      <a:srgbClr val="000000"/>
                    </a:solidFill>
                    <a:uFillTx/>
                    <a:latin typeface="Calibri"/>
                  </a:defRPr>
                </a:pPr>
                <a:endParaRPr lang="es-E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6484-420A-8AB0-8588D2540FC9}"/>
            </c:ext>
          </c:extLst>
        </c:ser>
        <c:dLbls>
          <c:showLegendKey val="0"/>
          <c:showVal val="0"/>
          <c:showCatName val="0"/>
          <c:showSerName val="0"/>
          <c:showPercent val="0"/>
          <c:showBubbleSize val="0"/>
        </c:dLbls>
        <c:gapWidth val="219"/>
        <c:overlap val="-27"/>
        <c:axId val="72428523"/>
        <c:axId val="27289143"/>
      </c:barChart>
      <c:catAx>
        <c:axId val="72428523"/>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27289143"/>
        <c:crosses val="autoZero"/>
        <c:auto val="1"/>
        <c:lblAlgn val="ctr"/>
        <c:lblOffset val="100"/>
        <c:noMultiLvlLbl val="0"/>
      </c:catAx>
      <c:valAx>
        <c:axId val="27289143"/>
        <c:scaling>
          <c:orientation val="minMax"/>
        </c:scaling>
        <c:delete val="0"/>
        <c:axPos val="l"/>
        <c:majorGridlines>
          <c:spPr>
            <a:ln w="9360">
              <a:solidFill>
                <a:schemeClr val="dk1">
                  <a:lumMod val="15000"/>
                  <a:lumOff val="85000"/>
                </a:schemeClr>
              </a:solidFill>
              <a:round/>
            </a:ln>
          </c:spPr>
        </c:majorGridlines>
        <c:numFmt formatCode="General"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endParaRPr lang="es-ES"/>
          </a:p>
        </c:txPr>
        <c:crossAx val="72428523"/>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300" b="1" u="none" strike="noStrike">
                <a:solidFill>
                  <a:schemeClr val="tx1">
                    <a:lumMod val="65000"/>
                    <a:lumOff val="35000"/>
                  </a:schemeClr>
                </a:solidFill>
                <a:uFillTx/>
                <a:latin typeface="Calibri"/>
              </a:rPr>
              <a:t>📊 Asimetría: IRR Bear vs Bull</a:t>
            </a:r>
          </a:p>
        </c:rich>
      </c:tx>
      <c:overlay val="0"/>
      <c:spPr>
        <a:noFill/>
        <a:ln w="0">
          <a:noFill/>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ln>
          </c:spPr>
          <c:invertIfNegative val="0"/>
          <c:dLbls>
            <c:spPr>
              <a:noFill/>
              <a:ln>
                <a:noFill/>
              </a:ln>
              <a:effectLst/>
            </c:spPr>
            <c:txPr>
              <a:bodyPr wrap="square"/>
              <a:lstStyle/>
              <a:p>
                <a:pPr>
                  <a:defRPr sz="1000" b="0" u="none" strike="noStrike">
                    <a:solidFill>
                      <a:srgbClr val="000000"/>
                    </a:solidFill>
                    <a:uFillTx/>
                    <a:latin typeface="Calibri"/>
                  </a:defRPr>
                </a:pPr>
                <a:endParaRPr lang="es-E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5C8A-457B-9EB0-746102D62D9F}"/>
            </c:ext>
          </c:extLst>
        </c:ser>
        <c:ser>
          <c:idx val="1"/>
          <c:order val="1"/>
          <c:tx>
            <c:strRef>
              <c:f>Dashboard!$AQ$6</c:f>
              <c:strCache>
                <c:ptCount val="1"/>
                <c:pt idx="0">
                  <c:v>IRR Bull %</c:v>
                </c:pt>
              </c:strCache>
            </c:strRef>
          </c:tx>
          <c:spPr>
            <a:solidFill>
              <a:srgbClr val="388E3C"/>
            </a:solidFill>
            <a:ln w="12600">
              <a:noFill/>
            </a:ln>
          </c:spPr>
          <c:invertIfNegative val="0"/>
          <c:dLbls>
            <c:spPr>
              <a:noFill/>
              <a:ln>
                <a:noFill/>
              </a:ln>
              <a:effectLst/>
            </c:spPr>
            <c:txPr>
              <a:bodyPr wrap="square"/>
              <a:lstStyle/>
              <a:p>
                <a:pPr>
                  <a:defRPr sz="1000" b="0" u="none" strike="noStrike">
                    <a:solidFill>
                      <a:srgbClr val="000000"/>
                    </a:solidFill>
                    <a:uFillTx/>
                    <a:latin typeface="Calibri"/>
                  </a:defRPr>
                </a:pPr>
                <a:endParaRPr lang="es-E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5C8A-457B-9EB0-746102D62D9F}"/>
            </c:ext>
          </c:extLst>
        </c:ser>
        <c:dLbls>
          <c:showLegendKey val="0"/>
          <c:showVal val="0"/>
          <c:showCatName val="0"/>
          <c:showSerName val="0"/>
          <c:showPercent val="0"/>
          <c:showBubbleSize val="0"/>
        </c:dLbls>
        <c:gapWidth val="219"/>
        <c:overlap val="-27"/>
        <c:axId val="835553"/>
        <c:axId val="96965106"/>
      </c:barChart>
      <c:catAx>
        <c:axId val="835553"/>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96965106"/>
        <c:crosses val="autoZero"/>
        <c:auto val="1"/>
        <c:lblAlgn val="ctr"/>
        <c:lblOffset val="100"/>
        <c:noMultiLvlLbl val="0"/>
      </c:catAx>
      <c:valAx>
        <c:axId val="96965106"/>
        <c:scaling>
          <c:orientation val="minMax"/>
        </c:scaling>
        <c:delete val="0"/>
        <c:axPos val="l"/>
        <c:majorGridlines>
          <c:spPr>
            <a:ln w="9360">
              <a:solidFill>
                <a:schemeClr val="dk1">
                  <a:lumMod val="15000"/>
                  <a:lumOff val="85000"/>
                </a:schemeClr>
              </a:solidFill>
              <a:round/>
            </a:ln>
          </c:spPr>
        </c:majorGridlines>
        <c:numFmt formatCode="General"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endParaRPr lang="es-ES"/>
          </a:p>
        </c:txPr>
        <c:crossAx val="835553"/>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n-US" sz="1400" b="1" u="none" strike="noStrike">
                <a:solidFill>
                  <a:srgbClr val="1565C0"/>
                </a:solidFill>
                <a:uFillTx/>
                <a:latin typeface="Calibri"/>
              </a:rPr>
              <a:t>📈 EV/FCF vs IRR Bull (%)</a:t>
            </a:r>
          </a:p>
        </c:rich>
      </c:tx>
      <c:overlay val="0"/>
      <c:spPr>
        <a:noFill/>
        <a:ln w="0">
          <a:noFill/>
        </a:ln>
      </c:spPr>
    </c:title>
    <c:autoTitleDeleted val="0"/>
    <c:plotArea>
      <c:layout/>
      <c:scatterChart>
        <c:scatterStyle val="lineMarker"/>
        <c:varyColors val="0"/>
        <c:ser>
          <c:idx val="0"/>
          <c:order val="0"/>
          <c:spPr>
            <a:ln w="28440">
              <a:noFill/>
            </a:ln>
          </c:spPr>
          <c:marker>
            <c:symbol val="circle"/>
            <c:size val="10"/>
            <c:spPr>
              <a:solidFill>
                <a:srgbClr val="1565C0"/>
              </a:solidFill>
            </c:spPr>
          </c:marker>
          <c:dLbls>
            <c:spPr>
              <a:noFill/>
              <a:ln>
                <a:noFill/>
              </a:ln>
              <a:effectLst/>
            </c:spPr>
            <c:txPr>
              <a:bodyPr wrap="square"/>
              <a:lstStyle/>
              <a:p>
                <a:pPr>
                  <a:defRPr sz="1000" b="0" u="none" strike="noStrike">
                    <a:solidFill>
                      <a:srgbClr val="000000"/>
                    </a:solidFill>
                    <a:uFillTx/>
                    <a:latin typeface="Calibri"/>
                  </a:defRPr>
                </a:pPr>
                <a:endParaRPr lang="es-E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2D7B-49A6-9591-D35FF6BEB3A0}"/>
            </c:ext>
          </c:extLst>
        </c:ser>
        <c:dLbls>
          <c:showLegendKey val="0"/>
          <c:showVal val="0"/>
          <c:showCatName val="0"/>
          <c:showSerName val="0"/>
          <c:showPercent val="0"/>
          <c:showBubbleSize val="0"/>
        </c:dLbls>
        <c:axId val="1660705"/>
        <c:axId val="27656849"/>
      </c:scatterChart>
      <c:valAx>
        <c:axId val="1660705"/>
        <c:scaling>
          <c:orientation val="minMax"/>
        </c:scaling>
        <c:delete val="0"/>
        <c:axPos val="b"/>
        <c:majorGridlines>
          <c:spPr>
            <a:ln w="9360">
              <a:solidFill>
                <a:schemeClr val="dk1">
                  <a:lumMod val="15000"/>
                  <a:lumOff val="85000"/>
                </a:schemeClr>
              </a:solidFill>
              <a:round/>
            </a:ln>
          </c:spPr>
        </c:majorGridlines>
        <c:title>
          <c:tx>
            <c:rich>
              <a:bodyPr rot="0"/>
              <a:lstStyle/>
              <a:p>
                <a:pPr>
                  <a:defRPr sz="1300" b="0" u="none" strike="noStrike">
                    <a:uFillTx/>
                    <a:latin typeface="Arial"/>
                  </a:defRPr>
                </a:pPr>
                <a:r>
                  <a:rPr lang="es-ES" sz="1000" b="0" u="none" strike="noStrike">
                    <a:solidFill>
                      <a:schemeClr val="tx1">
                        <a:lumMod val="65000"/>
                        <a:lumOff val="35000"/>
                      </a:schemeClr>
                    </a:solidFill>
                    <a:uFillTx/>
                    <a:latin typeface="Calibri"/>
                  </a:rPr>
                  <a:t>EV/FCF (x)</a:t>
                </a:r>
              </a:p>
            </c:rich>
          </c:tx>
          <c:overlay val="0"/>
          <c:spPr>
            <a:noFill/>
            <a:ln w="0">
              <a:noFill/>
            </a:ln>
          </c:spPr>
        </c:title>
        <c:numFmt formatCode="General" sourceLinked="0"/>
        <c:majorTickMark val="none"/>
        <c:minorTickMark val="none"/>
        <c:tickLblPos val="nextTo"/>
        <c:spPr>
          <a:ln w="9360">
            <a:solidFill>
              <a:schemeClr val="dk1">
                <a:lumMod val="25000"/>
                <a:lumOff val="7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27656849"/>
        <c:crosses val="autoZero"/>
        <c:crossBetween val="midCat"/>
      </c:valAx>
      <c:valAx>
        <c:axId val="27656849"/>
        <c:scaling>
          <c:orientation val="minMax"/>
        </c:scaling>
        <c:delete val="0"/>
        <c:axPos val="l"/>
        <c:majorGridlines>
          <c:spPr>
            <a:ln w="9360">
              <a:solidFill>
                <a:schemeClr val="dk1">
                  <a:lumMod val="15000"/>
                  <a:lumOff val="85000"/>
                </a:schemeClr>
              </a:solidFill>
              <a:round/>
            </a:ln>
          </c:spPr>
        </c:majorGridlines>
        <c:title>
          <c:tx>
            <c:rich>
              <a:bodyPr rot="-5400000"/>
              <a:lstStyle/>
              <a:p>
                <a:pPr>
                  <a:defRPr sz="1300" b="0" u="none" strike="noStrike">
                    <a:uFillTx/>
                    <a:latin typeface="Arial"/>
                  </a:defRPr>
                </a:pPr>
                <a:r>
                  <a:rPr lang="es-ES" sz="1000" b="0" u="none" strike="noStrike">
                    <a:solidFill>
                      <a:schemeClr val="tx1">
                        <a:lumMod val="65000"/>
                        <a:lumOff val="35000"/>
                      </a:schemeClr>
                    </a:solidFill>
                    <a:uFillTx/>
                    <a:latin typeface="Calibri"/>
                  </a:rPr>
                  <a:t>IRR Bull (%)</a:t>
                </a:r>
              </a:p>
            </c:rich>
          </c:tx>
          <c:overlay val="0"/>
          <c:spPr>
            <a:noFill/>
            <a:ln w="0">
              <a:noFill/>
            </a:ln>
          </c:spPr>
        </c:title>
        <c:numFmt formatCode="General" sourceLinked="0"/>
        <c:majorTickMark val="none"/>
        <c:minorTickMark val="none"/>
        <c:tickLblPos val="nextTo"/>
        <c:spPr>
          <a:ln w="9360">
            <a:solidFill>
              <a:schemeClr val="dk1">
                <a:lumMod val="25000"/>
                <a:lumOff val="75000"/>
              </a:schemeClr>
            </a:solidFill>
            <a:round/>
          </a:ln>
        </c:spPr>
        <c:txPr>
          <a:bodyPr/>
          <a:lstStyle/>
          <a:p>
            <a:pPr>
              <a:defRPr sz="900" b="0" u="none" strike="noStrike">
                <a:solidFill>
                  <a:schemeClr val="tx1">
                    <a:lumMod val="65000"/>
                    <a:lumOff val="35000"/>
                  </a:schemeClr>
                </a:solidFill>
                <a:uFillTx/>
                <a:latin typeface="Calibri"/>
              </a:defRPr>
            </a:pPr>
            <a:endParaRPr lang="es-ES"/>
          </a:p>
        </c:txPr>
        <c:crossAx val="1660705"/>
        <c:crosses val="autoZero"/>
        <c:crossBetween val="midCat"/>
      </c:valAx>
      <c:spPr>
        <a:solidFill>
          <a:srgbClr val="FFFFFF"/>
        </a:solidFill>
        <a:ln w="0">
          <a:noFill/>
        </a:ln>
      </c:spPr>
    </c:plotArea>
    <c:plotVisOnly val="1"/>
    <c:dispBlanksAs val="gap"/>
    <c:showDLblsOverMax val="1"/>
  </c:chart>
  <c:spPr>
    <a:solidFill>
      <a:srgbClr val="FFFFFF"/>
    </a:solidFill>
    <a:ln w="9360">
      <a:solidFill>
        <a:schemeClr val="dk1">
          <a:lumMod val="15000"/>
          <a:lumOff val="85000"/>
        </a:schemeClr>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40320</xdr:colOff>
      <xdr:row>39</xdr:row>
      <xdr:rowOff>37080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78480</xdr:colOff>
      <xdr:row>40</xdr:row>
      <xdr:rowOff>65880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11880</xdr:colOff>
      <xdr:row>65</xdr:row>
      <xdr:rowOff>8640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354960</xdr:colOff>
      <xdr:row>65</xdr:row>
      <xdr:rowOff>8640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931680</xdr:colOff>
      <xdr:row>57</xdr:row>
      <xdr:rowOff>52200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156.4</v>
    <v>0.96079999999999999</v>
    <v>4.9800000000000004</v>
    <v>9.3090000000000002E-4</v>
    <v>3.1892000000000004E-2</v>
    <v>0.15</v>
    <v>26317507917</v>
    <v>156.15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46136.999378032029</v>
    <v>New York Stock Exchange</v>
    <v>0</v>
    <v>161.16999999999999</v>
    <v>310.5</v>
    <v>155.63</v>
    <v>148.05000000000001</v>
    <v>USD</v>
    <v>VEEVA SYSTEMS INC.</v>
    <v>VEEVA SYSTEMS INC.</v>
    <v>28.633299999999998</v>
    <v>161.13</v>
    <v>161.28</v>
    <v>Healthcare Equipment &amp; Supplies</v>
    <v>4280 Hacienda Drive, PLEASANTON, CA, 94588 US</v>
    <v>VEEV</v>
    <v>Acciones</v>
    <v>VEEVA SYSTEMS INC. (XNYS:VEEV)</v>
    <v>1625199</v>
    <v>2171101</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416.97</v>
    <v>1.1322000000000001</v>
    <v>8.8699999999999992</v>
    <v>-1.8599999999999999E-3</v>
    <v>2.1335000000000003E-2</v>
    <v>-0.79</v>
    <v>3153070585980</v>
    <v>415.75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46136.99999488359</v>
    <v>6</v>
    <v>Nasdaq Stock Market</v>
    <v>7</v>
    <v>424.95</v>
    <v>555.45000000000005</v>
    <v>415.8</v>
    <v>356.28</v>
    <v>USD</v>
    <v>MICROSOFT CORPORATION</v>
    <v>MICROSOFT CORPORATION</v>
    <v>26.012899999999998</v>
    <v>424.62</v>
    <v>423.83</v>
    <v>Software &amp; IT Services</v>
    <v>One Microsoft Way, REDMOND, WA, 98052 US</v>
    <v>MSFT</v>
    <v>Acciones</v>
    <v>MICROSOFT CORPORATION (XNAS:MSFT)</v>
    <v>27457404</v>
    <v>34516265</v>
  </rv>
  <rv s="2">
    <v>8</v>
  </rv>
  <rv s="0">
    <v>https://www.bing.com/financeapi/forcetrigger?t=b1ao52&amp;q=XAMS%3aADYEN&amp;form=skydnc</v>
    <v>Learn more on Bing</v>
  </rv>
  <rv s="6">
    <v>es-ES</v>
    <v>b1ao52</v>
    <v>268435456</v>
    <v>1</v>
    <v>Con tecnología de Refinitiv</v>
    <v>12</v>
    <v>13</v>
    <v>Adyen NV (XAMS:ADYEN)</v>
    <v>3</v>
    <v>14</v>
    <v>Finance</v>
    <v>15</v>
    <v>XAMS</v>
    <v>31547680</v>
    <v>2006</v>
    <v>978.5</v>
    <v>2.4258000000000002</v>
    <v>44.5</v>
    <v>4.7819E-2</v>
    <v>44081990000</v>
    <v>930.6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46136.666666666664</v>
    <v>Euronext Amsterdam</v>
    <v>10</v>
    <v>1017.8</v>
    <v>1750.4</v>
    <v>937</v>
    <v>824.4</v>
    <v>EUR</v>
    <v>Adyen NV</v>
    <v>Adyen NV</v>
    <v>27.6</v>
    <v>975.1</v>
    <v>Financial Technology (Fintech) &amp; Infrastructure</v>
    <v>Simon Carmiggeltstraat 6-50, AMSTERDAM, NOORD-HOLLAND, 1011DJ NL</v>
    <v>ADYEN</v>
    <v>Acciones</v>
    <v>Adyen NV (XAMS:ADYEN)</v>
    <v>251985</v>
    <v>127610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45.4</v>
    <v>1.5784</v>
    <v>0.12</v>
    <v>4.3979999999999996E-4</v>
    <v>2.6459999999999999E-3</v>
    <v>0.02</v>
    <v>111465885959</v>
    <v>45.36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46136.980929421094</v>
    <v>New York Stock Exchange</v>
    <v>13</v>
    <v>45.62</v>
    <v>49.564999999999998</v>
    <v>44.905000000000001</v>
    <v>34.136699999999998</v>
    <v>USD</v>
    <v>Brookfield Corporation</v>
    <v>Brookfield Corporation</v>
    <v>98.456699999999998</v>
    <v>45.48</v>
    <v>45.5</v>
    <v>Investment Banking &amp; Investment Services</v>
    <v>Suite 100, Brookfield Place, 181 Bay Street, M5J 2T3 CA</v>
    <v>BN</v>
    <v>Acciones</v>
    <v>Brookfield Corporation (XNYS:BN)</v>
    <v>3292459</v>
    <v>5966585</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1012</v>
    <v>0.92149999999999999</v>
    <v>-3.23</v>
    <v>-1.483E-4</v>
    <v>-3.1840000000000002E-3</v>
    <v>-0.15</v>
    <v>448599225375</v>
    <v>1014.38</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46136.999756944446</v>
    <v>Nasdaq Stock Market</v>
    <v>16</v>
    <v>1013.45</v>
    <v>1067.08</v>
    <v>1002.5</v>
    <v>844.06</v>
    <v>USD</v>
    <v>COSTCO WHOLESALE CORPORATION</v>
    <v>COSTCO WHOLESALE CORPORATION</v>
    <v>52.754899999999999</v>
    <v>1011.15</v>
    <v>1011</v>
    <v>Diversified Retail</v>
    <v>999 Lake Dr, ISSAQUAH, WA, 98027- US</v>
    <v>COST</v>
    <v>Acciones</v>
    <v>COSTCO WHOLESALE CORPORATION (XNAS:COST)</v>
    <v>1695617</v>
    <v>1775567</v>
  </rv>
  <rv s="2">
    <v>17</v>
  </rv>
  <rv s="0">
    <v>https://www.bing.com/financeapi/forcetrigger?t=a1rb5r&amp;q=XNAS%3aDSGX&amp;form=skydnc</v>
    <v>Learn more on Bing</v>
  </rv>
  <rv s="1">
    <v>es-ES</v>
    <v>a1rb5r</v>
    <v>268435456</v>
    <v>1</v>
    <v>Con tecnología de Refinitiv</v>
    <v>0</v>
    <v>1</v>
    <v>The Descartes Systems Group Inc. (XNAS:DSGX)</v>
    <v>3</v>
    <v>16</v>
    <v>Finance</v>
    <v>5</v>
    <v>XNAS</v>
    <v>86020600</v>
    <v>2023</v>
    <v>72.67</v>
    <v>0.18010000000000001</v>
    <v>-0.3</v>
    <v>-1.4721999999999999E-2</v>
    <v>-4.1489999999999999E-3</v>
    <v>-1.06</v>
    <v>10503770000</v>
    <v>72.3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46136.928731642969</v>
    <v>Nasdaq Stock Market</v>
    <v>19</v>
    <v>73.069999999999993</v>
    <v>117.35</v>
    <v>70.680000000000007</v>
    <v>62.555</v>
    <v>USD</v>
    <v>The Descartes Systems Group Inc.</v>
    <v>The Descartes Systems Group Inc.</v>
    <v>38.666200000000003</v>
    <v>72</v>
    <v>70.94</v>
    <v>Software &amp; IT Services</v>
    <v>120 Randall Drive, WATERLOO, ON, N2V 1C6 CA</v>
    <v>DSGX</v>
    <v>Acciones</v>
    <v>The Descartes Systems Group Inc. (XNAS:DSGX)</v>
    <v>432987</v>
    <v>592760</v>
  </rv>
  <rv s="2">
    <v>20</v>
  </rv>
  <rv s="0">
    <v>https://www.bing.com/financeapi/forcetrigger?t=afjdk2&amp;q=XFRA%3aRAA&amp;form=skydnc</v>
    <v>Learn more on Bing</v>
  </rv>
  <rv s="6">
    <v>es-ES</v>
    <v>afjdk2</v>
    <v>268435456</v>
    <v>1</v>
    <v>Con tecnología de Refinitiv</v>
    <v>12</v>
    <v>13</v>
    <v>Rational (XFRA:RAA)</v>
    <v>3</v>
    <v>14</v>
    <v>Finance</v>
    <v>15</v>
    <v>XFRA</v>
    <v>11370000</v>
    <v>1999</v>
    <v>656.5</v>
    <v>1.3847</v>
    <v>-4</v>
    <v>-6.0329999999999993E-3</v>
    <v>7691805000</v>
    <v>663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46136.836805555555</v>
    <v>Deutsche Boerse AG</v>
    <v>22</v>
    <v>659</v>
    <v>1028</v>
    <v>656.5</v>
    <v>388.4</v>
    <v>EUR</v>
    <v>Rational</v>
    <v>Rational</v>
    <v>29.77</v>
    <v>659</v>
    <v>Household Goods</v>
    <v>Siegfried-Meister-Strasse 1, BAYERN, 86899 DE</v>
    <v>RAA</v>
    <v>Acciones</v>
    <v>Rational (XFRA:RAA)</v>
    <v>124</v>
    <v>10450</v>
  </rv>
  <rv s="2">
    <v>23</v>
  </rv>
  <rv s="0">
    <v>https://www.bing.com/financeapi/forcetrigger?t=azbtyc&amp;q=XNAS%3aZS&amp;form=skydnc</v>
    <v>Learn more on Bing</v>
  </rv>
  <rv s="1">
    <v>es-ES</v>
    <v>azbtyc</v>
    <v>268435456</v>
    <v>1</v>
    <v>Con tecnología de Refinitiv</v>
    <v>0</v>
    <v>1</v>
    <v>ZSCALER, INC. (XNAS:ZS)</v>
    <v>3</v>
    <v>4</v>
    <v>Finance</v>
    <v>5</v>
    <v>XNAS</v>
    <v>160790700</v>
    <v>2007</v>
    <v>133.32</v>
    <v>1.0004999999999999</v>
    <v>2.5299999999999998</v>
    <v>-2.6570000000000001E-3</v>
    <v>1.9027000000000002E-2</v>
    <v>-0.36</v>
    <v>21787139850</v>
    <v>132.97</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46136.99976143516</v>
    <v>Nasdaq Stock Market</v>
    <v>25</v>
    <v>135.69999999999999</v>
    <v>336.99</v>
    <v>130.41999999999999</v>
    <v>114.625</v>
    <v>USD</v>
    <v>ZSCALER, INC.</v>
    <v>ZSCALER, INC.</v>
    <v>0</v>
    <v>135.5</v>
    <v>135.13999999999999</v>
    <v>Software &amp; IT Services</v>
    <v>120 Holger Way, SAN JOSE, CA, 95134 US</v>
    <v>ZS</v>
    <v>Acciones</v>
    <v>ZSCALER, INC. (XNAS:ZS)</v>
    <v>2319038</v>
    <v>3016264</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43.4</v>
    <v>0.24809999999999999</v>
    <v>-1.1200000000000001</v>
    <v>-2.5449000000000003E-2</v>
    <v>12921970000000</v>
    <v>44.01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46136.836805555555</v>
    <v>Deutsche Boerse AG</v>
    <v>28</v>
    <v>43.4</v>
    <v>546.1</v>
    <v>42.134999999999998</v>
    <v>34.6</v>
    <v>EUR</v>
    <v>Nintendo Co., Ltd.</v>
    <v>Nintendo Co., Ltd.</v>
    <v>23.96</v>
    <v>42.89</v>
    <v>Leisure Products</v>
    <v>11-1, Kamitoba Hokotate-cho, Minami-ku, KYOTO-SHI, KYOTO-FU, 601-8501 JP</v>
    <v>NTO</v>
    <v>Acciones</v>
    <v>Nintendo Co., Ltd. (XFRA:NTO)</v>
    <v>8360</v>
    <v>8605220</v>
  </rv>
  <rv s="2">
    <v>29</v>
  </rv>
  <rv s="0">
    <v>https://www.bing.com/financeapi/forcetrigger?t=a1nhlh&amp;q=XNAS%3aAMZN&amp;form=skydnc</v>
    <v>Learn more on Bing</v>
  </rv>
  <rv s="1">
    <v>es-ES</v>
    <v>a1nhlh</v>
    <v>268435456</v>
    <v>1</v>
    <v>Con tecnología de Refinitiv</v>
    <v>0</v>
    <v>1</v>
    <v>AMAZON.COM, INC. (XNAS:AMZN)</v>
    <v>3</v>
    <v>4</v>
    <v>Finance</v>
    <v>5</v>
    <v>XNAS</v>
    <v>10754390000</v>
    <v>1996</v>
    <v>259.98</v>
    <v>1.4643999999999999</v>
    <v>8.91</v>
    <v>8.7120000000000003E-4</v>
    <v>3.4929999999999996E-2</v>
    <v>0.23</v>
    <v>2839051416100</v>
    <v>255.08</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46136.99999747656</v>
    <v>Nasdaq Stock Market</v>
    <v>31</v>
    <v>264.5</v>
    <v>264.5</v>
    <v>257.685</v>
    <v>178.85</v>
    <v>USD</v>
    <v>AMAZON.COM, INC.</v>
    <v>AMAZON.COM, INC.</v>
    <v>35.564900000000002</v>
    <v>263.99</v>
    <v>264.22000000000003</v>
    <v>Diversified Retail</v>
    <v>410 Terry Avenue North, SEATTLE, WA, 98109 US</v>
    <v>AMZN</v>
    <v>Acciones</v>
    <v>AMAZON.COM, INC. (XNAS:AMZN)</v>
    <v>53777353</v>
    <v>45521357</v>
  </rv>
  <rv s="2">
    <v>32</v>
  </rv>
  <rv s="0">
    <v>https://www.bing.com/financeapi/forcetrigger?t=aea5k2&amp;q=XPAR%3aSU&amp;form=skydnc</v>
    <v>Learn more on Bing</v>
  </rv>
  <rv s="6">
    <v>es-ES</v>
    <v>aea5k2</v>
    <v>268435456</v>
    <v>1</v>
    <v>Con tecnología de Refinitiv</v>
    <v>12</v>
    <v>13</v>
    <v>Schneider Electric SE (XPAR:SU)</v>
    <v>3</v>
    <v>14</v>
    <v>Finance</v>
    <v>15</v>
    <v>XPAR</v>
    <v>577122500</v>
    <v>1988</v>
    <v>271.89999999999998</v>
    <v>1.4217</v>
    <v>1.1499999999999999</v>
    <v>4.1840000000000002E-3</v>
    <v>137614900000</v>
    <v>274.85000000000002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46136.666666666664</v>
    <v>Euronext Paris</v>
    <v>34</v>
    <v>276.64999999999998</v>
    <v>281.5</v>
    <v>269.35000000000002</v>
    <v>195.32</v>
    <v>EUR</v>
    <v>Schneider Electric SE</v>
    <v>Schneider Electric SE</v>
    <v>37.122799999999998</v>
    <v>276</v>
    <v>Machinery, Equipment &amp; Components</v>
    <v>35 rue Joseph Monier, RUEIL-MALMAISON, ILE-DE-FRANCE, 92500 FR</v>
    <v>SU</v>
    <v>Acciones</v>
    <v>Schneider Electric SE (XPAR:SU)</v>
    <v>710066</v>
    <v>915240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52.76</v>
    <v>1.1753</v>
    <v>-0.96</v>
    <v>-0.37404899999999996</v>
    <v>-1.7937000000000002E-2</v>
    <v>-19.66</v>
    <v>178023200000</v>
    <v>53.52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46136.666666666664</v>
    <v>Bolsas y Mercados Espanoles</v>
    <v>37</v>
    <v>53.22</v>
    <v>58.28</v>
    <v>52.14</v>
    <v>40.799999999999997</v>
    <v>EUR</v>
    <v>Industria de Diseño Textil, S.A.</v>
    <v>Industria de Diseño Textil, S.A.</v>
    <v>26.334</v>
    <v>52.56</v>
    <v>32.9</v>
    <v>Specialty Retailers</v>
    <v>Edificio Inditex, Avda. Diputacion, s/n, ARTEIXO, LA CORUNA, 15143 ES</v>
    <v>ITX</v>
    <v>Acciones</v>
    <v>Industria de Diseño Textil, S.A. (BMEX:ITX)</v>
    <v>1674165</v>
    <v>1771500</v>
  </rv>
  <rv s="2">
    <v>38</v>
  </rv>
  <rv s="0">
    <v>https://www.bing.com/financeapi/forcetrigger?t=aaq652&amp;q=XBRU%3aLOTB&amp;form=skydnc</v>
    <v>Learn more on Bing</v>
  </rv>
  <rv s="6">
    <v>es-ES</v>
    <v>aaq652</v>
    <v>268435456</v>
    <v>1</v>
    <v>Con tecnología de Refinitiv</v>
    <v>12</v>
    <v>13</v>
    <v>Lotus Bakeries (XBRU:LOTB)</v>
    <v>3</v>
    <v>14</v>
    <v>Finance</v>
    <v>15</v>
    <v>XBRU</v>
    <v>816010</v>
    <v>1934</v>
    <v>10100</v>
    <v>0.81840000000000002</v>
    <v>-80</v>
    <v>-7.9050000000000006E-3</v>
    <v>7442039000</v>
    <v>10120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46136.666666666664</v>
    <v>Euronext Brussels</v>
    <v>40</v>
    <v>10120</v>
    <v>10820</v>
    <v>9940</v>
    <v>7230</v>
    <v>EUR</v>
    <v>Lotus Bakeries</v>
    <v>Lotus Bakeries</v>
    <v>47.721499999999999</v>
    <v>10040</v>
    <v>Food &amp; Tobacco</v>
    <v>Gentstraat 1, 9971 BE</v>
    <v>LOTB</v>
    <v>Acciones</v>
    <v>Lotus Bakeries (XBRU:LOTB)</v>
    <v>565</v>
    <v>490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4403</v>
    <v>1.2058</v>
    <v>-17</v>
    <v>-3.8250000000000003E-3</v>
    <v>13796310000</v>
    <v>4445</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46136.658773148149</v>
    <v>London Stock Exchange</v>
    <v>43</v>
    <v>4461</v>
    <v>4579.5</v>
    <v>4384</v>
    <v>2612</v>
    <v>GBp</v>
    <v>HALMA PUBLIC LIMITED COMPANY</v>
    <v>HALMA PUBLIC LIMITED COMPANY</v>
    <v>48.3994</v>
    <v>4428</v>
    <v>Electronic Equipment &amp; Parts</v>
    <v>MISBOURNE COURT RECTORY WAY, BUCKINGHAMSHIRE, HP7 0DE GB</v>
    <v>HLMA</v>
    <v>Acciones</v>
    <v>HALMA PUBLIC LIMITED COMPANY (XLON:HLMA)</v>
    <v>482351</v>
    <v>1028280</v>
  </rv>
  <rv s="2">
    <v>44</v>
  </rv>
  <rv s="0">
    <v>https://www.bing.com/financeapi/forcetrigger?t=a1svnm&amp;q=XNYS%3aFICO&amp;form=skydnc</v>
    <v>Learn more on Bing</v>
  </rv>
  <rv s="1">
    <v>es-ES</v>
    <v>a1svnm</v>
    <v>268435456</v>
    <v>1</v>
    <v>Con tecnología de Refinitiv</v>
    <v>0</v>
    <v>1</v>
    <v>FAIR ISAAC CORPORATION (XNYS:FICO)</v>
    <v>3</v>
    <v>4</v>
    <v>Finance</v>
    <v>5</v>
    <v>XNYS</v>
    <v>23722130</v>
    <v>1987</v>
    <v>970.15</v>
    <v>1.2324999999999999</v>
    <v>24.96</v>
    <v>-1.712E-3</v>
    <v>2.5476000000000002E-2</v>
    <v>-1.72</v>
    <v>23834098453</v>
    <v>979.76</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46136.998590115625</v>
    <v>New York Stock Exchange</v>
    <v>46</v>
    <v>1010.9</v>
    <v>2217.6</v>
    <v>966</v>
    <v>870.01</v>
    <v>USD</v>
    <v>FAIR ISAAC CORPORATION</v>
    <v>FAIR ISAAC CORPORATION</v>
    <v>36.270499999999998</v>
    <v>1004.72</v>
    <v>1003</v>
    <v>Software &amp; IT Services</v>
    <v>5 West Mendenhall, Suites 105, BOZEMAN, MT, 59715 US</v>
    <v>FICO</v>
    <v>Acciones</v>
    <v>FAIR ISAAC CORPORATION (XNYS:FICO)</v>
    <v>311473</v>
    <v>410436</v>
  </rv>
  <rv s="2">
    <v>47</v>
  </rv>
  <rv s="0">
    <v>https://www.bing.com/financeapi/forcetrigger?t=amwtu2&amp;q=XSTO%3aLIFCO+B&amp;form=skydnc</v>
    <v>Learn more on Bing</v>
  </rv>
  <rv s="6">
    <v>es-ES</v>
    <v>amwtu2</v>
    <v>268435456</v>
    <v>1</v>
    <v>Con tecnología de Refinitiv</v>
    <v>12</v>
    <v>13</v>
    <v>Lifco (XSTO:LIFCO B)</v>
    <v>3</v>
    <v>22</v>
    <v>Finance</v>
    <v>23</v>
    <v>XSTO</v>
    <v>423836500</v>
    <v>1993</v>
    <v>312.2</v>
    <v>1.3856999999999999</v>
    <v>-11</v>
    <v>-3.4875999999999997E-2</v>
    <v>140205100000</v>
    <v>315.39999999999998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46136.666666666664</v>
    <v>NASDAQ Stockholm</v>
    <v>49</v>
    <v>312.2</v>
    <v>956.5</v>
    <v>300.8</v>
    <v>140.30000000000001</v>
    <v>SEK</v>
    <v>Lifco</v>
    <v>Lifco</v>
    <v>39.43</v>
    <v>304.39999999999998</v>
    <v>Consumer Goods Conglomerates</v>
    <v>Verkmastaregatan 1, UPPSALA, 745 85 SE</v>
    <v>LIFCO B</v>
    <v>Acciones</v>
    <v>Lifco (XSTO:LIFCO B)</v>
    <v>1621346</v>
    <v>885130</v>
  </rv>
  <rv s="2">
    <v>50</v>
  </rv>
  <rv s="0">
    <v>https://www.bing.com/financeapi/forcetrigger?t=af9n8m&amp;q=XFRA%3aEVD&amp;form=skydnc</v>
    <v>Learn more on Bing</v>
  </rv>
  <rv s="6">
    <v>es-ES</v>
    <v>af9n8m</v>
    <v>268435456</v>
    <v>1</v>
    <v>Con tecnología de Refinitiv</v>
    <v>12</v>
    <v>13</v>
    <v>Eventim (XFRA:EVD)</v>
    <v>3</v>
    <v>14</v>
    <v>Finance</v>
    <v>15</v>
    <v>XFRA</v>
    <v>96000000</v>
    <v>2014</v>
    <v>57.55</v>
    <v>1.3466</v>
    <v>0.6</v>
    <v>1.039E-2</v>
    <v>7502400000</v>
    <v>57.75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46136.836805555555</v>
    <v>Deutsche Boerse AG</v>
    <v>52</v>
    <v>58.35</v>
    <v>113.8</v>
    <v>57.55</v>
    <v>25.98</v>
    <v>EUR</v>
    <v>Eventim</v>
    <v>Eventim</v>
    <v>20.260400000000001</v>
    <v>58.35</v>
    <v>Software &amp; IT Services</v>
    <v>Contrescarpe 75 A, BREMEN, 28195 DE</v>
    <v>EVD</v>
    <v>Acciones</v>
    <v>Eventim (XFRA:EVD)</v>
    <v>59</v>
    <v>336150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77.55</v>
    <v>0.51529999999999998</v>
    <v>0.67</v>
    <v>3.5790000000000001E-3</v>
    <v>8.6379999999999998E-3</v>
    <v>0.28000000000000003</v>
    <v>76501586380</v>
    <v>77.56</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46136.990419710157</v>
    <v>Nasdaq Stock Market</v>
    <v>55</v>
    <v>78.25</v>
    <v>87.38</v>
    <v>77.23</v>
    <v>57.86</v>
    <v>USD</v>
    <v>MONSTER BEVERAGE CORPORATION</v>
    <v>MONSTER BEVERAGE CORPORATION</v>
    <v>40.069200000000002</v>
    <v>78.23</v>
    <v>78.510000000000005</v>
    <v>Beverages</v>
    <v>1 Monster Way, CORONA, CA, 92879-7101 US</v>
    <v>MNST</v>
    <v>Acciones</v>
    <v>MONSTER BEVERAGE CORPORATION (XNAS:MNST)</v>
    <v>4201030</v>
    <v>4910145</v>
  </rv>
  <rv s="2">
    <v>56</v>
  </rv>
  <rv s="0">
    <v>https://www.bing.com/financeapi/forcetrigger?t=bwvem7&amp;q=XNAS%3aABNB&amp;form=skydnc</v>
    <v>Learn more on Bing</v>
  </rv>
  <rv s="1">
    <v>es-ES</v>
    <v>bwvem7</v>
    <v>268435456</v>
    <v>1</v>
    <v>Con tecnología de Refinitiv</v>
    <v>0</v>
    <v>1</v>
    <v>AIRBNB, INC. (XNAS:ABNB)</v>
    <v>3</v>
    <v>4</v>
    <v>Finance</v>
    <v>5</v>
    <v>XNAS</v>
    <v>608714000</v>
    <v>2008</v>
    <v>140.16999999999999</v>
    <v>1.2277</v>
    <v>0.95</v>
    <v>-1.2742999999999999E-2</v>
    <v>6.6959999999999997E-3</v>
    <v>-1.82</v>
    <v>86936533480</v>
    <v>141.87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46136.999328286722</v>
    <v>Nasdaq Stock Market</v>
    <v>58</v>
    <v>142.9922</v>
    <v>147.25</v>
    <v>138.66</v>
    <v>110.81</v>
    <v>USD</v>
    <v>AIRBNB, INC.</v>
    <v>AIRBNB, INC.</v>
    <v>35.113399999999999</v>
    <v>142.82</v>
    <v>141</v>
    <v>Software &amp; IT Services</v>
    <v>888 Brannan St., SAN FRANCISCO, CA, 94103 US</v>
    <v>ABNB</v>
    <v>Acciones</v>
    <v>AIRBNB, INC. (XNAS:ABNB)</v>
    <v>2705668</v>
    <v>3465020</v>
  </rv>
  <rv s="2">
    <v>59</v>
  </rv>
  <rv s="0">
    <v>https://www.bing.com/financeapi/forcetrigger?t=aqbzjc&amp;q=XWAR%3aDNP&amp;form=skydnc</v>
    <v>Learn more on Bing</v>
  </rv>
  <rv s="6">
    <v>es-ES</v>
    <v>aqbzjc</v>
    <v>268435456</v>
    <v>1</v>
    <v>Con tecnología de Refinitiv</v>
    <v>12</v>
    <v>13</v>
    <v>Dino Polska (XWAR:DNP)</v>
    <v>3</v>
    <v>24</v>
    <v>Finance</v>
    <v>25</v>
    <v>XWAR</v>
    <v>980400000</v>
    <v>2012</v>
    <v>33.5</v>
    <v>1.0573999999999999</v>
    <v>0.22</v>
    <v>6.6149999999999994E-3</v>
    <v>41353270000</v>
    <v>33.26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46136.628215810153</v>
    <v>Warsaw Stock Exchange</v>
    <v>61</v>
    <v>33.85</v>
    <v>56.2</v>
    <v>33.299999999999997</v>
    <v>30.76</v>
    <v>PLN</v>
    <v>Dino Polska</v>
    <v>Dino Polska</v>
    <v>21.396699999999999</v>
    <v>33.479999999999997</v>
    <v>Food &amp; Drug Retailing</v>
    <v>ul. Ostrowska 122, KROTOSZYN, WOJ. WIELKOPOLSKIE, 63-700 PL</v>
    <v>DNP</v>
    <v>Acciones</v>
    <v>Dino Polska (XWAR:DNP)</v>
    <v>1283300</v>
    <v>3141040</v>
  </rv>
  <rv s="2">
    <v>62</v>
  </rv>
  <rv s="7">
    <v>es-ES</v>
    <v>caydcw</v>
    <v>268435456</v>
    <v>1</v>
    <v>Con tecnología de Refinitiv</v>
    <v>26</v>
    <v>27</v>
    <v>VERALTO CORPORATION (XNYS:VLTO)</v>
    <v>28</v>
    <v>4</v>
    <v>Finance</v>
    <v>5</v>
    <v>XNYS</v>
    <v>245565100</v>
    <v>2022</v>
    <v>88.45</v>
    <v>0.74099999999999999</v>
    <v>-0.17</v>
    <v>0</v>
    <v>-1.915E-3</v>
    <v>0</v>
    <v>21761979162</v>
    <v>88.79</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46136.958333367969</v>
    <v>New York Stock Exchange</v>
    <v>89.01</v>
    <v>110.11</v>
    <v>87.96</v>
    <v>84.99</v>
    <v>USD</v>
    <v>VERALTO CORPORATION</v>
    <v>VERALTO CORPORATION</v>
    <v>23.643999999999998</v>
    <v>88.62</v>
    <v>88.62</v>
    <v>Professional &amp; Commercial Services</v>
    <v>225 Wyman Street, Suite 250, WALTHAM, MA, 02451 US</v>
    <v>VLTO</v>
    <v>Acciones</v>
    <v>VERALTO CORPORATION (XNYS:VLTO)</v>
    <v>1165018</v>
    <v>2005487</v>
  </rv>
  <rv s="2">
    <v>64</v>
  </rv>
  <rv s="0">
    <v>https://www.bing.com/financeapi/forcetrigger?t=ae94vh&amp;q=XPAR%3aLR&amp;form=skydnc</v>
    <v>Learn more on Bing</v>
  </rv>
  <rv s="6">
    <v>es-ES</v>
    <v>ae94vh</v>
    <v>268435456</v>
    <v>1</v>
    <v>Con tecnología de Refinitiv</v>
    <v>12</v>
    <v>13</v>
    <v>Legrand SA (XPAR:LR)</v>
    <v>3</v>
    <v>14</v>
    <v>Finance</v>
    <v>15</v>
    <v>XPAR</v>
    <v>262245700</v>
    <v>1998</v>
    <v>149.80000000000001</v>
    <v>1.2916000000000001</v>
    <v>1.95</v>
    <v>1.2952999999999999E-2</v>
    <v>33318320000</v>
    <v>150.55000000000001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46136.666666666664</v>
    <v>Euronext Paris</v>
    <v>66</v>
    <v>152.5</v>
    <v>157.35</v>
    <v>148.80000000000001</v>
    <v>90.92</v>
    <v>EUR</v>
    <v>Legrand SA</v>
    <v>Legrand SA</v>
    <v>31.695399999999999</v>
    <v>152.5</v>
    <v>Machinery, Equipment &amp; Components</v>
    <v>128, av. du Marechal de Lattre de Tassigny, LIMOGES, NOUVELLE-AQUITAINE, 87000 FR</v>
    <v>LR</v>
    <v>Acciones</v>
    <v>Legrand SA (XPAR:LR)</v>
    <v>415199</v>
    <v>533150</v>
  </rv>
  <rv s="2">
    <v>67</v>
  </rv>
  <rv s="0">
    <v>https://www.bing.com/financeapi/forcetrigger?t=aoaorw&amp;q=XLON%3aJDG&amp;form=skydnc</v>
    <v>Learn more on Bing</v>
  </rv>
  <rv s="6">
    <v>es-ES</v>
    <v>aoaorw</v>
    <v>268435456</v>
    <v>1</v>
    <v>Con tecnología de Refinitiv</v>
    <v>12</v>
    <v>13</v>
    <v>Judges (XLON:JDG)</v>
    <v>3</v>
    <v>20</v>
    <v>Finance</v>
    <v>21</v>
    <v>XLON</v>
    <v>6660440</v>
    <v>2002</v>
    <v>4550</v>
    <v>0.81020000000000003</v>
    <v>50</v>
    <v>1.0869999999999999E-2</v>
    <v>383100600</v>
    <v>4600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46136.651663460158</v>
    <v>London Stock Exchange</v>
    <v>69</v>
    <v>4650</v>
    <v>9120</v>
    <v>4520</v>
    <v>3480</v>
    <v>GBp</v>
    <v>Judges</v>
    <v>Judges</v>
    <v>27.781099999999999</v>
    <v>4650</v>
    <v>Machinery, Equipment &amp; Components</v>
    <v>52c Borough High Street, LONDON, SE1 1XN GB</v>
    <v>JDG</v>
    <v>Acciones</v>
    <v>Judges (XLON:JDG)</v>
    <v>5336</v>
    <v>10000</v>
  </rv>
  <rv s="2">
    <v>70</v>
  </rv>
  <rv s="0">
    <v>https://www.bing.com/financeapi/forcetrigger?t=an3gc7&amp;q=XSWX%3aSTMN&amp;form=skydnc</v>
    <v>Learn more on Bing</v>
  </rv>
  <rv s="6">
    <v>es-ES</v>
    <v>an3gc7</v>
    <v>268435456</v>
    <v>1</v>
    <v>Con tecnología de Refinitiv</v>
    <v>12</v>
    <v>13</v>
    <v>Straumann Holding Ltd (XSWX:STMN)</v>
    <v>3</v>
    <v>29</v>
    <v>Finance</v>
    <v>15</v>
    <v>XSWX</v>
    <v>159455200</v>
    <v>2005</v>
    <v>84</v>
    <v>1.3453999999999999</v>
    <v>-0.94</v>
    <v>-1.0999000000000002E-2</v>
    <v>15961470000</v>
    <v>85.46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46136.694456018522</v>
    <v>SIX Swiss Exchange</v>
    <v>72</v>
    <v>84.8</v>
    <v>115</v>
    <v>82.68</v>
    <v>73.02</v>
    <v>CHF</v>
    <v>Straumann Holding Ltd</v>
    <v>Straumann Holding Ltd</v>
    <v>38.322899999999997</v>
    <v>84.52</v>
    <v>Healthcare Equipment &amp; Supplies</v>
    <v>Peter Merian-Weg 12, BASEL, BASEL-STADT, 4002 CH</v>
    <v>STMN</v>
    <v>Acciones</v>
    <v>Straumann Holding Ltd (XSWX:STMN)</v>
    <v>501973</v>
    <v>416800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660.32</v>
    <v>1.3328</v>
    <v>15.88</v>
    <v>2.2220000000000001E-4</v>
    <v>2.4091999999999999E-2</v>
    <v>0.15</v>
    <v>1713511677690</v>
    <v>659.15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46136.999974108592</v>
    <v>Nasdaq Stock Market</v>
    <v>75</v>
    <v>680.67</v>
    <v>796.25</v>
    <v>653.84010000000001</v>
    <v>517.5</v>
    <v>USD</v>
    <v>META PLATFORMS, INC.</v>
    <v>META PLATFORMS, INC.</v>
    <v>22.55</v>
    <v>675.03</v>
    <v>675.18</v>
    <v>Software &amp; IT Services</v>
    <v>1 Meta Way, MENLO PARK, CA, 94025 US</v>
    <v>META</v>
    <v>Acciones</v>
    <v>META PLATFORMS, INC. (XNAS:META)</v>
    <v>13348279</v>
    <v>16952557</v>
  </rv>
  <rv s="2">
    <v>76</v>
  </rv>
  <rv s="0">
    <v>https://www.bing.com/financeapi/forcetrigger?t=a1wj9c&amp;q=XNYS%3aKKR&amp;form=skydnc</v>
    <v>Learn more on Bing</v>
  </rv>
  <rv s="1">
    <v>es-ES</v>
    <v>a1wj9c</v>
    <v>268435456</v>
    <v>1</v>
    <v>Con tecnología de Refinitiv</v>
    <v>0</v>
    <v>1</v>
    <v>KKR &amp; CO. INC. (XNYS:KKR)</v>
    <v>3</v>
    <v>4</v>
    <v>Finance</v>
    <v>5</v>
    <v>XNYS</v>
    <v>891550900</v>
    <v>2021</v>
    <v>101.86</v>
    <v>1.8439000000000001</v>
    <v>0.19</v>
    <v>9.8200000000000002E-5</v>
    <v>1.869E-3</v>
    <v>0.01</v>
    <v>90786628147</v>
    <v>101.64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46136.976734015625</v>
    <v>New York Stock Exchange</v>
    <v>78</v>
    <v>102.51</v>
    <v>153.87</v>
    <v>100.33</v>
    <v>82.67</v>
    <v>USD</v>
    <v>KKR &amp; CO. INC.</v>
    <v>KKR &amp; CO. INC.</v>
    <v>43.234900000000003</v>
    <v>101.83</v>
    <v>101.84</v>
    <v>Investment Banking &amp; Investment Services</v>
    <v>30 Hudson Yards, NEW YORK, NY, 10001 US</v>
    <v>KKR</v>
    <v>Acciones</v>
    <v>KKR &amp; CO. INC. (XNYS:KKR)</v>
    <v>2419629</v>
    <v>5943604</v>
  </rv>
  <rv s="2">
    <v>79</v>
  </rv>
  <rv s="0">
    <v>https://www.bing.com/financeapi/forcetrigger?t=brh6oc&amp;q=XNYS%3aNET&amp;form=skydnc</v>
    <v>Learn more on Bing</v>
  </rv>
  <rv s="8">
    <v>es-ES</v>
    <v>brh6oc</v>
    <v>268435456</v>
    <v>1</v>
    <v>Con tecnología de Refinitiv</v>
    <v>30</v>
    <v>31</v>
    <v>CLOUDFLARE, INC. (XNYS:NET)</v>
    <v>3</v>
    <v>32</v>
    <v>Finance</v>
    <v>5</v>
    <v>XNYS</v>
    <v>351980300</v>
    <v>2009</v>
    <v>204.97</v>
    <v>1.6992</v>
    <v>2.0699999999999998</v>
    <v>-1.3039999999999998E-3</v>
    <v>1.0098000000000001E-2</v>
    <v>-0.27</v>
    <v>72884560721</v>
    <v>205</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46136.994809189062</v>
    <v>New York Stock Exchange</v>
    <v>81</v>
    <v>208.95500000000001</v>
    <v>260</v>
    <v>201.45</v>
    <v>112.9</v>
    <v>USD</v>
    <v>CLOUDFLARE, INC.</v>
    <v>CLOUDFLARE, INC.</v>
    <v>207.07</v>
    <v>206.8</v>
    <v>Software &amp; IT Services</v>
    <v>101 Townsend St, SAN FRANCISCO, CA, 94107-1934 US</v>
    <v>NET</v>
    <v>Acciones</v>
    <v>CLOUDFLARE, INC. (XNYS:NET)</v>
    <v>2076643</v>
    <v>4359943</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447.935</v>
    <v>1.069</v>
    <v>2.74</v>
    <v>-2.5219999999999999E-3</v>
    <v>6.1519999999999995E-3</v>
    <v>-1.1299999999999999</v>
    <v>113466964130</v>
    <v>445.39</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46136.99999744141</v>
    <v>Nasdaq Stock Market</v>
    <v>84</v>
    <v>451.04500000000002</v>
    <v>566.9</v>
    <v>435.56</v>
    <v>342.72</v>
    <v>USD</v>
    <v>CROWDSTRIKE HOLDINGS, INC.</v>
    <v>CROWDSTRIKE HOLDINGS, INC.</v>
    <v>0</v>
    <v>448.13</v>
    <v>447</v>
    <v>Software &amp; IT Services</v>
    <v>206 E. 9TH STREET, SUITE 1400, AUSTIN, TX, 78701 US</v>
    <v>CRWD</v>
    <v>Acciones</v>
    <v>CROWDSTRIKE HOLDINGS, INC. (XNAS:CRWD)</v>
    <v>2271728</v>
    <v>3845592</v>
  </rv>
  <rv s="2">
    <v>85</v>
  </rv>
  <rv s="0">
    <v>https://www.bing.com/financeapi/forcetrigger?t=a1u3p2&amp;q=XNAS%3aGOOG&amp;form=skydnc</v>
    <v>Learn more on Bing</v>
  </rv>
  <rv s="1">
    <v>es-ES</v>
    <v>a1u3p2</v>
    <v>268435456</v>
    <v>1</v>
    <v>Con tecnología de Refinitiv</v>
    <v>0</v>
    <v>1</v>
    <v>ALPHABET INC. (XNAS:GOOG)</v>
    <v>3</v>
    <v>4</v>
    <v>Finance</v>
    <v>5</v>
    <v>XNAS</v>
    <v>12097000000</v>
    <v>2015</v>
    <v>337.72</v>
    <v>1.1596</v>
    <v>4.57</v>
    <v>-1.797E-3</v>
    <v>1.3531E-2</v>
    <v>-0.61529999999999996</v>
    <v>4141045040000</v>
    <v>337.75</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46136.999954918749</v>
    <v>Nasdaq Stock Market</v>
    <v>87</v>
    <v>343.69</v>
    <v>350.15</v>
    <v>334.05</v>
    <v>149.49010000000001</v>
    <v>USD</v>
    <v>ALPHABET INC.</v>
    <v>ALPHABET INC.</v>
    <v>31.290700000000001</v>
    <v>342.32</v>
    <v>341.7047</v>
    <v>Software &amp; IT Services</v>
    <v>1600 Amphitheatre Parkway, MOUNTAIN VIEW, CA, 94043 US</v>
    <v>GOOG</v>
    <v>Acciones</v>
    <v>ALPHABET INC. (XNAS:GOOG)</v>
    <v>18260862</v>
    <v>19107082</v>
  </rv>
  <rv s="2">
    <v>88</v>
  </rv>
  <rv s="9">
    <v>es-ES</v>
    <v>cjjy9c</v>
    <v>268435456</v>
    <v>1</v>
    <v>Con tecnología de Refinitiv</v>
    <v>33</v>
    <v>34</v>
    <v>Abb Ltd (XSWX:ABBNE)</v>
    <v>28</v>
    <v>35</v>
    <v>Finance</v>
    <v>15</v>
    <v>XSWX</v>
    <v>1823154000</v>
    <v>1999</v>
    <v>76.98</v>
    <v>1.139</v>
    <v>-0.24</v>
    <v>-3.0830000000000002E-3</v>
    <v>122992200000</v>
    <v>77.84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46136.625</v>
    <v>SIX Swiss Exchange</v>
    <v>77.819999999999993</v>
    <v>76.64</v>
    <v>CHF</v>
    <v>Abb Ltd</v>
    <v>Abb Ltd</v>
    <v>77.599999999999994</v>
    <v>Machinery, Equipment &amp; Components</v>
    <v>Affolternstrasse 44, ZUERICH, ZUERICH, 8050 CH</v>
    <v>ABBNE</v>
    <v>Acciones</v>
    <v>Abb Ltd (XSWX:ABBNE)</v>
    <v>17000</v>
    <v>2685220</v>
  </rv>
  <rv s="2">
    <v>90</v>
  </rv>
  <rv s="0">
    <v>https://www.bing.com/financeapi/forcetrigger?t=a1u6sm&amp;q=XNYS%3aGRMN&amp;form=skydnc</v>
    <v>Learn more on Bing</v>
  </rv>
  <rv s="1">
    <v>es-ES</v>
    <v>a1u6sm</v>
    <v>268435456</v>
    <v>1</v>
    <v>Con tecnología de Refinitiv</v>
    <v>0</v>
    <v>1</v>
    <v>Garmin Ltd (XNYS:GRMN)</v>
    <v>3</v>
    <v>4</v>
    <v>Finance</v>
    <v>5</v>
    <v>XNYS</v>
    <v>192883400</v>
    <v>2010</v>
    <v>260.99</v>
    <v>0.98809999999999998</v>
    <v>-1.41</v>
    <v>7.7100000000000004E-5</v>
    <v>-5.4059999999999993E-3</v>
    <v>0.02</v>
    <v>50032025126</v>
    <v>260.8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46136.958333378905</v>
    <v>New York Stock Exchange</v>
    <v>92</v>
    <v>261.14</v>
    <v>273.32</v>
    <v>256.86</v>
    <v>178.74</v>
    <v>USD</v>
    <v>Garmin Ltd</v>
    <v>Garmin Ltd</v>
    <v>30.349799999999998</v>
    <v>259.39</v>
    <v>259.41000000000003</v>
    <v>Communications &amp; Networking</v>
    <v>Muehlentalstrasse 2, SCHAFFHAUSEN, SCHAFFHAUSEN, 8200 CH</v>
    <v>GRMN</v>
    <v>Acciones</v>
    <v>Garmin Ltd (XNYS:GRMN)</v>
    <v>761155</v>
    <v>755659</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180231900</v>
    <v>1979</v>
    <v>77.099999999999994</v>
    <v>1.2357</v>
    <v>-4.5999999999999996</v>
    <v>-5.6304E-2</v>
    <v>12847890000</v>
    <v>81.7</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46136.836805555555</v>
    <v>Deutsche Boerse AG</v>
    <v>95</v>
    <v>77.099999999999994</v>
    <v>108.4</v>
    <v>77.099999999999994</v>
    <v>32.01</v>
    <v>EUR</v>
    <v>KINGSPAN GROUP PUBLIC LIMITED COMPANY</v>
    <v>KINGSPAN GROUP PUBLIC LIMITED COMPANY</v>
    <v>20.837800000000001</v>
    <v>77.099999999999994</v>
    <v>Homebuilding &amp; Construction Supplies</v>
    <v>Dublin Road,, KINGSCOURT, CAVAN, A82 XY31 IE</v>
    <v>KRX</v>
    <v>Acciones</v>
    <v>KINGSPAN GROUP PUBLIC LIMITED COMPANY (XFRA:KRX)</v>
    <v>5</v>
    <v>299760</v>
  </rv>
  <rv s="2">
    <v>96</v>
  </rv>
  <rv s="0">
    <v>https://www.bing.com/financeapi/forcetrigger?t=bpiour&amp;q=OTCM%3aKAKZF&amp;form=skydnc</v>
    <v>Learn more on Bing</v>
  </rv>
  <rv s="1">
    <v>es-ES</v>
    <v>bpiour</v>
    <v>268435456</v>
    <v>1</v>
    <v>Con tecnología de Refinitiv</v>
    <v>0</v>
    <v>1</v>
    <v>Kaspi.kz AO (XNAS:KSPI)</v>
    <v>3</v>
    <v>36</v>
    <v>Finance</v>
    <v>5</v>
    <v>XNAS</v>
    <v>189333500</v>
    <v>2008</v>
    <v>84.61</v>
    <v>1.1217999999999999</v>
    <v>0.61</v>
    <v>1.1308E-2</v>
    <v>7.1619999999999991E-3</v>
    <v>0.97</v>
    <v>16831748150</v>
    <v>85.17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46136.885272407031</v>
    <v>Nasdaq Stock Market</v>
    <v>98</v>
    <v>85.99</v>
    <v>99.2</v>
    <v>83.37</v>
    <v>68.59</v>
    <v>USD</v>
    <v>Kaspi.kz AO</v>
    <v>Kaspi.kz AO</v>
    <v>7.7068000000000003</v>
    <v>85.78</v>
    <v>86.75</v>
    <v>Financial Technology (Fintech) &amp; Infrastructure</v>
    <v>Bostandykskiy Rayon, Ul. Nauryzbay Batyra, 154A, ALMATY, 050013 KZ</v>
    <v>KSPI</v>
    <v>Acciones</v>
    <v>Kaspi.kz AO (XNAS:KSPI)</v>
    <v>511008</v>
    <v>529677</v>
  </rv>
  <rv s="2">
    <v>99</v>
  </rv>
  <rv s="0">
    <v>https://www.bing.com/financeapi/forcetrigger?t=amft3m&amp;q=BMEX%3aCBAV&amp;form=skydnc</v>
    <v>Learn more on Bing</v>
  </rv>
  <rv s="10">
    <v>es-ES</v>
    <v>amft3m</v>
    <v>268435456</v>
    <v>1</v>
    <v>Con tecnología de Refinitiv</v>
    <v>37</v>
    <v>38</v>
    <v>CLINICA BAVIERA S.A (BMEX:CBAV)</v>
    <v>3</v>
    <v>39</v>
    <v>Finance</v>
    <v>15</v>
    <v>BMEX</v>
    <v>16307580</v>
    <v>52.6</v>
    <v>0.75870000000000004</v>
    <v>-0.6</v>
    <v>-1.1407E-2</v>
    <v>844732700</v>
    <v>52.6</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46136.666666666664</v>
    <v>Bolsas y Mercados Espanoles</v>
    <v>101</v>
    <v>52.8</v>
    <v>56.6</v>
    <v>51.6</v>
    <v>33.4</v>
    <v>EUR</v>
    <v>CLINICA BAVIERA S.A</v>
    <v>CLINICA BAVIERA S.A</v>
    <v>20.0411</v>
    <v>52</v>
    <v>Healthcare Providers &amp; Services</v>
    <v>PASEO DE LA CASTELLANA 20 BAJO, 28046 ES</v>
    <v>CBAV</v>
    <v>Acciones</v>
    <v>CLINICA BAVIERA S.A (BMEX:CBAV)</v>
    <v>2632</v>
    <v>3480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199.96</v>
    <v>2.2974000000000001</v>
    <v>8.6300000000000008</v>
    <v>-8.1769999999999998E-4</v>
    <v>4.3228000000000003E-2</v>
    <v>-0.17030000000000001</v>
    <v>5060961000000</v>
    <v>199.64</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46136.999987453128</v>
    <v>Nasdaq Stock Market</v>
    <v>104</v>
    <v>210.95</v>
    <v>212.18989999999999</v>
    <v>199.81</v>
    <v>103.11</v>
    <v>USD</v>
    <v>NVIDIA CORPORATION</v>
    <v>NVIDIA CORPORATION</v>
    <v>40.728299999999997</v>
    <v>208.27</v>
    <v>208.09970000000001</v>
    <v>Semiconductors &amp; Semiconductor Equipment</v>
    <v>2788 San Tomas Expressway, SANTA CLARA, CA, 95051 US</v>
    <v>NVDA</v>
    <v>Acciones</v>
    <v>NVIDIA CORPORATION (XNAS:NVDA)</v>
    <v>214134441</v>
    <v>155943478</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6.6</v>
    <v>0.4738</v>
    <v>-7.0000000000000007E-2</v>
    <v>-1.0605999999999999E-2</v>
    <v>911050000</v>
    <v>6.6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46136.666666666664</v>
    <v>Euronext Lisbon</v>
    <v>107</v>
    <v>6.6</v>
    <v>8.52</v>
    <v>6.53</v>
    <v>6.04</v>
    <v>EUR</v>
    <v>Corticeira Amori</v>
    <v>Corticeira Amori</v>
    <v>15.7895</v>
    <v>6.53</v>
    <v>Paper &amp; Forest Products</v>
    <v>Rua Comendador Americo Ferreira Amorim, N 380, Apartado 20, Mozelos, AVEIRO, 4536-902 PT</v>
    <v>COR</v>
    <v>Acciones</v>
    <v>Corticeira Amori (XLIS:COR)</v>
    <v>75113</v>
    <v>101080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396.14</v>
    <v>1.4212</v>
    <v>19.8</v>
    <v>2.336E-3</v>
    <v>5.1742999999999997E-2</v>
    <v>0.94</v>
    <v>2087360802300</v>
    <v>382.66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46136.999950832811</v>
    <v>New York Stock Exchange</v>
    <v>110</v>
    <v>409.49</v>
    <v>409.49</v>
    <v>393.85</v>
    <v>157.38999999999999</v>
    <v>USD</v>
    <v>Taiwan Semiconductor Manufacturing Company Limited</v>
    <v>Taiwan Semiconductor Manufacturing Company Limited</v>
    <v>32.860900000000001</v>
    <v>402.46</v>
    <v>403.4</v>
    <v>Semiconductors &amp; Semiconductor Equipment</v>
    <v>No.8, Li-Hsin 6th Road, Hsinchu Science Park, HSINCHU, HSINCHU, 300 TW</v>
    <v>TSM</v>
    <v>Acciones</v>
    <v>Taiwan Semiconductor Manufacturing Company Limited (XNYS:TSM)</v>
    <v>21603584</v>
    <v>13662724</v>
  </rv>
  <rv s="2">
    <v>111</v>
  </rv>
  <rv s="0">
    <v>https://www.bing.com/financeapi/forcetrigger?t=azgv7w&amp;q=XNYS%3aSPOT&amp;form=skydnc</v>
    <v>Learn more on Bing</v>
  </rv>
  <rv s="1">
    <v>es-ES</v>
    <v>azgv7w</v>
    <v>268435456</v>
    <v>1</v>
    <v>Con tecnología de Refinitiv</v>
    <v>0</v>
    <v>1</v>
    <v>Spotify Technology SA (XNYS:SPOT)</v>
    <v>3</v>
    <v>4</v>
    <v>Finance</v>
    <v>5</v>
    <v>XNYS</v>
    <v>205882300</v>
    <v>2007</v>
    <v>513</v>
    <v>1.6823999999999999</v>
    <v>2.06</v>
    <v>2.8760000000000001E-3</v>
    <v>3.993E-3</v>
    <v>1.49</v>
    <v>106647031400</v>
    <v>515.94000000000005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46136.999545810155</v>
    <v>New York Stock Exchange</v>
    <v>113</v>
    <v>521</v>
    <v>785</v>
    <v>506.55</v>
    <v>405</v>
    <v>USD</v>
    <v>Spotify Technology SA</v>
    <v>Spotify Technology SA</v>
    <v>42.062100000000001</v>
    <v>518</v>
    <v>519.49</v>
    <v>Software &amp; IT Services</v>
    <v>42-44, avenue de la Gare, LUXEMBOURG, 1610 LU</v>
    <v>SPOT</v>
    <v>Acciones</v>
    <v>Spotify Technology SA (XNYS:SPOT)</v>
    <v>1566221</v>
    <v>1579841</v>
  </rv>
  <rv s="2">
    <v>114</v>
  </rv>
  <rv s="0">
    <v>https://www.bing.com/financeapi/forcetrigger?t=ajg6ec&amp;q=XMIL%3aPRY&amp;form=skydnc</v>
    <v>Learn more on Bing</v>
  </rv>
  <rv s="10">
    <v>es-ES</v>
    <v>ajg6ec</v>
    <v>268435456</v>
    <v>1</v>
    <v>Con tecnología de Refinitiv</v>
    <v>37</v>
    <v>38</v>
    <v>Prysmian SpA (XMIL:PRY)</v>
    <v>3</v>
    <v>39</v>
    <v>Finance</v>
    <v>40</v>
    <v>XMIL</v>
    <v>296403800</v>
    <v>122.5</v>
    <v>0.94820000000000004</v>
    <v>4.9000000000000004</v>
    <v>0.04</v>
    <v>25573720000</v>
    <v>122.5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46136.666666666664</v>
    <v>Borsa Italiana</v>
    <v>116</v>
    <v>127.45</v>
    <v>127.45</v>
    <v>121.25</v>
    <v>42.02</v>
    <v>EUR</v>
    <v>Prysmian SpA</v>
    <v>Prysmian SpA</v>
    <v>27.6599</v>
    <v>127.4</v>
    <v>Machinery, Equipment &amp; Components</v>
    <v>Via Chiese 6, MILANO, MILANO, 20126 IT</v>
    <v>PRY</v>
    <v>Acciones</v>
    <v>Prysmian SpA (XMIL:PRY)</v>
    <v>983318</v>
    <v>970670</v>
  </rv>
  <rv s="2">
    <v>117</v>
  </rv>
  <rv s="0">
    <v>https://www.bing.com/financeapi/forcetrigger?t=an2bf2&amp;q=XSWX%3aJFN&amp;form=skydnc</v>
    <v>Learn more on Bing</v>
  </rv>
  <rv s="6">
    <v>es-ES</v>
    <v>an2bf2</v>
    <v>268435456</v>
    <v>1</v>
    <v>Con tecnología de Refinitiv</v>
    <v>12</v>
    <v>13</v>
    <v>Jungfraubahn (XSWX:JFN)</v>
    <v>3</v>
    <v>29</v>
    <v>Finance</v>
    <v>15</v>
    <v>XSWX</v>
    <v>5835000</v>
    <v>1952</v>
    <v>283.5</v>
    <v>0.61119999999999997</v>
    <v>-2</v>
    <v>-7.0920000000000002E-3</v>
    <v>1639635000</v>
    <v>282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46136.720810185187</v>
    <v>SIX Swiss Exchange</v>
    <v>119</v>
    <v>283.5</v>
    <v>327</v>
    <v>279.5</v>
    <v>187</v>
    <v>CHF</v>
    <v>Jungfraubahn</v>
    <v>Jungfraubahn</v>
    <v>20.735299999999999</v>
    <v>280</v>
    <v>Hotels &amp; Entertainment Services</v>
    <v>Harderstrasse 14, BERN, 3800 CH</v>
    <v>JFN</v>
    <v>Acciones</v>
    <v>Jungfraubahn (XSWX:JFN)</v>
    <v>4086</v>
    <v>8930</v>
  </rv>
  <rv s="2">
    <v>120</v>
  </rv>
  <rv s="0">
    <v>https://www.bing.com/financeapi/forcetrigger?t=ajejhw&amp;q=XMIL%3aCPR&amp;form=skydnc</v>
    <v>Learn more on Bing</v>
  </rv>
  <rv s="6">
    <v>es-ES</v>
    <v>ajejhw</v>
    <v>268435456</v>
    <v>1</v>
    <v>Con tecnología de Refinitiv</v>
    <v>12</v>
    <v>13</v>
    <v>Davide Campari Milano NV (XMIL:CPR)</v>
    <v>3</v>
    <v>14</v>
    <v>Finance</v>
    <v>40</v>
    <v>XMIL</v>
    <v>1231268000</v>
    <v>2020</v>
    <v>6.234</v>
    <v>0.36720000000000003</v>
    <v>-5.3999999999999999E-2</v>
    <v>-8.5959999999999995E-3</v>
    <v>6927112000</v>
    <v>6.282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46136.666666666664</v>
    <v>Borsa Italiana</v>
    <v>122</v>
    <v>6.258</v>
    <v>6.83</v>
    <v>6.17</v>
    <v>5.29</v>
    <v>EUR</v>
    <v>Davide Campari Milano NV</v>
    <v>Davide Campari Milano NV</v>
    <v>21.8201</v>
    <v>6.2279999999999998</v>
    <v>Beverages</v>
    <v>Via Sacchetti, 20, SESTO SAN GIOVANNI, MILANO, 20099 IT</v>
    <v>CPR</v>
    <v>Acciones</v>
    <v>Davide Campari Milano NV (XMIL:CPR)</v>
    <v>2935402</v>
    <v>4325070</v>
  </rv>
  <rv s="2">
    <v>123</v>
  </rv>
  <rv s="0">
    <v>https://www.bing.com/financeapi/forcetrigger?t=b1lbp2&amp;q=XSWX%3aSIKA&amp;form=skydnc</v>
    <v>Learn more on Bing</v>
  </rv>
  <rv s="6">
    <v>es-ES</v>
    <v>b1lbp2</v>
    <v>268435456</v>
    <v>1</v>
    <v>Con tecnología de Refinitiv</v>
    <v>12</v>
    <v>13</v>
    <v>Sika Ltd (XSWX:SIKA)</v>
    <v>3</v>
    <v>29</v>
    <v>Finance</v>
    <v>15</v>
    <v>XSWX</v>
    <v>160479300</v>
    <v>1971</v>
    <v>146.9</v>
    <v>1.6136999999999999</v>
    <v>-2.85</v>
    <v>-1.9321999999999999E-2</v>
    <v>23927460000</v>
    <v>147.5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46136.690347222226</v>
    <v>SIX Swiss Exchange</v>
    <v>125</v>
    <v>147.65</v>
    <v>226.8</v>
    <v>143.85</v>
    <v>120.35</v>
    <v>CHF</v>
    <v>Sika Ltd</v>
    <v>Sika Ltd</v>
    <v>22.692299999999999</v>
    <v>144.65</v>
    <v>Chemicals</v>
    <v>Zugerstrasse 50, BAAR, ZUG, 6340 CH</v>
    <v>SIKA</v>
    <v>Acciones</v>
    <v>Sika Ltd (XSWX:SIKA)</v>
    <v>425249</v>
    <v>647070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133.51</v>
    <v>0.55730000000000002</v>
    <v>0.85</v>
    <v>0</v>
    <v>6.352E-3</v>
    <v>0</v>
    <v>14037031175</v>
    <v>133.82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46136.913277661719</v>
    <v>Nasdaq Stock Market</v>
    <v>128</v>
    <v>135.07</v>
    <v>233.78</v>
    <v>132.38999999999999</v>
    <v>130.93</v>
    <v>USD</v>
    <v>CHECK POINT SOFTWARE TECHNOLOGIES LTD.</v>
    <v>CHECK POINT SOFTWARE TECHNOLOGIES LTD.</v>
    <v>13.8904</v>
    <v>134.66999999999999</v>
    <v>134.66999999999999</v>
    <v>Software &amp; IT Services</v>
    <v>5 Shlomo Kaplan Street, TEL AVIV-YAFO, 6789159 IL</v>
    <v>CHKP</v>
    <v>Acciones</v>
    <v>CHECK POINT SOFTWARE TECHNOLOGIES LTD. (XNAS:CHKP)</v>
    <v>639088</v>
    <v>1077559</v>
  </rv>
  <rv s="2">
    <v>129</v>
  </rv>
  <rv s="0">
    <v>https://www.bing.com/financeapi/forcetrigger?t=ajgoa2&amp;q=XMIL%3aTGYM&amp;form=skydnc</v>
    <v>Learn more on Bing</v>
  </rv>
  <rv s="10">
    <v>es-ES</v>
    <v>ajgoa2</v>
    <v>268435456</v>
    <v>1</v>
    <v>Con tecnología de Refinitiv</v>
    <v>37</v>
    <v>38</v>
    <v>Technogym SpA (XMIL:TGYM)</v>
    <v>3</v>
    <v>39</v>
    <v>Finance</v>
    <v>40</v>
    <v>XMIL</v>
    <v>201327500</v>
    <v>19.739999999999998</v>
    <v>0.84279999999999999</v>
    <v>-0.02</v>
    <v>-1.01E-3</v>
    <v>3480952000</v>
    <v>19.809999999999999</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46136.666666666664</v>
    <v>Borsa Italiana</v>
    <v>131</v>
    <v>19.899999999999999</v>
    <v>20.04</v>
    <v>19.649999999999999</v>
    <v>10.96</v>
    <v>EUR</v>
    <v>Technogym SpA</v>
    <v>Technogym SpA</v>
    <v>34.5182</v>
    <v>19.79</v>
    <v>Leisure Products</v>
    <v>Via Calcinaro, 2861, 47521 IT</v>
    <v>TGYM</v>
    <v>Acciones</v>
    <v>Technogym SpA (XMIL:TGYM)</v>
    <v>86491</v>
    <v>148380</v>
  </rv>
  <rv s="2">
    <v>132</v>
  </rv>
  <rv s="0">
    <v>https://www.bing.com/financeapi/forcetrigger?t=amg4gh&amp;q=BMEX%3aVID&amp;form=skydnc</v>
    <v>Learn more on Bing</v>
  </rv>
  <rv s="10">
    <v>es-ES</v>
    <v>amg4gh</v>
    <v>268435456</v>
    <v>1</v>
    <v>Con tecnología de Refinitiv</v>
    <v>37</v>
    <v>38</v>
    <v>VIDRALA, S.A. (BMEX:VID)</v>
    <v>3</v>
    <v>39</v>
    <v>Finance</v>
    <v>15</v>
    <v>BMEX</v>
    <v>35206260</v>
    <v>78.099999999999994</v>
    <v>0.96060000000000001</v>
    <v>-0.2</v>
    <v>-2.5509999999999999E-3</v>
    <v>3207290000</v>
    <v>78.400000000000006</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46136.666666666664</v>
    <v>Bolsas y Mercados Espanoles</v>
    <v>134</v>
    <v>78.599999999999994</v>
    <v>95.81</v>
    <v>77.599999999999994</v>
    <v>70.400000000000006</v>
    <v>EUR</v>
    <v>VIDRALA, S.A.</v>
    <v>VIDRALA, S.A.</v>
    <v>13.184900000000001</v>
    <v>78.2</v>
    <v>Containers &amp; Packaging</v>
    <v>Barrio Munegazo, 22, LLODIO, ALAVA, 01400 ES</v>
    <v>VID</v>
    <v>Acciones</v>
    <v>VIDRALA, S.A. (BMEX:VID)</v>
    <v>30684</v>
    <v>39050</v>
  </rv>
  <rv s="2">
    <v>135</v>
  </rv>
  <rv s="0">
    <v>https://www.bing.com/financeapi/forcetrigger?t=c276a2&amp;q=XTSE%3aTFPM&amp;form=skydnc</v>
    <v>Learn more on Bing</v>
  </rv>
  <rv s="1">
    <v>es-ES</v>
    <v>c276a2</v>
    <v>268435456</v>
    <v>1</v>
    <v>Con tecnología de Refinitiv</v>
    <v>0</v>
    <v>1</v>
    <v>Triple Flag Prec (XTSE:TFPM)</v>
    <v>3</v>
    <v>41</v>
    <v>Finance</v>
    <v>42</v>
    <v>XTSE</v>
    <v>206603900</v>
    <v>2019</v>
    <v>46.75</v>
    <v>0.31769999999999998</v>
    <v>-0.32</v>
    <v>0</v>
    <v>-6.8950000000000001E-3</v>
    <v>0</v>
    <v>9522373751</v>
    <v>46.41</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46136.845335648148</v>
    <v>Toronto Stock Exchange</v>
    <v>137</v>
    <v>46.95</v>
    <v>57.26</v>
    <v>45.62</v>
    <v>27.1</v>
    <v>CAD</v>
    <v>Triple Flag Prec</v>
    <v>Triple Flag Prec</v>
    <v>28.796299999999999</v>
    <v>46.09</v>
    <v>46.09</v>
    <v>Metals &amp; Mining</v>
    <v>TD Canada Trust Tower, 161 Bay Street, Suite 4535, Toronto, ON, M5J 2S1 CA</v>
    <v>TFPM</v>
    <v>Acciones</v>
    <v>Triple Flag Prec (XTSE:TFPM)</v>
    <v>223230</v>
    <v>135720</v>
  </rv>
  <rv s="2">
    <v>138</v>
  </rv>
  <rv s="0">
    <v>https://www.bing.com/financeapi/forcetrigger?t=a1ygoc&amp;q=XNAS%3aNFLX&amp;form=skydnc</v>
    <v>Learn more on Bing</v>
  </rv>
  <rv s="1">
    <v>es-ES</v>
    <v>a1ygoc</v>
    <v>268435456</v>
    <v>1</v>
    <v>Con tecnología de Refinitiv</v>
    <v>0</v>
    <v>1</v>
    <v>NETFLIX, INC. (XNAS:NFLX)</v>
    <v>3</v>
    <v>4</v>
    <v>Finance</v>
    <v>5</v>
    <v>XNAS</v>
    <v>4210798000</v>
    <v>1997</v>
    <v>92.57</v>
    <v>1.5573999999999999</v>
    <v>-0.38</v>
    <v>-2.65E-3</v>
    <v>-4.0939999999999995E-3</v>
    <v>-0.245</v>
    <v>389246167120</v>
    <v>92.82</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46136.99996771953</v>
    <v>Nasdaq Stock Market</v>
    <v>140</v>
    <v>93.28</v>
    <v>134.11500000000001</v>
    <v>91.8</v>
    <v>75.010000000000005</v>
    <v>USD</v>
    <v>NETFLIX, INC.</v>
    <v>NETFLIX, INC.</v>
    <v>29.993099999999998</v>
    <v>92.44</v>
    <v>92.194999999999993</v>
    <v>Software &amp; IT Services</v>
    <v>121 Albright Way, LOS GATOS, CA, 95032 US</v>
    <v>NFLX</v>
    <v>Acciones</v>
    <v>NETFLIX, INC. (XNAS:NFLX)</v>
    <v>32553177</v>
    <v>43922726</v>
  </rv>
  <rv s="2">
    <v>141</v>
  </rv>
  <rv s="0">
    <v>https://www.bing.com/financeapi/forcetrigger?t=a1yjxm&amp;q=XNYS%3aNKE&amp;form=skydnc</v>
    <v>Learn more on Bing</v>
  </rv>
  <rv s="1">
    <v>es-ES</v>
    <v>a1yjxm</v>
    <v>268435456</v>
    <v>1</v>
    <v>Con tecnología de Refinitiv</v>
    <v>0</v>
    <v>1</v>
    <v>NIKE, INC. (XNYS:NKE)</v>
    <v>3</v>
    <v>4</v>
    <v>Finance</v>
    <v>5</v>
    <v>XNYS</v>
    <v>1480887000</v>
    <v>1969</v>
    <v>44.98</v>
    <v>1.1473</v>
    <v>-0.09</v>
    <v>2.4610000000000001E-3</v>
    <v>-2.0100000000000001E-3</v>
    <v>0.11</v>
    <v>66180840030</v>
    <v>44.78</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46136.999996457809</v>
    <v>New York Stock Exchange</v>
    <v>143</v>
    <v>45.42</v>
    <v>80.165000000000006</v>
    <v>44.59</v>
    <v>42.09</v>
    <v>USD</v>
    <v>NIKE, INC.</v>
    <v>NIKE, INC.</v>
    <v>29.458400000000001</v>
    <v>44.69</v>
    <v>44.8</v>
    <v>Textiles &amp; Apparel</v>
    <v>One Bowerman Dr, BEAVERTON, OR, 97005-6453 US</v>
    <v>NKE</v>
    <v>Acciones</v>
    <v>NIKE, INC. (XNYS:NKE)</v>
    <v>15884984</v>
    <v>27236421</v>
  </rv>
  <rv s="2">
    <v>144</v>
  </rv>
  <rv s="0">
    <v>https://www.bing.com/financeapi/forcetrigger?t=amwwgh&amp;q=XSTO%3aMIPS&amp;form=skydnc</v>
    <v>Learn more on Bing</v>
  </rv>
  <rv s="11">
    <v>es-ES</v>
    <v>amwwgh</v>
    <v>268435456</v>
    <v>1</v>
    <v>Con tecnología de Refinitiv</v>
    <v>43</v>
    <v>44</v>
    <v>MIPS (XSTO:MIPS)</v>
    <v>3</v>
    <v>45</v>
    <v>Finance</v>
    <v>23</v>
    <v>XSTO</v>
    <v>26491120</v>
    <v>2001</v>
    <v>287</v>
    <v>2.0392999999999999</v>
    <v>-9.6</v>
    <v>-3.2966999999999996E-2</v>
    <v>8599019000</v>
    <v>291.2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46136.666666666664</v>
    <v>NASDAQ Stockholm</v>
    <v>146</v>
    <v>289.39999999999998</v>
    <v>279.39999999999998</v>
    <v>SEK</v>
    <v>MIPS</v>
    <v>MIPS</v>
    <v>64.41</v>
    <v>281.60000000000002</v>
    <v>Leisure Products</v>
    <v>Kemistvagen 1B, STOCKHOLM, 183 79 SE</v>
    <v>MIPS</v>
    <v>Acciones</v>
    <v>MIPS (XSTO:MIPS)</v>
    <v>114435</v>
    <v>89370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261.94</v>
    <v>1.1904999999999999</v>
    <v>0.22</v>
    <v>1.366E-3</v>
    <v>8.3529999999999997E-4</v>
    <v>0.36</v>
    <v>51240024510</v>
    <v>263.37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46136.998716642971</v>
    <v>New York Stock Exchange</v>
    <v>149</v>
    <v>264.12</v>
    <v>271.64</v>
    <v>260</v>
    <v>162.53</v>
    <v>USD</v>
    <v>FERGUSON ENTERPRISES INC.</v>
    <v>FERGUSON ENTERPRISES INC.</v>
    <v>25.916899999999998</v>
    <v>263.58999999999997</v>
    <v>263.95</v>
    <v>Homebuilding &amp; Construction Supplies</v>
    <v>751 Lakefront Commons, NEWPORT NEWS, VA, 23606 US</v>
    <v>FERG</v>
    <v>Acciones</v>
    <v>FERGUSON ENTERPRISES INC. (XNYS:FERG)</v>
    <v>1120498</v>
    <v>1400174</v>
  </rv>
  <rv s="2">
    <v>150</v>
  </rv>
  <rv s="0">
    <v>https://www.bing.com/financeapi/forcetrigger?t=c2kadm&amp;q=XNYS%3aS&amp;form=skydnc</v>
    <v>Learn more on Bing</v>
  </rv>
  <rv s="8">
    <v>es-ES</v>
    <v>c2kadm</v>
    <v>268435456</v>
    <v>1</v>
    <v>Con tecnología de Refinitiv</v>
    <v>30</v>
    <v>31</v>
    <v>SENTINELONE, INC. (XNYS:S)</v>
    <v>3</v>
    <v>32</v>
    <v>Finance</v>
    <v>5</v>
    <v>XNYS</v>
    <v>340276500</v>
    <v>2013</v>
    <v>14.01</v>
    <v>0.79149999999999998</v>
    <v>0.32</v>
    <v>2.6829999999999996E-3</v>
    <v>2.2989000000000002E-2</v>
    <v>3.8199999999999998E-2</v>
    <v>4845537360</v>
    <v>13.92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46136.996859687497</v>
    <v>New York Stock Exchange</v>
    <v>152</v>
    <v>14.3</v>
    <v>21.4</v>
    <v>13.85</v>
    <v>11.81</v>
    <v>USD</v>
    <v>SENTINELONE, INC.</v>
    <v>SENTINELONE, INC.</v>
    <v>14.24</v>
    <v>14.2782</v>
    <v>Software &amp; IT Services</v>
    <v>444 Castro Street, Suite 400, MOUNTAIN VIEW, CA, 94041 US</v>
    <v>S</v>
    <v>Acciones</v>
    <v>SENTINELONE, INC. (XNYS:S)</v>
    <v>4322930</v>
    <v>8045149</v>
  </rv>
  <rv s="2">
    <v>153</v>
  </rv>
  <rv s="0">
    <v>https://www.bing.com/financeapi/forcetrigger?t=a24grw&amp;q=XNYS%3aTREX&amp;form=skydnc</v>
    <v>Learn more on Bing</v>
  </rv>
  <rv s="1">
    <v>es-ES</v>
    <v>a24grw</v>
    <v>268435456</v>
    <v>1</v>
    <v>Con tecnología de Refinitiv</v>
    <v>0</v>
    <v>1</v>
    <v>TREX COMPANY, INC. (XNYS:TREX)</v>
    <v>3</v>
    <v>4</v>
    <v>Finance</v>
    <v>5</v>
    <v>XNYS</v>
    <v>103889000</v>
    <v>1998</v>
    <v>42.42</v>
    <v>1.5786</v>
    <v>-0.47</v>
    <v>-8.5919999999999989E-3</v>
    <v>-1.1092999999999999E-2</v>
    <v>-0.36</v>
    <v>4352949100</v>
    <v>42.37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46136.958333333336</v>
    <v>New York Stock Exchange</v>
    <v>155</v>
    <v>42.47</v>
    <v>68.78</v>
    <v>41.625</v>
    <v>29.77</v>
    <v>USD</v>
    <v>TREX COMPANY, INC.</v>
    <v>TREX COMPANY, INC.</v>
    <v>23.846800000000002</v>
    <v>41.9</v>
    <v>41.54</v>
    <v>Homebuilding &amp; Construction Supplies</v>
    <v>2500 TREX WAY, WINCHESTER, VA, 22601 US</v>
    <v>TREX</v>
    <v>Acciones</v>
    <v>TREX COMPANY, INC. (XNYS:TREX)</v>
    <v>2013977</v>
    <v>1660567</v>
  </rv>
  <rv s="2">
    <v>156</v>
  </rv>
  <rv s="0">
    <v>https://www.bing.com/financeapi/forcetrigger?t=aea12w&amp;q=XPAR%3aSGO&amp;form=skydnc</v>
    <v>Learn more on Bing</v>
  </rv>
  <rv s="6">
    <v>es-ES</v>
    <v>aea12w</v>
    <v>268435456</v>
    <v>1</v>
    <v>Con tecnología de Refinitiv</v>
    <v>12</v>
    <v>13</v>
    <v>Compagnie de Saint Gobain SA (XPAR:SGO)</v>
    <v>3</v>
    <v>14</v>
    <v>Finance</v>
    <v>15</v>
    <v>XPAR</v>
    <v>494825300</v>
    <v>1981</v>
    <v>81.02</v>
    <v>1.4137</v>
    <v>-0.48</v>
    <v>-6.1519999999999995E-3</v>
    <v>41397000000</v>
    <v>78.02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46136.666666666664</v>
    <v>Euronext Paris</v>
    <v>158</v>
    <v>81.3</v>
    <v>104.65</v>
    <v>77.06</v>
    <v>65.88</v>
    <v>EUR</v>
    <v>Compagnie de Saint Gobain SA</v>
    <v>Compagnie de Saint Gobain SA</v>
    <v>13.3781</v>
    <v>77.540000000000006</v>
    <v>Homebuilding &amp; Construction Supplies</v>
    <v>Tour Saint-Gobain, 12 place de l'Iris, La Defense Cedex, 92096 FR</v>
    <v>SGO</v>
    <v>Acciones</v>
    <v>Compagnie de Saint Gobain SA (XPAR:SGO)</v>
    <v>1390237</v>
    <v>1303680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16.5</v>
    <v>0.56120000000000003</v>
    <v>-0.28000000000000003</v>
    <v>-1.7073000000000001E-2</v>
    <v>379400000</v>
    <v>16.399999999999999</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46136.666666666664</v>
    <v>Euronext Paris</v>
    <v>161</v>
    <v>16.5</v>
    <v>25.3</v>
    <v>16</v>
    <v>14.65</v>
    <v>EUR</v>
    <v>Tonnellerie FF</v>
    <v>Tonnellerie FF</v>
    <v>15.179600000000001</v>
    <v>16.12</v>
    <v>Containers &amp; Packaging</v>
    <v>Route departementale 17, Saint-Romain, SAINT-ROMAIN-AU-MONT-D OR, AUVERGNE-RHONE-ALPES, 21190 FR</v>
    <v>TFF</v>
    <v>Acciones</v>
    <v>Tonnellerie FF (XPAR:TFF)</v>
    <v>1886</v>
    <v>2630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34.159999999999997</v>
    <v>0.97019999999999995</v>
    <v>0.66</v>
    <v>1.1070000000000001E-3</v>
    <v>1.9452000000000001E-2</v>
    <v>3.8300000000000001E-2</v>
    <v>8886036099</v>
    <v>33.93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46136.999875485941</v>
    <v>Nasdaq Stock Market</v>
    <v>164</v>
    <v>35.164999999999999</v>
    <v>66.739999999999995</v>
    <v>33.82</v>
    <v>32.299999999999997</v>
    <v>USD</v>
    <v>CELSIUS HOLDINGS, INC.</v>
    <v>CELSIUS HOLDINGS, INC.</v>
    <v>141.29259999999999</v>
    <v>34.590000000000003</v>
    <v>34.628300000000003</v>
    <v>Beverages</v>
    <v>2424 N. Federal Hwy, Suite 208, BOCA RATON, FL, 33431 US</v>
    <v>CELH</v>
    <v>Acciones</v>
    <v>CELSIUS HOLDINGS, INC. (XNAS:CELH)</v>
    <v>5573117</v>
    <v>7347544</v>
  </rv>
  <rv s="2">
    <v>165</v>
  </rv>
  <rv s="0">
    <v>https://www.bing.com/financeapi/forcetrigger?t=alo1ar&amp;q=XAMS%3aBFIT&amp;form=skydnc</v>
    <v>Learn more on Bing</v>
  </rv>
  <rv s="6">
    <v>es-ES</v>
    <v>alo1ar</v>
    <v>268435456</v>
    <v>1</v>
    <v>Con tecnología de Refinitiv</v>
    <v>12</v>
    <v>13</v>
    <v>Basic-Fit NV (XAMS:BFIT)</v>
    <v>3</v>
    <v>14</v>
    <v>Finance</v>
    <v>15</v>
    <v>XAMS</v>
    <v>66000000</v>
    <v>2016</v>
    <v>30.46</v>
    <v>0.84589999999999999</v>
    <v>-0.48</v>
    <v>-1.5676000000000002E-2</v>
    <v>1974720000</v>
    <v>30.62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46136.666666666664</v>
    <v>Euronext Amsterdam</v>
    <v>167</v>
    <v>30.54</v>
    <v>34.76</v>
    <v>30.1</v>
    <v>18.88</v>
    <v>EUR</v>
    <v>Basic-Fit NV</v>
    <v>Basic-Fit NV</v>
    <v>136.0889</v>
    <v>30.14</v>
    <v>Hotels &amp; Entertainment Services</v>
    <v>Wegalaan 60, 2132JC NL</v>
    <v>BFIT</v>
    <v>Acciones</v>
    <v>Basic-Fit NV (XAMS:BFIT)</v>
    <v>184808</v>
    <v>284390</v>
  </rv>
  <rv s="2">
    <v>168</v>
  </rv>
  <rv s="0">
    <v>https://www.bing.com/financeapi/forcetrigger?t=bscvur&amp;q=XWBO%3aVRLA&amp;form=skydnc</v>
    <v>Learn more on Bing</v>
  </rv>
  <rv s="11">
    <v>es-ES</v>
    <v>bscvur</v>
    <v>268435456</v>
    <v>1</v>
    <v>Con tecnología de Refinitiv</v>
    <v>43</v>
    <v>44</v>
    <v>Verallia SA (XWBO:VRLA)</v>
    <v>3</v>
    <v>46</v>
    <v>Finance</v>
    <v>15</v>
    <v>XWBO</v>
    <v>120805100</v>
    <v>2015</v>
    <v>18.11</v>
    <v>1.1248</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26.68</v>
    <v>18.41</v>
    <v>Containers &amp; Packaging</v>
    <v>TOUR CARPE DIEM - ESPLANADE NORD, 31 PLACE DES COROLLES, COURBEVOIE, ILE-DE-FRANCE, 92400 FR</v>
    <v>VRLA</v>
    <v>Acciones</v>
    <v>Verallia SA (XWBO:VRLA)</v>
    <v>1124</v>
    <v>47320</v>
  </rv>
  <rv s="2">
    <v>171</v>
  </rv>
  <rv s="12">
    <v>es-ES</v>
    <v>c8f4a2</v>
    <v>268435456</v>
    <v>1</v>
    <v>Con tecnología de Refinitiv</v>
    <v>47</v>
    <v>48</v>
    <v>Kistos Holdings (XLON:KIST)</v>
    <v>28</v>
    <v>20</v>
    <v>Finance</v>
    <v>21</v>
    <v>XLON</v>
    <v>83117650</v>
    <v>2022</v>
    <v>315</v>
    <v>1.1201000000000001</v>
    <v>-2</v>
    <v>-6.4520000000000003E-3</v>
    <v>170389700</v>
    <v>310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46136.649526875</v>
    <v>London Stock Exchange</v>
    <v>319</v>
    <v>325</v>
    <v>308</v>
    <v>121.5</v>
    <v>GBp</v>
    <v>Kistos Holdings</v>
    <v>Kistos Holdings</v>
    <v>0</v>
    <v>308</v>
    <v>Oil &amp; Gas</v>
    <v>2nd Floor, 3 St James Square, NaN, LONDON, SW1Y 4JU GB</v>
    <v>KIST</v>
    <v>Acciones</v>
    <v>Kistos Holdings (XLON:KIST)</v>
    <v>283796</v>
    <v>322730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526</v>
    <v>2.4064000000000001</v>
    <v>-17.5</v>
    <v>-3.3270000000000001E-2</v>
    <v>1100250000</v>
    <v>526</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46136.657708333332</v>
    <v>London Stock Exchange</v>
    <v>175</v>
    <v>527.5</v>
    <v>553</v>
    <v>507.5</v>
    <v>316.2</v>
    <v>GBp</v>
    <v>Watches of CH</v>
    <v>Watches of CH</v>
    <v>17.752300000000002</v>
    <v>508.5</v>
    <v>Specialty Retailers</v>
    <v>Aurum House, 2 Elland Road, LEICESTER, LEICESTERSHIRE, LE3 1TT GB</v>
    <v>WOSG</v>
    <v>Acciones</v>
    <v>Watches of CH (XLON:WOSG)</v>
    <v>491225</v>
    <v>453830</v>
  </rv>
  <rv s="2">
    <v>176</v>
  </rv>
  <rv s="0">
    <v>https://www.bing.com/financeapi/forcetrigger?t=aayx5r&amp;q=XTSE%3aIPCO&amp;form=skydnc</v>
    <v>Learn more on Bing</v>
  </rv>
  <rv s="1">
    <v>es-ES</v>
    <v>aayx5r</v>
    <v>268435456</v>
    <v>1</v>
    <v>Con tecnología de Refinitiv</v>
    <v>0</v>
    <v>1</v>
    <v>INTERNATIONAL PETROLEUM CORPORATION (XTSE:IPCO)</v>
    <v>3</v>
    <v>49</v>
    <v>Finance</v>
    <v>42</v>
    <v>XTSE</v>
    <v>112826800</v>
    <v>2017</v>
    <v>36.97</v>
    <v>0.33189999999999997</v>
    <v>-0.63</v>
    <v>0</v>
    <v>-1.6990000000000002E-2</v>
    <v>0</v>
    <v>19431310000</v>
    <v>37.08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46136.844074074077</v>
    <v>Toronto Stock Exchange</v>
    <v>178</v>
    <v>36.97</v>
    <v>38.9</v>
    <v>36.29</v>
    <v>17.87</v>
    <v>CAD</v>
    <v>INTERNATIONAL PETROLEUM CORPORATION</v>
    <v>INTERNATIONAL PETROLEUM CORPORATION</v>
    <v>110.63120000000001</v>
    <v>36.450000000000003</v>
    <v>36.450000000000003</v>
    <v>Oil &amp; Gas</v>
    <v>Suite 2800, 1055 Dunsmuir Street, VANCOUVER, BC, V7X 1L2 CA</v>
    <v>IPCO</v>
    <v>Acciones</v>
    <v>INTERNATIONAL PETROLEUM CORPORATION (XTSE:IPCO)</v>
    <v>75120</v>
    <v>361340</v>
  </rv>
  <rv s="2">
    <v>179</v>
  </rv>
  <rv s="0">
    <v>https://www.bing.com/financeapi/forcetrigger?t=c1w41h&amp;q=XNAS%3aOTLY&amp;form=skydnc</v>
    <v>Learn more on Bing</v>
  </rv>
  <rv s="1">
    <v>es-ES</v>
    <v>c1w41h</v>
    <v>268435456</v>
    <v>1</v>
    <v>Con tecnología de Refinitiv</v>
    <v>0</v>
    <v>1</v>
    <v>Oatly Group (XNAS:OTLY)</v>
    <v>3</v>
    <v>4</v>
    <v>Finance</v>
    <v>5</v>
    <v>XNAS</v>
    <v>31225000</v>
    <v>2016</v>
    <v>12.78</v>
    <v>2.0274000000000001</v>
    <v>-0.1</v>
    <v>-1.9841000000000001E-2</v>
    <v>-7.8739999999999991E-3</v>
    <v>-0.25</v>
    <v>393435000</v>
    <v>12.7</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46136.949193738285</v>
    <v>Nasdaq Stock Market</v>
    <v>181</v>
    <v>12.86</v>
    <v>18.84</v>
    <v>12.5</v>
    <v>8.9423999999999992</v>
    <v>USD</v>
    <v>Oatly Group</v>
    <v>Oatly Group</v>
    <v>0</v>
    <v>12.6</v>
    <v>12.35</v>
    <v>Food &amp; Tobacco</v>
    <v>Angfarjekajen 8, MALMO, SKANE, 211 36 SE</v>
    <v>OTLY</v>
    <v>Acciones</v>
    <v>Oatly Group (XNAS:OTLY)</v>
    <v>35804</v>
    <v>75311</v>
  </rv>
  <rv s="2">
    <v>182</v>
  </rv>
  <rv s="13">
    <v>es-ES</v>
    <v>av8wim</v>
    <v>268435456</v>
    <v>1</v>
    <v>Con tecnología de Refinitiv</v>
    <v>50</v>
    <v>51</v>
    <v>EUR/JPY</v>
    <v>52</v>
    <v>53</v>
    <v>Finance</v>
    <v>54</v>
    <v>0.16</v>
    <v>8.5750000000000008E-4</v>
    <v>186.59</v>
    <v>EUR</v>
    <v>46136.907847222225</v>
    <v>187.93</v>
    <v>160.91999999999999</v>
    <v>JPY</v>
    <v>Euro/Japanese Yen FX Cross Rate</v>
    <v>186.75</v>
    <v>EURJPY</v>
    <v>Par de divisa</v>
    <v>EUR/JPY</v>
  </rv>
  <rv s="2">
    <v>184</v>
  </rv>
  <rv s="13">
    <v>es-ES</v>
    <v>avv7r7</v>
    <v>268435456</v>
    <v>1</v>
    <v>Con tecnología de Refinitiv</v>
    <v>50</v>
    <v>51</v>
    <v>CHF/USD</v>
    <v>52</v>
    <v>55</v>
    <v>Finance</v>
    <v>54</v>
    <v>1.9E-3</v>
    <v>1.4940000000000001E-3</v>
    <v>1.2715000000000001</v>
    <v>CHF</v>
    <v>46136.891284722224</v>
    <v>1.3149</v>
    <v>1.1795</v>
    <v>USD</v>
    <v>Swiss Franc/US Dollar FX Cross Rate</v>
    <v>1.2734000000000001</v>
    <v>CHFUSD</v>
    <v>Par de divisa</v>
    <v>CHF/USD</v>
  </rv>
  <rv s="2">
    <v>186</v>
  </rv>
  <rv s="13">
    <v>es-ES</v>
    <v>avyosm</v>
    <v>268435456</v>
    <v>1</v>
    <v>Con tecnología de Refinitiv</v>
    <v>50</v>
    <v>51</v>
    <v>USD/KZT</v>
    <v>52</v>
    <v>56</v>
    <v>Finance</v>
    <v>54</v>
    <v>0.27</v>
    <v>5.8200000000000005E-4</v>
    <v>463.91</v>
    <v>USD</v>
    <v>46136.583773148152</v>
    <v>549.66</v>
    <v>458.61</v>
    <v>KZT</v>
    <v>US Dollar/Kazakhstan Tenge FX Spot Rate</v>
    <v>464.18</v>
    <v>USDKZT</v>
    <v>Par de divisa</v>
    <v>USD/KZT</v>
  </rv>
  <rv s="2">
    <v>188</v>
  </rv>
  <rv s="13">
    <v>es-ES</v>
    <v>av3wnm</v>
    <v>268435456</v>
    <v>1</v>
    <v>Con tecnología de Refinitiv</v>
    <v>50</v>
    <v>51</v>
    <v>CAD/USD</v>
    <v>52</v>
    <v>55</v>
    <v>Finance</v>
    <v>54</v>
    <v>1.8E-3</v>
    <v>2.4660000000000003E-3</v>
    <v>0.7298</v>
    <v>CAD</v>
    <v>46136.874988425923</v>
    <v>0.74170000000000003</v>
    <v>0.70709999999999995</v>
    <v>USD</v>
    <v>Canadian Dollar/US Dollar FX Cross Rate</v>
    <v>0.73160000000000003</v>
    <v>CADUSD</v>
    <v>Par de divisa</v>
    <v>CAD/USD</v>
  </rv>
  <rv s="2">
    <v>190</v>
  </rv>
  <rv s="13">
    <v>es-ES</v>
    <v>avyn9c</v>
    <v>268435456</v>
    <v>1</v>
    <v>Con tecnología de Refinitiv</v>
    <v>50</v>
    <v>51</v>
    <v>USD/EUR</v>
    <v>52</v>
    <v>57</v>
    <v>Finance</v>
    <v>54</v>
    <v>-2.7000000000000001E-3</v>
    <v>-3.1549999999999998E-3</v>
    <v>0.85589999999999999</v>
    <v>USD</v>
    <v>46136.907847222225</v>
    <v>0.90369999999999995</v>
    <v>0.82779999999999998</v>
    <v>EUR</v>
    <v>US Dollar/Euro FX Cross Rate</v>
    <v>0.85319999999999996</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58">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4">
      <v>1</v>
      <v>1</v>
      <v>2</v>
      <v>2</v>
      <v>2</v>
      <v>3</v>
      <v>2</v>
      <v>4</v>
      <v>2</v>
      <v>4</v>
      <v>5</v>
      <v>2</v>
      <v>4</v>
      <v>6</v>
      <v>7</v>
      <v>2</v>
      <v>2</v>
      <v>4</v>
      <v>2</v>
      <v>23</v>
      <v>2</v>
      <v>5</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24</v>
      <v>24</v>
      <v>24</v>
      <v>3</v>
      <v>24</v>
      <v>4</v>
      <v>24</v>
      <v>4</v>
      <v>5</v>
      <v>24</v>
      <v>4</v>
      <v>6</v>
      <v>7</v>
      <v>24</v>
      <v>24</v>
      <v>4</v>
      <v>24</v>
      <v>13</v>
      <v>24</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25</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24</v>
      <v>24</v>
      <v>24</v>
      <v>3</v>
      <v>24</v>
      <v>4</v>
      <v>24</v>
      <v>4</v>
      <v>5</v>
      <v>24</v>
      <v>4</v>
      <v>6</v>
      <v>7</v>
      <v>24</v>
      <v>24</v>
      <v>4</v>
      <v>24</v>
      <v>18</v>
      <v>24</v>
      <v>5</v>
      <v>9</v>
    </spb>
    <spb s="28">
      <v>Change</v>
      <v>Currency</v>
      <v>Name</v>
      <v>Price</v>
      <v>Change (%)</v>
      <v>UniqueName</v>
      <v>From currency</v>
      <v>%ProviderInfo</v>
      <v>Previous close</v>
      <v>Ticker symbol</v>
      <v>Instrument type</v>
      <v>52 week high</v>
      <v>52 week low</v>
      <v>Last trade time</v>
    </spb>
    <spb s="17">
      <v>9</v>
      <v>Name</v>
    </spb>
    <spb s="29">
      <v>2</v>
      <v>2</v>
    </spb>
    <spb s="30">
      <v>26</v>
      <v>3</v>
      <v>26</v>
      <v>5</v>
      <v>26</v>
      <v>6</v>
      <v>26</v>
      <v>26</v>
      <v>9</v>
    </spb>
    <spb s="31">
      <v>GMT</v>
    </spb>
    <spb s="30">
      <v>2</v>
      <v>3</v>
      <v>2</v>
      <v>5</v>
      <v>2</v>
      <v>6</v>
      <v>2</v>
      <v>2</v>
      <v>9</v>
    </spb>
    <spb s="30">
      <v>27</v>
      <v>3</v>
      <v>27</v>
      <v>5</v>
      <v>27</v>
      <v>6</v>
      <v>27</v>
      <v>27</v>
      <v>9</v>
    </spb>
    <spb s="30">
      <v>11</v>
      <v>3</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 #,##0 [$₸-kk-KZ]_-;-* #,##0 [$₸-kk-KZ]_-;_-* "-" [$₸-kk-KZ]_-;_-@_-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tabSelected="1" zoomScaleNormal="100" workbookViewId="0">
      <pane xSplit="2" ySplit="3" topLeftCell="AV4" activePane="bottomRight" state="frozen"/>
      <selection pane="topRight" activeCell="C1" sqref="C1"/>
      <selection pane="bottomLeft" activeCell="A56" sqref="A56"/>
      <selection pane="bottomRight" activeCell="BO61" sqref="BO61:BP61"/>
    </sheetView>
  </sheetViews>
  <sheetFormatPr baseColWidth="10" defaultColWidth="8.5703125" defaultRowHeight="15" x14ac:dyDescent="0.25"/>
  <cols>
    <col min="1" max="1" width="27" customWidth="1"/>
    <col min="2" max="2" width="10" customWidth="1"/>
    <col min="3" max="3" width="12.140625" customWidth="1"/>
    <col min="4" max="4" width="14.7109375"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customWidth="1"/>
    <col min="50" max="50" width="11.85546875" customWidth="1"/>
    <col min="52" max="52" width="9.140625" customWidth="1"/>
    <col min="56" max="56" width="10" customWidth="1"/>
    <col min="57" max="57" width="7.85546875" customWidth="1"/>
    <col min="58" max="58" width="9.140625" customWidth="1"/>
    <col min="59" max="59" width="8.85546875" customWidth="1"/>
    <col min="60" max="61" width="11.28515625" customWidth="1"/>
    <col min="62" max="62" width="9.5703125" customWidth="1"/>
    <col min="63" max="63" width="10.5703125" customWidth="1"/>
    <col min="64" max="65" width="10.140625" customWidth="1"/>
    <col min="66" max="68" width="11.28515625" customWidth="1"/>
  </cols>
  <sheetData>
    <row r="1" spans="1:68" ht="27.75" customHeight="1" x14ac:dyDescent="0.25">
      <c r="A1" s="14" t="s">
        <v>0</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row>
    <row r="2" spans="1:68" ht="21.75" customHeight="1" x14ac:dyDescent="0.25">
      <c r="A2" s="13" t="s">
        <v>1</v>
      </c>
      <c r="B2" s="13"/>
      <c r="C2" s="13"/>
      <c r="D2" s="13"/>
      <c r="E2" s="13"/>
      <c r="F2" s="13"/>
      <c r="G2" s="13"/>
      <c r="H2" s="13"/>
      <c r="I2" s="13"/>
      <c r="J2" s="12" t="s">
        <v>2</v>
      </c>
      <c r="K2" s="12"/>
      <c r="L2" s="12"/>
      <c r="M2" s="12"/>
      <c r="N2" s="12"/>
      <c r="O2" s="12"/>
      <c r="P2" s="12"/>
      <c r="Q2" s="12"/>
      <c r="R2" s="12"/>
      <c r="S2" s="12"/>
      <c r="T2" s="11" t="s">
        <v>3</v>
      </c>
      <c r="U2" s="11"/>
      <c r="V2" s="11"/>
      <c r="W2" s="11"/>
      <c r="X2" s="11"/>
      <c r="Y2" s="11"/>
      <c r="Z2" s="11"/>
      <c r="AA2" s="11"/>
      <c r="AB2" s="11"/>
      <c r="AC2" s="11"/>
      <c r="AD2" s="10" t="s">
        <v>4</v>
      </c>
      <c r="AE2" s="10"/>
      <c r="AF2" s="10"/>
      <c r="AG2" s="10"/>
      <c r="AH2" s="10"/>
      <c r="AI2" s="10"/>
      <c r="AJ2" s="10"/>
      <c r="AK2" s="10"/>
      <c r="AL2" s="10"/>
      <c r="AM2" s="10"/>
      <c r="AN2" s="9" t="s">
        <v>5</v>
      </c>
      <c r="AO2" s="8" t="s">
        <v>6</v>
      </c>
      <c r="AP2" s="8"/>
      <c r="AQ2" s="8"/>
      <c r="AR2" s="8"/>
      <c r="AS2" s="8"/>
      <c r="AT2" s="8"/>
      <c r="AU2" s="8"/>
      <c r="AV2" s="8"/>
      <c r="AW2" s="8"/>
      <c r="AX2" s="8"/>
      <c r="AY2" s="8"/>
      <c r="AZ2" s="8"/>
      <c r="BA2" s="8"/>
      <c r="BB2" s="8"/>
      <c r="BC2" s="8"/>
      <c r="BD2" s="8"/>
      <c r="BE2" s="8"/>
      <c r="BF2" s="8"/>
      <c r="BG2" s="15"/>
      <c r="BH2" s="15"/>
      <c r="BI2" s="15"/>
      <c r="BJ2" s="7" t="s">
        <v>7</v>
      </c>
      <c r="BK2" s="7"/>
      <c r="BL2" s="7"/>
      <c r="BM2" s="7"/>
      <c r="BN2" s="160" t="s">
        <v>419</v>
      </c>
      <c r="BO2" s="160"/>
      <c r="BP2" s="160"/>
    </row>
    <row r="3" spans="1:68" ht="45" customHeight="1" x14ac:dyDescent="0.25">
      <c r="A3" s="17" t="s">
        <v>8</v>
      </c>
      <c r="B3" s="17" t="s">
        <v>9</v>
      </c>
      <c r="C3" s="17" t="s">
        <v>10</v>
      </c>
      <c r="D3" s="18" t="s">
        <v>11</v>
      </c>
      <c r="E3" s="17" t="s">
        <v>12</v>
      </c>
      <c r="F3" s="17" t="s">
        <v>13</v>
      </c>
      <c r="G3" s="17" t="s">
        <v>14</v>
      </c>
      <c r="H3" s="17" t="s">
        <v>15</v>
      </c>
      <c r="I3" s="17" t="s">
        <v>16</v>
      </c>
      <c r="J3" s="19" t="s">
        <v>17</v>
      </c>
      <c r="K3" s="19" t="s">
        <v>18</v>
      </c>
      <c r="L3" s="19" t="s">
        <v>19</v>
      </c>
      <c r="M3" s="19" t="s">
        <v>20</v>
      </c>
      <c r="N3" s="19" t="s">
        <v>21</v>
      </c>
      <c r="O3" s="19" t="s">
        <v>22</v>
      </c>
      <c r="P3" s="19" t="s">
        <v>23</v>
      </c>
      <c r="Q3" s="19" t="s">
        <v>24</v>
      </c>
      <c r="R3" s="19" t="s">
        <v>25</v>
      </c>
      <c r="S3" s="19" t="s">
        <v>26</v>
      </c>
      <c r="T3" s="20" t="s">
        <v>27</v>
      </c>
      <c r="U3" s="20" t="s">
        <v>28</v>
      </c>
      <c r="V3" s="20" t="s">
        <v>29</v>
      </c>
      <c r="W3" s="20" t="s">
        <v>30</v>
      </c>
      <c r="X3" s="20" t="s">
        <v>31</v>
      </c>
      <c r="Y3" s="20" t="s">
        <v>32</v>
      </c>
      <c r="Z3" s="20" t="s">
        <v>33</v>
      </c>
      <c r="AA3" s="20" t="s">
        <v>34</v>
      </c>
      <c r="AB3" s="20" t="s">
        <v>35</v>
      </c>
      <c r="AC3" s="20" t="s">
        <v>36</v>
      </c>
      <c r="AD3" s="21" t="s">
        <v>37</v>
      </c>
      <c r="AE3" s="21" t="s">
        <v>38</v>
      </c>
      <c r="AF3" s="21" t="s">
        <v>39</v>
      </c>
      <c r="AG3" s="21" t="s">
        <v>40</v>
      </c>
      <c r="AH3" s="21" t="s">
        <v>41</v>
      </c>
      <c r="AI3" s="21" t="s">
        <v>42</v>
      </c>
      <c r="AJ3" s="21" t="s">
        <v>43</v>
      </c>
      <c r="AK3" s="21" t="s">
        <v>44</v>
      </c>
      <c r="AL3" s="21" t="s">
        <v>45</v>
      </c>
      <c r="AM3" s="21" t="s">
        <v>46</v>
      </c>
      <c r="AN3" s="9"/>
      <c r="AO3" s="22" t="s">
        <v>47</v>
      </c>
      <c r="AP3" s="22" t="s">
        <v>48</v>
      </c>
      <c r="AQ3" s="22" t="s">
        <v>49</v>
      </c>
      <c r="AR3" s="22" t="s">
        <v>50</v>
      </c>
      <c r="AS3" s="23" t="s">
        <v>51</v>
      </c>
      <c r="AT3" s="23" t="s">
        <v>52</v>
      </c>
      <c r="AU3" s="23" t="s">
        <v>53</v>
      </c>
      <c r="AV3" s="23" t="s">
        <v>54</v>
      </c>
      <c r="AW3" s="22" t="s">
        <v>55</v>
      </c>
      <c r="AX3" s="22" t="s">
        <v>56</v>
      </c>
      <c r="AY3" s="22" t="s">
        <v>57</v>
      </c>
      <c r="AZ3" s="22" t="s">
        <v>58</v>
      </c>
      <c r="BA3" s="23" t="s">
        <v>59</v>
      </c>
      <c r="BB3" s="23" t="s">
        <v>60</v>
      </c>
      <c r="BC3" s="22" t="s">
        <v>61</v>
      </c>
      <c r="BD3" s="22" t="s">
        <v>62</v>
      </c>
      <c r="BE3" s="23" t="s">
        <v>63</v>
      </c>
      <c r="BF3" s="22" t="s">
        <v>64</v>
      </c>
      <c r="BG3" s="23" t="s">
        <v>65</v>
      </c>
      <c r="BH3" s="22" t="s">
        <v>66</v>
      </c>
      <c r="BI3" s="22" t="s">
        <v>67</v>
      </c>
      <c r="BJ3" s="24" t="s">
        <v>68</v>
      </c>
      <c r="BK3" s="24" t="s">
        <v>69</v>
      </c>
      <c r="BL3" s="24" t="s">
        <v>70</v>
      </c>
      <c r="BM3" s="16" t="s">
        <v>71</v>
      </c>
      <c r="BN3" s="159" t="s">
        <v>420</v>
      </c>
      <c r="BO3" s="159" t="s">
        <v>421</v>
      </c>
      <c r="BP3" s="159" t="s">
        <v>422</v>
      </c>
    </row>
    <row r="4" spans="1:68" ht="15" customHeight="1" x14ac:dyDescent="0.25">
      <c r="A4" s="158" t="e" vm="1">
        <v>#VALUE!</v>
      </c>
      <c r="B4" s="25" t="str">
        <f t="array" aca="1" ref="B4" ca="1">_FV(A4,"Símbolo bursátil",TRUE())</f>
        <v>VEEV</v>
      </c>
      <c r="C4" s="26" t="s">
        <v>72</v>
      </c>
      <c r="D4" s="26" t="s">
        <v>73</v>
      </c>
      <c r="E4" s="27" t="str">
        <f t="array" aca="1" ref="E4" ca="1">_FV(A4,"Abreviatura de intercambio",TRUE())</f>
        <v>XNYS</v>
      </c>
      <c r="F4" s="27" t="str">
        <f t="array" aca="1" ref="F4" ca="1">_FV(A4,"Moneda")</f>
        <v>USD</v>
      </c>
      <c r="G4" s="28">
        <f t="array" aca="1" ref="G4" ca="1">_FV(A4,"Precio")</f>
        <v>161.13</v>
      </c>
      <c r="H4" s="29">
        <f t="array" aca="1" ref="H4" ca="1">_FV(A4,"Acciones en circulación",TRUE())/1000000</f>
        <v>163.33090000000001</v>
      </c>
      <c r="I4" s="30">
        <f t="shared" ref="I4:I16" ca="1" si="0">G4*H4</f>
        <v>26317.507917000003</v>
      </c>
      <c r="J4" s="31">
        <v>1.5</v>
      </c>
      <c r="K4" s="31">
        <v>8</v>
      </c>
      <c r="L4" s="31">
        <v>2</v>
      </c>
      <c r="M4" s="31">
        <v>1</v>
      </c>
      <c r="N4" s="31">
        <v>-1.5</v>
      </c>
      <c r="O4" s="31">
        <v>0.72</v>
      </c>
      <c r="P4" s="31">
        <v>1</v>
      </c>
      <c r="Q4" s="31">
        <v>1</v>
      </c>
      <c r="R4" s="32">
        <f t="shared" ref="R4:R35" si="1">SUM(J4:Q4)</f>
        <v>13.72</v>
      </c>
      <c r="S4" s="33">
        <f t="shared" ref="S4:S35" si="2">ROUND(R4/17*10,2)</f>
        <v>8.07</v>
      </c>
      <c r="T4" s="31">
        <v>17</v>
      </c>
      <c r="U4" s="31">
        <v>18</v>
      </c>
      <c r="V4" s="31">
        <v>16</v>
      </c>
      <c r="W4" s="31">
        <v>8</v>
      </c>
      <c r="X4" s="31">
        <v>9</v>
      </c>
      <c r="Y4" s="31">
        <v>12</v>
      </c>
      <c r="Z4" s="31">
        <v>10</v>
      </c>
      <c r="AA4" s="31">
        <v>-8</v>
      </c>
      <c r="AB4" s="32">
        <f t="shared" ref="AB4:AB35" si="3">SUM(T4:AA4)</f>
        <v>82</v>
      </c>
      <c r="AC4" s="33">
        <f t="shared" ref="AC4:AC35" si="4">ROUND(AB4/10,2)</f>
        <v>8.1999999999999993</v>
      </c>
      <c r="AD4" s="31">
        <v>14</v>
      </c>
      <c r="AE4" s="31">
        <v>0</v>
      </c>
      <c r="AF4" s="31">
        <v>10</v>
      </c>
      <c r="AG4" s="31">
        <v>14</v>
      </c>
      <c r="AH4" s="31">
        <v>5</v>
      </c>
      <c r="AI4" s="31">
        <v>8</v>
      </c>
      <c r="AJ4" s="31">
        <v>14</v>
      </c>
      <c r="AK4" s="31">
        <v>-5</v>
      </c>
      <c r="AL4" s="32">
        <f t="shared" ref="AL4:AL35" si="5">SUM(AD4:AK4)</f>
        <v>60</v>
      </c>
      <c r="AM4" s="33">
        <f t="shared" ref="AM4:AM35" si="6">ROUND(AL4/70*10,2)</f>
        <v>8.57</v>
      </c>
      <c r="AN4" s="34">
        <f t="shared" ref="AN4:AN35" si="7">ROUND((S4+AC4+AM4)/3,2)</f>
        <v>8.2799999999999994</v>
      </c>
      <c r="AO4" s="35" t="s">
        <v>74</v>
      </c>
      <c r="AP4" s="36">
        <v>5100</v>
      </c>
      <c r="AQ4" s="36">
        <v>0</v>
      </c>
      <c r="AR4" s="36">
        <f t="shared" ref="AR4:AR11" ca="1" si="8">I4-AP4+AQ4</f>
        <v>21217.507917000003</v>
      </c>
      <c r="AS4" s="36">
        <v>1100</v>
      </c>
      <c r="AT4" s="36">
        <v>810</v>
      </c>
      <c r="AU4" s="36">
        <v>1050</v>
      </c>
      <c r="AV4" s="36">
        <v>3200</v>
      </c>
      <c r="AW4" s="37">
        <f t="shared" ref="AW4:AW35" ca="1" si="9">AR4/AS4</f>
        <v>19.288643560909094</v>
      </c>
      <c r="AX4" s="37">
        <f t="shared" ref="AX4:AX35" ca="1" si="10">AR4/AU4</f>
        <v>20.207150397142861</v>
      </c>
      <c r="AY4" s="37">
        <f t="shared" ref="AY4:AY35" ca="1" si="11">AR4/AV4</f>
        <v>6.630471224062501</v>
      </c>
      <c r="AZ4" s="38">
        <v>1500</v>
      </c>
      <c r="BA4" s="39">
        <f t="shared" ref="BA4:BA35" si="12">AT4/AV4</f>
        <v>0.25312499999999999</v>
      </c>
      <c r="BB4" s="39">
        <f t="shared" ref="BB4:BB35" si="13">AV4/AZ4</f>
        <v>2.1333333333333333</v>
      </c>
      <c r="BC4" s="40">
        <f t="shared" ref="BC4:BC35" si="14">BA4*BB4</f>
        <v>0.53999999999999992</v>
      </c>
      <c r="BD4" t="s">
        <v>75</v>
      </c>
      <c r="BE4" s="40">
        <f t="shared" ref="BE4:BE35" si="15">(BD4/AS4)^(1/5)-1</f>
        <v>7.9965132679460593E-2</v>
      </c>
      <c r="BF4" t="s">
        <v>76</v>
      </c>
      <c r="BG4" s="40">
        <f t="shared" ref="BG4:BG35" si="16">(BF4/AS4)^(1/5)-1</f>
        <v>0.19998667198228226</v>
      </c>
      <c r="BH4" s="41">
        <v>18</v>
      </c>
      <c r="BI4" s="41">
        <v>30</v>
      </c>
      <c r="BJ4" s="42">
        <f t="shared" ref="BJ4:BJ11" ca="1" si="17">(BD4*BH4+$AP4-$AQ4)/$H4</f>
        <v>209.31740411642866</v>
      </c>
      <c r="BK4" s="42">
        <f t="shared" ref="BK4:BK11" ca="1" si="18">(BF4*BI4+$AP4-$AQ4)/$H4</f>
        <v>533.94673022679717</v>
      </c>
      <c r="BL4" s="40">
        <f t="shared" ref="BL4:BL35" ca="1" si="19">($BJ4/G4)^(1/5)-1</f>
        <v>5.372136698029184E-2</v>
      </c>
      <c r="BM4" s="40">
        <f t="shared" ref="BM4:BM35" ca="1" si="20">(BK4/G4)^(1/4)-1</f>
        <v>0.34921257745203937</v>
      </c>
      <c r="BN4" s="43" t="s">
        <v>77</v>
      </c>
      <c r="BO4" s="43" t="s">
        <v>78</v>
      </c>
      <c r="BP4" s="43" t="s">
        <v>79</v>
      </c>
    </row>
    <row r="5" spans="1:68" ht="15" customHeight="1" x14ac:dyDescent="0.25">
      <c r="A5" s="158" t="e" vm="2">
        <v>#VALUE!</v>
      </c>
      <c r="B5" s="25" t="str">
        <f t="array" aca="1" ref="B5" ca="1">_FV(A5,"Símbolo bursátil",TRUE())</f>
        <v>MSFT</v>
      </c>
      <c r="C5" s="26" t="s">
        <v>80</v>
      </c>
      <c r="D5" s="26" t="s">
        <v>73</v>
      </c>
      <c r="E5" s="27" t="str">
        <f t="array" aca="1" ref="E5" ca="1">_FV(A5,"Abreviatura de intercambio",TRUE())</f>
        <v>XNAS</v>
      </c>
      <c r="F5" s="27" t="str">
        <f t="array" aca="1" ref="F5" ca="1">_FV(A5,"Moneda")</f>
        <v>USD</v>
      </c>
      <c r="G5" s="28">
        <f t="array" aca="1" ref="G5" ca="1">_FV(A5,"Precio")</f>
        <v>424.62</v>
      </c>
      <c r="H5" s="29">
        <f t="array" aca="1" ref="H5" ca="1">_FV(A5,"Acciones en circulación",TRUE())/1000000</f>
        <v>7425.6289999999999</v>
      </c>
      <c r="I5" s="30">
        <f t="shared" ca="1" si="0"/>
        <v>3153070.58598</v>
      </c>
      <c r="J5" s="44">
        <v>1</v>
      </c>
      <c r="K5" s="44">
        <v>8</v>
      </c>
      <c r="L5" s="44">
        <v>3</v>
      </c>
      <c r="M5" s="44">
        <v>1</v>
      </c>
      <c r="N5" s="44">
        <v>0</v>
      </c>
      <c r="O5" s="44">
        <v>0.8</v>
      </c>
      <c r="P5" s="44">
        <v>1</v>
      </c>
      <c r="Q5" s="44">
        <v>0</v>
      </c>
      <c r="R5" s="45">
        <f t="shared" si="1"/>
        <v>14.8</v>
      </c>
      <c r="S5" s="33">
        <f t="shared" si="2"/>
        <v>8.7100000000000009</v>
      </c>
      <c r="T5" s="44">
        <v>16</v>
      </c>
      <c r="U5" s="44">
        <v>19</v>
      </c>
      <c r="V5" s="44">
        <v>14</v>
      </c>
      <c r="W5" s="44">
        <v>10</v>
      </c>
      <c r="X5" s="44">
        <v>9</v>
      </c>
      <c r="Y5" s="44">
        <v>13</v>
      </c>
      <c r="Z5" s="44">
        <v>7</v>
      </c>
      <c r="AA5" s="44">
        <v>-12</v>
      </c>
      <c r="AB5" s="45">
        <f t="shared" si="3"/>
        <v>76</v>
      </c>
      <c r="AC5" s="33">
        <f t="shared" si="4"/>
        <v>7.6</v>
      </c>
      <c r="AD5" s="44">
        <v>14</v>
      </c>
      <c r="AE5" s="44">
        <v>0</v>
      </c>
      <c r="AF5" s="44">
        <v>5</v>
      </c>
      <c r="AG5" s="44">
        <v>14</v>
      </c>
      <c r="AH5" s="44">
        <v>5</v>
      </c>
      <c r="AI5" s="44">
        <v>9</v>
      </c>
      <c r="AJ5" s="44">
        <v>13</v>
      </c>
      <c r="AK5" s="44">
        <v>-6</v>
      </c>
      <c r="AL5" s="45">
        <f t="shared" si="5"/>
        <v>54</v>
      </c>
      <c r="AM5" s="33">
        <f t="shared" si="6"/>
        <v>7.71</v>
      </c>
      <c r="AN5" s="34">
        <f t="shared" si="7"/>
        <v>8.01</v>
      </c>
      <c r="AO5" s="35" t="s">
        <v>74</v>
      </c>
      <c r="AP5" s="36">
        <v>78000</v>
      </c>
      <c r="AQ5" s="36">
        <v>45000</v>
      </c>
      <c r="AR5" s="36">
        <f t="shared" ca="1" si="8"/>
        <v>3120070.58598</v>
      </c>
      <c r="AS5" s="36">
        <v>70000</v>
      </c>
      <c r="AT5" s="36">
        <v>90000</v>
      </c>
      <c r="AU5" s="36">
        <v>144000</v>
      </c>
      <c r="AV5" s="36">
        <v>270000</v>
      </c>
      <c r="AW5" s="37">
        <f t="shared" ca="1" si="9"/>
        <v>44.572436942571429</v>
      </c>
      <c r="AX5" s="37">
        <f t="shared" ca="1" si="10"/>
        <v>21.667156847083334</v>
      </c>
      <c r="AY5" s="37">
        <f t="shared" ca="1" si="11"/>
        <v>11.555816985111111</v>
      </c>
      <c r="AZ5" s="38">
        <v>280000</v>
      </c>
      <c r="BA5" s="39">
        <f t="shared" si="12"/>
        <v>0.33333333333333331</v>
      </c>
      <c r="BB5" s="39">
        <f t="shared" si="13"/>
        <v>0.9642857142857143</v>
      </c>
      <c r="BC5" s="40">
        <f t="shared" si="14"/>
        <v>0.3214285714285714</v>
      </c>
      <c r="BD5" t="s">
        <v>81</v>
      </c>
      <c r="BE5" s="40">
        <f t="shared" si="15"/>
        <v>8.0000072713343418E-2</v>
      </c>
      <c r="BF5" t="s">
        <v>82</v>
      </c>
      <c r="BG5" s="40">
        <f t="shared" si="16"/>
        <v>0.1699994472920241</v>
      </c>
      <c r="BH5" s="41">
        <v>20</v>
      </c>
      <c r="BI5" s="41">
        <v>30</v>
      </c>
      <c r="BJ5" s="42">
        <f t="shared" ca="1" si="17"/>
        <v>281.46571825767217</v>
      </c>
      <c r="BK5" s="42">
        <f t="shared" ca="1" si="18"/>
        <v>624.47639115824393</v>
      </c>
      <c r="BL5" s="40">
        <f t="shared" ca="1" si="19"/>
        <v>-7.8946171485779426E-2</v>
      </c>
      <c r="BM5" s="40">
        <f t="shared" ca="1" si="20"/>
        <v>0.10123218193895678</v>
      </c>
      <c r="BN5" s="43" t="s">
        <v>77</v>
      </c>
      <c r="BO5" s="43" t="s">
        <v>83</v>
      </c>
      <c r="BP5" s="43" t="s">
        <v>84</v>
      </c>
    </row>
    <row r="6" spans="1:68" ht="15" customHeight="1" x14ac:dyDescent="0.25">
      <c r="A6" s="158" t="e" vm="3">
        <v>#VALUE!</v>
      </c>
      <c r="B6" s="25" t="str">
        <f t="array" aca="1" ref="B6" ca="1">_FV(A6,"Símbolo bursátil",TRUE())</f>
        <v>ADYEN</v>
      </c>
      <c r="C6" s="26" t="s">
        <v>85</v>
      </c>
      <c r="D6" s="26" t="s">
        <v>73</v>
      </c>
      <c r="E6" s="27" t="str">
        <f t="array" aca="1" ref="E6" ca="1">_FV(A6,"Abreviatura de intercambio",TRUE())</f>
        <v>XAMS</v>
      </c>
      <c r="F6" s="27" t="str">
        <f t="array" aca="1" ref="F6" ca="1">_FV(A6,"Moneda")</f>
        <v>EUR</v>
      </c>
      <c r="G6" s="28">
        <f t="array" aca="1" ref="G6" ca="1">_FV(A6,"Precio")</f>
        <v>975.1</v>
      </c>
      <c r="H6" s="29">
        <f t="array" aca="1" ref="H6" ca="1">_FV(A6,"Acciones en circulación",TRUE())/1000000</f>
        <v>31.54768</v>
      </c>
      <c r="I6" s="30">
        <f t="shared" ca="1" si="0"/>
        <v>30762.142768000002</v>
      </c>
      <c r="J6" s="31">
        <v>1</v>
      </c>
      <c r="K6" s="31">
        <v>7</v>
      </c>
      <c r="L6" s="31">
        <v>2</v>
      </c>
      <c r="M6" s="31">
        <v>1</v>
      </c>
      <c r="N6" s="31">
        <v>-1</v>
      </c>
      <c r="O6" s="31">
        <v>0.74</v>
      </c>
      <c r="P6" s="31">
        <v>1</v>
      </c>
      <c r="Q6" s="31">
        <v>1</v>
      </c>
      <c r="R6" s="32">
        <f t="shared" si="1"/>
        <v>12.74</v>
      </c>
      <c r="S6" s="33">
        <f t="shared" si="2"/>
        <v>7.49</v>
      </c>
      <c r="T6" s="31">
        <v>15.5</v>
      </c>
      <c r="U6" s="31">
        <v>18</v>
      </c>
      <c r="V6" s="31">
        <v>13</v>
      </c>
      <c r="W6" s="31">
        <v>8</v>
      </c>
      <c r="X6" s="31">
        <v>7.5</v>
      </c>
      <c r="Y6" s="31">
        <v>12</v>
      </c>
      <c r="Z6" s="31">
        <v>10</v>
      </c>
      <c r="AA6" s="31">
        <v>-10</v>
      </c>
      <c r="AB6" s="32">
        <f t="shared" si="3"/>
        <v>74</v>
      </c>
      <c r="AC6" s="33">
        <f t="shared" si="4"/>
        <v>7.4</v>
      </c>
      <c r="AD6" s="31">
        <v>13</v>
      </c>
      <c r="AE6" s="31">
        <v>-1</v>
      </c>
      <c r="AF6" s="31">
        <v>9</v>
      </c>
      <c r="AG6" s="31">
        <v>14</v>
      </c>
      <c r="AH6" s="31">
        <v>5</v>
      </c>
      <c r="AI6" s="31">
        <v>10</v>
      </c>
      <c r="AJ6" s="31">
        <v>14</v>
      </c>
      <c r="AK6" s="31">
        <v>-6</v>
      </c>
      <c r="AL6" s="32">
        <f t="shared" si="5"/>
        <v>58</v>
      </c>
      <c r="AM6" s="33">
        <f t="shared" si="6"/>
        <v>8.2899999999999991</v>
      </c>
      <c r="AN6" s="34">
        <f t="shared" si="7"/>
        <v>7.73</v>
      </c>
      <c r="AO6" s="35" t="s">
        <v>86</v>
      </c>
      <c r="AP6" s="36">
        <v>9000</v>
      </c>
      <c r="AQ6" s="36">
        <v>500</v>
      </c>
      <c r="AR6" s="36">
        <f t="shared" ca="1" si="8"/>
        <v>22262.142768000002</v>
      </c>
      <c r="AS6" s="36">
        <v>790</v>
      </c>
      <c r="AT6" s="36">
        <v>600</v>
      </c>
      <c r="AU6" s="36">
        <v>1050</v>
      </c>
      <c r="AV6" s="36">
        <v>2050</v>
      </c>
      <c r="AW6" s="37">
        <f t="shared" ca="1" si="9"/>
        <v>28.179927554430382</v>
      </c>
      <c r="AX6" s="37">
        <f t="shared" ca="1" si="10"/>
        <v>21.202040731428571</v>
      </c>
      <c r="AY6" s="37">
        <f t="shared" ca="1" si="11"/>
        <v>10.859581838048781</v>
      </c>
      <c r="AZ6" s="38">
        <v>2500</v>
      </c>
      <c r="BA6" s="39">
        <f t="shared" si="12"/>
        <v>0.29268292682926828</v>
      </c>
      <c r="BB6" s="39">
        <f t="shared" si="13"/>
        <v>0.82</v>
      </c>
      <c r="BC6" s="40">
        <f t="shared" si="14"/>
        <v>0.23999999999999996</v>
      </c>
      <c r="BD6" t="s">
        <v>87</v>
      </c>
      <c r="BE6" s="40">
        <f t="shared" si="15"/>
        <v>0.11995978575519017</v>
      </c>
      <c r="BF6" t="s">
        <v>88</v>
      </c>
      <c r="BG6" s="40">
        <f t="shared" si="16"/>
        <v>0.27996044996171676</v>
      </c>
      <c r="BH6" s="41">
        <v>17.5</v>
      </c>
      <c r="BI6" s="41">
        <v>28</v>
      </c>
      <c r="BJ6" s="42">
        <f t="shared" ca="1" si="17"/>
        <v>1041.5979875540768</v>
      </c>
      <c r="BK6" s="42">
        <f t="shared" ca="1" si="18"/>
        <v>2678.2318065860945</v>
      </c>
      <c r="BL6" s="40">
        <f t="shared" ca="1" si="19"/>
        <v>1.3281690276011338E-2</v>
      </c>
      <c r="BM6" s="40">
        <f t="shared" ca="1" si="20"/>
        <v>0.28735923181267742</v>
      </c>
      <c r="BN6" s="43" t="s">
        <v>77</v>
      </c>
      <c r="BO6" s="43" t="s">
        <v>89</v>
      </c>
      <c r="BP6" s="43" t="s">
        <v>90</v>
      </c>
    </row>
    <row r="7" spans="1:68" ht="15" customHeight="1" x14ac:dyDescent="0.25">
      <c r="A7" s="158" t="e" vm="4">
        <v>#VALUE!</v>
      </c>
      <c r="B7" s="25" t="str">
        <f t="array" aca="1" ref="B7" ca="1">_FV(A7,"Símbolo bursátil",TRUE())</f>
        <v>BN</v>
      </c>
      <c r="C7" s="26" t="s">
        <v>91</v>
      </c>
      <c r="D7" s="26" t="s">
        <v>73</v>
      </c>
      <c r="E7" s="27" t="str">
        <f t="array" aca="1" ref="E7" ca="1">_FV(A7,"Abreviatura de intercambio",TRUE())</f>
        <v>XNYS</v>
      </c>
      <c r="F7" s="27" t="str">
        <f t="array" aca="1" ref="F7" ca="1">_FV(A7,"Moneda")</f>
        <v>USD</v>
      </c>
      <c r="G7" s="28">
        <f t="array" aca="1" ref="G7" ca="1">_FV(A7,"Precio")</f>
        <v>45.48</v>
      </c>
      <c r="H7" s="29">
        <f t="array" aca="1" ref="H7" ca="1">_FV(A7,"Acciones en circulación",TRUE())/1000000</f>
        <v>2450.877</v>
      </c>
      <c r="I7" s="30">
        <f t="shared" ca="1" si="0"/>
        <v>111465.88595999999</v>
      </c>
      <c r="J7" s="44">
        <v>1</v>
      </c>
      <c r="K7" s="44">
        <v>7</v>
      </c>
      <c r="L7" s="44">
        <v>3</v>
      </c>
      <c r="M7" s="44">
        <v>0.5</v>
      </c>
      <c r="N7" s="44">
        <v>0</v>
      </c>
      <c r="O7" s="44">
        <v>0.66</v>
      </c>
      <c r="P7" s="44">
        <v>1</v>
      </c>
      <c r="Q7" s="44">
        <v>1</v>
      </c>
      <c r="R7" s="45">
        <f t="shared" si="1"/>
        <v>14.16</v>
      </c>
      <c r="S7" s="33">
        <f t="shared" si="2"/>
        <v>8.33</v>
      </c>
      <c r="T7" s="44">
        <v>13</v>
      </c>
      <c r="U7" s="44">
        <v>17</v>
      </c>
      <c r="V7" s="44">
        <v>15</v>
      </c>
      <c r="W7" s="44">
        <v>10</v>
      </c>
      <c r="X7" s="44">
        <v>9</v>
      </c>
      <c r="Y7" s="44">
        <v>13</v>
      </c>
      <c r="Z7" s="44">
        <v>10</v>
      </c>
      <c r="AA7" s="44">
        <v>-8</v>
      </c>
      <c r="AB7" s="45">
        <f t="shared" si="3"/>
        <v>79</v>
      </c>
      <c r="AC7" s="33">
        <f t="shared" si="4"/>
        <v>7.9</v>
      </c>
      <c r="AD7" s="44">
        <v>14</v>
      </c>
      <c r="AE7" s="44">
        <v>-1</v>
      </c>
      <c r="AF7" s="44">
        <v>5</v>
      </c>
      <c r="AG7" s="44">
        <v>15</v>
      </c>
      <c r="AH7" s="44">
        <v>1</v>
      </c>
      <c r="AI7" s="44">
        <v>10</v>
      </c>
      <c r="AJ7" s="44">
        <v>14</v>
      </c>
      <c r="AK7" s="44">
        <v>-5</v>
      </c>
      <c r="AL7" s="45">
        <f t="shared" si="5"/>
        <v>53</v>
      </c>
      <c r="AM7" s="33">
        <f t="shared" si="6"/>
        <v>7.57</v>
      </c>
      <c r="AN7" s="34">
        <f t="shared" si="7"/>
        <v>7.93</v>
      </c>
      <c r="AO7" s="35" t="s">
        <v>74</v>
      </c>
      <c r="AP7" s="36">
        <v>10000</v>
      </c>
      <c r="AQ7" s="36">
        <v>17000</v>
      </c>
      <c r="AR7" s="36">
        <f t="shared" ca="1" si="8"/>
        <v>118465.88595999999</v>
      </c>
      <c r="AS7" s="36">
        <v>5000</v>
      </c>
      <c r="AT7" s="36">
        <v>5500</v>
      </c>
      <c r="AU7" s="36">
        <v>15000</v>
      </c>
      <c r="AV7" s="36">
        <v>98000</v>
      </c>
      <c r="AW7" s="37">
        <f t="shared" ca="1" si="9"/>
        <v>23.693177191999997</v>
      </c>
      <c r="AX7" s="37">
        <f t="shared" ca="1" si="10"/>
        <v>7.8977257306666653</v>
      </c>
      <c r="AY7" s="37">
        <f t="shared" ca="1" si="11"/>
        <v>1.208835571020408</v>
      </c>
      <c r="AZ7" s="38">
        <v>90000</v>
      </c>
      <c r="BA7" s="39">
        <f t="shared" si="12"/>
        <v>5.6122448979591837E-2</v>
      </c>
      <c r="BB7" s="39">
        <f t="shared" si="13"/>
        <v>1.0888888888888888</v>
      </c>
      <c r="BC7" s="40">
        <f t="shared" si="14"/>
        <v>6.1111111111111109E-2</v>
      </c>
      <c r="BD7" t="s">
        <v>92</v>
      </c>
      <c r="BE7" s="40">
        <f t="shared" si="15"/>
        <v>7.0007364782187942E-2</v>
      </c>
      <c r="BF7" t="s">
        <v>93</v>
      </c>
      <c r="BG7" s="40">
        <f t="shared" si="16"/>
        <v>0.16999487310434414</v>
      </c>
      <c r="BH7" s="41">
        <v>18</v>
      </c>
      <c r="BI7" s="41">
        <v>25</v>
      </c>
      <c r="BJ7" s="42">
        <f t="shared" ca="1" si="17"/>
        <v>48.649524231530187</v>
      </c>
      <c r="BK7" s="42">
        <f t="shared" ca="1" si="18"/>
        <v>108.96099641067259</v>
      </c>
      <c r="BL7" s="40">
        <f t="shared" ca="1" si="19"/>
        <v>1.3565053734955868E-2</v>
      </c>
      <c r="BM7" s="40">
        <f t="shared" ca="1" si="20"/>
        <v>0.24412109092771805</v>
      </c>
      <c r="BN7" s="43" t="s">
        <v>77</v>
      </c>
      <c r="BO7" s="46" t="s">
        <v>94</v>
      </c>
      <c r="BP7" s="43" t="s">
        <v>95</v>
      </c>
    </row>
    <row r="8" spans="1:68" ht="15" customHeight="1" x14ac:dyDescent="0.25">
      <c r="A8" s="158" t="e" vm="5">
        <v>#VALUE!</v>
      </c>
      <c r="B8" s="25" t="str">
        <f t="array" aca="1" ref="B8" ca="1">_FV(A8,"Símbolo bursátil",TRUE())</f>
        <v>COST</v>
      </c>
      <c r="C8" s="26" t="s">
        <v>96</v>
      </c>
      <c r="D8" s="26" t="s">
        <v>96</v>
      </c>
      <c r="E8" s="27" t="str">
        <f t="array" aca="1" ref="E8" ca="1">_FV(A8,"Abreviatura de intercambio",TRUE())</f>
        <v>XNAS</v>
      </c>
      <c r="F8" s="27" t="str">
        <f t="array" aca="1" ref="F8" ca="1">_FV(A8,"Moneda")</f>
        <v>USD</v>
      </c>
      <c r="G8" s="28">
        <f t="array" aca="1" ref="G8" ca="1">_FV(A8,"Precio")</f>
        <v>1011.15</v>
      </c>
      <c r="H8" s="29">
        <f t="array" aca="1" ref="H8" ca="1">_FV(A8,"Acciones en circulación",TRUE())/1000000</f>
        <v>443.65249999999997</v>
      </c>
      <c r="I8" s="30">
        <f t="shared" ca="1" si="0"/>
        <v>448599.22537499998</v>
      </c>
      <c r="J8" s="31">
        <v>1.5</v>
      </c>
      <c r="K8" s="31">
        <v>8</v>
      </c>
      <c r="L8" s="31">
        <v>1</v>
      </c>
      <c r="M8" s="31">
        <v>1</v>
      </c>
      <c r="N8" s="31">
        <v>0</v>
      </c>
      <c r="O8" s="31">
        <v>0.78</v>
      </c>
      <c r="P8" s="31">
        <v>1</v>
      </c>
      <c r="Q8" s="31">
        <v>0</v>
      </c>
      <c r="R8" s="32">
        <f t="shared" si="1"/>
        <v>13.28</v>
      </c>
      <c r="S8" s="33">
        <f t="shared" si="2"/>
        <v>7.81</v>
      </c>
      <c r="T8" s="31">
        <v>15</v>
      </c>
      <c r="U8" s="31">
        <v>19</v>
      </c>
      <c r="V8" s="31">
        <v>11</v>
      </c>
      <c r="W8" s="31">
        <v>10</v>
      </c>
      <c r="X8" s="31">
        <v>10</v>
      </c>
      <c r="Y8" s="31">
        <v>13</v>
      </c>
      <c r="Z8" s="31">
        <v>7</v>
      </c>
      <c r="AA8" s="31">
        <v>-7</v>
      </c>
      <c r="AB8" s="32">
        <f t="shared" si="3"/>
        <v>78</v>
      </c>
      <c r="AC8" s="33">
        <f t="shared" si="4"/>
        <v>7.8</v>
      </c>
      <c r="AD8" s="31">
        <v>15</v>
      </c>
      <c r="AE8" s="31">
        <v>0</v>
      </c>
      <c r="AF8" s="31">
        <v>6</v>
      </c>
      <c r="AG8" s="31">
        <v>13</v>
      </c>
      <c r="AH8" s="31">
        <v>5</v>
      </c>
      <c r="AI8" s="31">
        <v>9</v>
      </c>
      <c r="AJ8" s="31">
        <v>14</v>
      </c>
      <c r="AK8" s="31">
        <v>-3</v>
      </c>
      <c r="AL8" s="32">
        <f t="shared" si="5"/>
        <v>59</v>
      </c>
      <c r="AM8" s="33">
        <f t="shared" si="6"/>
        <v>8.43</v>
      </c>
      <c r="AN8" s="34">
        <f t="shared" si="7"/>
        <v>8.01</v>
      </c>
      <c r="AO8" s="35" t="s">
        <v>74</v>
      </c>
      <c r="AP8" s="36">
        <v>12500</v>
      </c>
      <c r="AQ8" s="36">
        <v>7500</v>
      </c>
      <c r="AR8" s="36">
        <f t="shared" ca="1" si="8"/>
        <v>443599.22537499998</v>
      </c>
      <c r="AS8" s="36">
        <v>8500</v>
      </c>
      <c r="AT8" s="36">
        <v>7500</v>
      </c>
      <c r="AU8" s="36">
        <v>11800</v>
      </c>
      <c r="AV8" s="36">
        <v>262000</v>
      </c>
      <c r="AW8" s="37">
        <f t="shared" ca="1" si="9"/>
        <v>52.188144161764704</v>
      </c>
      <c r="AX8" s="37">
        <f t="shared" ca="1" si="10"/>
        <v>37.59315469279661</v>
      </c>
      <c r="AY8" s="37">
        <f t="shared" ca="1" si="11"/>
        <v>1.6931268144083969</v>
      </c>
      <c r="AZ8" s="38">
        <v>40000</v>
      </c>
      <c r="BA8" s="39">
        <f t="shared" si="12"/>
        <v>2.8625954198473282E-2</v>
      </c>
      <c r="BB8" s="39">
        <f t="shared" si="13"/>
        <v>6.55</v>
      </c>
      <c r="BC8" s="40">
        <f t="shared" si="14"/>
        <v>0.1875</v>
      </c>
      <c r="BD8" t="s">
        <v>97</v>
      </c>
      <c r="BE8" s="40">
        <f t="shared" si="15"/>
        <v>6.0001539273940807E-2</v>
      </c>
      <c r="BF8" t="s">
        <v>98</v>
      </c>
      <c r="BG8" s="40">
        <f t="shared" si="16"/>
        <v>0.12000143092585835</v>
      </c>
      <c r="BH8" s="41">
        <v>20</v>
      </c>
      <c r="BI8" s="41">
        <v>30</v>
      </c>
      <c r="BJ8" s="42">
        <f t="shared" ca="1" si="17"/>
        <v>524.05880728723503</v>
      </c>
      <c r="BK8" s="42">
        <f t="shared" ca="1" si="18"/>
        <v>1024.2250409949229</v>
      </c>
      <c r="BL8" s="40">
        <f t="shared" ca="1" si="19"/>
        <v>-0.12317507333596478</v>
      </c>
      <c r="BM8" s="40">
        <f t="shared" ca="1" si="20"/>
        <v>3.2171569978285408E-3</v>
      </c>
      <c r="BN8" s="43" t="s">
        <v>77</v>
      </c>
      <c r="BO8" s="43" t="s">
        <v>99</v>
      </c>
      <c r="BP8" s="43" t="s">
        <v>100</v>
      </c>
    </row>
    <row r="9" spans="1:68" ht="15" customHeight="1" x14ac:dyDescent="0.25">
      <c r="A9" s="158" t="e" vm="6">
        <v>#VALUE!</v>
      </c>
      <c r="B9" s="25" t="str">
        <f t="array" aca="1" ref="B9" ca="1">_FV(A9,"Símbolo bursátil",TRUE())</f>
        <v>DSGX</v>
      </c>
      <c r="C9" s="26" t="s">
        <v>72</v>
      </c>
      <c r="D9" s="26" t="s">
        <v>73</v>
      </c>
      <c r="E9" s="27" t="str">
        <f t="array" aca="1" ref="E9" ca="1">_FV(A9,"Abreviatura de intercambio",TRUE())</f>
        <v>XNAS</v>
      </c>
      <c r="F9" s="27" t="str">
        <f t="array" aca="1" ref="F9" ca="1">_FV(A9,"Moneda")</f>
        <v>USD</v>
      </c>
      <c r="G9" s="28">
        <f t="array" aca="1" ref="G9" ca="1">_FV(A9,"Precio")</f>
        <v>72</v>
      </c>
      <c r="H9" s="29">
        <f t="array" aca="1" ref="H9" ca="1">_FV(A9,"Acciones en circulación",TRUE())/1000000</f>
        <v>86.020600000000002</v>
      </c>
      <c r="I9" s="30">
        <f t="shared" ca="1" si="0"/>
        <v>6193.4832000000006</v>
      </c>
      <c r="J9" s="44">
        <v>1</v>
      </c>
      <c r="K9" s="44">
        <v>7</v>
      </c>
      <c r="L9" s="44">
        <v>2</v>
      </c>
      <c r="M9" s="44">
        <v>1</v>
      </c>
      <c r="N9" s="44">
        <v>0</v>
      </c>
      <c r="O9" s="44">
        <v>0.8</v>
      </c>
      <c r="P9" s="44">
        <v>0.5</v>
      </c>
      <c r="Q9" s="44">
        <v>0</v>
      </c>
      <c r="R9" s="45">
        <f t="shared" si="1"/>
        <v>12.3</v>
      </c>
      <c r="S9" s="33">
        <f t="shared" si="2"/>
        <v>7.24</v>
      </c>
      <c r="T9" s="44">
        <v>16</v>
      </c>
      <c r="U9" s="44">
        <v>17</v>
      </c>
      <c r="V9" s="44">
        <v>11</v>
      </c>
      <c r="W9" s="44">
        <v>10</v>
      </c>
      <c r="X9" s="44">
        <v>9</v>
      </c>
      <c r="Y9" s="44">
        <v>13</v>
      </c>
      <c r="Z9" s="44">
        <v>6</v>
      </c>
      <c r="AA9" s="44">
        <v>-7</v>
      </c>
      <c r="AB9" s="45">
        <f t="shared" si="3"/>
        <v>75</v>
      </c>
      <c r="AC9" s="33">
        <f t="shared" si="4"/>
        <v>7.5</v>
      </c>
      <c r="AD9" s="44">
        <v>14</v>
      </c>
      <c r="AE9" s="44">
        <v>0</v>
      </c>
      <c r="AF9" s="44">
        <v>10</v>
      </c>
      <c r="AG9" s="44">
        <v>13</v>
      </c>
      <c r="AH9" s="44">
        <v>5</v>
      </c>
      <c r="AI9" s="44">
        <v>8</v>
      </c>
      <c r="AJ9" s="44">
        <v>14</v>
      </c>
      <c r="AK9" s="44">
        <v>-3</v>
      </c>
      <c r="AL9" s="45">
        <f t="shared" si="5"/>
        <v>61</v>
      </c>
      <c r="AM9" s="33">
        <f t="shared" si="6"/>
        <v>8.7100000000000009</v>
      </c>
      <c r="AN9" s="34">
        <f t="shared" si="7"/>
        <v>7.82</v>
      </c>
      <c r="AO9" s="35" t="s">
        <v>74</v>
      </c>
      <c r="AP9" s="36">
        <v>356</v>
      </c>
      <c r="AQ9" s="36">
        <v>0</v>
      </c>
      <c r="AR9" s="36">
        <f t="shared" ca="1" si="8"/>
        <v>5837.4832000000006</v>
      </c>
      <c r="AS9" s="36">
        <v>240</v>
      </c>
      <c r="AT9" s="36">
        <v>160</v>
      </c>
      <c r="AU9" s="36">
        <v>329</v>
      </c>
      <c r="AV9" s="36">
        <v>729</v>
      </c>
      <c r="AW9" s="37">
        <f t="shared" ca="1" si="9"/>
        <v>24.322846666666671</v>
      </c>
      <c r="AX9" s="37">
        <f t="shared" ca="1" si="10"/>
        <v>17.743110030395137</v>
      </c>
      <c r="AY9" s="37">
        <f t="shared" ca="1" si="11"/>
        <v>8.0075215363511667</v>
      </c>
      <c r="AZ9" s="38">
        <v>950</v>
      </c>
      <c r="BA9" s="39">
        <f t="shared" si="12"/>
        <v>0.21947873799725651</v>
      </c>
      <c r="BB9" s="39">
        <f t="shared" si="13"/>
        <v>0.76736842105263159</v>
      </c>
      <c r="BC9" s="40">
        <f t="shared" si="14"/>
        <v>0.16842105263157894</v>
      </c>
      <c r="BD9" t="s">
        <v>101</v>
      </c>
      <c r="BE9" s="40">
        <f t="shared" si="15"/>
        <v>8.022119107630199E-2</v>
      </c>
      <c r="BF9" t="s">
        <v>102</v>
      </c>
      <c r="BG9" s="40">
        <f t="shared" si="16"/>
        <v>0.15996225865400127</v>
      </c>
      <c r="BH9" s="41">
        <v>17.5</v>
      </c>
      <c r="BI9" s="41">
        <v>27</v>
      </c>
      <c r="BJ9" s="42">
        <f t="shared" ca="1" si="17"/>
        <v>75.952736902555898</v>
      </c>
      <c r="BK9" s="42">
        <f t="shared" ca="1" si="18"/>
        <v>162.33320855702007</v>
      </c>
      <c r="BL9" s="40">
        <f t="shared" ca="1" si="19"/>
        <v>1.0746360753893791E-2</v>
      </c>
      <c r="BM9" s="40">
        <f t="shared" ca="1" si="20"/>
        <v>0.22537416317838144</v>
      </c>
      <c r="BN9" s="43" t="s">
        <v>77</v>
      </c>
      <c r="BO9" s="43" t="s">
        <v>103</v>
      </c>
      <c r="BP9" s="43" t="s">
        <v>104</v>
      </c>
    </row>
    <row r="10" spans="1:68" ht="15" customHeight="1" x14ac:dyDescent="0.25">
      <c r="A10" s="158" t="e" vm="7">
        <v>#VALUE!</v>
      </c>
      <c r="B10" s="25" t="str">
        <f t="array" aca="1" ref="B10" ca="1">_FV(A10,"Símbolo bursátil",TRUE())</f>
        <v>RAA</v>
      </c>
      <c r="C10" s="26" t="s">
        <v>105</v>
      </c>
      <c r="D10" s="26" t="s">
        <v>73</v>
      </c>
      <c r="E10" s="27" t="str">
        <f t="array" aca="1" ref="E10" ca="1">_FV(A10,"Abreviatura de intercambio",TRUE())</f>
        <v>XFRA</v>
      </c>
      <c r="F10" s="27" t="str">
        <f t="array" aca="1" ref="F10" ca="1">_FV(A10,"Moneda")</f>
        <v>EUR</v>
      </c>
      <c r="G10" s="28">
        <f t="array" aca="1" ref="G10" ca="1">_FV(A10,"Precio")</f>
        <v>659</v>
      </c>
      <c r="H10" s="29">
        <f t="array" aca="1" ref="H10" ca="1">_FV(A10,"Acciones en circulación",TRUE())/1000000</f>
        <v>11.37</v>
      </c>
      <c r="I10" s="30">
        <f t="shared" ca="1" si="0"/>
        <v>7492.83</v>
      </c>
      <c r="J10" s="31">
        <v>1</v>
      </c>
      <c r="K10" s="31">
        <v>7</v>
      </c>
      <c r="L10" s="31">
        <v>2</v>
      </c>
      <c r="M10" s="31">
        <v>1</v>
      </c>
      <c r="N10" s="31">
        <v>0</v>
      </c>
      <c r="O10" s="31">
        <v>0.82</v>
      </c>
      <c r="P10" s="31">
        <v>1</v>
      </c>
      <c r="Q10" s="31">
        <v>1</v>
      </c>
      <c r="R10" s="32">
        <f t="shared" si="1"/>
        <v>13.82</v>
      </c>
      <c r="S10" s="33">
        <f t="shared" si="2"/>
        <v>8.1300000000000008</v>
      </c>
      <c r="T10" s="31">
        <v>15</v>
      </c>
      <c r="U10" s="31">
        <v>17</v>
      </c>
      <c r="V10" s="31">
        <v>10</v>
      </c>
      <c r="W10" s="31">
        <v>9</v>
      </c>
      <c r="X10" s="31">
        <v>8</v>
      </c>
      <c r="Y10" s="31">
        <v>13</v>
      </c>
      <c r="Z10" s="31">
        <v>10</v>
      </c>
      <c r="AA10" s="31">
        <v>-7</v>
      </c>
      <c r="AB10" s="32">
        <f t="shared" si="3"/>
        <v>75</v>
      </c>
      <c r="AC10" s="33">
        <f t="shared" si="4"/>
        <v>7.5</v>
      </c>
      <c r="AD10" s="31">
        <v>14</v>
      </c>
      <c r="AE10" s="31">
        <v>-1</v>
      </c>
      <c r="AF10" s="31">
        <v>8</v>
      </c>
      <c r="AG10" s="31">
        <v>13</v>
      </c>
      <c r="AH10" s="31">
        <v>5</v>
      </c>
      <c r="AI10" s="31">
        <v>9</v>
      </c>
      <c r="AJ10" s="31">
        <v>13</v>
      </c>
      <c r="AK10" s="31">
        <v>-3</v>
      </c>
      <c r="AL10" s="32">
        <f t="shared" si="5"/>
        <v>58</v>
      </c>
      <c r="AM10" s="33">
        <f t="shared" si="6"/>
        <v>8.2899999999999991</v>
      </c>
      <c r="AN10" s="34">
        <f t="shared" si="7"/>
        <v>7.97</v>
      </c>
      <c r="AO10" s="35" t="s">
        <v>86</v>
      </c>
      <c r="AP10" s="36">
        <v>280</v>
      </c>
      <c r="AQ10" s="36">
        <v>20</v>
      </c>
      <c r="AR10" s="36">
        <f t="shared" ca="1" si="8"/>
        <v>7232.83</v>
      </c>
      <c r="AS10" s="36">
        <v>260</v>
      </c>
      <c r="AT10" s="36">
        <v>230</v>
      </c>
      <c r="AU10" s="36">
        <v>320</v>
      </c>
      <c r="AV10" s="36">
        <v>1200</v>
      </c>
      <c r="AW10" s="37">
        <f t="shared" ca="1" si="9"/>
        <v>27.818576923076922</v>
      </c>
      <c r="AX10" s="37">
        <f t="shared" ca="1" si="10"/>
        <v>22.60259375</v>
      </c>
      <c r="AY10" s="37">
        <f t="shared" ca="1" si="11"/>
        <v>6.0273583333333329</v>
      </c>
      <c r="AZ10" s="38">
        <v>600</v>
      </c>
      <c r="BA10" s="39">
        <f t="shared" si="12"/>
        <v>0.19166666666666668</v>
      </c>
      <c r="BB10" s="39">
        <f t="shared" si="13"/>
        <v>2</v>
      </c>
      <c r="BC10" s="40">
        <f t="shared" si="14"/>
        <v>0.38333333333333336</v>
      </c>
      <c r="BD10" t="s">
        <v>106</v>
      </c>
      <c r="BE10" s="40">
        <f t="shared" si="15"/>
        <v>5.0105533884466924E-2</v>
      </c>
      <c r="BF10" t="s">
        <v>107</v>
      </c>
      <c r="BG10" s="40">
        <f t="shared" si="16"/>
        <v>0.12998436153517012</v>
      </c>
      <c r="BH10" s="41">
        <v>15</v>
      </c>
      <c r="BI10" s="41">
        <v>27</v>
      </c>
      <c r="BJ10" s="42">
        <f t="shared" ca="1" si="17"/>
        <v>460.86191732629732</v>
      </c>
      <c r="BK10" s="42">
        <f t="shared" ca="1" si="18"/>
        <v>1160.3342128408092</v>
      </c>
      <c r="BL10" s="40">
        <f t="shared" ca="1" si="19"/>
        <v>-6.9027009114458138E-2</v>
      </c>
      <c r="BM10" s="40">
        <f t="shared" ca="1" si="20"/>
        <v>0.15192557557910069</v>
      </c>
      <c r="BN10" s="43" t="s">
        <v>77</v>
      </c>
      <c r="BO10" s="43" t="s">
        <v>108</v>
      </c>
      <c r="BP10" s="43" t="s">
        <v>109</v>
      </c>
    </row>
    <row r="11" spans="1:68" ht="15" customHeight="1" x14ac:dyDescent="0.25">
      <c r="A11" s="158" t="e" vm="8">
        <v>#VALUE!</v>
      </c>
      <c r="B11" s="25" t="str">
        <f t="array" aca="1" ref="B11" ca="1">_FV(A11,"Símbolo bursátil",TRUE())</f>
        <v>ZS</v>
      </c>
      <c r="C11" s="26" t="s">
        <v>110</v>
      </c>
      <c r="D11" s="26" t="s">
        <v>111</v>
      </c>
      <c r="E11" s="27" t="str">
        <f t="array" aca="1" ref="E11" ca="1">_FV(A11,"Abreviatura de intercambio",TRUE())</f>
        <v>XNAS</v>
      </c>
      <c r="F11" s="27" t="str">
        <f t="array" aca="1" ref="F11" ca="1">_FV(A11,"Moneda")</f>
        <v>USD</v>
      </c>
      <c r="G11" s="28">
        <f t="array" aca="1" ref="G11" ca="1">_FV(A11,"Precio")</f>
        <v>135.5</v>
      </c>
      <c r="H11" s="29">
        <f t="array" aca="1" ref="H11" ca="1">_FV(A11,"Acciones en circulación",TRUE())/1000000</f>
        <v>160.79069999999999</v>
      </c>
      <c r="I11" s="30">
        <f t="shared" ca="1" si="0"/>
        <v>21787.13985</v>
      </c>
      <c r="J11" s="44">
        <v>2</v>
      </c>
      <c r="K11" s="44">
        <v>6</v>
      </c>
      <c r="L11" s="44">
        <v>2</v>
      </c>
      <c r="M11" s="44">
        <v>1</v>
      </c>
      <c r="N11" s="44">
        <v>0</v>
      </c>
      <c r="O11" s="44">
        <v>0.72</v>
      </c>
      <c r="P11" s="44">
        <v>1</v>
      </c>
      <c r="Q11" s="44">
        <v>1</v>
      </c>
      <c r="R11" s="45">
        <f t="shared" si="1"/>
        <v>13.72</v>
      </c>
      <c r="S11" s="33">
        <f t="shared" si="2"/>
        <v>8.07</v>
      </c>
      <c r="T11" s="44">
        <v>13</v>
      </c>
      <c r="U11" s="44">
        <v>15</v>
      </c>
      <c r="V11" s="44">
        <v>14</v>
      </c>
      <c r="W11" s="44">
        <v>8</v>
      </c>
      <c r="X11" s="44">
        <v>9</v>
      </c>
      <c r="Y11" s="44">
        <v>12</v>
      </c>
      <c r="Z11" s="44">
        <v>10</v>
      </c>
      <c r="AA11" s="44">
        <v>-11</v>
      </c>
      <c r="AB11" s="45">
        <f t="shared" si="3"/>
        <v>70</v>
      </c>
      <c r="AC11" s="33">
        <f t="shared" si="4"/>
        <v>7</v>
      </c>
      <c r="AD11" s="44">
        <v>13</v>
      </c>
      <c r="AE11" s="44">
        <v>-2</v>
      </c>
      <c r="AF11" s="44">
        <v>9</v>
      </c>
      <c r="AG11" s="44">
        <v>11</v>
      </c>
      <c r="AH11" s="44">
        <v>4</v>
      </c>
      <c r="AI11" s="44">
        <v>9</v>
      </c>
      <c r="AJ11" s="44">
        <v>12</v>
      </c>
      <c r="AK11" s="44">
        <v>-5</v>
      </c>
      <c r="AL11" s="45">
        <f t="shared" si="5"/>
        <v>51</v>
      </c>
      <c r="AM11" s="33">
        <f t="shared" si="6"/>
        <v>7.29</v>
      </c>
      <c r="AN11" s="34">
        <f t="shared" si="7"/>
        <v>7.45</v>
      </c>
      <c r="AO11" s="35" t="s">
        <v>74</v>
      </c>
      <c r="AP11" s="36">
        <v>2400</v>
      </c>
      <c r="AQ11" s="36">
        <v>0</v>
      </c>
      <c r="AR11" s="36">
        <f t="shared" ca="1" si="8"/>
        <v>19387.13985</v>
      </c>
      <c r="AS11" s="36">
        <v>730</v>
      </c>
      <c r="AT11" s="36">
        <v>300</v>
      </c>
      <c r="AU11" s="36">
        <v>550</v>
      </c>
      <c r="AV11" s="36">
        <v>2700</v>
      </c>
      <c r="AW11" s="37">
        <f t="shared" ca="1" si="9"/>
        <v>26.557725821917806</v>
      </c>
      <c r="AX11" s="37">
        <f t="shared" ca="1" si="10"/>
        <v>35.249345181818178</v>
      </c>
      <c r="AY11" s="37">
        <f t="shared" ca="1" si="11"/>
        <v>7.1804221666666663</v>
      </c>
      <c r="AZ11" s="38">
        <v>2000</v>
      </c>
      <c r="BA11" s="39">
        <f t="shared" si="12"/>
        <v>0.1111111111111111</v>
      </c>
      <c r="BB11" s="39">
        <f t="shared" si="13"/>
        <v>1.35</v>
      </c>
      <c r="BC11" s="40">
        <f t="shared" si="14"/>
        <v>0.15</v>
      </c>
      <c r="BD11" t="s">
        <v>112</v>
      </c>
      <c r="BE11" s="40">
        <f t="shared" si="15"/>
        <v>0.10006131467358759</v>
      </c>
      <c r="BF11" t="s">
        <v>113</v>
      </c>
      <c r="BG11" s="40">
        <f t="shared" si="16"/>
        <v>0.23998999963593159</v>
      </c>
      <c r="BH11" s="41">
        <v>20</v>
      </c>
      <c r="BI11" s="41">
        <v>30</v>
      </c>
      <c r="BJ11" s="42">
        <f t="shared" ca="1" si="17"/>
        <v>161.2033531790085</v>
      </c>
      <c r="BK11" s="42">
        <f t="shared" ca="1" si="18"/>
        <v>414.20306025161904</v>
      </c>
      <c r="BL11" s="40">
        <f t="shared" ca="1" si="19"/>
        <v>3.5349445440920002E-2</v>
      </c>
      <c r="BM11" s="40">
        <f t="shared" ca="1" si="20"/>
        <v>0.32226499873093206</v>
      </c>
      <c r="BN11" s="43" t="s">
        <v>77</v>
      </c>
      <c r="BO11" s="43" t="s">
        <v>114</v>
      </c>
      <c r="BP11" s="43" t="s">
        <v>100</v>
      </c>
    </row>
    <row r="12" spans="1:68" ht="15" customHeight="1" x14ac:dyDescent="0.25">
      <c r="A12" s="158" t="e" vm="9">
        <v>#VALUE!</v>
      </c>
      <c r="B12" s="25" t="str">
        <f t="array" aca="1" ref="B12" ca="1">_FV(A12,"Símbolo bursátil",TRUE())</f>
        <v>NTO</v>
      </c>
      <c r="C12" s="26" t="s">
        <v>115</v>
      </c>
      <c r="D12" s="26" t="s">
        <v>73</v>
      </c>
      <c r="E12" s="27" t="str">
        <f t="array" aca="1" ref="E12" ca="1">_FV(A12,"Abreviatura de intercambio",TRUE())</f>
        <v>XFRA</v>
      </c>
      <c r="F12" s="27" t="str">
        <f t="array" aca="1" ref="F12" ca="1">_FV(A12,"Moneda")</f>
        <v>EUR</v>
      </c>
      <c r="G12" s="28">
        <f t="array" aca="1" ref="G12" ca="1">_FV(A12,"Precio")</f>
        <v>42.89</v>
      </c>
      <c r="H12" s="29">
        <f t="array" aca="1" ref="H12" ca="1">_FV(A12,"Acciones en circulación",TRUE())/1000000</f>
        <v>1287.26</v>
      </c>
      <c r="I12" s="30">
        <f t="shared" ca="1" si="0"/>
        <v>55210.581400000003</v>
      </c>
      <c r="J12" s="31">
        <v>1</v>
      </c>
      <c r="K12" s="31">
        <v>7</v>
      </c>
      <c r="L12" s="31">
        <v>3</v>
      </c>
      <c r="M12" s="31">
        <v>1</v>
      </c>
      <c r="N12" s="31">
        <v>0</v>
      </c>
      <c r="O12" s="31">
        <v>0.82</v>
      </c>
      <c r="P12" s="31">
        <v>1</v>
      </c>
      <c r="Q12" s="31">
        <v>0</v>
      </c>
      <c r="R12" s="32">
        <f t="shared" si="1"/>
        <v>13.82</v>
      </c>
      <c r="S12" s="33">
        <f t="shared" si="2"/>
        <v>8.1300000000000008</v>
      </c>
      <c r="T12" s="31">
        <v>16</v>
      </c>
      <c r="U12" s="31">
        <v>17</v>
      </c>
      <c r="V12" s="31">
        <v>14</v>
      </c>
      <c r="W12" s="31">
        <v>10</v>
      </c>
      <c r="X12" s="31">
        <v>8</v>
      </c>
      <c r="Y12" s="31">
        <v>12</v>
      </c>
      <c r="Z12" s="31">
        <v>6</v>
      </c>
      <c r="AA12" s="31">
        <v>-8</v>
      </c>
      <c r="AB12" s="32">
        <f t="shared" si="3"/>
        <v>75</v>
      </c>
      <c r="AC12" s="33">
        <f t="shared" si="4"/>
        <v>7.5</v>
      </c>
      <c r="AD12" s="31">
        <v>14</v>
      </c>
      <c r="AE12" s="31">
        <v>-1</v>
      </c>
      <c r="AF12" s="31">
        <v>9</v>
      </c>
      <c r="AG12" s="31">
        <v>12</v>
      </c>
      <c r="AH12" s="31">
        <v>5</v>
      </c>
      <c r="AI12" s="31">
        <v>7</v>
      </c>
      <c r="AJ12" s="31">
        <v>14</v>
      </c>
      <c r="AK12" s="31">
        <v>-3</v>
      </c>
      <c r="AL12" s="32">
        <f t="shared" si="5"/>
        <v>57</v>
      </c>
      <c r="AM12" s="33">
        <f t="shared" si="6"/>
        <v>8.14</v>
      </c>
      <c r="AN12" s="34">
        <f t="shared" si="7"/>
        <v>7.92</v>
      </c>
      <c r="AO12" s="35" t="s">
        <v>116</v>
      </c>
      <c r="AP12" s="36">
        <v>1950000</v>
      </c>
      <c r="AQ12" s="36">
        <v>20000</v>
      </c>
      <c r="AR12" s="36">
        <f ca="1">I12*'Framework Notes'!E4-AP12+AQ12</f>
        <v>8380576.0764499996</v>
      </c>
      <c r="AS12" s="36">
        <v>330000</v>
      </c>
      <c r="AT12" s="36">
        <v>350000</v>
      </c>
      <c r="AU12" s="36">
        <v>550000</v>
      </c>
      <c r="AV12" s="36">
        <v>2000000</v>
      </c>
      <c r="AW12" s="37">
        <f t="shared" ca="1" si="9"/>
        <v>25.395685080151512</v>
      </c>
      <c r="AX12" s="37">
        <f t="shared" ca="1" si="10"/>
        <v>15.237411048090909</v>
      </c>
      <c r="AY12" s="37">
        <f t="shared" ca="1" si="11"/>
        <v>4.1902880382249998</v>
      </c>
      <c r="AZ12" s="38">
        <v>1600000</v>
      </c>
      <c r="BA12" s="39">
        <f t="shared" si="12"/>
        <v>0.17499999999999999</v>
      </c>
      <c r="BB12" s="39">
        <f t="shared" si="13"/>
        <v>1.25</v>
      </c>
      <c r="BC12" s="40">
        <f t="shared" si="14"/>
        <v>0.21875</v>
      </c>
      <c r="BD12" t="s">
        <v>117</v>
      </c>
      <c r="BE12" s="40">
        <f t="shared" si="15"/>
        <v>0</v>
      </c>
      <c r="BF12" t="s">
        <v>118</v>
      </c>
      <c r="BG12" s="40">
        <f t="shared" si="16"/>
        <v>0.13000014527509696</v>
      </c>
      <c r="BH12" s="41">
        <v>15</v>
      </c>
      <c r="BI12" s="41">
        <v>22.5</v>
      </c>
      <c r="BJ12" s="42">
        <f ca="1">((BD12*BH12+$AP12-$AQ12)/$H12)/'Framework Notes'!E4</f>
        <v>28.619467798117359</v>
      </c>
      <c r="BK12" s="42">
        <f ca="1">((BF12*BI12+$AP12-$AQ12)/$H12)/'Framework Notes'!E4</f>
        <v>64.934951755917709</v>
      </c>
      <c r="BL12" s="40">
        <f t="shared" ca="1" si="19"/>
        <v>-7.7723587765218261E-2</v>
      </c>
      <c r="BM12" s="40">
        <f t="shared" ca="1" si="20"/>
        <v>0.10925301798657316</v>
      </c>
      <c r="BN12" s="43" t="s">
        <v>77</v>
      </c>
      <c r="BO12" s="46" t="s">
        <v>119</v>
      </c>
      <c r="BP12" s="43" t="s">
        <v>120</v>
      </c>
    </row>
    <row r="13" spans="1:68" ht="15" customHeight="1" x14ac:dyDescent="0.25">
      <c r="A13" s="158" t="e" vm="10">
        <v>#VALUE!</v>
      </c>
      <c r="B13" s="25" t="str">
        <f t="array" aca="1" ref="B13" ca="1">_FV(A13,"Símbolo bursátil",TRUE())</f>
        <v>AMZN</v>
      </c>
      <c r="C13" s="26" t="s">
        <v>80</v>
      </c>
      <c r="D13" s="26" t="s">
        <v>73</v>
      </c>
      <c r="E13" s="27" t="str">
        <f t="array" aca="1" ref="E13" ca="1">_FV(A13,"Abreviatura de intercambio",TRUE())</f>
        <v>XNAS</v>
      </c>
      <c r="F13" s="27" t="str">
        <f t="array" aca="1" ref="F13" ca="1">_FV(A13,"Moneda")</f>
        <v>USD</v>
      </c>
      <c r="G13" s="28">
        <f t="array" aca="1" ref="G13" ca="1">_FV(A13,"Precio")</f>
        <v>263.99</v>
      </c>
      <c r="H13" s="29">
        <f t="array" aca="1" ref="H13" ca="1">_FV(A13,"Acciones en circulación",TRUE())/1000000</f>
        <v>10754.39</v>
      </c>
      <c r="I13" s="30">
        <f t="shared" ca="1" si="0"/>
        <v>2839051.4161</v>
      </c>
      <c r="J13" s="44">
        <v>1.5</v>
      </c>
      <c r="K13" s="44">
        <v>8</v>
      </c>
      <c r="L13" s="44">
        <v>3</v>
      </c>
      <c r="M13" s="44">
        <v>1</v>
      </c>
      <c r="N13" s="44">
        <v>0</v>
      </c>
      <c r="O13" s="44">
        <v>0.72</v>
      </c>
      <c r="P13" s="44">
        <v>1</v>
      </c>
      <c r="Q13" s="44">
        <v>0.5</v>
      </c>
      <c r="R13" s="45">
        <f t="shared" si="1"/>
        <v>15.72</v>
      </c>
      <c r="S13" s="33">
        <f t="shared" si="2"/>
        <v>9.25</v>
      </c>
      <c r="T13" s="44">
        <v>14</v>
      </c>
      <c r="U13" s="44">
        <v>19</v>
      </c>
      <c r="V13" s="44">
        <v>15</v>
      </c>
      <c r="W13" s="44">
        <v>10</v>
      </c>
      <c r="X13" s="44">
        <v>9</v>
      </c>
      <c r="Y13" s="44">
        <v>12</v>
      </c>
      <c r="Z13" s="44">
        <v>6</v>
      </c>
      <c r="AA13" s="44">
        <v>-8</v>
      </c>
      <c r="AB13" s="45">
        <f t="shared" si="3"/>
        <v>77</v>
      </c>
      <c r="AC13" s="33">
        <f t="shared" si="4"/>
        <v>7.7</v>
      </c>
      <c r="AD13" s="44">
        <v>14</v>
      </c>
      <c r="AE13" s="44">
        <v>-1</v>
      </c>
      <c r="AF13" s="44">
        <v>4</v>
      </c>
      <c r="AG13" s="44">
        <v>13</v>
      </c>
      <c r="AH13" s="44">
        <v>4</v>
      </c>
      <c r="AI13" s="44">
        <v>8</v>
      </c>
      <c r="AJ13" s="44">
        <v>14</v>
      </c>
      <c r="AK13" s="44">
        <v>-5</v>
      </c>
      <c r="AL13" s="45">
        <f t="shared" si="5"/>
        <v>51</v>
      </c>
      <c r="AM13" s="33">
        <f t="shared" si="6"/>
        <v>7.29</v>
      </c>
      <c r="AN13" s="34">
        <f t="shared" si="7"/>
        <v>8.08</v>
      </c>
      <c r="AO13" s="35" t="s">
        <v>74</v>
      </c>
      <c r="AP13" s="36">
        <v>80000</v>
      </c>
      <c r="AQ13" s="36">
        <v>65000</v>
      </c>
      <c r="AR13" s="36">
        <f t="shared" ref="AR13:AR32" ca="1" si="21">I13-AP13+AQ13</f>
        <v>2824051.4161</v>
      </c>
      <c r="AS13" s="36">
        <v>52000</v>
      </c>
      <c r="AT13" s="36">
        <v>55000</v>
      </c>
      <c r="AU13" s="36">
        <v>138000</v>
      </c>
      <c r="AV13" s="36">
        <v>637000</v>
      </c>
      <c r="AW13" s="37">
        <f t="shared" ca="1" si="9"/>
        <v>54.308681078846156</v>
      </c>
      <c r="AX13" s="37">
        <f t="shared" ca="1" si="10"/>
        <v>20.464140696376813</v>
      </c>
      <c r="AY13" s="37">
        <f t="shared" ca="1" si="11"/>
        <v>4.433361720722135</v>
      </c>
      <c r="AZ13" s="38">
        <v>300000</v>
      </c>
      <c r="BA13" s="39">
        <f t="shared" si="12"/>
        <v>8.6342229199372053E-2</v>
      </c>
      <c r="BB13" s="39">
        <f t="shared" si="13"/>
        <v>2.1233333333333335</v>
      </c>
      <c r="BC13" s="40">
        <f t="shared" si="14"/>
        <v>0.18333333333333335</v>
      </c>
      <c r="BD13" t="s">
        <v>121</v>
      </c>
      <c r="BE13" s="40">
        <f t="shared" si="15"/>
        <v>7.0000909614846396E-2</v>
      </c>
      <c r="BF13" t="s">
        <v>122</v>
      </c>
      <c r="BG13" s="40">
        <f t="shared" si="16"/>
        <v>0.16000049664691973</v>
      </c>
      <c r="BH13" s="41">
        <v>22.5</v>
      </c>
      <c r="BI13" s="41">
        <v>30</v>
      </c>
      <c r="BJ13" s="42">
        <f ca="1">(BD13*BH13+$AP13-$AQ13)/$H13</f>
        <v>153.98293162141229</v>
      </c>
      <c r="BK13" s="42">
        <f ca="1">(BF13*BI13+$AP13-$AQ13)/$H13</f>
        <v>306.06477912740752</v>
      </c>
      <c r="BL13" s="40">
        <f t="shared" ca="1" si="19"/>
        <v>-0.10220533252572028</v>
      </c>
      <c r="BM13" s="40">
        <f t="shared" ca="1" si="20"/>
        <v>3.7663330894378566E-2</v>
      </c>
      <c r="BN13" s="43" t="s">
        <v>77</v>
      </c>
      <c r="BO13" s="43" t="s">
        <v>94</v>
      </c>
      <c r="BP13" s="43" t="s">
        <v>84</v>
      </c>
    </row>
    <row r="14" spans="1:68" ht="15" customHeight="1" x14ac:dyDescent="0.25">
      <c r="A14" s="158" t="e" vm="11">
        <v>#VALUE!</v>
      </c>
      <c r="B14" s="25" t="str">
        <f t="array" aca="1" ref="B14" ca="1">_FV(A14,"Símbolo bursátil",TRUE())</f>
        <v>SU</v>
      </c>
      <c r="C14" s="26" t="s">
        <v>123</v>
      </c>
      <c r="D14" s="26" t="s">
        <v>73</v>
      </c>
      <c r="E14" s="27" t="str">
        <f t="array" aca="1" ref="E14" ca="1">_FV(A14,"Abreviatura de intercambio",TRUE())</f>
        <v>XPAR</v>
      </c>
      <c r="F14" s="27" t="str">
        <f t="array" aca="1" ref="F14" ca="1">_FV(A14,"Moneda")</f>
        <v>EUR</v>
      </c>
      <c r="G14" s="28">
        <f t="array" aca="1" ref="G14" ca="1">_FV(A14,"Precio")</f>
        <v>276</v>
      </c>
      <c r="H14" s="29">
        <f t="array" aca="1" ref="H14" ca="1">_FV(A14,"Acciones en circulación",TRUE())/1000000</f>
        <v>577.12249999999995</v>
      </c>
      <c r="I14" s="30">
        <f t="shared" ca="1" si="0"/>
        <v>159285.81</v>
      </c>
      <c r="J14" s="31">
        <v>1</v>
      </c>
      <c r="K14" s="31">
        <v>7</v>
      </c>
      <c r="L14" s="31">
        <v>3</v>
      </c>
      <c r="M14" s="31">
        <v>1</v>
      </c>
      <c r="N14" s="31">
        <v>0</v>
      </c>
      <c r="O14" s="31">
        <v>0.84</v>
      </c>
      <c r="P14" s="31">
        <v>1</v>
      </c>
      <c r="Q14" s="31">
        <v>0</v>
      </c>
      <c r="R14" s="32">
        <f t="shared" si="1"/>
        <v>13.84</v>
      </c>
      <c r="S14" s="33">
        <f t="shared" si="2"/>
        <v>8.14</v>
      </c>
      <c r="T14" s="31">
        <v>15</v>
      </c>
      <c r="U14" s="31">
        <v>17</v>
      </c>
      <c r="V14" s="31">
        <v>15</v>
      </c>
      <c r="W14" s="31">
        <v>10</v>
      </c>
      <c r="X14" s="31">
        <v>9</v>
      </c>
      <c r="Y14" s="31">
        <v>13</v>
      </c>
      <c r="Z14" s="31">
        <v>5</v>
      </c>
      <c r="AA14" s="31">
        <v>-7</v>
      </c>
      <c r="AB14" s="32">
        <f t="shared" si="3"/>
        <v>77</v>
      </c>
      <c r="AC14" s="33">
        <f t="shared" si="4"/>
        <v>7.7</v>
      </c>
      <c r="AD14" s="31">
        <v>14</v>
      </c>
      <c r="AE14" s="31">
        <v>-1</v>
      </c>
      <c r="AF14" s="31">
        <v>6</v>
      </c>
      <c r="AG14" s="31">
        <v>13</v>
      </c>
      <c r="AH14" s="31">
        <v>4</v>
      </c>
      <c r="AI14" s="31">
        <v>8</v>
      </c>
      <c r="AJ14" s="31">
        <v>13</v>
      </c>
      <c r="AK14" s="31">
        <v>-3</v>
      </c>
      <c r="AL14" s="32">
        <f t="shared" si="5"/>
        <v>54</v>
      </c>
      <c r="AM14" s="33">
        <f t="shared" si="6"/>
        <v>7.71</v>
      </c>
      <c r="AN14" s="34">
        <f t="shared" si="7"/>
        <v>7.85</v>
      </c>
      <c r="AO14" s="35" t="s">
        <v>86</v>
      </c>
      <c r="AP14" s="36">
        <v>3500</v>
      </c>
      <c r="AQ14" s="36">
        <v>12500</v>
      </c>
      <c r="AR14" s="36">
        <f t="shared" ca="1" si="21"/>
        <v>168285.81</v>
      </c>
      <c r="AS14" s="36">
        <v>4500</v>
      </c>
      <c r="AT14" s="36">
        <v>4800</v>
      </c>
      <c r="AU14" s="36">
        <v>8800</v>
      </c>
      <c r="AV14" s="36">
        <v>39500</v>
      </c>
      <c r="AW14" s="37">
        <f t="shared" ca="1" si="9"/>
        <v>37.396846666666669</v>
      </c>
      <c r="AX14" s="37">
        <f t="shared" ca="1" si="10"/>
        <v>19.1233875</v>
      </c>
      <c r="AY14" s="37">
        <f t="shared" ca="1" si="11"/>
        <v>4.2604002531645566</v>
      </c>
      <c r="AZ14" s="38">
        <v>38000</v>
      </c>
      <c r="BA14" s="39">
        <f t="shared" si="12"/>
        <v>0.12151898734177215</v>
      </c>
      <c r="BB14" s="39">
        <f t="shared" si="13"/>
        <v>1.0394736842105263</v>
      </c>
      <c r="BC14" s="40">
        <f t="shared" si="14"/>
        <v>0.12631578947368421</v>
      </c>
      <c r="BD14" t="s">
        <v>124</v>
      </c>
      <c r="BE14" s="40">
        <f t="shared" si="15"/>
        <v>4.9990235939731065E-2</v>
      </c>
      <c r="BF14" t="s">
        <v>125</v>
      </c>
      <c r="BG14" s="40">
        <f t="shared" si="16"/>
        <v>0.13000113649503442</v>
      </c>
      <c r="BH14" s="41">
        <v>17.5</v>
      </c>
      <c r="BI14" s="41">
        <v>25</v>
      </c>
      <c r="BJ14" s="42">
        <f ca="1">(BD14*BH14+$AP14-$AQ14)/$H14</f>
        <v>158.54952804647195</v>
      </c>
      <c r="BK14" s="42">
        <f ca="1">(BF14*BI14+$AP14-$AQ14)/$H14</f>
        <v>343.5579101490585</v>
      </c>
      <c r="BL14" s="40">
        <f t="shared" ca="1" si="19"/>
        <v>-0.10494200890302641</v>
      </c>
      <c r="BM14" s="40">
        <f t="shared" ca="1" si="20"/>
        <v>5.6264582021875231E-2</v>
      </c>
      <c r="BN14" s="43" t="s">
        <v>77</v>
      </c>
      <c r="BO14" s="43" t="s">
        <v>114</v>
      </c>
      <c r="BP14" s="43" t="s">
        <v>126</v>
      </c>
    </row>
    <row r="15" spans="1:68" ht="15" customHeight="1" x14ac:dyDescent="0.25">
      <c r="A15" s="158" t="e" vm="12">
        <v>#VALUE!</v>
      </c>
      <c r="B15" s="25" t="str">
        <f t="array" aca="1" ref="B15" ca="1">_FV(A15,"Símbolo bursátil",TRUE())</f>
        <v>ITX</v>
      </c>
      <c r="C15" s="26" t="s">
        <v>127</v>
      </c>
      <c r="D15" s="26" t="s">
        <v>73</v>
      </c>
      <c r="E15" s="27" t="str">
        <f t="array" aca="1" ref="E15" ca="1">_FV(A15,"Abreviatura de intercambio",TRUE())</f>
        <v>BMEX</v>
      </c>
      <c r="F15" s="27" t="str">
        <f t="array" aca="1" ref="F15" ca="1">_FV(A15,"Moneda")</f>
        <v>EUR</v>
      </c>
      <c r="G15" s="28">
        <f t="array" aca="1" ref="G15" ca="1">_FV(A15,"Precio")</f>
        <v>52.56</v>
      </c>
      <c r="H15" s="29">
        <f t="array" aca="1" ref="H15" ca="1">_FV(A15,"Acciones en circulación",TRUE())/1000000</f>
        <v>3116.652</v>
      </c>
      <c r="I15" s="30">
        <f t="shared" ca="1" si="0"/>
        <v>163811.22912</v>
      </c>
      <c r="J15" s="44">
        <v>0</v>
      </c>
      <c r="K15" s="44">
        <v>6.5</v>
      </c>
      <c r="L15" s="44">
        <v>2</v>
      </c>
      <c r="M15" s="44">
        <v>1</v>
      </c>
      <c r="N15" s="44">
        <v>0</v>
      </c>
      <c r="O15" s="44">
        <v>0.74</v>
      </c>
      <c r="P15" s="44">
        <v>1</v>
      </c>
      <c r="Q15" s="44">
        <v>1</v>
      </c>
      <c r="R15" s="45">
        <f t="shared" si="1"/>
        <v>12.24</v>
      </c>
      <c r="S15" s="33">
        <f t="shared" si="2"/>
        <v>7.2</v>
      </c>
      <c r="T15" s="44">
        <v>16</v>
      </c>
      <c r="U15" s="44">
        <v>17</v>
      </c>
      <c r="V15" s="44">
        <v>10</v>
      </c>
      <c r="W15" s="44">
        <v>10</v>
      </c>
      <c r="X15" s="44">
        <v>9</v>
      </c>
      <c r="Y15" s="44">
        <v>13</v>
      </c>
      <c r="Z15" s="44">
        <v>10</v>
      </c>
      <c r="AA15" s="44">
        <v>-8</v>
      </c>
      <c r="AB15" s="45">
        <f t="shared" si="3"/>
        <v>77</v>
      </c>
      <c r="AC15" s="33">
        <f t="shared" si="4"/>
        <v>7.7</v>
      </c>
      <c r="AD15" s="44">
        <v>14</v>
      </c>
      <c r="AE15" s="44">
        <v>-1</v>
      </c>
      <c r="AF15" s="44">
        <v>8</v>
      </c>
      <c r="AG15" s="44">
        <v>13</v>
      </c>
      <c r="AH15" s="44">
        <v>5</v>
      </c>
      <c r="AI15" s="44">
        <v>9</v>
      </c>
      <c r="AJ15" s="44">
        <v>13</v>
      </c>
      <c r="AK15" s="44">
        <v>-4</v>
      </c>
      <c r="AL15" s="45">
        <f t="shared" si="5"/>
        <v>57</v>
      </c>
      <c r="AM15" s="33">
        <f t="shared" si="6"/>
        <v>8.14</v>
      </c>
      <c r="AN15" s="34">
        <f t="shared" si="7"/>
        <v>7.68</v>
      </c>
      <c r="AO15" s="35" t="s">
        <v>86</v>
      </c>
      <c r="AP15" s="36">
        <v>11500</v>
      </c>
      <c r="AQ15" s="36">
        <v>0</v>
      </c>
      <c r="AR15" s="36">
        <f t="shared" ca="1" si="21"/>
        <v>152311.22912</v>
      </c>
      <c r="AS15" s="36">
        <v>6500</v>
      </c>
      <c r="AT15" s="36">
        <v>6500</v>
      </c>
      <c r="AU15" s="36">
        <v>11000</v>
      </c>
      <c r="AV15" s="36">
        <v>38600</v>
      </c>
      <c r="AW15" s="37">
        <f t="shared" ca="1" si="9"/>
        <v>23.432496787692308</v>
      </c>
      <c r="AX15" s="37">
        <f t="shared" ca="1" si="10"/>
        <v>13.846475374545454</v>
      </c>
      <c r="AY15" s="37">
        <f t="shared" ca="1" si="11"/>
        <v>3.9458867647668394</v>
      </c>
      <c r="AZ15" s="38">
        <v>18000</v>
      </c>
      <c r="BA15" s="39">
        <f t="shared" si="12"/>
        <v>0.16839378238341968</v>
      </c>
      <c r="BB15" s="39">
        <f t="shared" si="13"/>
        <v>2.1444444444444444</v>
      </c>
      <c r="BC15" s="40">
        <f t="shared" si="14"/>
        <v>0.36111111111111105</v>
      </c>
      <c r="BD15" t="s">
        <v>128</v>
      </c>
      <c r="BE15" s="40">
        <f t="shared" si="15"/>
        <v>3.9993585848977053E-2</v>
      </c>
      <c r="BF15" t="s">
        <v>129</v>
      </c>
      <c r="BG15" s="40">
        <f t="shared" si="16"/>
        <v>0.11999567960135571</v>
      </c>
      <c r="BH15" s="41">
        <v>16</v>
      </c>
      <c r="BI15" s="41">
        <v>24</v>
      </c>
      <c r="BJ15" s="42">
        <f ca="1">(BD15*BH15+$AP15-$AQ15)/$H15</f>
        <v>44.287267234198751</v>
      </c>
      <c r="BK15" s="42">
        <f ca="1">(BF15*BI15+$AP15-$AQ15)/$H15</f>
        <v>91.89989771074859</v>
      </c>
      <c r="BL15" s="40">
        <f t="shared" ca="1" si="19"/>
        <v>-3.3671685044053157E-2</v>
      </c>
      <c r="BM15" s="40">
        <f t="shared" ca="1" si="20"/>
        <v>0.14991282543667639</v>
      </c>
      <c r="BN15" s="43" t="s">
        <v>77</v>
      </c>
      <c r="BO15" s="43" t="s">
        <v>130</v>
      </c>
      <c r="BP15" s="43" t="s">
        <v>104</v>
      </c>
    </row>
    <row r="16" spans="1:68" ht="15" customHeight="1" x14ac:dyDescent="0.25">
      <c r="A16" s="158" t="e" vm="13">
        <v>#VALUE!</v>
      </c>
      <c r="B16" s="25" t="str">
        <f t="array" aca="1" ref="B16" ca="1">_FV(A16,"Símbolo bursátil",TRUE())</f>
        <v>LOTB</v>
      </c>
      <c r="C16" s="26" t="s">
        <v>127</v>
      </c>
      <c r="D16" s="26" t="s">
        <v>73</v>
      </c>
      <c r="E16" s="27" t="str">
        <f t="array" aca="1" ref="E16" ca="1">_FV(A16,"Abreviatura de intercambio",TRUE())</f>
        <v>XBRU</v>
      </c>
      <c r="F16" s="27" t="str">
        <f t="array" aca="1" ref="F16" ca="1">_FV(A16,"Moneda")</f>
        <v>EUR</v>
      </c>
      <c r="G16" s="28">
        <f t="array" aca="1" ref="G16" ca="1">_FV(A16,"Precio")</f>
        <v>10040</v>
      </c>
      <c r="H16" s="29">
        <f t="array" aca="1" ref="H16" ca="1">_FV(A16,"Acciones en circulación",TRUE())/1000000</f>
        <v>0.81601000000000001</v>
      </c>
      <c r="I16" s="30">
        <f t="shared" ca="1" si="0"/>
        <v>8192.7404000000006</v>
      </c>
      <c r="J16" s="31">
        <v>0</v>
      </c>
      <c r="K16" s="31">
        <v>7</v>
      </c>
      <c r="L16" s="31">
        <v>3</v>
      </c>
      <c r="M16" s="31">
        <v>1</v>
      </c>
      <c r="N16" s="31">
        <v>0</v>
      </c>
      <c r="O16" s="31">
        <v>0.76</v>
      </c>
      <c r="P16" s="31">
        <v>1</v>
      </c>
      <c r="Q16" s="31">
        <v>1</v>
      </c>
      <c r="R16" s="32">
        <f t="shared" si="1"/>
        <v>13.76</v>
      </c>
      <c r="S16" s="33">
        <f t="shared" si="2"/>
        <v>8.09</v>
      </c>
      <c r="T16" s="31">
        <v>16</v>
      </c>
      <c r="U16" s="31">
        <v>16</v>
      </c>
      <c r="V16" s="31">
        <v>13</v>
      </c>
      <c r="W16" s="31">
        <v>9</v>
      </c>
      <c r="X16" s="31">
        <v>9</v>
      </c>
      <c r="Y16" s="31">
        <v>13</v>
      </c>
      <c r="Z16" s="31">
        <v>10</v>
      </c>
      <c r="AA16" s="31">
        <v>-7</v>
      </c>
      <c r="AB16" s="32">
        <f t="shared" si="3"/>
        <v>79</v>
      </c>
      <c r="AC16" s="33">
        <f t="shared" si="4"/>
        <v>7.9</v>
      </c>
      <c r="AD16" s="31">
        <v>14</v>
      </c>
      <c r="AE16" s="31">
        <v>-1</v>
      </c>
      <c r="AF16" s="31">
        <v>7</v>
      </c>
      <c r="AG16" s="31">
        <v>13</v>
      </c>
      <c r="AH16" s="31">
        <v>4</v>
      </c>
      <c r="AI16" s="31">
        <v>9</v>
      </c>
      <c r="AJ16" s="31">
        <v>13</v>
      </c>
      <c r="AK16" s="31">
        <v>-3</v>
      </c>
      <c r="AL16" s="32">
        <f t="shared" si="5"/>
        <v>56</v>
      </c>
      <c r="AM16" s="33">
        <f t="shared" si="6"/>
        <v>8</v>
      </c>
      <c r="AN16" s="34">
        <f t="shared" si="7"/>
        <v>8</v>
      </c>
      <c r="AO16" s="35" t="s">
        <v>86</v>
      </c>
      <c r="AP16" s="36">
        <v>100</v>
      </c>
      <c r="AQ16" s="36">
        <v>200</v>
      </c>
      <c r="AR16" s="36">
        <f t="shared" ca="1" si="21"/>
        <v>8292.7404000000006</v>
      </c>
      <c r="AS16" s="36">
        <v>180</v>
      </c>
      <c r="AT16" s="36">
        <v>165</v>
      </c>
      <c r="AU16" s="36">
        <v>260</v>
      </c>
      <c r="AV16" s="36">
        <v>1200</v>
      </c>
      <c r="AW16" s="37">
        <f t="shared" ca="1" si="9"/>
        <v>46.070780000000006</v>
      </c>
      <c r="AX16" s="37">
        <f t="shared" ca="1" si="10"/>
        <v>31.895155384615386</v>
      </c>
      <c r="AY16" s="37">
        <f t="shared" ca="1" si="11"/>
        <v>6.9106170000000002</v>
      </c>
      <c r="AZ16" s="38">
        <v>800</v>
      </c>
      <c r="BA16" s="39">
        <f t="shared" si="12"/>
        <v>0.13750000000000001</v>
      </c>
      <c r="BB16" s="39">
        <f t="shared" si="13"/>
        <v>1.5</v>
      </c>
      <c r="BC16" s="40">
        <f t="shared" si="14"/>
        <v>0.20625000000000002</v>
      </c>
      <c r="BD16" t="s">
        <v>131</v>
      </c>
      <c r="BE16" s="40">
        <f t="shared" si="15"/>
        <v>6.9610375725068785E-2</v>
      </c>
      <c r="BF16" t="s">
        <v>132</v>
      </c>
      <c r="BG16" s="40">
        <f t="shared" si="16"/>
        <v>0.15996225865400127</v>
      </c>
      <c r="BH16" s="41">
        <v>15</v>
      </c>
      <c r="BI16" s="41">
        <v>25</v>
      </c>
      <c r="BJ16" s="42">
        <f ca="1">(BD16*BH16+$AP16-$AQ16)/$H16</f>
        <v>4509.7486550409922</v>
      </c>
      <c r="BK16" s="42">
        <f ca="1">(BF16*BI16+$AP16-$AQ16)/$H16</f>
        <v>11458.192914302521</v>
      </c>
      <c r="BL16" s="40">
        <f t="shared" ca="1" si="19"/>
        <v>-0.1479134208357874</v>
      </c>
      <c r="BM16" s="40">
        <f t="shared" ca="1" si="20"/>
        <v>3.3583587090321831E-2</v>
      </c>
      <c r="BN16" s="43" t="s">
        <v>77</v>
      </c>
      <c r="BO16" s="43" t="s">
        <v>133</v>
      </c>
      <c r="BP16" s="43" t="s">
        <v>134</v>
      </c>
    </row>
    <row r="17" spans="1:68" ht="15" customHeight="1" x14ac:dyDescent="0.25">
      <c r="A17" s="158" t="e" vm="14">
        <v>#VALUE!</v>
      </c>
      <c r="B17" s="25" t="str">
        <f t="array" aca="1" ref="B17" ca="1">_FV(A17,"Símbolo bursátil",TRUE())</f>
        <v>HLMA</v>
      </c>
      <c r="C17" s="26" t="s">
        <v>135</v>
      </c>
      <c r="D17" s="26" t="s">
        <v>73</v>
      </c>
      <c r="E17" s="27" t="str">
        <f t="array" aca="1" ref="E17" ca="1">_FV(A17,"Abreviatura de intercambio",TRUE())</f>
        <v>XLON</v>
      </c>
      <c r="F17" s="27" t="str">
        <f t="array" aca="1" ref="F17" ca="1">_FV(A17,"Moneda")</f>
        <v>GBp</v>
      </c>
      <c r="G17" s="28">
        <f t="array" aca="1" ref="G17" ca="1">_FV(A17,"Precio")</f>
        <v>4428</v>
      </c>
      <c r="H17" s="29">
        <f t="array" aca="1" ref="H17" ca="1">_FV(A17,"Acciones en circulación",TRUE())/1000000</f>
        <v>379.64530000000002</v>
      </c>
      <c r="I17" s="30">
        <f ca="1">G17/100*H17</f>
        <v>16810.693884</v>
      </c>
      <c r="J17" s="44">
        <v>2</v>
      </c>
      <c r="K17" s="44">
        <v>6</v>
      </c>
      <c r="L17" s="44">
        <v>3</v>
      </c>
      <c r="M17" s="44">
        <v>1</v>
      </c>
      <c r="N17" s="44">
        <v>0</v>
      </c>
      <c r="O17" s="44">
        <v>0.86</v>
      </c>
      <c r="P17" s="44">
        <v>1</v>
      </c>
      <c r="Q17" s="44">
        <v>0</v>
      </c>
      <c r="R17" s="45">
        <f t="shared" si="1"/>
        <v>13.86</v>
      </c>
      <c r="S17" s="33">
        <f t="shared" si="2"/>
        <v>8.15</v>
      </c>
      <c r="T17" s="44">
        <v>14</v>
      </c>
      <c r="U17" s="44">
        <v>15</v>
      </c>
      <c r="V17" s="44">
        <v>12</v>
      </c>
      <c r="W17" s="44">
        <v>10</v>
      </c>
      <c r="X17" s="44">
        <v>10</v>
      </c>
      <c r="Y17" s="44">
        <v>12</v>
      </c>
      <c r="Z17" s="44">
        <v>6</v>
      </c>
      <c r="AA17" s="44">
        <v>-7</v>
      </c>
      <c r="AB17" s="45">
        <f t="shared" si="3"/>
        <v>72</v>
      </c>
      <c r="AC17" s="33">
        <f t="shared" si="4"/>
        <v>7.2</v>
      </c>
      <c r="AD17" s="44">
        <v>15</v>
      </c>
      <c r="AE17" s="44">
        <v>-1</v>
      </c>
      <c r="AF17" s="44">
        <v>8</v>
      </c>
      <c r="AG17" s="44">
        <v>14</v>
      </c>
      <c r="AH17" s="44">
        <v>4</v>
      </c>
      <c r="AI17" s="44">
        <v>8</v>
      </c>
      <c r="AJ17" s="44">
        <v>13</v>
      </c>
      <c r="AK17" s="44">
        <v>-3</v>
      </c>
      <c r="AL17" s="45">
        <f t="shared" si="5"/>
        <v>58</v>
      </c>
      <c r="AM17" s="33">
        <f t="shared" si="6"/>
        <v>8.2899999999999991</v>
      </c>
      <c r="AN17" s="34">
        <f t="shared" si="7"/>
        <v>7.88</v>
      </c>
      <c r="AO17" s="35" t="s">
        <v>136</v>
      </c>
      <c r="AP17" s="36">
        <v>100</v>
      </c>
      <c r="AQ17" s="36">
        <v>400</v>
      </c>
      <c r="AR17" s="36">
        <f t="shared" ca="1" si="21"/>
        <v>17110.693884</v>
      </c>
      <c r="AS17" s="36">
        <v>400</v>
      </c>
      <c r="AT17" s="36">
        <v>370</v>
      </c>
      <c r="AU17" s="36">
        <v>515</v>
      </c>
      <c r="AV17" s="36">
        <v>2340</v>
      </c>
      <c r="AW17" s="37">
        <f t="shared" ca="1" si="9"/>
        <v>42.776734709999999</v>
      </c>
      <c r="AX17" s="37">
        <f t="shared" ca="1" si="10"/>
        <v>33.224648318446604</v>
      </c>
      <c r="AY17" s="37">
        <f t="shared" ca="1" si="11"/>
        <v>7.3122623435897438</v>
      </c>
      <c r="AZ17" s="38">
        <v>2100</v>
      </c>
      <c r="BA17" s="39">
        <f t="shared" si="12"/>
        <v>0.15811965811965811</v>
      </c>
      <c r="BB17" s="39">
        <f t="shared" si="13"/>
        <v>1.1142857142857143</v>
      </c>
      <c r="BC17" s="40">
        <f t="shared" si="14"/>
        <v>0.1761904761904762</v>
      </c>
      <c r="BD17" t="s">
        <v>137</v>
      </c>
      <c r="BE17" s="40">
        <f t="shared" si="15"/>
        <v>5.0200405794756708E-2</v>
      </c>
      <c r="BF17" t="s">
        <v>138</v>
      </c>
      <c r="BG17" s="40">
        <f t="shared" si="16"/>
        <v>0.13000795103795748</v>
      </c>
      <c r="BH17" s="41">
        <v>18</v>
      </c>
      <c r="BI17" s="41">
        <v>28</v>
      </c>
      <c r="BJ17" s="42">
        <f ca="1">(BD17*BH17+$AP17-$AQ17)/$H17*100</f>
        <v>2343.766668519273</v>
      </c>
      <c r="BK17" s="42">
        <f ca="1">(BF17*BI17+$AP17-$AQ17)/$H17*100</f>
        <v>5356.5788908752456</v>
      </c>
      <c r="BL17" s="40">
        <f t="shared" ca="1" si="19"/>
        <v>-0.11947568677075815</v>
      </c>
      <c r="BM17" s="40">
        <f t="shared" ca="1" si="20"/>
        <v>4.874516911010951E-2</v>
      </c>
      <c r="BN17" s="43" t="s">
        <v>77</v>
      </c>
      <c r="BO17" s="46" t="s">
        <v>139</v>
      </c>
      <c r="BP17" s="43" t="s">
        <v>140</v>
      </c>
    </row>
    <row r="18" spans="1:68" ht="15" customHeight="1" x14ac:dyDescent="0.25">
      <c r="A18" s="158" t="e" vm="15">
        <v>#VALUE!</v>
      </c>
      <c r="B18" s="25" t="str">
        <f t="array" aca="1" ref="B18" ca="1">_FV(A18,"Símbolo bursátil",TRUE())</f>
        <v>FICO</v>
      </c>
      <c r="C18" s="26" t="s">
        <v>72</v>
      </c>
      <c r="D18" s="26" t="s">
        <v>73</v>
      </c>
      <c r="E18" s="27" t="str">
        <f t="array" aca="1" ref="E18" ca="1">_FV(A18,"Abreviatura de intercambio",TRUE())</f>
        <v>XNYS</v>
      </c>
      <c r="F18" s="27" t="str">
        <f t="array" aca="1" ref="F18" ca="1">_FV(A18,"Moneda")</f>
        <v>USD</v>
      </c>
      <c r="G18" s="28">
        <f t="array" aca="1" ref="G18" ca="1">_FV(A18,"Precio")</f>
        <v>1004.72</v>
      </c>
      <c r="H18" s="29">
        <f t="array" aca="1" ref="H18" ca="1">_FV(A18,"Acciones en circulación",TRUE())/1000000</f>
        <v>23.72213</v>
      </c>
      <c r="I18" s="30">
        <f t="shared" ref="I18:I25" ca="1" si="22">G18*H18</f>
        <v>23834.0984536</v>
      </c>
      <c r="J18" s="31">
        <v>0</v>
      </c>
      <c r="K18" s="31">
        <v>8</v>
      </c>
      <c r="L18" s="31">
        <v>2</v>
      </c>
      <c r="M18" s="31">
        <v>1</v>
      </c>
      <c r="N18" s="31">
        <v>-1</v>
      </c>
      <c r="O18" s="31">
        <v>0.78</v>
      </c>
      <c r="P18" s="31">
        <v>1</v>
      </c>
      <c r="Q18" s="31">
        <v>0</v>
      </c>
      <c r="R18" s="32">
        <f t="shared" si="1"/>
        <v>11.78</v>
      </c>
      <c r="S18" s="33">
        <f t="shared" si="2"/>
        <v>6.93</v>
      </c>
      <c r="T18" s="31">
        <v>16</v>
      </c>
      <c r="U18" s="31">
        <v>19</v>
      </c>
      <c r="V18" s="31">
        <v>10</v>
      </c>
      <c r="W18" s="31">
        <v>7</v>
      </c>
      <c r="X18" s="31">
        <v>10</v>
      </c>
      <c r="Y18" s="31">
        <v>12</v>
      </c>
      <c r="Z18" s="31">
        <v>5</v>
      </c>
      <c r="AA18" s="31">
        <v>-15</v>
      </c>
      <c r="AB18" s="32">
        <f t="shared" si="3"/>
        <v>64</v>
      </c>
      <c r="AC18" s="33">
        <f t="shared" si="4"/>
        <v>6.4</v>
      </c>
      <c r="AD18" s="31">
        <v>14</v>
      </c>
      <c r="AE18" s="31">
        <v>0</v>
      </c>
      <c r="AF18" s="31">
        <v>10</v>
      </c>
      <c r="AG18" s="31">
        <v>14</v>
      </c>
      <c r="AH18" s="31">
        <v>4</v>
      </c>
      <c r="AI18" s="31">
        <v>8</v>
      </c>
      <c r="AJ18" s="31">
        <v>13</v>
      </c>
      <c r="AK18" s="31">
        <v>-6</v>
      </c>
      <c r="AL18" s="32">
        <f t="shared" si="5"/>
        <v>57</v>
      </c>
      <c r="AM18" s="33">
        <f t="shared" si="6"/>
        <v>8.14</v>
      </c>
      <c r="AN18" s="34">
        <f t="shared" si="7"/>
        <v>7.16</v>
      </c>
      <c r="AO18" s="35" t="s">
        <v>74</v>
      </c>
      <c r="AP18" s="36">
        <v>200</v>
      </c>
      <c r="AQ18" s="36">
        <v>2400</v>
      </c>
      <c r="AR18" s="36">
        <f t="shared" ca="1" si="21"/>
        <v>26034.0984536</v>
      </c>
      <c r="AS18" s="36">
        <v>730</v>
      </c>
      <c r="AT18" s="36">
        <v>640</v>
      </c>
      <c r="AU18" s="36">
        <v>875</v>
      </c>
      <c r="AV18" s="36">
        <v>1720</v>
      </c>
      <c r="AW18" s="37">
        <f t="shared" ca="1" si="9"/>
        <v>35.663148566575344</v>
      </c>
      <c r="AX18" s="37">
        <f t="shared" ca="1" si="10"/>
        <v>29.753255375542857</v>
      </c>
      <c r="AY18" s="37">
        <f t="shared" ca="1" si="11"/>
        <v>15.136103752093023</v>
      </c>
      <c r="AZ18" s="38">
        <v>2200</v>
      </c>
      <c r="BA18" s="39">
        <f t="shared" si="12"/>
        <v>0.37209302325581395</v>
      </c>
      <c r="BB18" s="39">
        <f t="shared" si="13"/>
        <v>0.78181818181818186</v>
      </c>
      <c r="BC18" s="40">
        <f t="shared" si="14"/>
        <v>0.29090909090909089</v>
      </c>
      <c r="BD18" t="s">
        <v>141</v>
      </c>
      <c r="BE18" s="40">
        <f t="shared" si="15"/>
        <v>8.0078627468473051E-2</v>
      </c>
      <c r="BF18" t="s">
        <v>142</v>
      </c>
      <c r="BG18" s="40">
        <f t="shared" si="16"/>
        <v>0.17999107424955563</v>
      </c>
      <c r="BH18" s="41">
        <v>18</v>
      </c>
      <c r="BI18" s="41">
        <v>26</v>
      </c>
      <c r="BJ18" s="42">
        <f t="shared" ref="BJ18:BJ25" ca="1" si="23">(BD18*BH18+$AP18-$AQ18)/$H18</f>
        <v>721.43605991536174</v>
      </c>
      <c r="BK18" s="42">
        <f t="shared" ref="BK18:BK25" ca="1" si="24">(BF18*BI18+$AP18-$AQ18)/$H18</f>
        <v>1737.6179963603606</v>
      </c>
      <c r="BL18" s="40">
        <f t="shared" ca="1" si="19"/>
        <v>-6.4097602665554976E-2</v>
      </c>
      <c r="BM18" s="40">
        <f t="shared" ca="1" si="20"/>
        <v>0.14677261815152964</v>
      </c>
      <c r="BN18" s="43" t="s">
        <v>77</v>
      </c>
      <c r="BO18" s="43" t="s">
        <v>83</v>
      </c>
      <c r="BP18" s="43" t="s">
        <v>143</v>
      </c>
    </row>
    <row r="19" spans="1:68" ht="15" customHeight="1" x14ac:dyDescent="0.25">
      <c r="A19" s="158" t="e" vm="16">
        <v>#VALUE!</v>
      </c>
      <c r="B19" s="25" t="str">
        <f t="array" aca="1" ref="B19" ca="1">_FV(A19,"Símbolo bursátil",TRUE())</f>
        <v>LIFCO B</v>
      </c>
      <c r="C19" s="26" t="s">
        <v>144</v>
      </c>
      <c r="D19" s="26" t="s">
        <v>73</v>
      </c>
      <c r="E19" s="27" t="str">
        <f t="array" aca="1" ref="E19" ca="1">_FV(A19,"Abreviatura de intercambio",TRUE())</f>
        <v>XSTO</v>
      </c>
      <c r="F19" s="27" t="str">
        <f t="array" aca="1" ref="F19" ca="1">_FV(A19,"Moneda")</f>
        <v>SEK</v>
      </c>
      <c r="G19" s="28">
        <f t="array" aca="1" ref="G19" ca="1">_FV(A19,"Precio")</f>
        <v>304.39999999999998</v>
      </c>
      <c r="H19" s="29">
        <f t="array" aca="1" ref="H19" ca="1">_FV(A19,"Acciones en circulación",TRUE())/1000000</f>
        <v>423.8365</v>
      </c>
      <c r="I19" s="30">
        <f t="shared" ca="1" si="22"/>
        <v>129015.83059999999</v>
      </c>
      <c r="J19" s="44">
        <v>0</v>
      </c>
      <c r="K19" s="44">
        <v>7</v>
      </c>
      <c r="L19" s="44">
        <v>3</v>
      </c>
      <c r="M19" s="44">
        <v>1</v>
      </c>
      <c r="N19" s="44">
        <v>0</v>
      </c>
      <c r="O19" s="44">
        <v>0.7</v>
      </c>
      <c r="P19" s="44">
        <v>0.5</v>
      </c>
      <c r="Q19" s="44">
        <v>1</v>
      </c>
      <c r="R19" s="45">
        <f t="shared" si="1"/>
        <v>13.2</v>
      </c>
      <c r="S19" s="33">
        <f t="shared" si="2"/>
        <v>7.76</v>
      </c>
      <c r="T19" s="44">
        <v>15</v>
      </c>
      <c r="U19" s="44">
        <v>15</v>
      </c>
      <c r="V19" s="44">
        <v>13</v>
      </c>
      <c r="W19" s="44">
        <v>10</v>
      </c>
      <c r="X19" s="44">
        <v>9</v>
      </c>
      <c r="Y19" s="44">
        <v>13</v>
      </c>
      <c r="Z19" s="44">
        <v>10</v>
      </c>
      <c r="AA19" s="44">
        <v>-7</v>
      </c>
      <c r="AB19" s="45">
        <f t="shared" si="3"/>
        <v>78</v>
      </c>
      <c r="AC19" s="33">
        <f t="shared" si="4"/>
        <v>7.8</v>
      </c>
      <c r="AD19" s="44">
        <v>14</v>
      </c>
      <c r="AE19" s="44">
        <v>-1</v>
      </c>
      <c r="AF19" s="44">
        <v>7</v>
      </c>
      <c r="AG19" s="44">
        <v>14</v>
      </c>
      <c r="AH19" s="44">
        <v>4</v>
      </c>
      <c r="AI19" s="44">
        <v>9</v>
      </c>
      <c r="AJ19" s="44">
        <v>13</v>
      </c>
      <c r="AK19" s="44">
        <v>-3</v>
      </c>
      <c r="AL19" s="45">
        <f t="shared" si="5"/>
        <v>57</v>
      </c>
      <c r="AM19" s="33">
        <f t="shared" si="6"/>
        <v>8.14</v>
      </c>
      <c r="AN19" s="34">
        <f t="shared" si="7"/>
        <v>7.9</v>
      </c>
      <c r="AO19" s="35" t="s">
        <v>145</v>
      </c>
      <c r="AP19" s="36">
        <v>3000</v>
      </c>
      <c r="AQ19" s="36">
        <v>12500</v>
      </c>
      <c r="AR19" s="36">
        <f t="shared" ca="1" si="21"/>
        <v>138515.83059999999</v>
      </c>
      <c r="AS19" s="36">
        <v>3800</v>
      </c>
      <c r="AT19" s="36">
        <v>3400</v>
      </c>
      <c r="AU19" s="36">
        <v>5800</v>
      </c>
      <c r="AV19" s="36">
        <v>26500</v>
      </c>
      <c r="AW19" s="37">
        <f t="shared" ca="1" si="9"/>
        <v>36.451534368421051</v>
      </c>
      <c r="AX19" s="37">
        <f t="shared" ca="1" si="10"/>
        <v>23.882039758620689</v>
      </c>
      <c r="AY19" s="37">
        <f t="shared" ca="1" si="11"/>
        <v>5.2270124754716978</v>
      </c>
      <c r="AZ19" s="38">
        <v>22000</v>
      </c>
      <c r="BA19" s="39">
        <f t="shared" si="12"/>
        <v>0.12830188679245283</v>
      </c>
      <c r="BB19" s="39">
        <f t="shared" si="13"/>
        <v>1.2045454545454546</v>
      </c>
      <c r="BC19" s="40">
        <f t="shared" si="14"/>
        <v>0.15454545454545454</v>
      </c>
      <c r="BD19" t="s">
        <v>146</v>
      </c>
      <c r="BE19" s="40">
        <f t="shared" si="15"/>
        <v>7.001218289169242E-2</v>
      </c>
      <c r="BF19" t="s">
        <v>147</v>
      </c>
      <c r="BG19" s="40">
        <f t="shared" si="16"/>
        <v>0.1699915026044907</v>
      </c>
      <c r="BH19" s="41">
        <v>16</v>
      </c>
      <c r="BI19" s="41">
        <v>26</v>
      </c>
      <c r="BJ19" s="42">
        <f t="shared" ca="1" si="23"/>
        <v>178.79536094696894</v>
      </c>
      <c r="BK19" s="42">
        <f t="shared" ca="1" si="24"/>
        <v>488.64597551178343</v>
      </c>
      <c r="BL19" s="40">
        <f t="shared" ca="1" si="19"/>
        <v>-0.10095315845581876</v>
      </c>
      <c r="BM19" s="40">
        <f t="shared" ca="1" si="20"/>
        <v>0.12560864395433158</v>
      </c>
      <c r="BN19" s="43" t="s">
        <v>77</v>
      </c>
      <c r="BO19" s="43" t="s">
        <v>148</v>
      </c>
      <c r="BP19" s="43" t="s">
        <v>149</v>
      </c>
    </row>
    <row r="20" spans="1:68" ht="15" customHeight="1" x14ac:dyDescent="0.25">
      <c r="A20" s="158" t="e" vm="17">
        <v>#VALUE!</v>
      </c>
      <c r="B20" s="25" t="str">
        <f t="array" aca="1" ref="B20" ca="1">_FV(A20,"Símbolo bursátil",TRUE())</f>
        <v>EVD</v>
      </c>
      <c r="C20" s="26" t="s">
        <v>127</v>
      </c>
      <c r="D20" s="26" t="s">
        <v>73</v>
      </c>
      <c r="E20" s="27" t="str">
        <f t="array" aca="1" ref="E20" ca="1">_FV(A20,"Abreviatura de intercambio",TRUE())</f>
        <v>XFRA</v>
      </c>
      <c r="F20" s="27" t="str">
        <f t="array" aca="1" ref="F20" ca="1">_FV(A20,"Moneda")</f>
        <v>EUR</v>
      </c>
      <c r="G20" s="28">
        <f t="array" aca="1" ref="G20" ca="1">_FV(A20,"Precio")</f>
        <v>58.35</v>
      </c>
      <c r="H20" s="29">
        <f t="array" aca="1" ref="H20" ca="1">_FV(A20,"Acciones en circulación",TRUE())/1000000</f>
        <v>96</v>
      </c>
      <c r="I20" s="30">
        <f t="shared" ca="1" si="22"/>
        <v>5601.6</v>
      </c>
      <c r="J20" s="31">
        <v>0.5</v>
      </c>
      <c r="K20" s="31">
        <v>7</v>
      </c>
      <c r="L20" s="31">
        <v>2</v>
      </c>
      <c r="M20" s="31">
        <v>0.5</v>
      </c>
      <c r="N20" s="31">
        <v>-0.5</v>
      </c>
      <c r="O20" s="31">
        <v>0.5</v>
      </c>
      <c r="P20" s="31">
        <v>0.5</v>
      </c>
      <c r="Q20" s="31">
        <v>0.5</v>
      </c>
      <c r="R20" s="32">
        <f t="shared" si="1"/>
        <v>11</v>
      </c>
      <c r="S20" s="33">
        <f t="shared" si="2"/>
        <v>6.47</v>
      </c>
      <c r="T20" s="31">
        <v>14</v>
      </c>
      <c r="U20" s="31">
        <v>15.5</v>
      </c>
      <c r="V20" s="31">
        <v>14</v>
      </c>
      <c r="W20" s="31">
        <v>8</v>
      </c>
      <c r="X20" s="31">
        <v>7</v>
      </c>
      <c r="Y20" s="31">
        <v>12</v>
      </c>
      <c r="Z20" s="31">
        <v>9</v>
      </c>
      <c r="AA20" s="31">
        <v>-12</v>
      </c>
      <c r="AB20" s="32">
        <f t="shared" si="3"/>
        <v>67.5</v>
      </c>
      <c r="AC20" s="33">
        <f t="shared" si="4"/>
        <v>6.75</v>
      </c>
      <c r="AD20" s="31">
        <v>13</v>
      </c>
      <c r="AE20" s="31">
        <v>-5</v>
      </c>
      <c r="AF20" s="31">
        <v>8.5</v>
      </c>
      <c r="AG20" s="31">
        <v>12</v>
      </c>
      <c r="AH20" s="31">
        <v>3</v>
      </c>
      <c r="AI20" s="31">
        <v>8</v>
      </c>
      <c r="AJ20" s="31">
        <v>12.5</v>
      </c>
      <c r="AK20" s="31">
        <v>-5</v>
      </c>
      <c r="AL20" s="32">
        <f t="shared" si="5"/>
        <v>47</v>
      </c>
      <c r="AM20" s="33">
        <f t="shared" si="6"/>
        <v>6.71</v>
      </c>
      <c r="AN20" s="34">
        <f t="shared" si="7"/>
        <v>6.64</v>
      </c>
      <c r="AO20" s="35" t="s">
        <v>86</v>
      </c>
      <c r="AP20" s="36">
        <v>1500</v>
      </c>
      <c r="AQ20" s="36">
        <v>800</v>
      </c>
      <c r="AR20" s="36">
        <f t="shared" ca="1" si="21"/>
        <v>4901.6000000000004</v>
      </c>
      <c r="AS20" s="36">
        <v>450</v>
      </c>
      <c r="AT20" s="36">
        <v>350</v>
      </c>
      <c r="AU20" s="36">
        <v>630</v>
      </c>
      <c r="AV20" s="36">
        <v>3100</v>
      </c>
      <c r="AW20" s="37">
        <f t="shared" ca="1" si="9"/>
        <v>10.892444444444445</v>
      </c>
      <c r="AX20" s="37">
        <f t="shared" ca="1" si="10"/>
        <v>7.7803174603174607</v>
      </c>
      <c r="AY20" s="37">
        <f t="shared" ca="1" si="11"/>
        <v>1.5811612903225807</v>
      </c>
      <c r="AZ20" s="38">
        <v>1600</v>
      </c>
      <c r="BA20" s="39">
        <f t="shared" si="12"/>
        <v>0.11290322580645161</v>
      </c>
      <c r="BB20" s="39">
        <f t="shared" si="13"/>
        <v>1.9375</v>
      </c>
      <c r="BC20" s="40">
        <f t="shared" si="14"/>
        <v>0.21875</v>
      </c>
      <c r="BD20" t="s">
        <v>150</v>
      </c>
      <c r="BE20" s="40">
        <f t="shared" si="15"/>
        <v>3.9812328944305531E-2</v>
      </c>
      <c r="BF20" t="s">
        <v>151</v>
      </c>
      <c r="BG20" s="40">
        <f t="shared" si="16"/>
        <v>0.13988509692971296</v>
      </c>
      <c r="BH20" s="41">
        <v>12</v>
      </c>
      <c r="BI20" s="41">
        <v>20</v>
      </c>
      <c r="BJ20" s="42">
        <f t="shared" ca="1" si="23"/>
        <v>75.666666666666671</v>
      </c>
      <c r="BK20" s="42">
        <f t="shared" ca="1" si="24"/>
        <v>187.70833333333334</v>
      </c>
      <c r="BL20" s="40">
        <f t="shared" ca="1" si="19"/>
        <v>5.3350118423726611E-2</v>
      </c>
      <c r="BM20" s="40">
        <f t="shared" ca="1" si="20"/>
        <v>0.33924697257730152</v>
      </c>
      <c r="BN20" s="43" t="s">
        <v>77</v>
      </c>
      <c r="BO20" s="43" t="s">
        <v>119</v>
      </c>
      <c r="BP20" s="43" t="s">
        <v>100</v>
      </c>
    </row>
    <row r="21" spans="1:68" ht="15" customHeight="1" x14ac:dyDescent="0.25">
      <c r="A21" s="158" t="e" vm="18">
        <v>#VALUE!</v>
      </c>
      <c r="B21" s="25" t="str">
        <f t="array" aca="1" ref="B21" ca="1">_FV(A21,"Símbolo bursátil",TRUE())</f>
        <v>MNST</v>
      </c>
      <c r="C21" s="26" t="s">
        <v>127</v>
      </c>
      <c r="D21" s="26" t="s">
        <v>73</v>
      </c>
      <c r="E21" s="27" t="str">
        <f t="array" aca="1" ref="E21" ca="1">_FV(A21,"Abreviatura de intercambio",TRUE())</f>
        <v>XNAS</v>
      </c>
      <c r="F21" s="27" t="str">
        <f t="array" aca="1" ref="F21" ca="1">_FV(A21,"Moneda")</f>
        <v>USD</v>
      </c>
      <c r="G21" s="28">
        <f t="array" aca="1" ref="G21" ca="1">_FV(A21,"Precio")</f>
        <v>78.23</v>
      </c>
      <c r="H21" s="29">
        <f t="array" aca="1" ref="H21" ca="1">_FV(A21,"Acciones en circulación",TRUE())/1000000</f>
        <v>977.90599999999995</v>
      </c>
      <c r="I21" s="30">
        <f t="shared" ca="1" si="22"/>
        <v>76501.586379999993</v>
      </c>
      <c r="J21" s="44">
        <v>0</v>
      </c>
      <c r="K21" s="44">
        <v>7</v>
      </c>
      <c r="L21" s="44">
        <v>2</v>
      </c>
      <c r="M21" s="44">
        <v>1</v>
      </c>
      <c r="N21" s="44">
        <v>-1</v>
      </c>
      <c r="O21" s="44">
        <v>0.78</v>
      </c>
      <c r="P21" s="44">
        <v>1</v>
      </c>
      <c r="Q21" s="44">
        <v>1</v>
      </c>
      <c r="R21" s="45">
        <f t="shared" si="1"/>
        <v>11.78</v>
      </c>
      <c r="S21" s="33">
        <f t="shared" si="2"/>
        <v>6.93</v>
      </c>
      <c r="T21" s="44">
        <v>16</v>
      </c>
      <c r="U21" s="44">
        <v>17</v>
      </c>
      <c r="V21" s="44">
        <v>10</v>
      </c>
      <c r="W21" s="44">
        <v>9</v>
      </c>
      <c r="X21" s="44">
        <v>9</v>
      </c>
      <c r="Y21" s="44">
        <v>12</v>
      </c>
      <c r="Z21" s="44">
        <v>9</v>
      </c>
      <c r="AA21" s="44">
        <v>-9</v>
      </c>
      <c r="AB21" s="45">
        <f t="shared" si="3"/>
        <v>73</v>
      </c>
      <c r="AC21" s="33">
        <f t="shared" si="4"/>
        <v>7.3</v>
      </c>
      <c r="AD21" s="44">
        <v>13</v>
      </c>
      <c r="AE21" s="44">
        <v>-1</v>
      </c>
      <c r="AF21" s="44">
        <v>9</v>
      </c>
      <c r="AG21" s="44">
        <v>12</v>
      </c>
      <c r="AH21" s="44">
        <v>5</v>
      </c>
      <c r="AI21" s="44">
        <v>9</v>
      </c>
      <c r="AJ21" s="44">
        <v>13</v>
      </c>
      <c r="AK21" s="44">
        <v>-4</v>
      </c>
      <c r="AL21" s="45">
        <f t="shared" si="5"/>
        <v>56</v>
      </c>
      <c r="AM21" s="33">
        <f t="shared" si="6"/>
        <v>8</v>
      </c>
      <c r="AN21" s="34">
        <f t="shared" si="7"/>
        <v>7.41</v>
      </c>
      <c r="AO21" s="35" t="s">
        <v>74</v>
      </c>
      <c r="AP21" s="36">
        <v>2600</v>
      </c>
      <c r="AQ21" s="36">
        <v>50</v>
      </c>
      <c r="AR21" s="36">
        <f t="shared" ca="1" si="21"/>
        <v>73951.586379999993</v>
      </c>
      <c r="AS21" s="36">
        <v>1800</v>
      </c>
      <c r="AT21" s="36">
        <v>1900</v>
      </c>
      <c r="AU21" s="36">
        <v>2350</v>
      </c>
      <c r="AV21" s="36">
        <v>7500</v>
      </c>
      <c r="AW21" s="37">
        <f t="shared" ca="1" si="9"/>
        <v>41.084214655555549</v>
      </c>
      <c r="AX21" s="37">
        <f t="shared" ca="1" si="10"/>
        <v>31.468760161702125</v>
      </c>
      <c r="AY21" s="37">
        <f t="shared" ca="1" si="11"/>
        <v>9.8602115173333331</v>
      </c>
      <c r="AZ21" s="38">
        <v>3200</v>
      </c>
      <c r="BA21" s="39">
        <f t="shared" si="12"/>
        <v>0.25333333333333335</v>
      </c>
      <c r="BB21" s="39">
        <f t="shared" si="13"/>
        <v>2.34375</v>
      </c>
      <c r="BC21" s="40">
        <f t="shared" si="14"/>
        <v>0.59375</v>
      </c>
      <c r="BD21" t="s">
        <v>152</v>
      </c>
      <c r="BE21" s="40">
        <f t="shared" si="15"/>
        <v>4.0002353139918068E-2</v>
      </c>
      <c r="BF21" t="s">
        <v>153</v>
      </c>
      <c r="BG21" s="40">
        <f t="shared" si="16"/>
        <v>0.10999233818109388</v>
      </c>
      <c r="BH21" s="41">
        <v>18</v>
      </c>
      <c r="BI21" s="41">
        <v>22</v>
      </c>
      <c r="BJ21" s="42">
        <f t="shared" ca="1" si="23"/>
        <v>42.918235495027133</v>
      </c>
      <c r="BK21" s="42">
        <f t="shared" ca="1" si="24"/>
        <v>70.84116469272098</v>
      </c>
      <c r="BL21" s="40">
        <f t="shared" ca="1" si="19"/>
        <v>-0.11314278076555806</v>
      </c>
      <c r="BM21" s="40">
        <f t="shared" ca="1" si="20"/>
        <v>-2.4498165099422264E-2</v>
      </c>
      <c r="BN21" s="43" t="s">
        <v>77</v>
      </c>
      <c r="BO21" s="43" t="s">
        <v>114</v>
      </c>
      <c r="BP21" s="43" t="s">
        <v>154</v>
      </c>
    </row>
    <row r="22" spans="1:68" ht="15" customHeight="1" x14ac:dyDescent="0.25">
      <c r="A22" s="158" t="e" vm="19">
        <v>#VALUE!</v>
      </c>
      <c r="B22" s="25" t="str">
        <f t="array" aca="1" ref="B22" ca="1">_FV(A22,"Símbolo bursátil",TRUE())</f>
        <v>ABNB</v>
      </c>
      <c r="C22" s="26" t="s">
        <v>127</v>
      </c>
      <c r="D22" s="26" t="s">
        <v>111</v>
      </c>
      <c r="E22" s="27" t="str">
        <f t="array" aca="1" ref="E22" ca="1">_FV(A22,"Abreviatura de intercambio",TRUE())</f>
        <v>XNAS</v>
      </c>
      <c r="F22" s="27" t="str">
        <f t="array" aca="1" ref="F22" ca="1">_FV(A22,"Moneda")</f>
        <v>USD</v>
      </c>
      <c r="G22" s="28">
        <f t="array" aca="1" ref="G22" ca="1">_FV(A22,"Precio")</f>
        <v>142.82</v>
      </c>
      <c r="H22" s="29">
        <f t="array" aca="1" ref="H22" ca="1">_FV(A22,"Acciones en circulación",TRUE())/1000000</f>
        <v>608.71400000000006</v>
      </c>
      <c r="I22" s="30">
        <f t="shared" ca="1" si="22"/>
        <v>86936.533479999998</v>
      </c>
      <c r="J22" s="31">
        <v>1.5</v>
      </c>
      <c r="K22" s="31">
        <v>7</v>
      </c>
      <c r="L22" s="31">
        <v>3</v>
      </c>
      <c r="M22" s="31">
        <v>1</v>
      </c>
      <c r="N22" s="31">
        <v>0</v>
      </c>
      <c r="O22" s="31">
        <v>0.82</v>
      </c>
      <c r="P22" s="31">
        <v>1</v>
      </c>
      <c r="Q22" s="31">
        <v>1</v>
      </c>
      <c r="R22" s="32">
        <f t="shared" si="1"/>
        <v>15.32</v>
      </c>
      <c r="S22" s="33">
        <f t="shared" si="2"/>
        <v>9.01</v>
      </c>
      <c r="T22" s="31">
        <v>14</v>
      </c>
      <c r="U22" s="31">
        <v>16</v>
      </c>
      <c r="V22" s="31">
        <v>14</v>
      </c>
      <c r="W22" s="31">
        <v>9</v>
      </c>
      <c r="X22" s="31">
        <v>7</v>
      </c>
      <c r="Y22" s="31">
        <v>12</v>
      </c>
      <c r="Z22" s="31">
        <v>9</v>
      </c>
      <c r="AA22" s="31">
        <v>-10</v>
      </c>
      <c r="AB22" s="32">
        <f t="shared" si="3"/>
        <v>71</v>
      </c>
      <c r="AC22" s="33">
        <f t="shared" si="4"/>
        <v>7.1</v>
      </c>
      <c r="AD22" s="31">
        <v>12</v>
      </c>
      <c r="AE22" s="31">
        <v>-2</v>
      </c>
      <c r="AF22" s="31">
        <v>10</v>
      </c>
      <c r="AG22" s="31">
        <v>11</v>
      </c>
      <c r="AH22" s="31">
        <v>4</v>
      </c>
      <c r="AI22" s="31">
        <v>8</v>
      </c>
      <c r="AJ22" s="31">
        <v>12</v>
      </c>
      <c r="AK22" s="31">
        <v>-5</v>
      </c>
      <c r="AL22" s="32">
        <f t="shared" si="5"/>
        <v>50</v>
      </c>
      <c r="AM22" s="33">
        <f t="shared" si="6"/>
        <v>7.14</v>
      </c>
      <c r="AN22" s="34">
        <f t="shared" si="7"/>
        <v>7.75</v>
      </c>
      <c r="AO22" s="35" t="s">
        <v>74</v>
      </c>
      <c r="AP22" s="36">
        <v>11000</v>
      </c>
      <c r="AQ22" s="36">
        <v>2000</v>
      </c>
      <c r="AR22" s="36">
        <f t="shared" ca="1" si="21"/>
        <v>77936.533479999998</v>
      </c>
      <c r="AS22" s="36">
        <v>4200</v>
      </c>
      <c r="AT22" s="36">
        <v>1500</v>
      </c>
      <c r="AU22" s="36">
        <v>3500</v>
      </c>
      <c r="AV22" s="36">
        <v>11100</v>
      </c>
      <c r="AW22" s="37">
        <f t="shared" ca="1" si="9"/>
        <v>18.556317495238094</v>
      </c>
      <c r="AX22" s="37">
        <f t="shared" ca="1" si="10"/>
        <v>22.267580994285712</v>
      </c>
      <c r="AY22" s="37">
        <f t="shared" ca="1" si="11"/>
        <v>7.021309322522522</v>
      </c>
      <c r="AZ22" s="38">
        <v>4000</v>
      </c>
      <c r="BA22" s="39">
        <f t="shared" si="12"/>
        <v>0.13513513513513514</v>
      </c>
      <c r="BB22" s="39">
        <f t="shared" si="13"/>
        <v>2.7749999999999999</v>
      </c>
      <c r="BC22" s="40">
        <f t="shared" si="14"/>
        <v>0.375</v>
      </c>
      <c r="BD22" t="s">
        <v>155</v>
      </c>
      <c r="BE22" s="40">
        <f t="shared" si="15"/>
        <v>4.9985012185677746E-2</v>
      </c>
      <c r="BF22" t="s">
        <v>156</v>
      </c>
      <c r="BG22" s="40">
        <f t="shared" si="16"/>
        <v>0.15000816268269079</v>
      </c>
      <c r="BH22" s="41">
        <v>16</v>
      </c>
      <c r="BI22" s="41">
        <v>24</v>
      </c>
      <c r="BJ22" s="42">
        <f t="shared" ca="1" si="23"/>
        <v>155.67245044470801</v>
      </c>
      <c r="BK22" s="42">
        <f t="shared" ca="1" si="24"/>
        <v>347.86779998488612</v>
      </c>
      <c r="BL22" s="40">
        <f t="shared" ca="1" si="19"/>
        <v>1.7383164213870206E-2</v>
      </c>
      <c r="BM22" s="40">
        <f t="shared" ca="1" si="20"/>
        <v>0.24926996986099637</v>
      </c>
      <c r="BN22" s="43" t="s">
        <v>77</v>
      </c>
      <c r="BO22" s="43" t="s">
        <v>89</v>
      </c>
      <c r="BP22" s="43" t="s">
        <v>154</v>
      </c>
    </row>
    <row r="23" spans="1:68" ht="15" customHeight="1" x14ac:dyDescent="0.25">
      <c r="A23" s="158" t="e" vm="20">
        <v>#VALUE!</v>
      </c>
      <c r="B23" s="25" t="str">
        <f t="array" aca="1" ref="B23" ca="1">_FV(A23,"Símbolo bursátil",TRUE())</f>
        <v>DNP</v>
      </c>
      <c r="C23" s="26" t="s">
        <v>96</v>
      </c>
      <c r="D23" s="26" t="s">
        <v>96</v>
      </c>
      <c r="E23" s="27" t="str">
        <f t="array" aca="1" ref="E23" ca="1">_FV(A23,"Abreviatura de intercambio",TRUE())</f>
        <v>XWAR</v>
      </c>
      <c r="F23" s="27" t="str">
        <f t="array" aca="1" ref="F23" ca="1">_FV(A23,"Moneda")</f>
        <v>PLN</v>
      </c>
      <c r="G23" s="28">
        <f t="array" aca="1" ref="G23" ca="1">_FV(A23,"Precio")</f>
        <v>33.479999999999997</v>
      </c>
      <c r="H23" s="29">
        <f t="array" aca="1" ref="H23" ca="1">_FV(A23,"Acciones en circulación",TRUE())/1000000</f>
        <v>980.4</v>
      </c>
      <c r="I23" s="30">
        <f t="shared" ca="1" si="22"/>
        <v>32823.791999999994</v>
      </c>
      <c r="J23" s="44">
        <v>0.5</v>
      </c>
      <c r="K23" s="44">
        <v>7</v>
      </c>
      <c r="L23" s="44">
        <v>2</v>
      </c>
      <c r="M23" s="44">
        <v>1</v>
      </c>
      <c r="N23" s="44">
        <v>0</v>
      </c>
      <c r="O23" s="44">
        <v>0.3</v>
      </c>
      <c r="P23" s="44">
        <v>1</v>
      </c>
      <c r="Q23" s="44">
        <v>1</v>
      </c>
      <c r="R23" s="45">
        <f t="shared" si="1"/>
        <v>12.8</v>
      </c>
      <c r="S23" s="33">
        <f t="shared" si="2"/>
        <v>7.53</v>
      </c>
      <c r="T23" s="44">
        <v>14</v>
      </c>
      <c r="U23" s="44">
        <v>16</v>
      </c>
      <c r="V23" s="44">
        <v>14</v>
      </c>
      <c r="W23" s="44">
        <v>10</v>
      </c>
      <c r="X23" s="44">
        <v>9</v>
      </c>
      <c r="Y23" s="44">
        <v>12</v>
      </c>
      <c r="Z23" s="44">
        <v>10</v>
      </c>
      <c r="AA23" s="44">
        <v>-7</v>
      </c>
      <c r="AB23" s="45">
        <f t="shared" si="3"/>
        <v>78</v>
      </c>
      <c r="AC23" s="33">
        <f t="shared" si="4"/>
        <v>7.8</v>
      </c>
      <c r="AD23" s="44">
        <v>13</v>
      </c>
      <c r="AE23" s="44">
        <v>-2</v>
      </c>
      <c r="AF23" s="44">
        <v>4</v>
      </c>
      <c r="AG23" s="44">
        <v>13</v>
      </c>
      <c r="AH23" s="44">
        <v>3</v>
      </c>
      <c r="AI23" s="44">
        <v>9</v>
      </c>
      <c r="AJ23" s="44">
        <v>13</v>
      </c>
      <c r="AK23" s="44">
        <v>-4</v>
      </c>
      <c r="AL23" s="45">
        <f t="shared" si="5"/>
        <v>49</v>
      </c>
      <c r="AM23" s="33">
        <f t="shared" si="6"/>
        <v>7</v>
      </c>
      <c r="AN23" s="34">
        <f t="shared" si="7"/>
        <v>7.44</v>
      </c>
      <c r="AO23" s="35" t="s">
        <v>157</v>
      </c>
      <c r="AP23" s="36">
        <v>500</v>
      </c>
      <c r="AQ23" s="36">
        <v>1000</v>
      </c>
      <c r="AR23" s="36">
        <f t="shared" ca="1" si="21"/>
        <v>33323.791999999994</v>
      </c>
      <c r="AS23" s="36">
        <v>700</v>
      </c>
      <c r="AT23" s="36">
        <v>1700</v>
      </c>
      <c r="AU23" s="36">
        <v>2500</v>
      </c>
      <c r="AV23" s="36">
        <v>36000</v>
      </c>
      <c r="AW23" s="37">
        <f t="shared" ca="1" si="9"/>
        <v>47.605417142857135</v>
      </c>
      <c r="AX23" s="37">
        <f t="shared" ca="1" si="10"/>
        <v>13.329516799999997</v>
      </c>
      <c r="AY23" s="37">
        <f t="shared" ca="1" si="11"/>
        <v>0.92566088888888876</v>
      </c>
      <c r="AZ23" s="38">
        <v>6500</v>
      </c>
      <c r="BA23" s="39">
        <f t="shared" si="12"/>
        <v>4.7222222222222221E-2</v>
      </c>
      <c r="BB23" s="39">
        <f t="shared" si="13"/>
        <v>5.5384615384615383</v>
      </c>
      <c r="BC23" s="40">
        <f t="shared" si="14"/>
        <v>0.2615384615384615</v>
      </c>
      <c r="BD23" t="s">
        <v>158</v>
      </c>
      <c r="BE23" s="40">
        <f t="shared" si="15"/>
        <v>0.12006550912241742</v>
      </c>
      <c r="BF23" t="s">
        <v>159</v>
      </c>
      <c r="BG23" s="40">
        <f t="shared" si="16"/>
        <v>0.23998337745572296</v>
      </c>
      <c r="BH23" s="41">
        <v>15</v>
      </c>
      <c r="BI23" s="41">
        <v>20</v>
      </c>
      <c r="BJ23" s="42">
        <f t="shared" ca="1" si="23"/>
        <v>18.370053039575684</v>
      </c>
      <c r="BK23" s="42">
        <f t="shared" ca="1" si="24"/>
        <v>41.350469196246429</v>
      </c>
      <c r="BL23" s="40">
        <f t="shared" ca="1" si="19"/>
        <v>-0.11311973261486641</v>
      </c>
      <c r="BM23" s="40">
        <f t="shared" ca="1" si="20"/>
        <v>5.4201787127444723E-2</v>
      </c>
      <c r="BN23" s="43" t="s">
        <v>77</v>
      </c>
      <c r="BO23" s="43" t="s">
        <v>119</v>
      </c>
      <c r="BP23" s="43" t="s">
        <v>95</v>
      </c>
    </row>
    <row r="24" spans="1:68" ht="15" customHeight="1" x14ac:dyDescent="0.25">
      <c r="A24" s="158" t="e" vm="21">
        <v>#VALUE!</v>
      </c>
      <c r="B24" s="25" t="str">
        <f t="array" aca="1" ref="B24" ca="1">_FV(A24,"Símbolo bursátil",TRUE())</f>
        <v>VLTO</v>
      </c>
      <c r="C24" s="26" t="s">
        <v>144</v>
      </c>
      <c r="D24" s="26" t="s">
        <v>73</v>
      </c>
      <c r="E24" s="27" t="str">
        <f t="array" aca="1" ref="E24" ca="1">_FV(A24,"Abreviatura de intercambio",TRUE())</f>
        <v>XNYS</v>
      </c>
      <c r="F24" s="27" t="str">
        <f t="array" aca="1" ref="F24" ca="1">_FV(A24,"Moneda")</f>
        <v>USD</v>
      </c>
      <c r="G24" s="28">
        <f t="array" aca="1" ref="G24" ca="1">_FV(A24,"Precio")</f>
        <v>88.62</v>
      </c>
      <c r="H24" s="29">
        <f t="array" aca="1" ref="H24" ca="1">_FV(A24,"Acciones en circulación",TRUE())/1000000</f>
        <v>245.5651</v>
      </c>
      <c r="I24" s="30">
        <f t="shared" ca="1" si="22"/>
        <v>21761.979162</v>
      </c>
      <c r="J24" s="31">
        <v>2</v>
      </c>
      <c r="K24" s="31">
        <v>6</v>
      </c>
      <c r="L24" s="31">
        <v>1</v>
      </c>
      <c r="M24" s="31">
        <v>1</v>
      </c>
      <c r="N24" s="31">
        <v>0</v>
      </c>
      <c r="O24" s="31">
        <v>0</v>
      </c>
      <c r="P24" s="31">
        <v>0</v>
      </c>
      <c r="Q24" s="31">
        <v>0</v>
      </c>
      <c r="R24" s="32">
        <f t="shared" si="1"/>
        <v>10</v>
      </c>
      <c r="S24" s="33">
        <f t="shared" si="2"/>
        <v>5.88</v>
      </c>
      <c r="T24" s="31">
        <v>14</v>
      </c>
      <c r="U24" s="31">
        <v>16</v>
      </c>
      <c r="V24" s="31">
        <v>11</v>
      </c>
      <c r="W24" s="31">
        <v>10</v>
      </c>
      <c r="X24" s="31">
        <v>10</v>
      </c>
      <c r="Y24" s="31">
        <v>12</v>
      </c>
      <c r="Z24" s="31">
        <v>5</v>
      </c>
      <c r="AA24" s="31">
        <v>-7</v>
      </c>
      <c r="AB24" s="32">
        <f t="shared" si="3"/>
        <v>71</v>
      </c>
      <c r="AC24" s="33">
        <f t="shared" si="4"/>
        <v>7.1</v>
      </c>
      <c r="AD24" s="31">
        <v>14</v>
      </c>
      <c r="AE24" s="31">
        <v>-1</v>
      </c>
      <c r="AF24" s="31">
        <v>7</v>
      </c>
      <c r="AG24" s="31">
        <v>13</v>
      </c>
      <c r="AH24" s="31">
        <v>4</v>
      </c>
      <c r="AI24" s="31">
        <v>8</v>
      </c>
      <c r="AJ24" s="31">
        <v>13</v>
      </c>
      <c r="AK24" s="31">
        <v>-3</v>
      </c>
      <c r="AL24" s="32">
        <f t="shared" si="5"/>
        <v>55</v>
      </c>
      <c r="AM24" s="33">
        <f t="shared" si="6"/>
        <v>7.86</v>
      </c>
      <c r="AN24" s="34">
        <f t="shared" si="7"/>
        <v>6.95</v>
      </c>
      <c r="AO24" s="35" t="s">
        <v>74</v>
      </c>
      <c r="AP24" s="36">
        <v>1000</v>
      </c>
      <c r="AQ24" s="36">
        <v>2500</v>
      </c>
      <c r="AR24" s="36">
        <f t="shared" ca="1" si="21"/>
        <v>23261.979162</v>
      </c>
      <c r="AS24" s="36">
        <v>1100</v>
      </c>
      <c r="AT24" s="36">
        <v>1000</v>
      </c>
      <c r="AU24" s="36">
        <v>1350</v>
      </c>
      <c r="AV24" s="36">
        <v>5500</v>
      </c>
      <c r="AW24" s="37">
        <f t="shared" ca="1" si="9"/>
        <v>21.147253783636362</v>
      </c>
      <c r="AX24" s="37">
        <f t="shared" ca="1" si="10"/>
        <v>17.231095675555554</v>
      </c>
      <c r="AY24" s="37">
        <f t="shared" ca="1" si="11"/>
        <v>4.2294507567272728</v>
      </c>
      <c r="AZ24" s="38">
        <v>6500</v>
      </c>
      <c r="BA24" s="39">
        <f t="shared" si="12"/>
        <v>0.18181818181818182</v>
      </c>
      <c r="BB24" s="39">
        <f t="shared" si="13"/>
        <v>0.84615384615384615</v>
      </c>
      <c r="BC24" s="40">
        <f t="shared" si="14"/>
        <v>0.15384615384615385</v>
      </c>
      <c r="BD24" t="s">
        <v>160</v>
      </c>
      <c r="BE24" s="40">
        <f t="shared" si="15"/>
        <v>3.9950542132181077E-2</v>
      </c>
      <c r="BF24" t="s">
        <v>161</v>
      </c>
      <c r="BG24" s="40">
        <f t="shared" si="16"/>
        <v>0.12004900553442877</v>
      </c>
      <c r="BH24" s="41">
        <v>12.5</v>
      </c>
      <c r="BI24" s="41">
        <v>20</v>
      </c>
      <c r="BJ24" s="42">
        <f t="shared" ca="1" si="23"/>
        <v>61.999852584915367</v>
      </c>
      <c r="BK24" s="42">
        <f t="shared" ca="1" si="24"/>
        <v>151.81310373501773</v>
      </c>
      <c r="BL24" s="40">
        <f t="shared" ca="1" si="19"/>
        <v>-6.8952620179550728E-2</v>
      </c>
      <c r="BM24" s="40">
        <f t="shared" ca="1" si="20"/>
        <v>0.14404834817741752</v>
      </c>
      <c r="BN24" s="43" t="s">
        <v>77</v>
      </c>
      <c r="BO24" s="43" t="s">
        <v>162</v>
      </c>
      <c r="BP24" s="43" t="s">
        <v>143</v>
      </c>
    </row>
    <row r="25" spans="1:68" ht="15" customHeight="1" x14ac:dyDescent="0.25">
      <c r="A25" s="158" t="e" vm="22">
        <v>#VALUE!</v>
      </c>
      <c r="B25" s="25" t="str">
        <f t="array" aca="1" ref="B25" ca="1">_FV(A25,"Símbolo bursátil",TRUE())</f>
        <v>LR</v>
      </c>
      <c r="C25" s="26" t="s">
        <v>123</v>
      </c>
      <c r="D25" s="26" t="s">
        <v>73</v>
      </c>
      <c r="E25" s="27" t="str">
        <f t="array" aca="1" ref="E25" ca="1">_FV(A25,"Abreviatura de intercambio",TRUE())</f>
        <v>XPAR</v>
      </c>
      <c r="F25" s="27" t="str">
        <f t="array" aca="1" ref="F25" ca="1">_FV(A25,"Moneda")</f>
        <v>EUR</v>
      </c>
      <c r="G25" s="28">
        <f t="array" aca="1" ref="G25" ca="1">_FV(A25,"Precio")</f>
        <v>152.5</v>
      </c>
      <c r="H25" s="29">
        <f t="array" aca="1" ref="H25" ca="1">_FV(A25,"Acciones en circulación",TRUE())/1000000</f>
        <v>262.2457</v>
      </c>
      <c r="I25" s="30">
        <f t="shared" ca="1" si="22"/>
        <v>39992.469250000002</v>
      </c>
      <c r="J25" s="44">
        <v>1</v>
      </c>
      <c r="K25" s="44">
        <v>6</v>
      </c>
      <c r="L25" s="44">
        <v>2</v>
      </c>
      <c r="M25" s="44">
        <v>1</v>
      </c>
      <c r="N25" s="44">
        <v>0</v>
      </c>
      <c r="O25" s="44">
        <v>1</v>
      </c>
      <c r="P25" s="44">
        <v>0</v>
      </c>
      <c r="Q25" s="44">
        <v>0</v>
      </c>
      <c r="R25" s="45">
        <f t="shared" si="1"/>
        <v>11</v>
      </c>
      <c r="S25" s="33">
        <f t="shared" si="2"/>
        <v>6.47</v>
      </c>
      <c r="T25" s="44">
        <v>14</v>
      </c>
      <c r="U25" s="44">
        <v>14</v>
      </c>
      <c r="V25" s="44">
        <v>13</v>
      </c>
      <c r="W25" s="44">
        <v>10</v>
      </c>
      <c r="X25" s="44">
        <v>9</v>
      </c>
      <c r="Y25" s="44">
        <v>11</v>
      </c>
      <c r="Z25" s="44">
        <v>5</v>
      </c>
      <c r="AA25" s="44">
        <v>-7</v>
      </c>
      <c r="AB25" s="45">
        <f t="shared" si="3"/>
        <v>69</v>
      </c>
      <c r="AC25" s="33">
        <f t="shared" si="4"/>
        <v>6.9</v>
      </c>
      <c r="AD25" s="44">
        <v>13</v>
      </c>
      <c r="AE25" s="44">
        <v>-1</v>
      </c>
      <c r="AF25" s="44">
        <v>6</v>
      </c>
      <c r="AG25" s="44">
        <v>13</v>
      </c>
      <c r="AH25" s="44">
        <v>4</v>
      </c>
      <c r="AI25" s="44">
        <v>8</v>
      </c>
      <c r="AJ25" s="44">
        <v>12</v>
      </c>
      <c r="AK25" s="44">
        <v>-3</v>
      </c>
      <c r="AL25" s="45">
        <f t="shared" si="5"/>
        <v>52</v>
      </c>
      <c r="AM25" s="33">
        <f t="shared" si="6"/>
        <v>7.43</v>
      </c>
      <c r="AN25" s="34">
        <f t="shared" si="7"/>
        <v>6.93</v>
      </c>
      <c r="AO25" s="35" t="s">
        <v>86</v>
      </c>
      <c r="AP25" s="36">
        <v>1800</v>
      </c>
      <c r="AQ25" s="36">
        <v>4300</v>
      </c>
      <c r="AR25" s="36">
        <f t="shared" ca="1" si="21"/>
        <v>42492.469250000002</v>
      </c>
      <c r="AS25" s="36">
        <v>1300</v>
      </c>
      <c r="AT25" s="36">
        <v>1450</v>
      </c>
      <c r="AU25" s="36">
        <v>2250</v>
      </c>
      <c r="AV25" s="36">
        <v>9500</v>
      </c>
      <c r="AW25" s="37">
        <f t="shared" ca="1" si="9"/>
        <v>32.686514807692312</v>
      </c>
      <c r="AX25" s="37">
        <f t="shared" ca="1" si="10"/>
        <v>18.885541888888891</v>
      </c>
      <c r="AY25" s="37">
        <f t="shared" ca="1" si="11"/>
        <v>4.4728915000000002</v>
      </c>
      <c r="AZ25" s="38">
        <v>9500</v>
      </c>
      <c r="BA25" s="39">
        <f t="shared" si="12"/>
        <v>0.15263157894736842</v>
      </c>
      <c r="BB25" s="39">
        <f t="shared" si="13"/>
        <v>1</v>
      </c>
      <c r="BC25" s="40">
        <f t="shared" si="14"/>
        <v>0.15263157894736842</v>
      </c>
      <c r="BD25" t="s">
        <v>163</v>
      </c>
      <c r="BE25" s="40">
        <f t="shared" si="15"/>
        <v>6.003737798448272E-2</v>
      </c>
      <c r="BF25" t="s">
        <v>164</v>
      </c>
      <c r="BG25" s="40">
        <f t="shared" si="16"/>
        <v>0.15002072805673161</v>
      </c>
      <c r="BH25" s="41">
        <v>13</v>
      </c>
      <c r="BI25" s="41">
        <v>24</v>
      </c>
      <c r="BJ25" s="42">
        <f t="shared" ca="1" si="23"/>
        <v>76.721944344559319</v>
      </c>
      <c r="BK25" s="42">
        <f t="shared" ca="1" si="24"/>
        <v>229.78451124270103</v>
      </c>
      <c r="BL25" s="40">
        <f t="shared" ca="1" si="19"/>
        <v>-0.12837445178305584</v>
      </c>
      <c r="BM25" s="40">
        <f t="shared" ca="1" si="20"/>
        <v>0.1079310326817704</v>
      </c>
      <c r="BN25" s="43" t="s">
        <v>77</v>
      </c>
      <c r="BO25" s="43" t="s">
        <v>89</v>
      </c>
      <c r="BP25" s="43" t="s">
        <v>154</v>
      </c>
    </row>
    <row r="26" spans="1:68" ht="15" customHeight="1" x14ac:dyDescent="0.25">
      <c r="A26" s="158" t="e" vm="23">
        <v>#VALUE!</v>
      </c>
      <c r="B26" s="25" t="str">
        <f t="array" aca="1" ref="B26" ca="1">_FV(A26,"Símbolo bursátil",TRUE())</f>
        <v>JDG</v>
      </c>
      <c r="C26" s="26" t="s">
        <v>135</v>
      </c>
      <c r="D26" s="26" t="s">
        <v>73</v>
      </c>
      <c r="E26" s="27" t="str">
        <f t="array" aca="1" ref="E26" ca="1">_FV(A26,"Abreviatura de intercambio",TRUE())</f>
        <v>XLON</v>
      </c>
      <c r="F26" s="27" t="str">
        <f t="array" aca="1" ref="F26" ca="1">_FV(A26,"Moneda")</f>
        <v>GBp</v>
      </c>
      <c r="G26" s="28">
        <f t="array" aca="1" ref="G26" ca="1">_FV(A26,"Precio")</f>
        <v>4650</v>
      </c>
      <c r="H26" s="29">
        <f t="array" aca="1" ref="H26" ca="1">_FV(A26,"Acciones en circulación",TRUE())/1000000</f>
        <v>6.6604400000000004</v>
      </c>
      <c r="I26" s="30">
        <f ca="1">G26/100*H26</f>
        <v>309.71046000000001</v>
      </c>
      <c r="J26" s="31">
        <v>1</v>
      </c>
      <c r="K26" s="31">
        <v>5</v>
      </c>
      <c r="L26" s="31">
        <v>2</v>
      </c>
      <c r="M26" s="31">
        <v>0</v>
      </c>
      <c r="N26" s="31">
        <v>0</v>
      </c>
      <c r="O26" s="31">
        <v>1</v>
      </c>
      <c r="P26" s="31">
        <v>1</v>
      </c>
      <c r="Q26" s="31">
        <v>1</v>
      </c>
      <c r="R26" s="32">
        <f t="shared" si="1"/>
        <v>11</v>
      </c>
      <c r="S26" s="33">
        <f t="shared" si="2"/>
        <v>6.47</v>
      </c>
      <c r="T26" s="31">
        <v>12</v>
      </c>
      <c r="U26" s="31">
        <v>13</v>
      </c>
      <c r="V26" s="31">
        <v>12</v>
      </c>
      <c r="W26" s="31">
        <v>10</v>
      </c>
      <c r="X26" s="31">
        <v>8</v>
      </c>
      <c r="Y26" s="31">
        <v>13</v>
      </c>
      <c r="Z26" s="31">
        <v>10</v>
      </c>
      <c r="AA26" s="31">
        <v>-9</v>
      </c>
      <c r="AB26" s="32">
        <f t="shared" si="3"/>
        <v>69</v>
      </c>
      <c r="AC26" s="33">
        <f t="shared" si="4"/>
        <v>6.9</v>
      </c>
      <c r="AD26" s="31">
        <v>13</v>
      </c>
      <c r="AE26" s="31">
        <v>-2</v>
      </c>
      <c r="AF26" s="31">
        <v>6</v>
      </c>
      <c r="AG26" s="31">
        <v>13</v>
      </c>
      <c r="AH26" s="31">
        <v>2</v>
      </c>
      <c r="AI26" s="31">
        <v>9</v>
      </c>
      <c r="AJ26" s="31">
        <v>11</v>
      </c>
      <c r="AK26" s="31">
        <v>-4</v>
      </c>
      <c r="AL26" s="32">
        <f t="shared" si="5"/>
        <v>48</v>
      </c>
      <c r="AM26" s="33">
        <f t="shared" si="6"/>
        <v>6.86</v>
      </c>
      <c r="AN26" s="34">
        <f t="shared" si="7"/>
        <v>6.74</v>
      </c>
      <c r="AO26" s="35" t="s">
        <v>136</v>
      </c>
      <c r="AP26" s="36">
        <v>10</v>
      </c>
      <c r="AQ26" s="36">
        <v>55</v>
      </c>
      <c r="AR26" s="36">
        <f t="shared" ca="1" si="21"/>
        <v>354.71046000000001</v>
      </c>
      <c r="AS26" s="36">
        <v>20</v>
      </c>
      <c r="AT26" s="36">
        <v>18</v>
      </c>
      <c r="AU26" s="36">
        <v>30</v>
      </c>
      <c r="AV26" s="36">
        <v>145</v>
      </c>
      <c r="AW26" s="37">
        <f t="shared" ca="1" si="9"/>
        <v>17.735523000000001</v>
      </c>
      <c r="AX26" s="37">
        <f t="shared" ca="1" si="10"/>
        <v>11.823682</v>
      </c>
      <c r="AY26" s="37">
        <f t="shared" ca="1" si="11"/>
        <v>2.4462790344827585</v>
      </c>
      <c r="AZ26" s="38">
        <v>120</v>
      </c>
      <c r="BA26" s="39">
        <f t="shared" si="12"/>
        <v>0.12413793103448276</v>
      </c>
      <c r="BB26" s="39">
        <f t="shared" si="13"/>
        <v>1.2083333333333333</v>
      </c>
      <c r="BC26" s="40">
        <f t="shared" si="14"/>
        <v>0.15</v>
      </c>
      <c r="BD26" t="s">
        <v>165</v>
      </c>
      <c r="BE26" s="40">
        <f t="shared" si="15"/>
        <v>6.1858758794934632E-2</v>
      </c>
      <c r="BF26" t="s">
        <v>166</v>
      </c>
      <c r="BG26" s="40">
        <f t="shared" si="16"/>
        <v>0.18126018804310839</v>
      </c>
      <c r="BH26" s="41">
        <v>10</v>
      </c>
      <c r="BI26" s="41">
        <v>20</v>
      </c>
      <c r="BJ26" s="42">
        <f ca="1">(BD26*BH26+$AP26-$AQ26)/$H26*100</f>
        <v>3378.1551969539551</v>
      </c>
      <c r="BK26" s="42">
        <f ca="1">(BF26*BI26+$AP26-$AQ26)/$H26*100</f>
        <v>13137.270210376491</v>
      </c>
      <c r="BL26" s="40">
        <f t="shared" ca="1" si="19"/>
        <v>-6.1908223268599571E-2</v>
      </c>
      <c r="BM26" s="40">
        <f t="shared" ca="1" si="20"/>
        <v>0.29647171111356441</v>
      </c>
      <c r="BN26" s="43" t="s">
        <v>77</v>
      </c>
      <c r="BO26" s="43" t="s">
        <v>167</v>
      </c>
      <c r="BP26" s="43" t="s">
        <v>167</v>
      </c>
    </row>
    <row r="27" spans="1:68" ht="15" customHeight="1" x14ac:dyDescent="0.25">
      <c r="A27" s="158" t="e" vm="24">
        <v>#VALUE!</v>
      </c>
      <c r="B27" s="25" t="str">
        <f t="array" aca="1" ref="B27" ca="1">_FV(A27,"Símbolo bursátil",TRUE())</f>
        <v>STMN</v>
      </c>
      <c r="C27" s="26" t="s">
        <v>135</v>
      </c>
      <c r="D27" s="26" t="s">
        <v>73</v>
      </c>
      <c r="E27" s="27" t="str">
        <f t="array" aca="1" ref="E27" ca="1">_FV(A27,"Abreviatura de intercambio",TRUE())</f>
        <v>XSWX</v>
      </c>
      <c r="F27" s="27" t="str">
        <f t="array" aca="1" ref="F27" ca="1">_FV(A27,"Moneda")</f>
        <v>CHF</v>
      </c>
      <c r="G27" s="28">
        <f t="array" aca="1" ref="G27" ca="1">_FV(A27,"Precio")</f>
        <v>84.52</v>
      </c>
      <c r="H27" s="29">
        <f t="array" aca="1" ref="H27" ca="1">_FV(A27,"Acciones en circulación",TRUE())/1000000</f>
        <v>159.45519999999999</v>
      </c>
      <c r="I27" s="30">
        <f t="shared" ref="I27:I60" ca="1" si="25">G27*H27</f>
        <v>13477.153503999998</v>
      </c>
      <c r="J27" s="44">
        <v>2</v>
      </c>
      <c r="K27" s="44">
        <v>6</v>
      </c>
      <c r="L27" s="44">
        <v>2</v>
      </c>
      <c r="M27" s="44">
        <v>0</v>
      </c>
      <c r="N27" s="44">
        <v>0</v>
      </c>
      <c r="O27" s="44">
        <v>1</v>
      </c>
      <c r="P27" s="44">
        <v>0</v>
      </c>
      <c r="Q27" s="44">
        <v>0</v>
      </c>
      <c r="R27" s="45">
        <f t="shared" si="1"/>
        <v>11</v>
      </c>
      <c r="S27" s="33">
        <f t="shared" si="2"/>
        <v>6.47</v>
      </c>
      <c r="T27" s="44">
        <v>12</v>
      </c>
      <c r="U27" s="44">
        <v>15</v>
      </c>
      <c r="V27" s="44">
        <v>12</v>
      </c>
      <c r="W27" s="44">
        <v>9</v>
      </c>
      <c r="X27" s="44">
        <v>9</v>
      </c>
      <c r="Y27" s="44">
        <v>11</v>
      </c>
      <c r="Z27" s="44">
        <v>5</v>
      </c>
      <c r="AA27" s="44">
        <v>-8</v>
      </c>
      <c r="AB27" s="45">
        <f t="shared" si="3"/>
        <v>65</v>
      </c>
      <c r="AC27" s="33">
        <f t="shared" si="4"/>
        <v>6.5</v>
      </c>
      <c r="AD27" s="44">
        <v>13</v>
      </c>
      <c r="AE27" s="44">
        <v>-1</v>
      </c>
      <c r="AF27" s="44">
        <v>7</v>
      </c>
      <c r="AG27" s="44">
        <v>12</v>
      </c>
      <c r="AH27" s="44">
        <v>3</v>
      </c>
      <c r="AI27" s="44">
        <v>7</v>
      </c>
      <c r="AJ27" s="44">
        <v>12</v>
      </c>
      <c r="AK27" s="44">
        <v>-3</v>
      </c>
      <c r="AL27" s="45">
        <f t="shared" si="5"/>
        <v>50</v>
      </c>
      <c r="AM27" s="33">
        <f t="shared" si="6"/>
        <v>7.14</v>
      </c>
      <c r="AN27" s="34">
        <f t="shared" si="7"/>
        <v>6.7</v>
      </c>
      <c r="AO27" s="35" t="s">
        <v>168</v>
      </c>
      <c r="AP27" s="36">
        <v>300</v>
      </c>
      <c r="AQ27" s="36">
        <v>700</v>
      </c>
      <c r="AR27" s="36">
        <f t="shared" ca="1" si="21"/>
        <v>13877.153503999998</v>
      </c>
      <c r="AS27" s="36">
        <v>350</v>
      </c>
      <c r="AT27" s="36">
        <v>380</v>
      </c>
      <c r="AU27" s="36">
        <v>550</v>
      </c>
      <c r="AV27" s="36">
        <v>2600</v>
      </c>
      <c r="AW27" s="37">
        <f t="shared" ca="1" si="9"/>
        <v>39.649010011428565</v>
      </c>
      <c r="AX27" s="37">
        <f t="shared" ca="1" si="10"/>
        <v>25.231188189090904</v>
      </c>
      <c r="AY27" s="37">
        <f t="shared" ca="1" si="11"/>
        <v>5.3373667323076912</v>
      </c>
      <c r="AZ27" s="38">
        <v>2800</v>
      </c>
      <c r="BA27" s="39">
        <f t="shared" si="12"/>
        <v>0.14615384615384616</v>
      </c>
      <c r="BB27" s="39">
        <f t="shared" si="13"/>
        <v>0.9285714285714286</v>
      </c>
      <c r="BC27" s="40">
        <f t="shared" si="14"/>
        <v>0.13571428571428573</v>
      </c>
      <c r="BD27" t="s">
        <v>169</v>
      </c>
      <c r="BE27" s="40">
        <f t="shared" si="15"/>
        <v>5.9828421260577302E-2</v>
      </c>
      <c r="BF27" t="s">
        <v>170</v>
      </c>
      <c r="BG27" s="40">
        <f t="shared" si="16"/>
        <v>0.15996225865400127</v>
      </c>
      <c r="BH27" s="41">
        <v>18</v>
      </c>
      <c r="BI27" s="41">
        <v>25</v>
      </c>
      <c r="BJ27" s="42">
        <f t="shared" ref="BJ27:BJ32" ca="1" si="26">(BD27*BH27+$AP27-$AQ27)/$H27</f>
        <v>50.321344176922423</v>
      </c>
      <c r="BK27" s="42">
        <f t="shared" ref="BK27:BK32" ca="1" si="27">(BF27*BI27+$AP27-$AQ27)/$H27</f>
        <v>112.72758743521692</v>
      </c>
      <c r="BL27" s="40">
        <f t="shared" ca="1" si="19"/>
        <v>-9.8514908241981614E-2</v>
      </c>
      <c r="BM27" s="40">
        <f t="shared" ca="1" si="20"/>
        <v>7.4651578696502963E-2</v>
      </c>
      <c r="BN27" s="43" t="s">
        <v>77</v>
      </c>
      <c r="BO27" s="46" t="s">
        <v>171</v>
      </c>
      <c r="BP27" s="43" t="s">
        <v>84</v>
      </c>
    </row>
    <row r="28" spans="1:68" ht="15" customHeight="1" x14ac:dyDescent="0.25">
      <c r="A28" s="158" t="e" vm="25">
        <v>#VALUE!</v>
      </c>
      <c r="B28" s="25" t="str">
        <f t="array" aca="1" ref="B28" ca="1">_FV(A28,"Símbolo bursátil",TRUE())</f>
        <v>META</v>
      </c>
      <c r="C28" s="26" t="s">
        <v>80</v>
      </c>
      <c r="D28" s="26" t="s">
        <v>73</v>
      </c>
      <c r="E28" s="27" t="str">
        <f t="array" aca="1" ref="E28" ca="1">_FV(A28,"Abreviatura de intercambio",TRUE())</f>
        <v>XNAS</v>
      </c>
      <c r="F28" s="27" t="str">
        <f t="array" aca="1" ref="F28" ca="1">_FV(A28,"Moneda")</f>
        <v>USD</v>
      </c>
      <c r="G28" s="28">
        <f t="array" aca="1" ref="G28" ca="1">_FV(A28,"Precio")</f>
        <v>675.03</v>
      </c>
      <c r="H28" s="29">
        <f t="array" aca="1" ref="H28" ca="1">_FV(A28,"Acciones en circulación",TRUE())/1000000</f>
        <v>2538.4229999999998</v>
      </c>
      <c r="I28" s="30">
        <f t="shared" ca="1" si="25"/>
        <v>1713511.6776899998</v>
      </c>
      <c r="J28" s="31">
        <v>-0.5</v>
      </c>
      <c r="K28" s="31">
        <v>7</v>
      </c>
      <c r="L28" s="31">
        <v>2</v>
      </c>
      <c r="M28" s="31">
        <v>1</v>
      </c>
      <c r="N28" s="31">
        <v>-1</v>
      </c>
      <c r="O28" s="31">
        <v>0</v>
      </c>
      <c r="P28" s="31">
        <v>1</v>
      </c>
      <c r="Q28" s="31">
        <v>1</v>
      </c>
      <c r="R28" s="32">
        <f t="shared" si="1"/>
        <v>10.5</v>
      </c>
      <c r="S28" s="33">
        <f t="shared" si="2"/>
        <v>6.18</v>
      </c>
      <c r="T28" s="31">
        <v>15</v>
      </c>
      <c r="U28" s="31">
        <v>18</v>
      </c>
      <c r="V28" s="31">
        <v>12</v>
      </c>
      <c r="W28" s="31">
        <v>8</v>
      </c>
      <c r="X28" s="31">
        <v>8</v>
      </c>
      <c r="Y28" s="31">
        <v>10</v>
      </c>
      <c r="Z28" s="31">
        <v>9</v>
      </c>
      <c r="AA28" s="31">
        <v>-15</v>
      </c>
      <c r="AB28" s="32">
        <f t="shared" si="3"/>
        <v>65</v>
      </c>
      <c r="AC28" s="33">
        <f t="shared" si="4"/>
        <v>6.5</v>
      </c>
      <c r="AD28" s="31">
        <v>12</v>
      </c>
      <c r="AE28" s="31">
        <v>-3</v>
      </c>
      <c r="AF28" s="31">
        <v>7</v>
      </c>
      <c r="AG28" s="31">
        <v>12</v>
      </c>
      <c r="AH28" s="31">
        <v>4</v>
      </c>
      <c r="AI28" s="31">
        <v>8</v>
      </c>
      <c r="AJ28" s="31">
        <v>13</v>
      </c>
      <c r="AK28" s="31">
        <v>-5</v>
      </c>
      <c r="AL28" s="32">
        <f t="shared" si="5"/>
        <v>48</v>
      </c>
      <c r="AM28" s="33">
        <f t="shared" si="6"/>
        <v>6.86</v>
      </c>
      <c r="AN28" s="34">
        <f t="shared" si="7"/>
        <v>6.51</v>
      </c>
      <c r="AO28" s="35" t="s">
        <v>74</v>
      </c>
      <c r="AP28" s="36">
        <v>68000</v>
      </c>
      <c r="AQ28" s="36">
        <v>30000</v>
      </c>
      <c r="AR28" s="36">
        <f t="shared" ca="1" si="21"/>
        <v>1675511.6776899998</v>
      </c>
      <c r="AS28" s="36">
        <v>50000</v>
      </c>
      <c r="AT28" s="36">
        <v>55000</v>
      </c>
      <c r="AU28" s="36">
        <v>95000</v>
      </c>
      <c r="AV28" s="36">
        <v>164000</v>
      </c>
      <c r="AW28" s="37">
        <f t="shared" ca="1" si="9"/>
        <v>33.510233553799999</v>
      </c>
      <c r="AX28" s="37">
        <f t="shared" ca="1" si="10"/>
        <v>17.636965028315789</v>
      </c>
      <c r="AY28" s="37">
        <f t="shared" ca="1" si="11"/>
        <v>10.216534620060974</v>
      </c>
      <c r="AZ28" s="38">
        <v>190000</v>
      </c>
      <c r="BA28" s="39">
        <f t="shared" si="12"/>
        <v>0.33536585365853661</v>
      </c>
      <c r="BB28" s="39">
        <f t="shared" si="13"/>
        <v>0.86315789473684212</v>
      </c>
      <c r="BC28" s="40">
        <f t="shared" si="14"/>
        <v>0.28947368421052633</v>
      </c>
      <c r="BD28" t="s">
        <v>172</v>
      </c>
      <c r="BE28" s="40">
        <f t="shared" si="15"/>
        <v>4.9999742905350697E-2</v>
      </c>
      <c r="BF28" t="s">
        <v>173</v>
      </c>
      <c r="BG28" s="40">
        <f t="shared" si="16"/>
        <v>0.15999981690439746</v>
      </c>
      <c r="BH28" s="41">
        <v>18</v>
      </c>
      <c r="BI28" s="41">
        <v>26</v>
      </c>
      <c r="BJ28" s="42">
        <f t="shared" ca="1" si="26"/>
        <v>467.47606683362073</v>
      </c>
      <c r="BK28" s="42">
        <f t="shared" ca="1" si="27"/>
        <v>1090.6149211538032</v>
      </c>
      <c r="BL28" s="40">
        <f t="shared" ca="1" si="19"/>
        <v>-7.0846940218057042E-2</v>
      </c>
      <c r="BM28" s="40">
        <f t="shared" ca="1" si="20"/>
        <v>0.12742351865723722</v>
      </c>
      <c r="BN28" s="43" t="s">
        <v>77</v>
      </c>
      <c r="BO28" s="43" t="s">
        <v>83</v>
      </c>
      <c r="BP28" s="43" t="s">
        <v>84</v>
      </c>
    </row>
    <row r="29" spans="1:68" ht="15" customHeight="1" x14ac:dyDescent="0.25">
      <c r="A29" s="158" t="e" vm="26">
        <v>#VALUE!</v>
      </c>
      <c r="B29" s="25" t="str">
        <f t="array" aca="1" ref="B29" ca="1">_FV(A29,"Símbolo bursátil",TRUE())</f>
        <v>KKR</v>
      </c>
      <c r="C29" s="26" t="s">
        <v>91</v>
      </c>
      <c r="D29" s="26" t="s">
        <v>73</v>
      </c>
      <c r="E29" s="27" t="str">
        <f t="array" aca="1" ref="E29" ca="1">_FV(A29,"Abreviatura de intercambio",TRUE())</f>
        <v>XNYS</v>
      </c>
      <c r="F29" s="27" t="str">
        <f t="array" aca="1" ref="F29" ca="1">_FV(A29,"Moneda")</f>
        <v>USD</v>
      </c>
      <c r="G29" s="28">
        <f t="array" aca="1" ref="G29" ca="1">_FV(A29,"Precio")</f>
        <v>101.83</v>
      </c>
      <c r="H29" s="29">
        <f t="array" aca="1" ref="H29" ca="1">_FV(A29,"Acciones en circulación",TRUE())/1000000</f>
        <v>891.55089999999996</v>
      </c>
      <c r="I29" s="30">
        <f t="shared" ca="1" si="25"/>
        <v>90786.628146999996</v>
      </c>
      <c r="J29" s="44">
        <v>0</v>
      </c>
      <c r="K29" s="44">
        <v>6</v>
      </c>
      <c r="L29" s="44">
        <v>2</v>
      </c>
      <c r="M29" s="44">
        <v>0</v>
      </c>
      <c r="N29" s="44">
        <v>0</v>
      </c>
      <c r="O29" s="44">
        <v>0</v>
      </c>
      <c r="P29" s="44">
        <v>1</v>
      </c>
      <c r="Q29" s="44">
        <v>1</v>
      </c>
      <c r="R29" s="45">
        <f t="shared" si="1"/>
        <v>10</v>
      </c>
      <c r="S29" s="33">
        <f t="shared" si="2"/>
        <v>5.88</v>
      </c>
      <c r="T29" s="44">
        <v>13</v>
      </c>
      <c r="U29" s="44">
        <v>15</v>
      </c>
      <c r="V29" s="44">
        <v>14</v>
      </c>
      <c r="W29" s="44">
        <v>9</v>
      </c>
      <c r="X29" s="44">
        <v>8</v>
      </c>
      <c r="Y29" s="44">
        <v>13</v>
      </c>
      <c r="Z29" s="44">
        <v>9</v>
      </c>
      <c r="AA29" s="44">
        <v>-10</v>
      </c>
      <c r="AB29" s="45">
        <f t="shared" si="3"/>
        <v>71</v>
      </c>
      <c r="AC29" s="33">
        <f t="shared" si="4"/>
        <v>7.1</v>
      </c>
      <c r="AD29" s="44">
        <v>13</v>
      </c>
      <c r="AE29" s="44">
        <v>-3</v>
      </c>
      <c r="AF29" s="44">
        <v>7</v>
      </c>
      <c r="AG29" s="44">
        <v>13</v>
      </c>
      <c r="AH29" s="44">
        <v>2</v>
      </c>
      <c r="AI29" s="44">
        <v>9</v>
      </c>
      <c r="AJ29" s="44">
        <v>12</v>
      </c>
      <c r="AK29" s="44">
        <v>-5</v>
      </c>
      <c r="AL29" s="45">
        <f t="shared" si="5"/>
        <v>48</v>
      </c>
      <c r="AM29" s="33">
        <f t="shared" si="6"/>
        <v>6.86</v>
      </c>
      <c r="AN29" s="34">
        <f t="shared" si="7"/>
        <v>6.61</v>
      </c>
      <c r="AO29" s="35" t="s">
        <v>74</v>
      </c>
      <c r="AP29" s="36">
        <v>10000</v>
      </c>
      <c r="AQ29" s="36">
        <v>60000</v>
      </c>
      <c r="AR29" s="36">
        <f t="shared" ca="1" si="21"/>
        <v>140786.62814699998</v>
      </c>
      <c r="AS29" s="36">
        <v>4200</v>
      </c>
      <c r="AT29" s="36">
        <v>4500</v>
      </c>
      <c r="AU29" s="36">
        <v>7500</v>
      </c>
      <c r="AV29" s="36">
        <v>17500</v>
      </c>
      <c r="AW29" s="37">
        <f t="shared" ca="1" si="9"/>
        <v>33.520625749285713</v>
      </c>
      <c r="AX29" s="37">
        <f t="shared" ca="1" si="10"/>
        <v>18.771550419599997</v>
      </c>
      <c r="AY29" s="37">
        <f t="shared" ca="1" si="11"/>
        <v>8.0449501798285699</v>
      </c>
      <c r="AZ29" s="38">
        <v>80000</v>
      </c>
      <c r="BA29" s="39">
        <f t="shared" si="12"/>
        <v>0.25714285714285712</v>
      </c>
      <c r="BB29" s="39">
        <f t="shared" si="13"/>
        <v>0.21875</v>
      </c>
      <c r="BC29" s="40">
        <f t="shared" si="14"/>
        <v>5.6249999999999994E-2</v>
      </c>
      <c r="BD29" t="s">
        <v>174</v>
      </c>
      <c r="BE29" s="40">
        <f t="shared" si="15"/>
        <v>7.0010270953862141E-2</v>
      </c>
      <c r="BF29" t="s">
        <v>175</v>
      </c>
      <c r="BG29" s="40">
        <f t="shared" si="16"/>
        <v>0.20000128600547407</v>
      </c>
      <c r="BH29" s="41">
        <v>15</v>
      </c>
      <c r="BI29" s="41">
        <v>25</v>
      </c>
      <c r="BJ29" s="42">
        <f t="shared" ca="1" si="26"/>
        <v>43.031755113476976</v>
      </c>
      <c r="BK29" s="42">
        <f t="shared" ca="1" si="27"/>
        <v>236.97469207871364</v>
      </c>
      <c r="BL29" s="40">
        <f t="shared" ca="1" si="19"/>
        <v>-0.15825089517109758</v>
      </c>
      <c r="BM29" s="40">
        <f t="shared" ca="1" si="20"/>
        <v>0.23511261072079859</v>
      </c>
      <c r="BN29" s="43" t="s">
        <v>77</v>
      </c>
      <c r="BO29" s="43" t="s">
        <v>94</v>
      </c>
      <c r="BP29" s="43" t="s">
        <v>176</v>
      </c>
    </row>
    <row r="30" spans="1:68" ht="15" customHeight="1" x14ac:dyDescent="0.25">
      <c r="A30" s="158" t="e" vm="27">
        <v>#VALUE!</v>
      </c>
      <c r="B30" s="25" t="str">
        <f t="array" aca="1" ref="B30" ca="1">_FV(A30,"Símbolo bursátil",TRUE())</f>
        <v>NET</v>
      </c>
      <c r="C30" s="26" t="s">
        <v>110</v>
      </c>
      <c r="D30" s="26" t="s">
        <v>111</v>
      </c>
      <c r="E30" s="27" t="str">
        <f t="array" aca="1" ref="E30" ca="1">_FV(A30,"Abreviatura de intercambio",TRUE())</f>
        <v>XNYS</v>
      </c>
      <c r="F30" s="27" t="str">
        <f t="array" aca="1" ref="F30" ca="1">_FV(A30,"Moneda")</f>
        <v>USD</v>
      </c>
      <c r="G30" s="28">
        <f t="array" aca="1" ref="G30" ca="1">_FV(A30,"Precio")</f>
        <v>207.07</v>
      </c>
      <c r="H30" s="29">
        <f t="array" aca="1" ref="H30" ca="1">_FV(A30,"Acciones en circulación",TRUE())/1000000</f>
        <v>351.9803</v>
      </c>
      <c r="I30" s="30">
        <f t="shared" ca="1" si="25"/>
        <v>72884.560721000002</v>
      </c>
      <c r="J30" s="31">
        <v>2</v>
      </c>
      <c r="K30" s="31">
        <v>5</v>
      </c>
      <c r="L30" s="31">
        <v>3</v>
      </c>
      <c r="M30" s="31">
        <v>0</v>
      </c>
      <c r="N30" s="31">
        <v>0</v>
      </c>
      <c r="O30" s="31">
        <v>1</v>
      </c>
      <c r="P30" s="31">
        <v>1</v>
      </c>
      <c r="Q30" s="31">
        <v>0</v>
      </c>
      <c r="R30" s="32">
        <f t="shared" si="1"/>
        <v>12</v>
      </c>
      <c r="S30" s="33">
        <f t="shared" si="2"/>
        <v>7.06</v>
      </c>
      <c r="T30" s="31">
        <v>10</v>
      </c>
      <c r="U30" s="31">
        <v>13</v>
      </c>
      <c r="V30" s="31">
        <v>16</v>
      </c>
      <c r="W30" s="31">
        <v>9</v>
      </c>
      <c r="X30" s="31">
        <v>7</v>
      </c>
      <c r="Y30" s="31">
        <v>12</v>
      </c>
      <c r="Z30" s="31">
        <v>6</v>
      </c>
      <c r="AA30" s="31">
        <v>-12</v>
      </c>
      <c r="AB30" s="32">
        <f t="shared" si="3"/>
        <v>61</v>
      </c>
      <c r="AC30" s="33">
        <f t="shared" si="4"/>
        <v>6.1</v>
      </c>
      <c r="AD30" s="31">
        <v>13</v>
      </c>
      <c r="AE30" s="31">
        <v>-1</v>
      </c>
      <c r="AF30" s="31">
        <v>6</v>
      </c>
      <c r="AG30" s="31">
        <v>10</v>
      </c>
      <c r="AH30" s="31">
        <v>3</v>
      </c>
      <c r="AI30" s="31">
        <v>8</v>
      </c>
      <c r="AJ30" s="31">
        <v>11</v>
      </c>
      <c r="AK30" s="31">
        <v>-4</v>
      </c>
      <c r="AL30" s="32">
        <f t="shared" si="5"/>
        <v>46</v>
      </c>
      <c r="AM30" s="33">
        <f t="shared" si="6"/>
        <v>6.57</v>
      </c>
      <c r="AN30" s="34">
        <f t="shared" si="7"/>
        <v>6.58</v>
      </c>
      <c r="AO30" s="35" t="s">
        <v>74</v>
      </c>
      <c r="AP30" s="36">
        <v>1800</v>
      </c>
      <c r="AQ30" s="36">
        <v>1300</v>
      </c>
      <c r="AR30" s="36">
        <f t="shared" ca="1" si="21"/>
        <v>72384.560721000002</v>
      </c>
      <c r="AS30" s="36">
        <v>280</v>
      </c>
      <c r="AT30" s="36">
        <v>50</v>
      </c>
      <c r="AU30" s="36">
        <v>320</v>
      </c>
      <c r="AV30" s="36">
        <v>1850</v>
      </c>
      <c r="AW30" s="37">
        <f t="shared" ca="1" si="9"/>
        <v>258.51628828928574</v>
      </c>
      <c r="AX30" s="37">
        <f t="shared" ca="1" si="10"/>
        <v>226.20175225312499</v>
      </c>
      <c r="AY30" s="37">
        <f t="shared" ca="1" si="11"/>
        <v>39.126789578918917</v>
      </c>
      <c r="AZ30" s="38">
        <v>3500</v>
      </c>
      <c r="BA30" s="39">
        <f t="shared" si="12"/>
        <v>2.7027027027027029E-2</v>
      </c>
      <c r="BB30" s="39">
        <f t="shared" si="13"/>
        <v>0.52857142857142858</v>
      </c>
      <c r="BC30" s="40">
        <f t="shared" si="14"/>
        <v>1.4285714285714287E-2</v>
      </c>
      <c r="BD30" t="s">
        <v>177</v>
      </c>
      <c r="BE30" s="40">
        <f t="shared" si="15"/>
        <v>0.13995090255865472</v>
      </c>
      <c r="BF30" t="s">
        <v>178</v>
      </c>
      <c r="BG30" s="40">
        <f t="shared" si="16"/>
        <v>0.27998066135282862</v>
      </c>
      <c r="BH30" s="41">
        <v>20</v>
      </c>
      <c r="BI30" s="41">
        <v>30</v>
      </c>
      <c r="BJ30" s="42">
        <f t="shared" ca="1" si="26"/>
        <v>32.047248098828256</v>
      </c>
      <c r="BK30" s="42">
        <f t="shared" ca="1" si="27"/>
        <v>83.413759235957244</v>
      </c>
      <c r="BL30" s="40">
        <f t="shared" ca="1" si="19"/>
        <v>-0.31145122208947251</v>
      </c>
      <c r="BM30" s="40">
        <f t="shared" ca="1" si="20"/>
        <v>-0.20332694699821163</v>
      </c>
      <c r="BN30" s="43" t="s">
        <v>77</v>
      </c>
      <c r="BO30" s="43" t="s">
        <v>179</v>
      </c>
      <c r="BP30" s="43" t="s">
        <v>154</v>
      </c>
    </row>
    <row r="31" spans="1:68" ht="15" customHeight="1" x14ac:dyDescent="0.25">
      <c r="A31" s="158" t="e" vm="28">
        <v>#VALUE!</v>
      </c>
      <c r="B31" s="25" t="str">
        <f t="array" aca="1" ref="B31" ca="1">_FV(A31,"Símbolo bursátil",TRUE())</f>
        <v>CRWD</v>
      </c>
      <c r="C31" s="26" t="s">
        <v>110</v>
      </c>
      <c r="D31" s="26" t="s">
        <v>111</v>
      </c>
      <c r="E31" s="27" t="str">
        <f t="array" aca="1" ref="E31" ca="1">_FV(A31,"Abreviatura de intercambio",TRUE())</f>
        <v>XNAS</v>
      </c>
      <c r="F31" s="27" t="str">
        <f t="array" aca="1" ref="F31" ca="1">_FV(A31,"Moneda")</f>
        <v>USD</v>
      </c>
      <c r="G31" s="28">
        <f t="array" aca="1" ref="G31" ca="1">_FV(A31,"Precio")</f>
        <v>448.13</v>
      </c>
      <c r="H31" s="29">
        <f t="array" aca="1" ref="H31" ca="1">_FV(A31,"Acciones en circulación",TRUE())/1000000</f>
        <v>253.20099999999999</v>
      </c>
      <c r="I31" s="30">
        <f t="shared" ca="1" si="25"/>
        <v>113466.96412999999</v>
      </c>
      <c r="J31" s="44">
        <v>2</v>
      </c>
      <c r="K31" s="44">
        <v>6</v>
      </c>
      <c r="L31" s="44">
        <v>2</v>
      </c>
      <c r="M31" s="44">
        <v>0</v>
      </c>
      <c r="N31" s="44">
        <v>0</v>
      </c>
      <c r="O31" s="44">
        <v>0</v>
      </c>
      <c r="P31" s="44">
        <v>1</v>
      </c>
      <c r="Q31" s="44">
        <v>0</v>
      </c>
      <c r="R31" s="45">
        <f t="shared" si="1"/>
        <v>11</v>
      </c>
      <c r="S31" s="33">
        <f t="shared" si="2"/>
        <v>6.47</v>
      </c>
      <c r="T31" s="44">
        <v>12</v>
      </c>
      <c r="U31" s="44">
        <v>16</v>
      </c>
      <c r="V31" s="44">
        <v>15</v>
      </c>
      <c r="W31" s="44">
        <v>8</v>
      </c>
      <c r="X31" s="44">
        <v>9</v>
      </c>
      <c r="Y31" s="44">
        <v>10</v>
      </c>
      <c r="Z31" s="44">
        <v>5</v>
      </c>
      <c r="AA31" s="44">
        <v>-10</v>
      </c>
      <c r="AB31" s="45">
        <f t="shared" si="3"/>
        <v>65</v>
      </c>
      <c r="AC31" s="33">
        <f t="shared" si="4"/>
        <v>6.5</v>
      </c>
      <c r="AD31" s="44">
        <v>12</v>
      </c>
      <c r="AE31" s="44">
        <v>-2</v>
      </c>
      <c r="AF31" s="44">
        <v>9</v>
      </c>
      <c r="AG31" s="44">
        <v>11</v>
      </c>
      <c r="AH31" s="44">
        <v>3</v>
      </c>
      <c r="AI31" s="44">
        <v>7</v>
      </c>
      <c r="AJ31" s="44">
        <v>12</v>
      </c>
      <c r="AK31" s="44">
        <v>-5</v>
      </c>
      <c r="AL31" s="45">
        <f t="shared" si="5"/>
        <v>47</v>
      </c>
      <c r="AM31" s="33">
        <f t="shared" si="6"/>
        <v>6.71</v>
      </c>
      <c r="AN31" s="34">
        <f t="shared" si="7"/>
        <v>6.56</v>
      </c>
      <c r="AO31" s="35" t="s">
        <v>74</v>
      </c>
      <c r="AP31" s="36">
        <v>4400</v>
      </c>
      <c r="AQ31" s="36">
        <v>750</v>
      </c>
      <c r="AR31" s="36">
        <f t="shared" ca="1" si="21"/>
        <v>109816.96412999999</v>
      </c>
      <c r="AS31" s="36">
        <v>1200</v>
      </c>
      <c r="AT31" s="36">
        <v>700</v>
      </c>
      <c r="AU31" s="36">
        <v>1400</v>
      </c>
      <c r="AV31" s="36">
        <v>4000</v>
      </c>
      <c r="AW31" s="37">
        <f t="shared" ca="1" si="9"/>
        <v>91.514136774999997</v>
      </c>
      <c r="AX31" s="37">
        <f t="shared" ca="1" si="10"/>
        <v>78.440688664285716</v>
      </c>
      <c r="AY31" s="37">
        <f t="shared" ca="1" si="11"/>
        <v>27.454241032499997</v>
      </c>
      <c r="AZ31" s="38">
        <v>3500</v>
      </c>
      <c r="BA31" s="39">
        <f t="shared" si="12"/>
        <v>0.17499999999999999</v>
      </c>
      <c r="BB31" s="39">
        <f t="shared" si="13"/>
        <v>1.1428571428571428</v>
      </c>
      <c r="BC31" s="40">
        <f t="shared" si="14"/>
        <v>0.19999999999999998</v>
      </c>
      <c r="BD31" t="s">
        <v>180</v>
      </c>
      <c r="BE31" s="40">
        <f t="shared" si="15"/>
        <v>0.12002012191466971</v>
      </c>
      <c r="BF31" t="s">
        <v>181</v>
      </c>
      <c r="BG31" s="40">
        <f t="shared" si="16"/>
        <v>0.26000288799408033</v>
      </c>
      <c r="BH31" s="41">
        <v>20</v>
      </c>
      <c r="BI31" s="41">
        <v>30</v>
      </c>
      <c r="BJ31" s="42">
        <f t="shared" ca="1" si="26"/>
        <v>181.47637647560634</v>
      </c>
      <c r="BK31" s="42">
        <f t="shared" ca="1" si="27"/>
        <v>465.95392593236204</v>
      </c>
      <c r="BL31" s="40">
        <f t="shared" ca="1" si="19"/>
        <v>-0.16539070696015823</v>
      </c>
      <c r="BM31" s="40">
        <f t="shared" ca="1" si="20"/>
        <v>9.7985416439292372E-3</v>
      </c>
      <c r="BN31" s="43" t="s">
        <v>77</v>
      </c>
      <c r="BO31" s="43" t="s">
        <v>182</v>
      </c>
      <c r="BP31" s="43" t="s">
        <v>183</v>
      </c>
    </row>
    <row r="32" spans="1:68" ht="15" customHeight="1" x14ac:dyDescent="0.25">
      <c r="A32" s="158" t="e" vm="29">
        <v>#VALUE!</v>
      </c>
      <c r="B32" s="25" t="str">
        <f t="array" aca="1" ref="B32" ca="1">_FV(A32,"Símbolo bursátil",TRUE())</f>
        <v>GOOG</v>
      </c>
      <c r="C32" s="26" t="s">
        <v>80</v>
      </c>
      <c r="D32" s="26" t="s">
        <v>73</v>
      </c>
      <c r="E32" s="27" t="str">
        <f t="array" aca="1" ref="E32" ca="1">_FV(A32,"Abreviatura de intercambio",TRUE())</f>
        <v>XNAS</v>
      </c>
      <c r="F32" s="27" t="str">
        <f t="array" aca="1" ref="F32" ca="1">_FV(A32,"Moneda")</f>
        <v>USD</v>
      </c>
      <c r="G32" s="28">
        <f t="array" aca="1" ref="G32" ca="1">_FV(A32,"Precio")</f>
        <v>342.32</v>
      </c>
      <c r="H32" s="29">
        <f t="array" aca="1" ref="H32" ca="1">_FV(A32,"Acciones en circulación",TRUE())/1000000</f>
        <v>12097</v>
      </c>
      <c r="I32" s="30">
        <f t="shared" ca="1" si="25"/>
        <v>4141045.04</v>
      </c>
      <c r="J32" s="31">
        <v>1</v>
      </c>
      <c r="K32" s="31">
        <v>7</v>
      </c>
      <c r="L32" s="31">
        <v>3</v>
      </c>
      <c r="M32" s="31">
        <v>1</v>
      </c>
      <c r="N32" s="31">
        <v>-1</v>
      </c>
      <c r="O32" s="31">
        <v>1</v>
      </c>
      <c r="P32" s="31">
        <v>0</v>
      </c>
      <c r="Q32" s="31">
        <v>0</v>
      </c>
      <c r="R32" s="32">
        <f t="shared" si="1"/>
        <v>12</v>
      </c>
      <c r="S32" s="33">
        <f t="shared" si="2"/>
        <v>7.06</v>
      </c>
      <c r="T32" s="31">
        <v>16</v>
      </c>
      <c r="U32" s="31">
        <v>18</v>
      </c>
      <c r="V32" s="31">
        <v>13</v>
      </c>
      <c r="W32" s="31">
        <v>8</v>
      </c>
      <c r="X32" s="31">
        <v>8</v>
      </c>
      <c r="Y32" s="31">
        <v>9</v>
      </c>
      <c r="Z32" s="31">
        <v>6</v>
      </c>
      <c r="AA32" s="31">
        <v>-14</v>
      </c>
      <c r="AB32" s="32">
        <f t="shared" si="3"/>
        <v>64</v>
      </c>
      <c r="AC32" s="33">
        <f t="shared" si="4"/>
        <v>6.4</v>
      </c>
      <c r="AD32" s="31">
        <v>12</v>
      </c>
      <c r="AE32" s="31">
        <v>-4</v>
      </c>
      <c r="AF32" s="31">
        <v>6</v>
      </c>
      <c r="AG32" s="31">
        <v>11</v>
      </c>
      <c r="AH32" s="31">
        <v>4</v>
      </c>
      <c r="AI32" s="31">
        <v>7</v>
      </c>
      <c r="AJ32" s="31">
        <v>13</v>
      </c>
      <c r="AK32" s="31">
        <v>-6</v>
      </c>
      <c r="AL32" s="32">
        <f t="shared" si="5"/>
        <v>43</v>
      </c>
      <c r="AM32" s="33">
        <f t="shared" si="6"/>
        <v>6.14</v>
      </c>
      <c r="AN32" s="34">
        <f t="shared" si="7"/>
        <v>6.53</v>
      </c>
      <c r="AO32" s="35" t="s">
        <v>74</v>
      </c>
      <c r="AP32" s="36">
        <v>110000</v>
      </c>
      <c r="AQ32" s="36">
        <v>15000</v>
      </c>
      <c r="AR32" s="36">
        <f t="shared" ca="1" si="21"/>
        <v>4046045.04</v>
      </c>
      <c r="AS32" s="36">
        <v>75000</v>
      </c>
      <c r="AT32" s="36">
        <v>95000</v>
      </c>
      <c r="AU32" s="36">
        <v>148000</v>
      </c>
      <c r="AV32" s="36">
        <v>350000</v>
      </c>
      <c r="AW32" s="37">
        <f t="shared" ca="1" si="9"/>
        <v>53.947267199999999</v>
      </c>
      <c r="AX32" s="37">
        <f t="shared" ca="1" si="10"/>
        <v>27.338142162162164</v>
      </c>
      <c r="AY32" s="37">
        <f t="shared" ca="1" si="11"/>
        <v>11.560128685714286</v>
      </c>
      <c r="AZ32" s="38">
        <v>350000</v>
      </c>
      <c r="BA32" s="39">
        <f t="shared" si="12"/>
        <v>0.27142857142857141</v>
      </c>
      <c r="BB32" s="39">
        <f t="shared" si="13"/>
        <v>1</v>
      </c>
      <c r="BC32" s="40">
        <f t="shared" si="14"/>
        <v>0.27142857142857141</v>
      </c>
      <c r="BD32" t="s">
        <v>184</v>
      </c>
      <c r="BE32" s="40">
        <f t="shared" si="15"/>
        <v>4.9999742905350697E-2</v>
      </c>
      <c r="BF32" t="s">
        <v>185</v>
      </c>
      <c r="BG32" s="40">
        <f t="shared" si="16"/>
        <v>0.15000032161102084</v>
      </c>
      <c r="BH32" s="41">
        <v>20</v>
      </c>
      <c r="BI32" s="41">
        <v>30</v>
      </c>
      <c r="BJ32" s="42">
        <f t="shared" ca="1" si="26"/>
        <v>166.10895263288418</v>
      </c>
      <c r="BK32" s="42">
        <f t="shared" ca="1" si="27"/>
        <v>381.95916342894935</v>
      </c>
      <c r="BL32" s="40">
        <f t="shared" ca="1" si="19"/>
        <v>-0.13464929211434862</v>
      </c>
      <c r="BM32" s="40">
        <f t="shared" ca="1" si="20"/>
        <v>2.7770540195405813E-2</v>
      </c>
      <c r="BN32" s="43" t="s">
        <v>77</v>
      </c>
      <c r="BO32" s="43" t="s">
        <v>186</v>
      </c>
      <c r="BP32" s="43" t="s">
        <v>84</v>
      </c>
    </row>
    <row r="33" spans="1:68" ht="15" customHeight="1" x14ac:dyDescent="0.25">
      <c r="A33" s="158" t="e" vm="30">
        <v>#VALUE!</v>
      </c>
      <c r="B33" s="25" t="str">
        <f t="array" aca="1" ref="B33" ca="1">_FV(A33,"Símbolo bursátil",TRUE())</f>
        <v>ABBNE</v>
      </c>
      <c r="C33" s="26" t="s">
        <v>123</v>
      </c>
      <c r="D33" s="26" t="s">
        <v>73</v>
      </c>
      <c r="E33" s="27" t="str">
        <f t="array" aca="1" ref="E33" ca="1">_FV(A33,"Abreviatura de intercambio",TRUE())</f>
        <v>XSWX</v>
      </c>
      <c r="F33" s="27" t="str">
        <f t="array" aca="1" ref="F33" ca="1">_FV(A33,"Moneda")</f>
        <v>CHF</v>
      </c>
      <c r="G33" s="28">
        <f t="array" aca="1" ref="G33" ca="1">_FV(A33,"Precio")</f>
        <v>77.599999999999994</v>
      </c>
      <c r="H33" s="29">
        <f t="array" aca="1" ref="H33" ca="1">_FV(A33,"Acciones en circulación",TRUE())/1000000</f>
        <v>1823.154</v>
      </c>
      <c r="I33" s="30">
        <f t="shared" ca="1" si="25"/>
        <v>141476.75039999999</v>
      </c>
      <c r="J33" s="44">
        <v>1</v>
      </c>
      <c r="K33" s="44">
        <v>6</v>
      </c>
      <c r="L33" s="44">
        <v>2</v>
      </c>
      <c r="M33" s="44">
        <v>1</v>
      </c>
      <c r="N33" s="44">
        <v>0</v>
      </c>
      <c r="O33" s="44">
        <v>0</v>
      </c>
      <c r="P33" s="44">
        <v>0</v>
      </c>
      <c r="Q33" s="44">
        <v>0</v>
      </c>
      <c r="R33" s="45">
        <f t="shared" si="1"/>
        <v>10</v>
      </c>
      <c r="S33" s="33">
        <f t="shared" si="2"/>
        <v>5.88</v>
      </c>
      <c r="T33" s="44">
        <v>13</v>
      </c>
      <c r="U33" s="44">
        <v>14</v>
      </c>
      <c r="V33" s="44">
        <v>13</v>
      </c>
      <c r="W33" s="44">
        <v>9</v>
      </c>
      <c r="X33" s="44">
        <v>8</v>
      </c>
      <c r="Y33" s="44">
        <v>11</v>
      </c>
      <c r="Z33" s="44">
        <v>4</v>
      </c>
      <c r="AA33" s="44">
        <v>-8</v>
      </c>
      <c r="AB33" s="45">
        <f t="shared" si="3"/>
        <v>64</v>
      </c>
      <c r="AC33" s="33">
        <f t="shared" si="4"/>
        <v>6.4</v>
      </c>
      <c r="AD33" s="44">
        <v>12</v>
      </c>
      <c r="AE33" s="44">
        <v>-2</v>
      </c>
      <c r="AF33" s="44">
        <v>5</v>
      </c>
      <c r="AG33" s="44">
        <v>12</v>
      </c>
      <c r="AH33" s="44">
        <v>4</v>
      </c>
      <c r="AI33" s="44">
        <v>7</v>
      </c>
      <c r="AJ33" s="44">
        <v>11</v>
      </c>
      <c r="AK33" s="44">
        <v>-4</v>
      </c>
      <c r="AL33" s="45">
        <f t="shared" si="5"/>
        <v>45</v>
      </c>
      <c r="AM33" s="33">
        <f t="shared" si="6"/>
        <v>6.43</v>
      </c>
      <c r="AN33" s="34">
        <f t="shared" si="7"/>
        <v>6.24</v>
      </c>
      <c r="AO33" s="35" t="s">
        <v>74</v>
      </c>
      <c r="AP33" s="36">
        <v>5000</v>
      </c>
      <c r="AQ33" s="36">
        <v>7500</v>
      </c>
      <c r="AR33" s="36">
        <f ca="1">I33*'Framework Notes'!E5-AP33+AQ33</f>
        <v>182656.49395936</v>
      </c>
      <c r="AS33" s="36">
        <v>4200</v>
      </c>
      <c r="AT33" s="36">
        <v>4500</v>
      </c>
      <c r="AU33" s="36">
        <v>6200</v>
      </c>
      <c r="AV33" s="36">
        <v>33500</v>
      </c>
      <c r="AW33" s="37">
        <f t="shared" ca="1" si="9"/>
        <v>43.489641418895239</v>
      </c>
      <c r="AX33" s="37">
        <f t="shared" ca="1" si="10"/>
        <v>29.460724832154838</v>
      </c>
      <c r="AY33" s="37">
        <f t="shared" ca="1" si="11"/>
        <v>5.4524326555032836</v>
      </c>
      <c r="AZ33" s="38">
        <v>22000</v>
      </c>
      <c r="BA33" s="39">
        <f t="shared" si="12"/>
        <v>0.13432835820895522</v>
      </c>
      <c r="BB33" s="39">
        <f t="shared" si="13"/>
        <v>1.5227272727272727</v>
      </c>
      <c r="BC33" s="40">
        <f t="shared" si="14"/>
        <v>0.20454545454545453</v>
      </c>
      <c r="BD33" t="s">
        <v>187</v>
      </c>
      <c r="BE33" s="40">
        <f t="shared" si="15"/>
        <v>4.0002353139918068E-2</v>
      </c>
      <c r="BF33" t="s">
        <v>188</v>
      </c>
      <c r="BG33" s="40">
        <f t="shared" si="16"/>
        <v>0.12000499121039754</v>
      </c>
      <c r="BH33" s="41">
        <v>14</v>
      </c>
      <c r="BI33" s="41">
        <v>25</v>
      </c>
      <c r="BJ33" s="42">
        <f ca="1">((BD33*BH33+$AP33-$AQ33)/$H33)/'Framework Notes'!E5</f>
        <v>29.738056521063037</v>
      </c>
      <c r="BK33" s="42">
        <f ca="1">((BF33*BI33+$AP33-$AQ33)/$H33)/'Framework Notes'!E5</f>
        <v>78.630970711472443</v>
      </c>
      <c r="BL33" s="40">
        <f t="shared" ca="1" si="19"/>
        <v>-0.17455113965516134</v>
      </c>
      <c r="BM33" s="40">
        <f t="shared" ca="1" si="20"/>
        <v>3.3050055381687038E-3</v>
      </c>
      <c r="BN33" s="43" t="s">
        <v>77</v>
      </c>
      <c r="BO33" s="43" t="s">
        <v>189</v>
      </c>
      <c r="BP33" s="43" t="s">
        <v>190</v>
      </c>
    </row>
    <row r="34" spans="1:68" ht="15" customHeight="1" x14ac:dyDescent="0.25">
      <c r="A34" s="158" t="e" vm="31">
        <v>#VALUE!</v>
      </c>
      <c r="B34" s="25" t="str">
        <f t="array" aca="1" ref="B34" ca="1">_FV(A34,"Símbolo bursátil",TRUE())</f>
        <v>GRMN</v>
      </c>
      <c r="C34" s="26" t="s">
        <v>191</v>
      </c>
      <c r="D34" s="26" t="s">
        <v>73</v>
      </c>
      <c r="E34" s="27" t="str">
        <f t="array" aca="1" ref="E34" ca="1">_FV(A34,"Abreviatura de intercambio",TRUE())</f>
        <v>XNYS</v>
      </c>
      <c r="F34" s="27" t="str">
        <f t="array" aca="1" ref="F34" ca="1">_FV(A34,"Moneda")</f>
        <v>USD</v>
      </c>
      <c r="G34" s="28">
        <f t="array" aca="1" ref="G34" ca="1">_FV(A34,"Precio")</f>
        <v>259.39</v>
      </c>
      <c r="H34" s="29">
        <f t="array" aca="1" ref="H34" ca="1">_FV(A34,"Acciones en circulación",TRUE())/1000000</f>
        <v>192.88339999999999</v>
      </c>
      <c r="I34" s="30">
        <f t="shared" ca="1" si="25"/>
        <v>50032.025125999993</v>
      </c>
      <c r="J34" s="31">
        <v>0</v>
      </c>
      <c r="K34" s="31">
        <v>5</v>
      </c>
      <c r="L34" s="31">
        <v>2</v>
      </c>
      <c r="M34" s="31">
        <v>1</v>
      </c>
      <c r="N34" s="31">
        <v>0</v>
      </c>
      <c r="O34" s="31">
        <v>1</v>
      </c>
      <c r="P34" s="31">
        <v>0</v>
      </c>
      <c r="Q34" s="31">
        <v>0</v>
      </c>
      <c r="R34" s="32">
        <f t="shared" si="1"/>
        <v>9</v>
      </c>
      <c r="S34" s="33">
        <f t="shared" si="2"/>
        <v>5.29</v>
      </c>
      <c r="T34" s="31">
        <v>14</v>
      </c>
      <c r="U34" s="31">
        <v>13</v>
      </c>
      <c r="V34" s="31">
        <v>10</v>
      </c>
      <c r="W34" s="31">
        <v>8</v>
      </c>
      <c r="X34" s="31">
        <v>8</v>
      </c>
      <c r="Y34" s="31">
        <v>10</v>
      </c>
      <c r="Z34" s="31">
        <v>6</v>
      </c>
      <c r="AA34" s="31">
        <v>-7</v>
      </c>
      <c r="AB34" s="32">
        <f t="shared" si="3"/>
        <v>62</v>
      </c>
      <c r="AC34" s="33">
        <f t="shared" si="4"/>
        <v>6.2</v>
      </c>
      <c r="AD34" s="31">
        <v>12</v>
      </c>
      <c r="AE34" s="31">
        <v>-2</v>
      </c>
      <c r="AF34" s="31">
        <v>8</v>
      </c>
      <c r="AG34" s="31">
        <v>10</v>
      </c>
      <c r="AH34" s="31">
        <v>5</v>
      </c>
      <c r="AI34" s="31">
        <v>7</v>
      </c>
      <c r="AJ34" s="31">
        <v>10</v>
      </c>
      <c r="AK34" s="31">
        <v>-3</v>
      </c>
      <c r="AL34" s="32">
        <f t="shared" si="5"/>
        <v>47</v>
      </c>
      <c r="AM34" s="33">
        <f t="shared" si="6"/>
        <v>6.71</v>
      </c>
      <c r="AN34" s="34">
        <f t="shared" si="7"/>
        <v>6.07</v>
      </c>
      <c r="AO34" s="35" t="s">
        <v>74</v>
      </c>
      <c r="AP34" s="36">
        <v>3500</v>
      </c>
      <c r="AQ34" s="36">
        <v>0</v>
      </c>
      <c r="AR34" s="36">
        <f ca="1">I34-AP34+AQ34</f>
        <v>46532.025125999993</v>
      </c>
      <c r="AS34" s="36">
        <v>1300</v>
      </c>
      <c r="AT34" s="36">
        <v>1200</v>
      </c>
      <c r="AU34" s="36">
        <v>1650</v>
      </c>
      <c r="AV34" s="36">
        <v>6300</v>
      </c>
      <c r="AW34" s="37">
        <f t="shared" ca="1" si="9"/>
        <v>35.793865481538454</v>
      </c>
      <c r="AX34" s="37">
        <f t="shared" ca="1" si="10"/>
        <v>28.201227349090907</v>
      </c>
      <c r="AY34" s="37">
        <f t="shared" ca="1" si="11"/>
        <v>7.3860357342857128</v>
      </c>
      <c r="AZ34" s="38">
        <v>4800</v>
      </c>
      <c r="BA34" s="39">
        <f t="shared" si="12"/>
        <v>0.19047619047619047</v>
      </c>
      <c r="BB34" s="39">
        <f t="shared" si="13"/>
        <v>1.3125</v>
      </c>
      <c r="BC34" s="40">
        <f t="shared" si="14"/>
        <v>0.25</v>
      </c>
      <c r="BD34" t="s">
        <v>192</v>
      </c>
      <c r="BE34" s="40">
        <f t="shared" si="15"/>
        <v>4.004618516068903E-2</v>
      </c>
      <c r="BF34" t="s">
        <v>193</v>
      </c>
      <c r="BG34" s="40">
        <f t="shared" si="16"/>
        <v>0.12998436153517012</v>
      </c>
      <c r="BH34" s="41">
        <v>18</v>
      </c>
      <c r="BI34" s="41">
        <v>26</v>
      </c>
      <c r="BJ34" s="42">
        <f ca="1">(BD34*BH34+$AP34-$AQ34)/$H34</f>
        <v>165.77891098974823</v>
      </c>
      <c r="BK34" s="42">
        <f ca="1">(BF34*BI34+$AP34-$AQ34)/$H34</f>
        <v>340.98320539766513</v>
      </c>
      <c r="BL34" s="40">
        <f t="shared" ca="1" si="19"/>
        <v>-8.5644228274951884E-2</v>
      </c>
      <c r="BM34" s="40">
        <f t="shared" ca="1" si="20"/>
        <v>7.076690576243605E-2</v>
      </c>
      <c r="BN34" s="43" t="s">
        <v>77</v>
      </c>
      <c r="BO34" s="43" t="s">
        <v>194</v>
      </c>
      <c r="BP34" s="43" t="s">
        <v>84</v>
      </c>
    </row>
    <row r="35" spans="1:68" ht="15" customHeight="1" x14ac:dyDescent="0.25">
      <c r="A35" s="158" t="e" vm="32">
        <v>#VALUE!</v>
      </c>
      <c r="B35" s="25" t="str">
        <f t="array" aca="1" ref="B35" ca="1">_FV(A35,"Símbolo bursátil",TRUE())</f>
        <v>KRX</v>
      </c>
      <c r="C35" s="26" t="s">
        <v>195</v>
      </c>
      <c r="D35" s="26" t="s">
        <v>73</v>
      </c>
      <c r="E35" s="27" t="str">
        <f t="array" aca="1" ref="E35" ca="1">_FV(A35,"Abreviatura de intercambio",TRUE())</f>
        <v>XFRA</v>
      </c>
      <c r="F35" s="27" t="str">
        <f t="array" aca="1" ref="F35" ca="1">_FV(A35,"Moneda")</f>
        <v>EUR</v>
      </c>
      <c r="G35" s="28">
        <f t="array" aca="1" ref="G35" ca="1">_FV(A35,"Precio")</f>
        <v>77.099999999999994</v>
      </c>
      <c r="H35" s="29">
        <f t="array" aca="1" ref="H35" ca="1">_FV(A35,"Acciones en circulación",TRUE())/1000000</f>
        <v>180.2319</v>
      </c>
      <c r="I35" s="30">
        <f t="shared" ca="1" si="25"/>
        <v>13895.879489999999</v>
      </c>
      <c r="J35" s="44">
        <v>1</v>
      </c>
      <c r="K35" s="44">
        <v>5</v>
      </c>
      <c r="L35" s="44">
        <v>2</v>
      </c>
      <c r="M35" s="44">
        <v>0</v>
      </c>
      <c r="N35" s="44">
        <v>0</v>
      </c>
      <c r="O35" s="44">
        <v>0</v>
      </c>
      <c r="P35" s="44">
        <v>1</v>
      </c>
      <c r="Q35" s="44">
        <v>1</v>
      </c>
      <c r="R35" s="45">
        <f t="shared" si="1"/>
        <v>10</v>
      </c>
      <c r="S35" s="33">
        <f t="shared" si="2"/>
        <v>5.88</v>
      </c>
      <c r="T35" s="44">
        <v>12</v>
      </c>
      <c r="U35" s="44">
        <v>13</v>
      </c>
      <c r="V35" s="44">
        <v>13</v>
      </c>
      <c r="W35" s="44">
        <v>9</v>
      </c>
      <c r="X35" s="44">
        <v>7</v>
      </c>
      <c r="Y35" s="44">
        <v>11</v>
      </c>
      <c r="Z35" s="44">
        <v>8</v>
      </c>
      <c r="AA35" s="44">
        <v>-9</v>
      </c>
      <c r="AB35" s="45">
        <f t="shared" si="3"/>
        <v>64</v>
      </c>
      <c r="AC35" s="33">
        <f t="shared" si="4"/>
        <v>6.4</v>
      </c>
      <c r="AD35" s="44">
        <v>12</v>
      </c>
      <c r="AE35" s="44">
        <v>-2</v>
      </c>
      <c r="AF35" s="44">
        <v>4</v>
      </c>
      <c r="AG35" s="44">
        <v>11</v>
      </c>
      <c r="AH35" s="44">
        <v>2</v>
      </c>
      <c r="AI35" s="44">
        <v>8</v>
      </c>
      <c r="AJ35" s="44">
        <v>10</v>
      </c>
      <c r="AK35" s="44">
        <v>-4</v>
      </c>
      <c r="AL35" s="45">
        <f t="shared" si="5"/>
        <v>41</v>
      </c>
      <c r="AM35" s="33">
        <f t="shared" si="6"/>
        <v>5.86</v>
      </c>
      <c r="AN35" s="34">
        <f t="shared" si="7"/>
        <v>6.05</v>
      </c>
      <c r="AO35" s="35" t="s">
        <v>86</v>
      </c>
      <c r="AP35" s="36">
        <v>800</v>
      </c>
      <c r="AQ35" s="36">
        <v>2800</v>
      </c>
      <c r="AR35" s="36">
        <f ca="1">I35-AP35+AQ35</f>
        <v>15895.879489999999</v>
      </c>
      <c r="AS35" s="36">
        <v>600</v>
      </c>
      <c r="AT35" s="36">
        <v>700</v>
      </c>
      <c r="AU35" s="36">
        <v>1200</v>
      </c>
      <c r="AV35" s="36">
        <v>9200</v>
      </c>
      <c r="AW35" s="37">
        <f t="shared" ca="1" si="9"/>
        <v>26.493132483333333</v>
      </c>
      <c r="AX35" s="37">
        <f t="shared" ca="1" si="10"/>
        <v>13.246566241666667</v>
      </c>
      <c r="AY35" s="37">
        <f t="shared" ca="1" si="11"/>
        <v>1.7278129880434783</v>
      </c>
      <c r="AZ35" s="38">
        <v>6500</v>
      </c>
      <c r="BA35" s="39">
        <f t="shared" si="12"/>
        <v>7.6086956521739135E-2</v>
      </c>
      <c r="BB35" s="39">
        <f t="shared" si="13"/>
        <v>1.4153846153846155</v>
      </c>
      <c r="BC35" s="40">
        <f t="shared" si="14"/>
        <v>0.1076923076923077</v>
      </c>
      <c r="BD35" t="s">
        <v>196</v>
      </c>
      <c r="BE35" s="40">
        <f t="shared" si="15"/>
        <v>4.0002353139918068E-2</v>
      </c>
      <c r="BF35" t="s">
        <v>197</v>
      </c>
      <c r="BG35" s="40">
        <f t="shared" si="16"/>
        <v>0.15003538696572605</v>
      </c>
      <c r="BH35" s="41">
        <v>14</v>
      </c>
      <c r="BI35" s="41">
        <v>22</v>
      </c>
      <c r="BJ35" s="42">
        <f ca="1">(BD35*BH35+$AP35-$AQ35)/$H35</f>
        <v>45.607908477910961</v>
      </c>
      <c r="BK35" s="42">
        <f ca="1">(BF35*BI35+$AP35-$AQ35)/$H35</f>
        <v>136.23559425384741</v>
      </c>
      <c r="BL35" s="40">
        <f t="shared" ca="1" si="19"/>
        <v>-9.9679465401975476E-2</v>
      </c>
      <c r="BM35" s="40">
        <f t="shared" ca="1" si="20"/>
        <v>0.15294622878986264</v>
      </c>
      <c r="BN35" s="43" t="s">
        <v>77</v>
      </c>
      <c r="BO35" s="43" t="s">
        <v>198</v>
      </c>
      <c r="BP35" s="43" t="s">
        <v>134</v>
      </c>
    </row>
    <row r="36" spans="1:68" ht="15" customHeight="1" x14ac:dyDescent="0.25">
      <c r="A36" s="158" t="e" vm="33">
        <v>#VALUE!</v>
      </c>
      <c r="B36" s="25" t="str">
        <f t="array" aca="1" ref="B36" ca="1">_FV(A36,"Símbolo bursátil",TRUE())</f>
        <v>KSPI</v>
      </c>
      <c r="C36" s="26" t="s">
        <v>85</v>
      </c>
      <c r="D36" s="26" t="s">
        <v>111</v>
      </c>
      <c r="E36" s="27" t="str">
        <f t="array" aca="1" ref="E36" ca="1">_FV(A36,"Abreviatura de intercambio",TRUE())</f>
        <v>XNAS</v>
      </c>
      <c r="F36" s="27" t="str">
        <f t="array" aca="1" ref="F36" ca="1">_FV(A36,"Moneda")</f>
        <v>USD</v>
      </c>
      <c r="G36" s="28">
        <f t="array" aca="1" ref="G36" ca="1">_FV(A36,"Precio")</f>
        <v>85.78</v>
      </c>
      <c r="H36" s="29">
        <f t="array" aca="1" ref="H36" ca="1">_FV(A36,"Acciones en circulación",TRUE())/1000000</f>
        <v>189.33349999999999</v>
      </c>
      <c r="I36" s="30">
        <f t="shared" ca="1" si="25"/>
        <v>16241.027629999999</v>
      </c>
      <c r="J36" s="31">
        <v>1</v>
      </c>
      <c r="K36" s="31">
        <v>7</v>
      </c>
      <c r="L36" s="31">
        <v>2</v>
      </c>
      <c r="M36" s="31">
        <v>1</v>
      </c>
      <c r="N36" s="31">
        <v>-2</v>
      </c>
      <c r="O36" s="31">
        <v>0</v>
      </c>
      <c r="P36" s="31">
        <v>1</v>
      </c>
      <c r="Q36" s="31">
        <v>1</v>
      </c>
      <c r="R36" s="32">
        <f t="shared" ref="R36:R67" si="28">SUM(J36:Q36)</f>
        <v>11</v>
      </c>
      <c r="S36" s="33">
        <f t="shared" ref="S36:S67" si="29">ROUND(R36/17*10,2)</f>
        <v>6.47</v>
      </c>
      <c r="T36" s="31">
        <v>15</v>
      </c>
      <c r="U36" s="31">
        <v>16</v>
      </c>
      <c r="V36" s="31">
        <v>10</v>
      </c>
      <c r="W36" s="31">
        <v>7</v>
      </c>
      <c r="X36" s="31">
        <v>8</v>
      </c>
      <c r="Y36" s="31">
        <v>11</v>
      </c>
      <c r="Z36" s="31">
        <v>10</v>
      </c>
      <c r="AA36" s="31">
        <v>-16</v>
      </c>
      <c r="AB36" s="32">
        <f t="shared" ref="AB36:AB67" si="30">SUM(T36:AA36)</f>
        <v>61</v>
      </c>
      <c r="AC36" s="33">
        <f t="shared" ref="AC36:AC67" si="31">ROUND(AB36/10,2)</f>
        <v>6.1</v>
      </c>
      <c r="AD36" s="31">
        <v>10</v>
      </c>
      <c r="AE36" s="31">
        <v>-6</v>
      </c>
      <c r="AF36" s="31">
        <v>8</v>
      </c>
      <c r="AG36" s="31">
        <v>12</v>
      </c>
      <c r="AH36" s="31">
        <v>3</v>
      </c>
      <c r="AI36" s="31">
        <v>9</v>
      </c>
      <c r="AJ36" s="31">
        <v>11</v>
      </c>
      <c r="AK36" s="31">
        <v>-9</v>
      </c>
      <c r="AL36" s="32">
        <f t="shared" ref="AL36:AL67" si="32">SUM(AD36:AK36)</f>
        <v>38</v>
      </c>
      <c r="AM36" s="33">
        <f t="shared" ref="AM36:AM67" si="33">ROUND(AL36/70*10,2)</f>
        <v>5.43</v>
      </c>
      <c r="AN36" s="34">
        <f t="shared" ref="AN36:AN67" si="34">ROUND((S36+AC36+AM36)/3,2)</f>
        <v>6</v>
      </c>
      <c r="AO36" s="35" t="s">
        <v>199</v>
      </c>
      <c r="AP36" s="36">
        <v>900000</v>
      </c>
      <c r="AQ36" s="36">
        <v>100000</v>
      </c>
      <c r="AR36" s="36">
        <f ca="1">I36*'Framework Notes'!E6-AP36+AQ36</f>
        <v>6738760.2052933993</v>
      </c>
      <c r="AS36" s="36">
        <v>410000</v>
      </c>
      <c r="AT36" s="36">
        <v>420000</v>
      </c>
      <c r="AU36" s="36">
        <v>520000</v>
      </c>
      <c r="AV36" s="36">
        <v>1000000</v>
      </c>
      <c r="AW36" s="37">
        <f t="shared" ref="AW36:AW64" ca="1" si="35">AR36/AS36</f>
        <v>16.436000500715608</v>
      </c>
      <c r="AX36" s="37">
        <f t="shared" ref="AX36:AX64" ca="1" si="36">AR36/AU36</f>
        <v>12.959154240948845</v>
      </c>
      <c r="AY36" s="37">
        <f t="shared" ref="AY36:AY64" ca="1" si="37">AR36/AV36</f>
        <v>6.7387602052933993</v>
      </c>
      <c r="AZ36" s="38">
        <v>1800000</v>
      </c>
      <c r="BA36" s="39">
        <f t="shared" ref="BA36:BA64" si="38">AT36/AV36</f>
        <v>0.42</v>
      </c>
      <c r="BB36" s="39">
        <f t="shared" ref="BB36:BB64" si="39">AV36/AZ36</f>
        <v>0.55555555555555558</v>
      </c>
      <c r="BC36" s="40">
        <f t="shared" ref="BC36:BC67" si="40">BA36*BB36</f>
        <v>0.23333333333333334</v>
      </c>
      <c r="BD36" t="s">
        <v>200</v>
      </c>
      <c r="BE36" s="40">
        <f t="shared" ref="BE36:BE67" si="41">(BD36/AS36)^(1/5)-1</f>
        <v>6.9999922003442849E-2</v>
      </c>
      <c r="BF36" t="s">
        <v>201</v>
      </c>
      <c r="BG36" s="40">
        <f t="shared" ref="BG36:BG67" si="42">(BF36/AS36)^(1/5)-1</f>
        <v>0.19999995295091466</v>
      </c>
      <c r="BH36" s="41">
        <v>8</v>
      </c>
      <c r="BI36" s="41">
        <v>15</v>
      </c>
      <c r="BJ36" s="42">
        <f ca="1">((BD36*BH36+$AP36-$AQ36)/$H36)/'Framework Notes'!E6</f>
        <v>61.44824273820646</v>
      </c>
      <c r="BK36" s="42">
        <f ca="1">((BF36*BI36+$AP36-$AQ36)/$H36)/'Framework Notes'!E6</f>
        <v>183.23032648393414</v>
      </c>
      <c r="BL36" s="40">
        <f t="shared" ref="BL36:BL64" ca="1" si="43">($BJ36/G36)^(1/5)-1</f>
        <v>-6.4541156184673376E-2</v>
      </c>
      <c r="BM36" s="40">
        <f t="shared" ref="BM36:BM64" ca="1" si="44">(BK36/G36)^(1/4)-1</f>
        <v>0.20893465848847259</v>
      </c>
      <c r="BN36" s="43" t="s">
        <v>77</v>
      </c>
      <c r="BO36" s="43" t="s">
        <v>202</v>
      </c>
      <c r="BP36" s="43" t="s">
        <v>203</v>
      </c>
    </row>
    <row r="37" spans="1:68" ht="15" customHeight="1" x14ac:dyDescent="0.25">
      <c r="A37" s="158" t="e" vm="34">
        <v>#VALUE!</v>
      </c>
      <c r="B37" s="25" t="str">
        <f t="array" aca="1" ref="B37" ca="1">_FV(A37,"Símbolo bursátil",TRUE())</f>
        <v>CBAV</v>
      </c>
      <c r="C37" s="26" t="s">
        <v>135</v>
      </c>
      <c r="D37" s="26" t="s">
        <v>73</v>
      </c>
      <c r="E37" s="27" t="str">
        <f t="array" aca="1" ref="E37" ca="1">_FV(A37,"Abreviatura de intercambio",TRUE())</f>
        <v>BMEX</v>
      </c>
      <c r="F37" s="27" t="str">
        <f t="array" aca="1" ref="F37" ca="1">_FV(A37,"Moneda")</f>
        <v>EUR</v>
      </c>
      <c r="G37" s="28">
        <f t="array" aca="1" ref="G37" ca="1">_FV(A37,"Precio")</f>
        <v>52</v>
      </c>
      <c r="H37" s="29">
        <f t="array" aca="1" ref="H37" ca="1">_FV(A37,"Acciones en circulación",TRUE())/1000000</f>
        <v>16.307580000000002</v>
      </c>
      <c r="I37" s="30">
        <f t="shared" ca="1" si="25"/>
        <v>847.99416000000008</v>
      </c>
      <c r="J37" s="44">
        <v>2</v>
      </c>
      <c r="K37" s="44">
        <v>5</v>
      </c>
      <c r="L37" s="44">
        <v>2</v>
      </c>
      <c r="M37" s="44">
        <v>0</v>
      </c>
      <c r="N37" s="44">
        <v>-1</v>
      </c>
      <c r="O37" s="44">
        <v>0</v>
      </c>
      <c r="P37" s="44">
        <v>0</v>
      </c>
      <c r="Q37" s="44">
        <v>1</v>
      </c>
      <c r="R37" s="45">
        <f t="shared" si="28"/>
        <v>9</v>
      </c>
      <c r="S37" s="33">
        <f t="shared" si="29"/>
        <v>5.29</v>
      </c>
      <c r="T37" s="44">
        <v>12</v>
      </c>
      <c r="U37" s="44">
        <v>12</v>
      </c>
      <c r="V37" s="44">
        <v>12</v>
      </c>
      <c r="W37" s="44">
        <v>8</v>
      </c>
      <c r="X37" s="44">
        <v>8</v>
      </c>
      <c r="Y37" s="44">
        <v>10</v>
      </c>
      <c r="Z37" s="44">
        <v>8</v>
      </c>
      <c r="AA37" s="44">
        <v>-9</v>
      </c>
      <c r="AB37" s="45">
        <f t="shared" si="30"/>
        <v>61</v>
      </c>
      <c r="AC37" s="33">
        <f t="shared" si="31"/>
        <v>6.1</v>
      </c>
      <c r="AD37" s="44">
        <v>12</v>
      </c>
      <c r="AE37" s="44">
        <v>-2</v>
      </c>
      <c r="AF37" s="44">
        <v>6</v>
      </c>
      <c r="AG37" s="44">
        <v>11</v>
      </c>
      <c r="AH37" s="44">
        <v>3</v>
      </c>
      <c r="AI37" s="44">
        <v>7</v>
      </c>
      <c r="AJ37" s="44">
        <v>10</v>
      </c>
      <c r="AK37" s="44">
        <v>-4</v>
      </c>
      <c r="AL37" s="45">
        <f t="shared" si="32"/>
        <v>43</v>
      </c>
      <c r="AM37" s="33">
        <f t="shared" si="33"/>
        <v>6.14</v>
      </c>
      <c r="AN37" s="34">
        <f t="shared" si="34"/>
        <v>5.84</v>
      </c>
      <c r="AO37" s="35" t="s">
        <v>86</v>
      </c>
      <c r="AP37" s="36">
        <v>45</v>
      </c>
      <c r="AQ37" s="36">
        <v>70</v>
      </c>
      <c r="AR37" s="36">
        <f ca="1">I37-AP37+AQ37</f>
        <v>872.99416000000008</v>
      </c>
      <c r="AS37" s="36">
        <v>42</v>
      </c>
      <c r="AT37" s="36">
        <v>35</v>
      </c>
      <c r="AU37" s="36">
        <v>62</v>
      </c>
      <c r="AV37" s="36">
        <v>290</v>
      </c>
      <c r="AW37" s="37">
        <f t="shared" ca="1" si="35"/>
        <v>20.785575238095241</v>
      </c>
      <c r="AX37" s="37">
        <f t="shared" ca="1" si="36"/>
        <v>14.080550967741937</v>
      </c>
      <c r="AY37" s="37">
        <f t="shared" ca="1" si="37"/>
        <v>3.0103246896551727</v>
      </c>
      <c r="AZ37" s="38">
        <v>220</v>
      </c>
      <c r="BA37" s="39">
        <f t="shared" si="38"/>
        <v>0.1206896551724138</v>
      </c>
      <c r="BB37" s="39">
        <f t="shared" si="39"/>
        <v>1.3181818181818181</v>
      </c>
      <c r="BC37" s="40">
        <f t="shared" si="40"/>
        <v>0.15909090909090909</v>
      </c>
      <c r="BD37" t="s">
        <v>204</v>
      </c>
      <c r="BE37" s="40">
        <f t="shared" si="41"/>
        <v>5.9223841048812176E-2</v>
      </c>
      <c r="BF37" t="s">
        <v>205</v>
      </c>
      <c r="BG37" s="40">
        <f t="shared" si="42"/>
        <v>0.16978946918768023</v>
      </c>
      <c r="BH37" s="41">
        <v>12</v>
      </c>
      <c r="BI37" s="41">
        <v>16.5</v>
      </c>
      <c r="BJ37" s="42">
        <f ca="1">(BD37*BH37+$AP37-$AQ37)/$H37</f>
        <v>39.674801534010562</v>
      </c>
      <c r="BK37" s="42">
        <f ca="1">(BF37*BI37+$AP37-$AQ37)/$H37</f>
        <v>91.552517295637969</v>
      </c>
      <c r="BL37" s="40">
        <f t="shared" ca="1" si="43"/>
        <v>-5.2667833687554455E-2</v>
      </c>
      <c r="BM37" s="40">
        <f t="shared" ca="1" si="44"/>
        <v>0.15190519414829362</v>
      </c>
      <c r="BN37" s="43" t="s">
        <v>77</v>
      </c>
      <c r="BO37" s="46" t="s">
        <v>114</v>
      </c>
      <c r="BP37" s="43" t="s">
        <v>167</v>
      </c>
    </row>
    <row r="38" spans="1:68" ht="15" customHeight="1" x14ac:dyDescent="0.25">
      <c r="A38" s="158" t="e" vm="35">
        <v>#VALUE!</v>
      </c>
      <c r="B38" s="25" t="str">
        <f t="array" aca="1" ref="B38" ca="1">_FV(A38,"Símbolo bursátil",TRUE())</f>
        <v>NVDA</v>
      </c>
      <c r="C38" s="26" t="s">
        <v>206</v>
      </c>
      <c r="D38" s="26" t="s">
        <v>111</v>
      </c>
      <c r="E38" s="27" t="str">
        <f t="array" aca="1" ref="E38" ca="1">_FV(A38,"Abreviatura de intercambio",TRUE())</f>
        <v>XNAS</v>
      </c>
      <c r="F38" s="27" t="str">
        <f t="array" aca="1" ref="F38" ca="1">_FV(A38,"Moneda")</f>
        <v>USD</v>
      </c>
      <c r="G38" s="28">
        <f t="array" aca="1" ref="G38" ca="1">_FV(A38,"Precio")</f>
        <v>208.27</v>
      </c>
      <c r="H38" s="29">
        <f t="array" aca="1" ref="H38" ca="1">_FV(A38,"Acciones en circulación",TRUE())/1000000</f>
        <v>24300</v>
      </c>
      <c r="I38" s="30">
        <f t="shared" ca="1" si="25"/>
        <v>5060961</v>
      </c>
      <c r="J38" s="31">
        <v>1</v>
      </c>
      <c r="K38" s="31">
        <v>7</v>
      </c>
      <c r="L38" s="31">
        <v>2</v>
      </c>
      <c r="M38" s="31">
        <v>1</v>
      </c>
      <c r="N38" s="31">
        <v>-2</v>
      </c>
      <c r="O38" s="31">
        <v>0</v>
      </c>
      <c r="P38" s="31">
        <v>1</v>
      </c>
      <c r="Q38" s="31">
        <v>0</v>
      </c>
      <c r="R38" s="32">
        <f t="shared" si="28"/>
        <v>10</v>
      </c>
      <c r="S38" s="33">
        <f t="shared" si="29"/>
        <v>5.88</v>
      </c>
      <c r="T38" s="31">
        <v>17</v>
      </c>
      <c r="U38" s="31">
        <v>17</v>
      </c>
      <c r="V38" s="31">
        <v>15</v>
      </c>
      <c r="W38" s="31">
        <v>6</v>
      </c>
      <c r="X38" s="31">
        <v>6</v>
      </c>
      <c r="Y38" s="31">
        <v>12</v>
      </c>
      <c r="Z38" s="31">
        <v>5</v>
      </c>
      <c r="AA38" s="31">
        <v>-20</v>
      </c>
      <c r="AB38" s="32">
        <f t="shared" si="30"/>
        <v>58</v>
      </c>
      <c r="AC38" s="33">
        <f t="shared" si="31"/>
        <v>5.8</v>
      </c>
      <c r="AD38" s="31">
        <v>11</v>
      </c>
      <c r="AE38" s="31">
        <v>-5</v>
      </c>
      <c r="AF38" s="31">
        <v>6</v>
      </c>
      <c r="AG38" s="31">
        <v>11</v>
      </c>
      <c r="AH38" s="31">
        <v>4</v>
      </c>
      <c r="AI38" s="31">
        <v>8</v>
      </c>
      <c r="AJ38" s="31">
        <v>12</v>
      </c>
      <c r="AK38" s="31">
        <v>-8</v>
      </c>
      <c r="AL38" s="32">
        <f t="shared" si="32"/>
        <v>39</v>
      </c>
      <c r="AM38" s="33">
        <f t="shared" si="33"/>
        <v>5.57</v>
      </c>
      <c r="AN38" s="34">
        <f t="shared" si="34"/>
        <v>5.75</v>
      </c>
      <c r="AO38" s="35" t="s">
        <v>74</v>
      </c>
      <c r="AP38" s="36">
        <v>40000</v>
      </c>
      <c r="AQ38" s="36">
        <v>10000</v>
      </c>
      <c r="AR38" s="36">
        <f ca="1">I38-AP38+AQ38</f>
        <v>5030961</v>
      </c>
      <c r="AS38" s="36">
        <v>60000</v>
      </c>
      <c r="AT38" s="36">
        <v>75000</v>
      </c>
      <c r="AU38" s="36">
        <v>90000</v>
      </c>
      <c r="AV38" s="36">
        <v>130000</v>
      </c>
      <c r="AW38" s="37">
        <f t="shared" ca="1" si="35"/>
        <v>83.849350000000001</v>
      </c>
      <c r="AX38" s="37">
        <f t="shared" ca="1" si="36"/>
        <v>55.899566666666665</v>
      </c>
      <c r="AY38" s="37">
        <f t="shared" ca="1" si="37"/>
        <v>38.6997</v>
      </c>
      <c r="AZ38" s="38">
        <v>90000</v>
      </c>
      <c r="BA38" s="39">
        <f t="shared" si="38"/>
        <v>0.57692307692307687</v>
      </c>
      <c r="BB38" s="39">
        <f t="shared" si="39"/>
        <v>1.4444444444444444</v>
      </c>
      <c r="BC38" s="40">
        <f t="shared" si="40"/>
        <v>0.83333333333333326</v>
      </c>
      <c r="BD38" t="s">
        <v>207</v>
      </c>
      <c r="BE38" s="40">
        <f t="shared" si="41"/>
        <v>8.0000772740678627E-2</v>
      </c>
      <c r="BF38" t="s">
        <v>208</v>
      </c>
      <c r="BG38" s="40">
        <f t="shared" si="42"/>
        <v>0.32000015965084327</v>
      </c>
      <c r="BH38" s="41">
        <v>20</v>
      </c>
      <c r="BI38" s="41">
        <v>30</v>
      </c>
      <c r="BJ38" s="42">
        <f ca="1">(BD38*BH38+$AP38-$AQ38)/$H38</f>
        <v>73.794238683127574</v>
      </c>
      <c r="BK38" s="42">
        <f ca="1">(BF38*BI38+$AP38-$AQ38)/$H38</f>
        <v>298.08395061728396</v>
      </c>
      <c r="BL38" s="40">
        <f t="shared" ca="1" si="43"/>
        <v>-0.18739564051502988</v>
      </c>
      <c r="BM38" s="40">
        <f t="shared" ca="1" si="44"/>
        <v>9.3774940710891652E-2</v>
      </c>
      <c r="BN38" s="43" t="s">
        <v>77</v>
      </c>
      <c r="BO38" s="43" t="s">
        <v>209</v>
      </c>
      <c r="BP38" s="43" t="s">
        <v>210</v>
      </c>
    </row>
    <row r="39" spans="1:68" ht="15" customHeight="1" x14ac:dyDescent="0.25">
      <c r="A39" s="158" t="e" vm="36">
        <v>#VALUE!</v>
      </c>
      <c r="B39" s="25" t="str">
        <f t="array" aca="1" ref="B39" ca="1">_FV(A39,"Símbolo bursátil",TRUE())</f>
        <v>COR</v>
      </c>
      <c r="C39" s="26" t="s">
        <v>211</v>
      </c>
      <c r="D39" s="26" t="s">
        <v>96</v>
      </c>
      <c r="E39" s="27" t="str">
        <f t="array" aca="1" ref="E39" ca="1">_FV(A39,"Abreviatura de intercambio",TRUE())</f>
        <v>XLIS</v>
      </c>
      <c r="F39" s="27" t="str">
        <f t="array" aca="1" ref="F39" ca="1">_FV(A39,"Moneda")</f>
        <v>EUR</v>
      </c>
      <c r="G39" s="28">
        <f t="array" aca="1" ref="G39" ca="1">_FV(A39,"Precio")</f>
        <v>6.53</v>
      </c>
      <c r="H39" s="29">
        <f t="array" aca="1" ref="H39" ca="1">_FV(A39,"Acciones en circulación",TRUE())/1000000</f>
        <v>133</v>
      </c>
      <c r="I39" s="30">
        <f t="shared" ca="1" si="25"/>
        <v>868.49</v>
      </c>
      <c r="J39" s="44">
        <v>1</v>
      </c>
      <c r="K39" s="44">
        <v>6</v>
      </c>
      <c r="L39" s="44">
        <v>1</v>
      </c>
      <c r="M39" s="44">
        <v>0</v>
      </c>
      <c r="N39" s="44">
        <v>-1</v>
      </c>
      <c r="O39" s="44">
        <v>0</v>
      </c>
      <c r="P39" s="44">
        <v>0</v>
      </c>
      <c r="Q39" s="44">
        <v>1</v>
      </c>
      <c r="R39" s="45">
        <f t="shared" si="28"/>
        <v>8</v>
      </c>
      <c r="S39" s="33">
        <f t="shared" si="29"/>
        <v>4.71</v>
      </c>
      <c r="T39" s="44">
        <v>11</v>
      </c>
      <c r="U39" s="44">
        <v>14</v>
      </c>
      <c r="V39" s="44">
        <v>8</v>
      </c>
      <c r="W39" s="44">
        <v>8</v>
      </c>
      <c r="X39" s="44">
        <v>7</v>
      </c>
      <c r="Y39" s="44">
        <v>10</v>
      </c>
      <c r="Z39" s="44">
        <v>9</v>
      </c>
      <c r="AA39" s="44">
        <v>-9</v>
      </c>
      <c r="AB39" s="45">
        <f t="shared" si="30"/>
        <v>58</v>
      </c>
      <c r="AC39" s="33">
        <f t="shared" si="31"/>
        <v>5.8</v>
      </c>
      <c r="AD39" s="44">
        <v>12</v>
      </c>
      <c r="AE39" s="44">
        <v>-2</v>
      </c>
      <c r="AF39" s="44">
        <v>5</v>
      </c>
      <c r="AG39" s="44">
        <v>9</v>
      </c>
      <c r="AH39" s="44">
        <v>2</v>
      </c>
      <c r="AI39" s="44">
        <v>8</v>
      </c>
      <c r="AJ39" s="44">
        <v>12</v>
      </c>
      <c r="AK39" s="44">
        <v>-4</v>
      </c>
      <c r="AL39" s="45">
        <f t="shared" si="32"/>
        <v>42</v>
      </c>
      <c r="AM39" s="33">
        <f t="shared" si="33"/>
        <v>6</v>
      </c>
      <c r="AN39" s="34">
        <f t="shared" si="34"/>
        <v>5.5</v>
      </c>
      <c r="AO39" s="35" t="s">
        <v>86</v>
      </c>
      <c r="AP39" s="36">
        <v>40</v>
      </c>
      <c r="AQ39" s="36">
        <v>140</v>
      </c>
      <c r="AR39" s="36">
        <f ca="1">I39-AP39+AQ39</f>
        <v>968.49</v>
      </c>
      <c r="AS39" s="36">
        <v>80</v>
      </c>
      <c r="AT39" s="36">
        <v>100</v>
      </c>
      <c r="AU39" s="36">
        <v>170</v>
      </c>
      <c r="AV39" s="36">
        <v>900</v>
      </c>
      <c r="AW39" s="37">
        <f t="shared" ca="1" si="35"/>
        <v>12.106125</v>
      </c>
      <c r="AX39" s="37">
        <f t="shared" ca="1" si="36"/>
        <v>5.6970000000000001</v>
      </c>
      <c r="AY39" s="37">
        <f t="shared" ca="1" si="37"/>
        <v>1.0761000000000001</v>
      </c>
      <c r="AZ39" s="38">
        <v>750</v>
      </c>
      <c r="BA39" s="39">
        <f t="shared" si="38"/>
        <v>0.1111111111111111</v>
      </c>
      <c r="BB39" s="39">
        <f t="shared" si="39"/>
        <v>1.2</v>
      </c>
      <c r="BC39" s="40">
        <f t="shared" si="40"/>
        <v>0.13333333333333333</v>
      </c>
      <c r="BD39" t="s">
        <v>212</v>
      </c>
      <c r="BE39" s="40">
        <f t="shared" si="41"/>
        <v>0</v>
      </c>
      <c r="BF39" t="s">
        <v>213</v>
      </c>
      <c r="BG39" s="40">
        <f t="shared" si="42"/>
        <v>8.9840705850404712E-2</v>
      </c>
      <c r="BH39" s="41">
        <v>8.5</v>
      </c>
      <c r="BI39" s="41">
        <v>12</v>
      </c>
      <c r="BJ39" s="42">
        <f ca="1">(BD39*BH39+$AP39-$AQ39)/$H39</f>
        <v>4.3609022556390977</v>
      </c>
      <c r="BK39" s="42">
        <f ca="1">(BF39*BI39+$AP39-$AQ39)/$H39</f>
        <v>10.345864661654135</v>
      </c>
      <c r="BL39" s="40">
        <f t="shared" ca="1" si="43"/>
        <v>-7.7571666726720445E-2</v>
      </c>
      <c r="BM39" s="40">
        <f t="shared" ca="1" si="44"/>
        <v>0.12192390814233778</v>
      </c>
      <c r="BN39" s="43" t="s">
        <v>77</v>
      </c>
      <c r="BO39" s="46" t="s">
        <v>214</v>
      </c>
      <c r="BP39" s="43" t="s">
        <v>176</v>
      </c>
    </row>
    <row r="40" spans="1:68" ht="15" customHeight="1" x14ac:dyDescent="0.25">
      <c r="A40" s="158" t="e" vm="37">
        <v>#VALUE!</v>
      </c>
      <c r="B40" s="25" t="str">
        <f t="array" aca="1" ref="B40" ca="1">_FV(A40,"Símbolo bursátil",TRUE())</f>
        <v>TSM</v>
      </c>
      <c r="C40" s="26" t="s">
        <v>206</v>
      </c>
      <c r="D40" s="26" t="s">
        <v>73</v>
      </c>
      <c r="E40" s="27" t="str">
        <f t="array" aca="1" ref="E40" ca="1">_FV(A40,"Abreviatura de intercambio",TRUE())</f>
        <v>XNYS</v>
      </c>
      <c r="F40" s="27" t="str">
        <f t="array" aca="1" ref="F40" ca="1">_FV(A40,"Moneda")</f>
        <v>USD</v>
      </c>
      <c r="G40" s="28">
        <f t="array" aca="1" ref="G40" ca="1">_FV(A40,"Precio")</f>
        <v>402.46</v>
      </c>
      <c r="H40" s="29">
        <f t="array" aca="1" ref="H40" ca="1">_FV(A40,"Acciones en circulación",TRUE())/1000000</f>
        <v>5186.5050000000001</v>
      </c>
      <c r="I40" s="30">
        <f t="shared" ca="1" si="25"/>
        <v>2087360.8022999999</v>
      </c>
      <c r="J40" s="31">
        <v>2</v>
      </c>
      <c r="K40" s="31">
        <v>7</v>
      </c>
      <c r="L40" s="31">
        <v>1</v>
      </c>
      <c r="M40" s="31">
        <v>1</v>
      </c>
      <c r="N40" s="31">
        <v>-2</v>
      </c>
      <c r="O40" s="31">
        <v>0</v>
      </c>
      <c r="P40" s="31">
        <v>1</v>
      </c>
      <c r="Q40" s="31">
        <v>0</v>
      </c>
      <c r="R40" s="32">
        <f t="shared" si="28"/>
        <v>10</v>
      </c>
      <c r="S40" s="33">
        <f t="shared" si="29"/>
        <v>5.88</v>
      </c>
      <c r="T40" s="31">
        <v>15</v>
      </c>
      <c r="U40" s="31">
        <v>18</v>
      </c>
      <c r="V40" s="31">
        <v>13</v>
      </c>
      <c r="W40" s="31">
        <v>6</v>
      </c>
      <c r="X40" s="31">
        <v>7</v>
      </c>
      <c r="Y40" s="31">
        <v>12</v>
      </c>
      <c r="Z40" s="31">
        <v>6</v>
      </c>
      <c r="AA40" s="31">
        <v>-18</v>
      </c>
      <c r="AB40" s="32">
        <f t="shared" si="30"/>
        <v>59</v>
      </c>
      <c r="AC40" s="33">
        <f t="shared" si="31"/>
        <v>5.9</v>
      </c>
      <c r="AD40" s="31">
        <v>11</v>
      </c>
      <c r="AE40" s="31">
        <v>-8</v>
      </c>
      <c r="AF40" s="31">
        <v>2</v>
      </c>
      <c r="AG40" s="31">
        <v>11</v>
      </c>
      <c r="AH40" s="31">
        <v>4</v>
      </c>
      <c r="AI40" s="31">
        <v>7</v>
      </c>
      <c r="AJ40" s="31">
        <v>13</v>
      </c>
      <c r="AK40" s="31">
        <v>-10</v>
      </c>
      <c r="AL40" s="32">
        <f t="shared" si="32"/>
        <v>30</v>
      </c>
      <c r="AM40" s="33">
        <f t="shared" si="33"/>
        <v>4.29</v>
      </c>
      <c r="AN40" s="34">
        <f t="shared" si="34"/>
        <v>5.36</v>
      </c>
      <c r="AO40" s="35" t="s">
        <v>74</v>
      </c>
      <c r="AP40" s="36">
        <v>60000</v>
      </c>
      <c r="AQ40" s="36">
        <v>30000</v>
      </c>
      <c r="AR40" s="36">
        <f ca="1">I40-AP40+AQ40</f>
        <v>2057360.8022999999</v>
      </c>
      <c r="AS40" s="36">
        <v>35000</v>
      </c>
      <c r="AT40" s="36">
        <v>50000</v>
      </c>
      <c r="AU40" s="36">
        <v>75000</v>
      </c>
      <c r="AV40" s="36">
        <v>122400</v>
      </c>
      <c r="AW40" s="37">
        <f t="shared" ca="1" si="35"/>
        <v>58.781737208571428</v>
      </c>
      <c r="AX40" s="37">
        <f t="shared" ca="1" si="36"/>
        <v>27.431477363999999</v>
      </c>
      <c r="AY40" s="37">
        <f t="shared" ca="1" si="37"/>
        <v>16.808503286764704</v>
      </c>
      <c r="AZ40" s="38">
        <v>120000</v>
      </c>
      <c r="BA40" s="39">
        <f t="shared" si="38"/>
        <v>0.40849673202614378</v>
      </c>
      <c r="BB40" s="39">
        <f t="shared" si="39"/>
        <v>1.02</v>
      </c>
      <c r="BC40" s="40">
        <f t="shared" si="40"/>
        <v>0.41666666666666669</v>
      </c>
      <c r="BD40" t="s">
        <v>215</v>
      </c>
      <c r="BE40" s="40">
        <f t="shared" si="41"/>
        <v>7.9997972620447833E-2</v>
      </c>
      <c r="BF40" t="s">
        <v>216</v>
      </c>
      <c r="BG40" s="40">
        <f t="shared" si="42"/>
        <v>0.22000055273897212</v>
      </c>
      <c r="BH40" s="41">
        <v>14</v>
      </c>
      <c r="BI40" s="41">
        <v>22</v>
      </c>
      <c r="BJ40" s="42">
        <f ca="1">(BD40*BH40+$AP40-$AQ40)/$H40</f>
        <v>144.5991086483094</v>
      </c>
      <c r="BK40" s="42">
        <f ca="1">(BF40*BI40+$AP40-$AQ40)/$H40</f>
        <v>407.03518072382076</v>
      </c>
      <c r="BL40" s="40">
        <f t="shared" ca="1" si="43"/>
        <v>-0.1851295321434081</v>
      </c>
      <c r="BM40" s="40">
        <f t="shared" ca="1" si="44"/>
        <v>2.8299737853576534E-3</v>
      </c>
      <c r="BN40" s="43" t="s">
        <v>77</v>
      </c>
      <c r="BO40" s="43" t="s">
        <v>217</v>
      </c>
      <c r="BP40" s="43" t="s">
        <v>190</v>
      </c>
    </row>
    <row r="41" spans="1:68" ht="15" customHeight="1" x14ac:dyDescent="0.25">
      <c r="A41" s="158" t="e" vm="38">
        <v>#VALUE!</v>
      </c>
      <c r="B41" s="25" t="str">
        <f t="array" aca="1" ref="B41" ca="1">_FV(A41,"Símbolo bursátil",TRUE())</f>
        <v>SPOT</v>
      </c>
      <c r="C41" s="26" t="s">
        <v>127</v>
      </c>
      <c r="D41" s="26" t="s">
        <v>111</v>
      </c>
      <c r="E41" s="27" t="str">
        <f t="array" aca="1" ref="E41" ca="1">_FV(A41,"Abreviatura de intercambio",TRUE())</f>
        <v>XNYS</v>
      </c>
      <c r="F41" s="27" t="str">
        <f t="array" aca="1" ref="F41" ca="1">_FV(A41,"Moneda")</f>
        <v>USD</v>
      </c>
      <c r="G41" s="28">
        <f t="array" aca="1" ref="G41" ca="1">_FV(A41,"Precio")</f>
        <v>518</v>
      </c>
      <c r="H41" s="29">
        <f t="array" aca="1" ref="H41" ca="1">_FV(A41,"Acciones en circulación",TRUE())/1000000</f>
        <v>205.88229999999999</v>
      </c>
      <c r="I41" s="30">
        <f t="shared" ca="1" si="25"/>
        <v>106647.03139999999</v>
      </c>
      <c r="J41" s="44">
        <v>1</v>
      </c>
      <c r="K41" s="44">
        <v>4</v>
      </c>
      <c r="L41" s="44">
        <v>2</v>
      </c>
      <c r="M41" s="44">
        <v>0</v>
      </c>
      <c r="N41" s="44">
        <v>0</v>
      </c>
      <c r="O41" s="44">
        <v>0</v>
      </c>
      <c r="P41" s="44">
        <v>1</v>
      </c>
      <c r="Q41" s="44">
        <v>1</v>
      </c>
      <c r="R41" s="45">
        <f t="shared" si="28"/>
        <v>9</v>
      </c>
      <c r="S41" s="33">
        <f t="shared" si="29"/>
        <v>5.29</v>
      </c>
      <c r="T41" s="44">
        <v>12</v>
      </c>
      <c r="U41" s="44">
        <v>11</v>
      </c>
      <c r="V41" s="44">
        <v>12</v>
      </c>
      <c r="W41" s="44">
        <v>9</v>
      </c>
      <c r="X41" s="44">
        <v>7</v>
      </c>
      <c r="Y41" s="44">
        <v>11</v>
      </c>
      <c r="Z41" s="44">
        <v>8</v>
      </c>
      <c r="AA41" s="44">
        <v>-12</v>
      </c>
      <c r="AB41" s="45">
        <f t="shared" si="30"/>
        <v>58</v>
      </c>
      <c r="AC41" s="33">
        <f t="shared" si="31"/>
        <v>5.8</v>
      </c>
      <c r="AD41" s="44">
        <v>10</v>
      </c>
      <c r="AE41" s="44">
        <v>-3</v>
      </c>
      <c r="AF41" s="44">
        <v>7</v>
      </c>
      <c r="AG41" s="44">
        <v>9</v>
      </c>
      <c r="AH41" s="44">
        <v>2</v>
      </c>
      <c r="AI41" s="44">
        <v>8</v>
      </c>
      <c r="AJ41" s="44">
        <v>9</v>
      </c>
      <c r="AK41" s="44">
        <v>-5</v>
      </c>
      <c r="AL41" s="45">
        <f t="shared" si="32"/>
        <v>37</v>
      </c>
      <c r="AM41" s="33">
        <f t="shared" si="33"/>
        <v>5.29</v>
      </c>
      <c r="AN41" s="34">
        <f t="shared" si="34"/>
        <v>5.46</v>
      </c>
      <c r="AO41" s="35" t="s">
        <v>86</v>
      </c>
      <c r="AP41" s="36">
        <v>5000</v>
      </c>
      <c r="AQ41" s="36">
        <v>10000</v>
      </c>
      <c r="AR41" s="36">
        <f ca="1">I41*'Framework Notes'!E8-AP41+AQ41</f>
        <v>95991.24719047999</v>
      </c>
      <c r="AS41" s="36">
        <v>4000</v>
      </c>
      <c r="AT41" s="36">
        <v>4500</v>
      </c>
      <c r="AU41" s="36">
        <v>7500</v>
      </c>
      <c r="AV41" s="36">
        <v>30000</v>
      </c>
      <c r="AW41" s="37">
        <f t="shared" ca="1" si="35"/>
        <v>23.997811797619999</v>
      </c>
      <c r="AX41" s="37">
        <f t="shared" ca="1" si="36"/>
        <v>12.798832958730666</v>
      </c>
      <c r="AY41" s="37">
        <f t="shared" ca="1" si="37"/>
        <v>3.1997082396826664</v>
      </c>
      <c r="AZ41" s="38">
        <v>25000</v>
      </c>
      <c r="BA41" s="39">
        <f t="shared" si="38"/>
        <v>0.15</v>
      </c>
      <c r="BB41" s="39">
        <f t="shared" si="39"/>
        <v>1.2</v>
      </c>
      <c r="BC41" s="40">
        <f t="shared" si="40"/>
        <v>0.18</v>
      </c>
      <c r="BD41" t="s">
        <v>218</v>
      </c>
      <c r="BE41" s="40">
        <f t="shared" si="41"/>
        <v>2.9995722023716587E-2</v>
      </c>
      <c r="BF41" t="s">
        <v>219</v>
      </c>
      <c r="BG41" s="40">
        <f t="shared" si="42"/>
        <v>9.9998633969696549E-2</v>
      </c>
      <c r="BH41" s="41">
        <v>18</v>
      </c>
      <c r="BI41" s="41">
        <v>25</v>
      </c>
      <c r="BJ41" s="42">
        <f ca="1">((BD41*BH41+$AP41-$AQ41)/$H41)/'Framework Notes'!E8</f>
        <v>446.69558067396775</v>
      </c>
      <c r="BK41" s="42">
        <f ca="1">((BF41*BI41+$AP41-$AQ41)/$H41)/'Framework Notes'!E8</f>
        <v>888.37006301038252</v>
      </c>
      <c r="BL41" s="40">
        <f t="shared" ca="1" si="43"/>
        <v>-2.9185220734511796E-2</v>
      </c>
      <c r="BM41" s="40">
        <f t="shared" ca="1" si="44"/>
        <v>0.14436887925785635</v>
      </c>
      <c r="BN41" s="43" t="s">
        <v>77</v>
      </c>
      <c r="BO41" s="43" t="s">
        <v>179</v>
      </c>
      <c r="BP41" s="43" t="s">
        <v>143</v>
      </c>
    </row>
    <row r="42" spans="1:68" ht="15" customHeight="1" x14ac:dyDescent="0.25">
      <c r="A42" s="158" t="e" vm="39">
        <v>#VALUE!</v>
      </c>
      <c r="B42" s="25" t="str">
        <f t="array" aca="1" ref="B42" ca="1">_FV(A42,"Símbolo bursátil",TRUE())</f>
        <v>PRY</v>
      </c>
      <c r="C42" s="26" t="s">
        <v>123</v>
      </c>
      <c r="D42" s="26" t="s">
        <v>73</v>
      </c>
      <c r="E42" s="27" t="str">
        <f t="array" aca="1" ref="E42" ca="1">_FV(A42,"Abreviatura de intercambio",TRUE())</f>
        <v>XMIL</v>
      </c>
      <c r="F42" s="27" t="str">
        <f t="array" aca="1" ref="F42" ca="1">_FV(A42,"Moneda")</f>
        <v>EUR</v>
      </c>
      <c r="G42" s="28">
        <f t="array" aca="1" ref="G42" ca="1">_FV(A42,"Precio")</f>
        <v>127.4</v>
      </c>
      <c r="H42" s="29">
        <f t="array" aca="1" ref="H42" ca="1">_FV(A42,"Acciones en circulación",TRUE())/1000000</f>
        <v>296.40379999999999</v>
      </c>
      <c r="I42" s="30">
        <f t="shared" ca="1" si="25"/>
        <v>37761.844120000002</v>
      </c>
      <c r="J42" s="31">
        <v>1</v>
      </c>
      <c r="K42" s="31">
        <v>5</v>
      </c>
      <c r="L42" s="31">
        <v>1</v>
      </c>
      <c r="M42" s="31">
        <v>0</v>
      </c>
      <c r="N42" s="31">
        <v>0</v>
      </c>
      <c r="O42" s="31">
        <v>0</v>
      </c>
      <c r="P42" s="31">
        <v>0</v>
      </c>
      <c r="Q42" s="31">
        <v>0</v>
      </c>
      <c r="R42" s="32">
        <f t="shared" si="28"/>
        <v>7</v>
      </c>
      <c r="S42" s="33">
        <f t="shared" si="29"/>
        <v>4.12</v>
      </c>
      <c r="T42" s="31">
        <v>12</v>
      </c>
      <c r="U42" s="31">
        <v>13</v>
      </c>
      <c r="V42" s="31">
        <v>13</v>
      </c>
      <c r="W42" s="31">
        <v>9</v>
      </c>
      <c r="X42" s="31">
        <v>7</v>
      </c>
      <c r="Y42" s="31">
        <v>10</v>
      </c>
      <c r="Z42" s="31">
        <v>4</v>
      </c>
      <c r="AA42" s="31">
        <v>-9</v>
      </c>
      <c r="AB42" s="32">
        <f t="shared" si="30"/>
        <v>59</v>
      </c>
      <c r="AC42" s="33">
        <f t="shared" si="31"/>
        <v>5.9</v>
      </c>
      <c r="AD42" s="31">
        <v>12</v>
      </c>
      <c r="AE42" s="31">
        <v>-1</v>
      </c>
      <c r="AF42" s="31">
        <v>4</v>
      </c>
      <c r="AG42" s="31">
        <v>10</v>
      </c>
      <c r="AH42" s="31">
        <v>2</v>
      </c>
      <c r="AI42" s="31">
        <v>7</v>
      </c>
      <c r="AJ42" s="31">
        <v>10</v>
      </c>
      <c r="AK42" s="31">
        <v>-4</v>
      </c>
      <c r="AL42" s="32">
        <f t="shared" si="32"/>
        <v>40</v>
      </c>
      <c r="AM42" s="33">
        <f t="shared" si="33"/>
        <v>5.71</v>
      </c>
      <c r="AN42" s="34">
        <f t="shared" si="34"/>
        <v>5.24</v>
      </c>
      <c r="AO42" s="35" t="s">
        <v>86</v>
      </c>
      <c r="AP42" s="36">
        <v>1800</v>
      </c>
      <c r="AQ42" s="36">
        <v>6000</v>
      </c>
      <c r="AR42" s="36">
        <f t="shared" ref="AR42:AR48" ca="1" si="45">I42-AP42+AQ42</f>
        <v>41961.844120000002</v>
      </c>
      <c r="AS42" s="36">
        <v>900</v>
      </c>
      <c r="AT42" s="36">
        <v>1050</v>
      </c>
      <c r="AU42" s="36">
        <v>1950</v>
      </c>
      <c r="AV42" s="36">
        <v>17500</v>
      </c>
      <c r="AW42" s="37">
        <f t="shared" ca="1" si="35"/>
        <v>46.624271244444444</v>
      </c>
      <c r="AX42" s="37">
        <f t="shared" ca="1" si="36"/>
        <v>21.518894420512822</v>
      </c>
      <c r="AY42" s="37">
        <f t="shared" ca="1" si="37"/>
        <v>2.397819664</v>
      </c>
      <c r="AZ42" s="38">
        <v>9500</v>
      </c>
      <c r="BA42" s="39">
        <f t="shared" si="38"/>
        <v>0.06</v>
      </c>
      <c r="BB42" s="39">
        <f t="shared" si="39"/>
        <v>1.8421052631578947</v>
      </c>
      <c r="BC42" s="40">
        <f t="shared" si="40"/>
        <v>0.11052631578947368</v>
      </c>
      <c r="BD42" t="s">
        <v>220</v>
      </c>
      <c r="BE42" s="40">
        <f t="shared" si="41"/>
        <v>5.9929050622556934E-2</v>
      </c>
      <c r="BF42" t="s">
        <v>221</v>
      </c>
      <c r="BG42" s="40">
        <f t="shared" si="42"/>
        <v>0.18000206531229179</v>
      </c>
      <c r="BH42" s="41">
        <v>18</v>
      </c>
      <c r="BI42" s="41">
        <v>22.5</v>
      </c>
      <c r="BJ42" s="42">
        <f t="shared" ref="BJ42:BJ48" ca="1" si="46">(BD42*BH42+$AP42-$AQ42)/$H42</f>
        <v>58.946612695248845</v>
      </c>
      <c r="BK42" s="42">
        <f t="shared" ref="BK42:BK48" ca="1" si="47">(BF42*BI42+$AP42-$AQ42)/$H42</f>
        <v>142.12874463822664</v>
      </c>
      <c r="BL42" s="40">
        <f t="shared" ca="1" si="43"/>
        <v>-0.14284791640343586</v>
      </c>
      <c r="BM42" s="40">
        <f t="shared" ca="1" si="44"/>
        <v>2.7727844235728938E-2</v>
      </c>
      <c r="BN42" s="43" t="s">
        <v>77</v>
      </c>
      <c r="BO42" s="43" t="s">
        <v>222</v>
      </c>
      <c r="BP42" s="43" t="s">
        <v>223</v>
      </c>
    </row>
    <row r="43" spans="1:68" ht="15" customHeight="1" x14ac:dyDescent="0.25">
      <c r="A43" s="158" t="e" vm="40">
        <v>#VALUE!</v>
      </c>
      <c r="B43" s="25" t="str">
        <f t="array" aca="1" ref="B43" ca="1">_FV(A43,"Símbolo bursátil",TRUE())</f>
        <v>JFN</v>
      </c>
      <c r="C43" s="26" t="s">
        <v>191</v>
      </c>
      <c r="D43" s="26" t="s">
        <v>96</v>
      </c>
      <c r="E43" s="27" t="str">
        <f t="array" aca="1" ref="E43" ca="1">_FV(A43,"Abreviatura de intercambio",TRUE())</f>
        <v>XSWX</v>
      </c>
      <c r="F43" s="27" t="str">
        <f t="array" aca="1" ref="F43" ca="1">_FV(A43,"Moneda")</f>
        <v>CHF</v>
      </c>
      <c r="G43" s="28">
        <f t="array" aca="1" ref="G43" ca="1">_FV(A43,"Precio")</f>
        <v>280</v>
      </c>
      <c r="H43" s="29">
        <f t="array" aca="1" ref="H43" ca="1">_FV(A43,"Acciones en circulación",TRUE())/1000000</f>
        <v>5.835</v>
      </c>
      <c r="I43" s="30">
        <f t="shared" ca="1" si="25"/>
        <v>1633.8</v>
      </c>
      <c r="J43" s="44">
        <v>0</v>
      </c>
      <c r="K43" s="44">
        <v>7</v>
      </c>
      <c r="L43" s="44">
        <v>0</v>
      </c>
      <c r="M43" s="44">
        <v>1</v>
      </c>
      <c r="N43" s="44">
        <v>-1</v>
      </c>
      <c r="O43" s="44">
        <v>0</v>
      </c>
      <c r="P43" s="44">
        <v>0</v>
      </c>
      <c r="Q43" s="44">
        <v>0</v>
      </c>
      <c r="R43" s="45">
        <f t="shared" si="28"/>
        <v>7</v>
      </c>
      <c r="S43" s="33">
        <f t="shared" si="29"/>
        <v>4.12</v>
      </c>
      <c r="T43" s="44">
        <v>14</v>
      </c>
      <c r="U43" s="44">
        <v>17</v>
      </c>
      <c r="V43" s="44">
        <v>6</v>
      </c>
      <c r="W43" s="44">
        <v>7</v>
      </c>
      <c r="X43" s="44">
        <v>7</v>
      </c>
      <c r="Y43" s="44">
        <v>10</v>
      </c>
      <c r="Z43" s="44">
        <v>4</v>
      </c>
      <c r="AA43" s="44">
        <v>-9</v>
      </c>
      <c r="AB43" s="45">
        <f t="shared" si="30"/>
        <v>56</v>
      </c>
      <c r="AC43" s="33">
        <f t="shared" si="31"/>
        <v>5.6</v>
      </c>
      <c r="AD43" s="44">
        <v>13</v>
      </c>
      <c r="AE43" s="44">
        <v>-2</v>
      </c>
      <c r="AF43" s="44">
        <v>3</v>
      </c>
      <c r="AG43" s="44">
        <v>10</v>
      </c>
      <c r="AH43" s="44">
        <v>3</v>
      </c>
      <c r="AI43" s="44">
        <v>6</v>
      </c>
      <c r="AJ43" s="44">
        <v>13</v>
      </c>
      <c r="AK43" s="44">
        <v>-4</v>
      </c>
      <c r="AL43" s="45">
        <f t="shared" si="32"/>
        <v>42</v>
      </c>
      <c r="AM43" s="33">
        <f t="shared" si="33"/>
        <v>6</v>
      </c>
      <c r="AN43" s="34">
        <f t="shared" si="34"/>
        <v>5.24</v>
      </c>
      <c r="AO43" s="35" t="s">
        <v>168</v>
      </c>
      <c r="AP43" s="36">
        <v>75</v>
      </c>
      <c r="AQ43" s="36">
        <v>0</v>
      </c>
      <c r="AR43" s="36">
        <f t="shared" ca="1" si="45"/>
        <v>1558.8</v>
      </c>
      <c r="AS43" s="36">
        <v>50</v>
      </c>
      <c r="AT43" s="36">
        <v>35</v>
      </c>
      <c r="AU43" s="36">
        <v>85</v>
      </c>
      <c r="AV43" s="36">
        <v>225</v>
      </c>
      <c r="AW43" s="37">
        <f t="shared" ca="1" si="35"/>
        <v>31.175999999999998</v>
      </c>
      <c r="AX43" s="37">
        <f t="shared" ca="1" si="36"/>
        <v>18.338823529411766</v>
      </c>
      <c r="AY43" s="37">
        <f t="shared" ca="1" si="37"/>
        <v>6.9279999999999999</v>
      </c>
      <c r="AZ43" s="38">
        <v>450</v>
      </c>
      <c r="BA43" s="39">
        <f t="shared" si="38"/>
        <v>0.15555555555555556</v>
      </c>
      <c r="BB43" s="39">
        <f t="shared" si="39"/>
        <v>0.5</v>
      </c>
      <c r="BC43" s="40">
        <f t="shared" si="40"/>
        <v>7.7777777777777779E-2</v>
      </c>
      <c r="BD43" t="s">
        <v>224</v>
      </c>
      <c r="BE43" s="40">
        <f t="shared" si="41"/>
        <v>1.9244876491456564E-2</v>
      </c>
      <c r="BF43" t="s">
        <v>225</v>
      </c>
      <c r="BG43" s="40">
        <f t="shared" si="42"/>
        <v>9.0194895299878342E-2</v>
      </c>
      <c r="BH43" s="41">
        <v>15</v>
      </c>
      <c r="BI43" s="41">
        <v>22</v>
      </c>
      <c r="BJ43" s="42">
        <f t="shared" ca="1" si="46"/>
        <v>154.24164524421593</v>
      </c>
      <c r="BK43" s="42">
        <f t="shared" ca="1" si="47"/>
        <v>303.17052270779777</v>
      </c>
      <c r="BL43" s="40">
        <f t="shared" ca="1" si="43"/>
        <v>-0.11241751500928687</v>
      </c>
      <c r="BM43" s="40">
        <f t="shared" ca="1" si="44"/>
        <v>2.0075308377098366E-2</v>
      </c>
      <c r="BN43" s="43" t="s">
        <v>77</v>
      </c>
      <c r="BO43" s="43" t="s">
        <v>226</v>
      </c>
      <c r="BP43" s="43" t="s">
        <v>227</v>
      </c>
    </row>
    <row r="44" spans="1:68" ht="15" customHeight="1" x14ac:dyDescent="0.25">
      <c r="A44" s="158" t="e" vm="41">
        <v>#VALUE!</v>
      </c>
      <c r="B44" s="25" t="str">
        <f t="array" aca="1" ref="B44" ca="1">_FV(A44,"Símbolo bursátil",TRUE())</f>
        <v>CPR</v>
      </c>
      <c r="C44" s="26" t="s">
        <v>211</v>
      </c>
      <c r="D44" s="26" t="s">
        <v>96</v>
      </c>
      <c r="E44" s="27" t="str">
        <f t="array" aca="1" ref="E44" ca="1">_FV(A44,"Abreviatura de intercambio",TRUE())</f>
        <v>XMIL</v>
      </c>
      <c r="F44" s="27" t="str">
        <f t="array" aca="1" ref="F44" ca="1">_FV(A44,"Moneda")</f>
        <v>EUR</v>
      </c>
      <c r="G44" s="28">
        <f t="array" aca="1" ref="G44" ca="1">_FV(A44,"Precio")</f>
        <v>6.2279999999999998</v>
      </c>
      <c r="H44" s="29">
        <f t="array" aca="1" ref="H44" ca="1">_FV(A44,"Acciones en circulación",TRUE())/1000000</f>
        <v>1231.268</v>
      </c>
      <c r="I44" s="30">
        <f t="shared" ca="1" si="25"/>
        <v>7668.3371040000002</v>
      </c>
      <c r="J44" s="31">
        <v>0</v>
      </c>
      <c r="K44" s="31">
        <v>6</v>
      </c>
      <c r="L44" s="31">
        <v>1</v>
      </c>
      <c r="M44" s="31">
        <v>-1</v>
      </c>
      <c r="N44" s="31">
        <v>0</v>
      </c>
      <c r="O44" s="31">
        <v>0</v>
      </c>
      <c r="P44" s="31">
        <v>0</v>
      </c>
      <c r="Q44" s="31">
        <v>1</v>
      </c>
      <c r="R44" s="32">
        <f t="shared" si="28"/>
        <v>7</v>
      </c>
      <c r="S44" s="33">
        <f t="shared" si="29"/>
        <v>4.12</v>
      </c>
      <c r="T44" s="31">
        <v>9</v>
      </c>
      <c r="U44" s="31">
        <v>15</v>
      </c>
      <c r="V44" s="31">
        <v>9</v>
      </c>
      <c r="W44" s="31">
        <v>8</v>
      </c>
      <c r="X44" s="31">
        <v>8</v>
      </c>
      <c r="Y44" s="31">
        <v>10</v>
      </c>
      <c r="Z44" s="31">
        <v>9</v>
      </c>
      <c r="AA44" s="31">
        <v>-11</v>
      </c>
      <c r="AB44" s="32">
        <f t="shared" si="30"/>
        <v>57</v>
      </c>
      <c r="AC44" s="33">
        <f t="shared" si="31"/>
        <v>5.7</v>
      </c>
      <c r="AD44" s="31">
        <v>13</v>
      </c>
      <c r="AE44" s="31">
        <v>-2</v>
      </c>
      <c r="AF44" s="31">
        <v>6</v>
      </c>
      <c r="AG44" s="31">
        <v>9</v>
      </c>
      <c r="AH44" s="31">
        <v>0</v>
      </c>
      <c r="AI44" s="31">
        <v>8</v>
      </c>
      <c r="AJ44" s="31">
        <v>12</v>
      </c>
      <c r="AK44" s="31">
        <v>-5</v>
      </c>
      <c r="AL44" s="32">
        <f t="shared" si="32"/>
        <v>41</v>
      </c>
      <c r="AM44" s="33">
        <f t="shared" si="33"/>
        <v>5.86</v>
      </c>
      <c r="AN44" s="34">
        <f t="shared" si="34"/>
        <v>5.23</v>
      </c>
      <c r="AO44" s="35" t="s">
        <v>86</v>
      </c>
      <c r="AP44" s="36">
        <v>800</v>
      </c>
      <c r="AQ44" s="36">
        <v>4200</v>
      </c>
      <c r="AR44" s="36">
        <f t="shared" ca="1" si="45"/>
        <v>11068.337104</v>
      </c>
      <c r="AS44" s="36">
        <v>300</v>
      </c>
      <c r="AT44" s="36">
        <v>420</v>
      </c>
      <c r="AU44" s="36">
        <v>700</v>
      </c>
      <c r="AV44" s="36">
        <v>3100</v>
      </c>
      <c r="AW44" s="37">
        <f t="shared" ca="1" si="35"/>
        <v>36.894457013333337</v>
      </c>
      <c r="AX44" s="37">
        <f t="shared" ca="1" si="36"/>
        <v>15.811910148571428</v>
      </c>
      <c r="AY44" s="37">
        <f t="shared" ca="1" si="37"/>
        <v>3.570431323870968</v>
      </c>
      <c r="AZ44" s="38">
        <v>5500</v>
      </c>
      <c r="BA44" s="39">
        <f t="shared" si="38"/>
        <v>0.13548387096774195</v>
      </c>
      <c r="BB44" s="39">
        <f t="shared" si="39"/>
        <v>0.5636363636363636</v>
      </c>
      <c r="BC44" s="40">
        <f t="shared" si="40"/>
        <v>7.636363636363637E-2</v>
      </c>
      <c r="BD44" t="s">
        <v>228</v>
      </c>
      <c r="BE44" s="40">
        <f t="shared" si="41"/>
        <v>3.0128962818398941E-2</v>
      </c>
      <c r="BF44" t="s">
        <v>229</v>
      </c>
      <c r="BG44" s="40">
        <f t="shared" si="42"/>
        <v>0.11021183440909099</v>
      </c>
      <c r="BH44" s="41">
        <v>15</v>
      </c>
      <c r="BI44" s="41">
        <v>20</v>
      </c>
      <c r="BJ44" s="42">
        <f t="shared" ca="1" si="46"/>
        <v>1.4781509793156322</v>
      </c>
      <c r="BK44" s="42">
        <f t="shared" ca="1" si="47"/>
        <v>5.4577882313192578</v>
      </c>
      <c r="BL44" s="40">
        <f t="shared" ca="1" si="43"/>
        <v>-0.2499779381721412</v>
      </c>
      <c r="BM44" s="40">
        <f t="shared" ca="1" si="44"/>
        <v>-3.2464254038841012E-2</v>
      </c>
      <c r="BN44" s="43" t="s">
        <v>77</v>
      </c>
      <c r="BO44" s="43" t="s">
        <v>230</v>
      </c>
      <c r="BP44" s="43" t="s">
        <v>109</v>
      </c>
    </row>
    <row r="45" spans="1:68" ht="15" customHeight="1" x14ac:dyDescent="0.25">
      <c r="A45" s="158" t="e" vm="42">
        <v>#VALUE!</v>
      </c>
      <c r="B45" s="25" t="str">
        <f t="array" aca="1" ref="B45" ca="1">_FV(A45,"Símbolo bursátil",TRUE())</f>
        <v>SIKA</v>
      </c>
      <c r="C45" s="26" t="s">
        <v>195</v>
      </c>
      <c r="D45" s="26" t="s">
        <v>73</v>
      </c>
      <c r="E45" s="27" t="str">
        <f t="array" aca="1" ref="E45" ca="1">_FV(A45,"Abreviatura de intercambio",TRUE())</f>
        <v>XSWX</v>
      </c>
      <c r="F45" s="27" t="str">
        <f t="array" aca="1" ref="F45" ca="1">_FV(A45,"Moneda")</f>
        <v>CHF</v>
      </c>
      <c r="G45" s="28">
        <f t="array" aca="1" ref="G45" ca="1">_FV(A45,"Precio")</f>
        <v>144.65</v>
      </c>
      <c r="H45" s="29">
        <f t="array" aca="1" ref="H45" ca="1">_FV(A45,"Acciones en circulación",TRUE())/1000000</f>
        <v>160.47929999999999</v>
      </c>
      <c r="I45" s="30">
        <f t="shared" ca="1" si="25"/>
        <v>23213.330744999999</v>
      </c>
      <c r="J45" s="44">
        <v>1</v>
      </c>
      <c r="K45" s="44">
        <v>5</v>
      </c>
      <c r="L45" s="44">
        <v>1</v>
      </c>
      <c r="M45" s="44">
        <v>0</v>
      </c>
      <c r="N45" s="44">
        <v>0</v>
      </c>
      <c r="O45" s="44">
        <v>0</v>
      </c>
      <c r="P45" s="44">
        <v>0</v>
      </c>
      <c r="Q45" s="44">
        <v>0</v>
      </c>
      <c r="R45" s="45">
        <f t="shared" si="28"/>
        <v>7</v>
      </c>
      <c r="S45" s="33">
        <f t="shared" si="29"/>
        <v>4.12</v>
      </c>
      <c r="T45" s="44">
        <v>11</v>
      </c>
      <c r="U45" s="44">
        <v>13</v>
      </c>
      <c r="V45" s="44">
        <v>11</v>
      </c>
      <c r="W45" s="44">
        <v>9</v>
      </c>
      <c r="X45" s="44">
        <v>7</v>
      </c>
      <c r="Y45" s="44">
        <v>10</v>
      </c>
      <c r="Z45" s="44">
        <v>5</v>
      </c>
      <c r="AA45" s="44">
        <v>-9</v>
      </c>
      <c r="AB45" s="45">
        <f t="shared" si="30"/>
        <v>57</v>
      </c>
      <c r="AC45" s="33">
        <f t="shared" si="31"/>
        <v>5.7</v>
      </c>
      <c r="AD45" s="44">
        <v>12</v>
      </c>
      <c r="AE45" s="44">
        <v>-2</v>
      </c>
      <c r="AF45" s="44">
        <v>5</v>
      </c>
      <c r="AG45" s="44">
        <v>10</v>
      </c>
      <c r="AH45" s="44">
        <v>1</v>
      </c>
      <c r="AI45" s="44">
        <v>7</v>
      </c>
      <c r="AJ45" s="44">
        <v>11</v>
      </c>
      <c r="AK45" s="44">
        <v>-5</v>
      </c>
      <c r="AL45" s="45">
        <f t="shared" si="32"/>
        <v>39</v>
      </c>
      <c r="AM45" s="33">
        <f t="shared" si="33"/>
        <v>5.57</v>
      </c>
      <c r="AN45" s="34">
        <f t="shared" si="34"/>
        <v>5.13</v>
      </c>
      <c r="AO45" s="35" t="s">
        <v>168</v>
      </c>
      <c r="AP45" s="36">
        <v>1200</v>
      </c>
      <c r="AQ45" s="36">
        <v>4700</v>
      </c>
      <c r="AR45" s="36">
        <f t="shared" ca="1" si="45"/>
        <v>26713.330744999999</v>
      </c>
      <c r="AS45" s="36">
        <v>1100</v>
      </c>
      <c r="AT45" s="36">
        <v>1250</v>
      </c>
      <c r="AU45" s="36">
        <v>2100</v>
      </c>
      <c r="AV45" s="36">
        <v>11760</v>
      </c>
      <c r="AW45" s="37">
        <f t="shared" ca="1" si="35"/>
        <v>24.284846131818181</v>
      </c>
      <c r="AX45" s="37">
        <f t="shared" ca="1" si="36"/>
        <v>12.720633688095237</v>
      </c>
      <c r="AY45" s="37">
        <f t="shared" ca="1" si="37"/>
        <v>2.2715417300170069</v>
      </c>
      <c r="AZ45" s="38">
        <v>12500</v>
      </c>
      <c r="BA45" s="39">
        <f t="shared" si="38"/>
        <v>0.10629251700680271</v>
      </c>
      <c r="BB45" s="39">
        <f t="shared" si="39"/>
        <v>0.94079999999999997</v>
      </c>
      <c r="BC45" s="40">
        <f t="shared" si="40"/>
        <v>9.9999999999999992E-2</v>
      </c>
      <c r="BD45" t="s">
        <v>231</v>
      </c>
      <c r="BE45" s="40">
        <f t="shared" si="41"/>
        <v>2.9967449959592329E-2</v>
      </c>
      <c r="BF45" t="s">
        <v>232</v>
      </c>
      <c r="BG45" s="40">
        <f t="shared" si="42"/>
        <v>0.11005221800763754</v>
      </c>
      <c r="BH45" s="41">
        <v>18</v>
      </c>
      <c r="BI45" s="41">
        <v>22.5</v>
      </c>
      <c r="BJ45" s="42">
        <f t="shared" ca="1" si="46"/>
        <v>121.19943195165982</v>
      </c>
      <c r="BK45" s="42">
        <f t="shared" ca="1" si="47"/>
        <v>238.13040061864677</v>
      </c>
      <c r="BL45" s="40">
        <f t="shared" ca="1" si="43"/>
        <v>-3.4757514533978018E-2</v>
      </c>
      <c r="BM45" s="40">
        <f t="shared" ca="1" si="44"/>
        <v>0.13272399680579716</v>
      </c>
      <c r="BN45" s="43" t="s">
        <v>77</v>
      </c>
      <c r="BO45" s="43" t="s">
        <v>233</v>
      </c>
      <c r="BP45" s="43" t="s">
        <v>234</v>
      </c>
    </row>
    <row r="46" spans="1:68" ht="15" customHeight="1" x14ac:dyDescent="0.25">
      <c r="A46" s="158" t="e" vm="43">
        <v>#VALUE!</v>
      </c>
      <c r="B46" s="25" t="str">
        <f t="array" aca="1" ref="B46" ca="1">_FV(A46,"Símbolo bursátil",TRUE())</f>
        <v>CHKP</v>
      </c>
      <c r="C46" s="26" t="s">
        <v>110</v>
      </c>
      <c r="D46" s="26" t="s">
        <v>235</v>
      </c>
      <c r="E46" s="27" t="str">
        <f t="array" aca="1" ref="E46" ca="1">_FV(A46,"Abreviatura de intercambio",TRUE())</f>
        <v>XNAS</v>
      </c>
      <c r="F46" s="27" t="str">
        <f t="array" aca="1" ref="F46" ca="1">_FV(A46,"Moneda")</f>
        <v>USD</v>
      </c>
      <c r="G46" s="28">
        <f t="array" aca="1" ref="G46" ca="1">_FV(A46,"Precio")</f>
        <v>134.66999999999999</v>
      </c>
      <c r="H46" s="29">
        <f t="array" aca="1" ref="H46" ca="1">_FV(A46,"Acciones en circulación",TRUE())/1000000</f>
        <v>104.2328</v>
      </c>
      <c r="I46" s="30">
        <f t="shared" ca="1" si="25"/>
        <v>14037.031175999999</v>
      </c>
      <c r="J46" s="31">
        <v>1</v>
      </c>
      <c r="K46" s="31">
        <v>5</v>
      </c>
      <c r="L46" s="31">
        <v>1</v>
      </c>
      <c r="M46" s="31">
        <v>1</v>
      </c>
      <c r="N46" s="31">
        <v>0</v>
      </c>
      <c r="O46" s="31">
        <v>0</v>
      </c>
      <c r="P46" s="31">
        <v>0</v>
      </c>
      <c r="Q46" s="31">
        <v>0</v>
      </c>
      <c r="R46" s="32">
        <f t="shared" si="28"/>
        <v>8</v>
      </c>
      <c r="S46" s="33">
        <f t="shared" si="29"/>
        <v>4.71</v>
      </c>
      <c r="T46" s="31">
        <v>15</v>
      </c>
      <c r="U46" s="31">
        <v>11</v>
      </c>
      <c r="V46" s="31">
        <v>8</v>
      </c>
      <c r="W46" s="31">
        <v>7</v>
      </c>
      <c r="X46" s="31">
        <v>8</v>
      </c>
      <c r="Y46" s="31">
        <v>9</v>
      </c>
      <c r="Z46" s="31">
        <v>6</v>
      </c>
      <c r="AA46" s="31">
        <v>-12</v>
      </c>
      <c r="AB46" s="32">
        <f t="shared" si="30"/>
        <v>52</v>
      </c>
      <c r="AC46" s="33">
        <f t="shared" si="31"/>
        <v>5.2</v>
      </c>
      <c r="AD46" s="31">
        <v>11</v>
      </c>
      <c r="AE46" s="31">
        <v>-5</v>
      </c>
      <c r="AF46" s="31">
        <v>10</v>
      </c>
      <c r="AG46" s="31">
        <v>11</v>
      </c>
      <c r="AH46" s="31">
        <v>4</v>
      </c>
      <c r="AI46" s="31">
        <v>6</v>
      </c>
      <c r="AJ46" s="31">
        <v>9</v>
      </c>
      <c r="AK46" s="31">
        <v>-8</v>
      </c>
      <c r="AL46" s="32">
        <f t="shared" si="32"/>
        <v>38</v>
      </c>
      <c r="AM46" s="33">
        <f t="shared" si="33"/>
        <v>5.43</v>
      </c>
      <c r="AN46" s="34">
        <f t="shared" si="34"/>
        <v>5.1100000000000003</v>
      </c>
      <c r="AO46" s="35" t="s">
        <v>74</v>
      </c>
      <c r="AP46" s="36">
        <v>3000</v>
      </c>
      <c r="AQ46" s="36">
        <v>0</v>
      </c>
      <c r="AR46" s="36">
        <f t="shared" ca="1" si="45"/>
        <v>11037.031175999999</v>
      </c>
      <c r="AS46" s="36">
        <v>1300</v>
      </c>
      <c r="AT46" s="36">
        <v>1000</v>
      </c>
      <c r="AU46" s="36">
        <v>1250</v>
      </c>
      <c r="AV46" s="36">
        <v>2730</v>
      </c>
      <c r="AW46" s="37">
        <f t="shared" ca="1" si="35"/>
        <v>8.4900239815384602</v>
      </c>
      <c r="AX46" s="37">
        <f t="shared" ca="1" si="36"/>
        <v>8.8296249407999987</v>
      </c>
      <c r="AY46" s="37">
        <f t="shared" ca="1" si="37"/>
        <v>4.0428685626373619</v>
      </c>
      <c r="AZ46" s="38">
        <v>1200</v>
      </c>
      <c r="BA46" s="39">
        <f t="shared" si="38"/>
        <v>0.36630036630036628</v>
      </c>
      <c r="BB46" s="39">
        <f t="shared" si="39"/>
        <v>2.2749999999999999</v>
      </c>
      <c r="BC46" s="40">
        <f t="shared" si="40"/>
        <v>0.83333333333333326</v>
      </c>
      <c r="BD46" t="s">
        <v>236</v>
      </c>
      <c r="BE46" s="40">
        <f t="shared" si="41"/>
        <v>1.9956640367314815E-2</v>
      </c>
      <c r="BF46" t="s">
        <v>237</v>
      </c>
      <c r="BG46" s="40">
        <f t="shared" si="42"/>
        <v>0.10003540934093724</v>
      </c>
      <c r="BH46" s="41">
        <v>6</v>
      </c>
      <c r="BI46" s="41">
        <v>15</v>
      </c>
      <c r="BJ46" s="42">
        <f t="shared" ca="1" si="46"/>
        <v>111.38528371107752</v>
      </c>
      <c r="BK46" s="42">
        <f t="shared" ca="1" si="47"/>
        <v>330.12640934523489</v>
      </c>
      <c r="BL46" s="40">
        <f t="shared" ca="1" si="43"/>
        <v>-3.7254735638478476E-2</v>
      </c>
      <c r="BM46" s="40">
        <f t="shared" ca="1" si="44"/>
        <v>0.25127380265601795</v>
      </c>
      <c r="BN46" s="43" t="s">
        <v>77</v>
      </c>
      <c r="BO46" s="43" t="s">
        <v>89</v>
      </c>
      <c r="BP46" s="43" t="s">
        <v>223</v>
      </c>
    </row>
    <row r="47" spans="1:68" ht="15" customHeight="1" x14ac:dyDescent="0.25">
      <c r="A47" s="158" t="e" vm="44">
        <v>#VALUE!</v>
      </c>
      <c r="B47" s="25" t="str">
        <f t="array" aca="1" ref="B47" ca="1">_FV(A47,"Símbolo bursátil",TRUE())</f>
        <v>TGYM</v>
      </c>
      <c r="C47" s="26" t="s">
        <v>191</v>
      </c>
      <c r="D47" s="26" t="s">
        <v>73</v>
      </c>
      <c r="E47" s="27" t="str">
        <f t="array" aca="1" ref="E47" ca="1">_FV(A47,"Abreviatura de intercambio",TRUE())</f>
        <v>XMIL</v>
      </c>
      <c r="F47" s="27" t="str">
        <f t="array" aca="1" ref="F47" ca="1">_FV(A47,"Moneda")</f>
        <v>EUR</v>
      </c>
      <c r="G47" s="28">
        <f t="array" aca="1" ref="G47" ca="1">_FV(A47,"Precio")</f>
        <v>19.79</v>
      </c>
      <c r="H47" s="29">
        <f t="array" aca="1" ref="H47" ca="1">_FV(A47,"Acciones en circulación",TRUE())/1000000</f>
        <v>201.32749999999999</v>
      </c>
      <c r="I47" s="30">
        <f t="shared" ca="1" si="25"/>
        <v>3984.2712249999995</v>
      </c>
      <c r="J47" s="44">
        <v>0</v>
      </c>
      <c r="K47" s="44">
        <v>4</v>
      </c>
      <c r="L47" s="44">
        <v>2</v>
      </c>
      <c r="M47" s="44">
        <v>0</v>
      </c>
      <c r="N47" s="44">
        <v>0</v>
      </c>
      <c r="O47" s="44">
        <v>0</v>
      </c>
      <c r="P47" s="44">
        <v>0</v>
      </c>
      <c r="Q47" s="44">
        <v>1</v>
      </c>
      <c r="R47" s="45">
        <f t="shared" si="28"/>
        <v>7</v>
      </c>
      <c r="S47" s="33">
        <f t="shared" si="29"/>
        <v>4.12</v>
      </c>
      <c r="T47" s="44">
        <v>12</v>
      </c>
      <c r="U47" s="44">
        <v>10</v>
      </c>
      <c r="V47" s="44">
        <v>11</v>
      </c>
      <c r="W47" s="44">
        <v>7</v>
      </c>
      <c r="X47" s="44">
        <v>6</v>
      </c>
      <c r="Y47" s="44">
        <v>10</v>
      </c>
      <c r="Z47" s="44">
        <v>9</v>
      </c>
      <c r="AA47" s="44">
        <v>-10</v>
      </c>
      <c r="AB47" s="45">
        <f t="shared" si="30"/>
        <v>55</v>
      </c>
      <c r="AC47" s="33">
        <f t="shared" si="31"/>
        <v>5.5</v>
      </c>
      <c r="AD47" s="44">
        <v>10</v>
      </c>
      <c r="AE47" s="44">
        <v>-3</v>
      </c>
      <c r="AF47" s="44">
        <v>6</v>
      </c>
      <c r="AG47" s="44">
        <v>10</v>
      </c>
      <c r="AH47" s="44">
        <v>3</v>
      </c>
      <c r="AI47" s="44">
        <v>8</v>
      </c>
      <c r="AJ47" s="44">
        <v>9</v>
      </c>
      <c r="AK47" s="44">
        <v>-4</v>
      </c>
      <c r="AL47" s="45">
        <f t="shared" si="32"/>
        <v>39</v>
      </c>
      <c r="AM47" s="33">
        <f t="shared" si="33"/>
        <v>5.57</v>
      </c>
      <c r="AN47" s="34">
        <f t="shared" si="34"/>
        <v>5.0599999999999996</v>
      </c>
      <c r="AO47" s="35" t="s">
        <v>86</v>
      </c>
      <c r="AP47" s="36">
        <v>100</v>
      </c>
      <c r="AQ47" s="36">
        <v>50</v>
      </c>
      <c r="AR47" s="36">
        <f t="shared" ca="1" si="45"/>
        <v>3934.2712249999995</v>
      </c>
      <c r="AS47" s="36">
        <v>95</v>
      </c>
      <c r="AT47" s="36">
        <v>90</v>
      </c>
      <c r="AU47" s="36">
        <v>140</v>
      </c>
      <c r="AV47" s="36">
        <v>840</v>
      </c>
      <c r="AW47" s="37">
        <f t="shared" ca="1" si="35"/>
        <v>41.413381315789465</v>
      </c>
      <c r="AX47" s="37">
        <f t="shared" ca="1" si="36"/>
        <v>28.101937321428569</v>
      </c>
      <c r="AY47" s="37">
        <f t="shared" ca="1" si="37"/>
        <v>4.6836562202380945</v>
      </c>
      <c r="AZ47" s="38">
        <v>450</v>
      </c>
      <c r="BA47" s="39">
        <f t="shared" si="38"/>
        <v>0.10714285714285714</v>
      </c>
      <c r="BB47" s="39">
        <f t="shared" si="39"/>
        <v>1.8666666666666667</v>
      </c>
      <c r="BC47" s="40">
        <f t="shared" si="40"/>
        <v>0.19999999999999998</v>
      </c>
      <c r="BD47" t="s">
        <v>238</v>
      </c>
      <c r="BE47" s="40">
        <f t="shared" si="41"/>
        <v>4.0751095710728658E-2</v>
      </c>
      <c r="BF47" t="s">
        <v>239</v>
      </c>
      <c r="BG47" s="40">
        <f t="shared" si="42"/>
        <v>0.1401066974124392</v>
      </c>
      <c r="BH47" s="41">
        <v>15</v>
      </c>
      <c r="BI47" s="41">
        <v>22.5</v>
      </c>
      <c r="BJ47" s="42">
        <f t="shared" ca="1" si="46"/>
        <v>8.8909860798946987</v>
      </c>
      <c r="BK47" s="42">
        <f t="shared" ca="1" si="47"/>
        <v>20.700103065900091</v>
      </c>
      <c r="BL47" s="40">
        <f t="shared" ca="1" si="43"/>
        <v>-0.14787986555522814</v>
      </c>
      <c r="BM47" s="40">
        <f t="shared" ca="1" si="44"/>
        <v>1.1303891482174144E-2</v>
      </c>
      <c r="BN47" s="43" t="s">
        <v>77</v>
      </c>
      <c r="BO47" s="43" t="s">
        <v>108</v>
      </c>
      <c r="BP47" s="43" t="s">
        <v>126</v>
      </c>
    </row>
    <row r="48" spans="1:68" ht="15" customHeight="1" x14ac:dyDescent="0.25">
      <c r="A48" s="158" t="e" vm="45">
        <v>#VALUE!</v>
      </c>
      <c r="B48" s="25" t="str">
        <f t="array" aca="1" ref="B48" ca="1">_FV(A48,"Símbolo bursátil",TRUE())</f>
        <v>VID</v>
      </c>
      <c r="C48" s="26" t="s">
        <v>211</v>
      </c>
      <c r="D48" s="26" t="s">
        <v>96</v>
      </c>
      <c r="E48" s="27" t="str">
        <f t="array" aca="1" ref="E48" ca="1">_FV(A48,"Abreviatura de intercambio",TRUE())</f>
        <v>BMEX</v>
      </c>
      <c r="F48" s="27" t="str">
        <f t="array" aca="1" ref="F48" ca="1">_FV(A48,"Moneda")</f>
        <v>EUR</v>
      </c>
      <c r="G48" s="28">
        <f t="array" aca="1" ref="G48" ca="1">_FV(A48,"Precio")</f>
        <v>78.2</v>
      </c>
      <c r="H48" s="29">
        <f t="array" aca="1" ref="H48" ca="1">_FV(A48,"Acciones en circulación",TRUE())/1000000</f>
        <v>35.20626</v>
      </c>
      <c r="I48" s="30">
        <f t="shared" ca="1" si="25"/>
        <v>2753.1295319999999</v>
      </c>
      <c r="J48" s="31">
        <v>0.75</v>
      </c>
      <c r="K48" s="31">
        <v>6</v>
      </c>
      <c r="L48" s="31">
        <v>1</v>
      </c>
      <c r="M48" s="31">
        <v>0.75</v>
      </c>
      <c r="N48" s="31">
        <v>-0.5</v>
      </c>
      <c r="O48" s="31">
        <v>0</v>
      </c>
      <c r="P48" s="31">
        <v>0</v>
      </c>
      <c r="Q48" s="31">
        <v>1</v>
      </c>
      <c r="R48" s="32">
        <f t="shared" si="28"/>
        <v>9</v>
      </c>
      <c r="S48" s="33">
        <f t="shared" si="29"/>
        <v>5.29</v>
      </c>
      <c r="T48" s="31">
        <v>13</v>
      </c>
      <c r="U48" s="31">
        <v>10</v>
      </c>
      <c r="V48" s="31">
        <v>7</v>
      </c>
      <c r="W48" s="31">
        <v>8</v>
      </c>
      <c r="X48" s="31">
        <v>7</v>
      </c>
      <c r="Y48" s="31">
        <v>11.5</v>
      </c>
      <c r="Z48" s="31">
        <v>9</v>
      </c>
      <c r="AA48" s="31">
        <v>-8</v>
      </c>
      <c r="AB48" s="32">
        <f t="shared" si="30"/>
        <v>57.5</v>
      </c>
      <c r="AC48" s="33">
        <f t="shared" si="31"/>
        <v>5.75</v>
      </c>
      <c r="AD48" s="31">
        <v>10</v>
      </c>
      <c r="AE48" s="31">
        <v>-2</v>
      </c>
      <c r="AF48" s="31">
        <v>3</v>
      </c>
      <c r="AG48" s="31">
        <v>10</v>
      </c>
      <c r="AH48" s="31">
        <v>3</v>
      </c>
      <c r="AI48" s="31">
        <v>8</v>
      </c>
      <c r="AJ48" s="31">
        <v>9</v>
      </c>
      <c r="AK48" s="31">
        <v>-4</v>
      </c>
      <c r="AL48" s="32">
        <f t="shared" si="32"/>
        <v>37</v>
      </c>
      <c r="AM48" s="33">
        <f t="shared" si="33"/>
        <v>5.29</v>
      </c>
      <c r="AN48" s="34">
        <f t="shared" si="34"/>
        <v>5.44</v>
      </c>
      <c r="AO48" s="35" t="s">
        <v>86</v>
      </c>
      <c r="AP48" s="36">
        <v>130</v>
      </c>
      <c r="AQ48" s="36">
        <v>235</v>
      </c>
      <c r="AR48" s="36">
        <f t="shared" ca="1" si="45"/>
        <v>2858.1295319999999</v>
      </c>
      <c r="AS48" s="36">
        <v>200</v>
      </c>
      <c r="AT48" s="36">
        <v>210</v>
      </c>
      <c r="AU48" s="36">
        <v>385</v>
      </c>
      <c r="AV48" s="36">
        <v>1465</v>
      </c>
      <c r="AW48" s="37">
        <f t="shared" ca="1" si="35"/>
        <v>14.290647659999999</v>
      </c>
      <c r="AX48" s="37">
        <f t="shared" ca="1" si="36"/>
        <v>7.4237130701298701</v>
      </c>
      <c r="AY48" s="37">
        <f t="shared" ca="1" si="37"/>
        <v>1.9509416600682594</v>
      </c>
      <c r="AZ48" s="38">
        <v>1200</v>
      </c>
      <c r="BA48" s="39">
        <f t="shared" si="38"/>
        <v>0.14334470989761092</v>
      </c>
      <c r="BB48" s="39">
        <f t="shared" si="39"/>
        <v>1.2208333333333334</v>
      </c>
      <c r="BC48" s="40">
        <f t="shared" si="40"/>
        <v>0.17500000000000002</v>
      </c>
      <c r="BD48" t="s">
        <v>240</v>
      </c>
      <c r="BE48" s="40">
        <f t="shared" si="41"/>
        <v>9.805797673485328E-3</v>
      </c>
      <c r="BF48" t="s">
        <v>241</v>
      </c>
      <c r="BG48" s="40">
        <f t="shared" si="42"/>
        <v>9.0194895299878342E-2</v>
      </c>
      <c r="BH48" s="41">
        <v>10</v>
      </c>
      <c r="BI48" s="41">
        <v>18</v>
      </c>
      <c r="BJ48" s="42">
        <f t="shared" ca="1" si="46"/>
        <v>56.666058820221174</v>
      </c>
      <c r="BK48" s="42">
        <f t="shared" ca="1" si="47"/>
        <v>154.48957088881352</v>
      </c>
      <c r="BL48" s="40">
        <f t="shared" ca="1" si="43"/>
        <v>-6.2387797081282392E-2</v>
      </c>
      <c r="BM48" s="40">
        <f t="shared" ca="1" si="44"/>
        <v>0.18555881354393833</v>
      </c>
      <c r="BN48" s="43" t="s">
        <v>77</v>
      </c>
      <c r="BO48" s="46" t="s">
        <v>108</v>
      </c>
      <c r="BP48" s="43" t="s">
        <v>84</v>
      </c>
    </row>
    <row r="49" spans="1:68" ht="15" customHeight="1" x14ac:dyDescent="0.25">
      <c r="A49" s="158" t="e" vm="46">
        <v>#VALUE!</v>
      </c>
      <c r="B49" s="25" t="str">
        <f t="array" aca="1" ref="B49" ca="1">_FV(A49,"Símbolo bursátil",TRUE())</f>
        <v>TFPM</v>
      </c>
      <c r="C49" s="26" t="s">
        <v>242</v>
      </c>
      <c r="D49" s="26" t="s">
        <v>243</v>
      </c>
      <c r="E49" s="27" t="str">
        <f t="array" aca="1" ref="E49" ca="1">_FV(A49,"Abreviatura de intercambio",TRUE())</f>
        <v>XTSE</v>
      </c>
      <c r="F49" s="27" t="str">
        <f t="array" aca="1" ref="F49" ca="1">_FV(A49,"Moneda")</f>
        <v>CAD</v>
      </c>
      <c r="G49" s="28">
        <f t="array" aca="1" ref="G49" ca="1">_FV(A49,"Precio")</f>
        <v>46.09</v>
      </c>
      <c r="H49" s="29">
        <f t="array" aca="1" ref="H49" ca="1">_FV(A49,"Acciones en circulación",TRUE())/1000000</f>
        <v>206.60390000000001</v>
      </c>
      <c r="I49" s="30">
        <f t="shared" ca="1" si="25"/>
        <v>9522.373751000001</v>
      </c>
      <c r="J49" s="44">
        <v>0</v>
      </c>
      <c r="K49" s="44">
        <v>5</v>
      </c>
      <c r="L49" s="44">
        <v>1</v>
      </c>
      <c r="M49" s="44">
        <v>1</v>
      </c>
      <c r="N49" s="44">
        <v>-1</v>
      </c>
      <c r="O49" s="44">
        <v>0</v>
      </c>
      <c r="P49" s="44">
        <v>0</v>
      </c>
      <c r="Q49" s="44">
        <v>0</v>
      </c>
      <c r="R49" s="45">
        <f t="shared" si="28"/>
        <v>6</v>
      </c>
      <c r="S49" s="33">
        <f t="shared" si="29"/>
        <v>3.53</v>
      </c>
      <c r="T49" s="44">
        <v>14</v>
      </c>
      <c r="U49" s="44">
        <v>12</v>
      </c>
      <c r="V49" s="44">
        <v>10</v>
      </c>
      <c r="W49" s="44">
        <v>6</v>
      </c>
      <c r="X49" s="44">
        <v>8</v>
      </c>
      <c r="Y49" s="44">
        <v>10</v>
      </c>
      <c r="Z49" s="44">
        <v>5</v>
      </c>
      <c r="AA49" s="44">
        <v>-11</v>
      </c>
      <c r="AB49" s="45">
        <f t="shared" si="30"/>
        <v>54</v>
      </c>
      <c r="AC49" s="33">
        <f t="shared" si="31"/>
        <v>5.4</v>
      </c>
      <c r="AD49" s="44">
        <v>11</v>
      </c>
      <c r="AE49" s="44">
        <v>-4</v>
      </c>
      <c r="AF49" s="44">
        <v>10</v>
      </c>
      <c r="AG49" s="44">
        <v>11</v>
      </c>
      <c r="AH49" s="44">
        <v>4</v>
      </c>
      <c r="AI49" s="44">
        <v>7</v>
      </c>
      <c r="AJ49" s="44">
        <v>9</v>
      </c>
      <c r="AK49" s="44">
        <v>-6</v>
      </c>
      <c r="AL49" s="45">
        <f t="shared" si="32"/>
        <v>42</v>
      </c>
      <c r="AM49" s="33">
        <f t="shared" si="33"/>
        <v>6</v>
      </c>
      <c r="AN49" s="34">
        <f t="shared" si="34"/>
        <v>4.9800000000000004</v>
      </c>
      <c r="AO49" s="35" t="s">
        <v>74</v>
      </c>
      <c r="AP49" s="36">
        <v>80</v>
      </c>
      <c r="AQ49" s="36">
        <v>0</v>
      </c>
      <c r="AR49" s="36">
        <f ca="1">I49*'Framework Notes'!E7-AP49+AQ49</f>
        <v>6886.568636231601</v>
      </c>
      <c r="AS49" s="36">
        <v>190</v>
      </c>
      <c r="AT49" s="36">
        <v>140</v>
      </c>
      <c r="AU49" s="36">
        <v>210</v>
      </c>
      <c r="AV49" s="36">
        <v>230</v>
      </c>
      <c r="AW49" s="37">
        <f t="shared" ca="1" si="35"/>
        <v>36.245098085429476</v>
      </c>
      <c r="AX49" s="37">
        <f t="shared" ca="1" si="36"/>
        <v>32.79318398205524</v>
      </c>
      <c r="AY49" s="37">
        <f t="shared" ca="1" si="37"/>
        <v>29.941602766224353</v>
      </c>
      <c r="AZ49" s="38">
        <v>1800</v>
      </c>
      <c r="BA49" s="39">
        <f t="shared" si="38"/>
        <v>0.60869565217391308</v>
      </c>
      <c r="BB49" s="39">
        <f t="shared" si="39"/>
        <v>0.12777777777777777</v>
      </c>
      <c r="BC49" s="40">
        <f t="shared" si="40"/>
        <v>7.7777777777777779E-2</v>
      </c>
      <c r="BD49" t="s">
        <v>244</v>
      </c>
      <c r="BE49" s="40">
        <f t="shared" si="41"/>
        <v>4.957228210048803E-2</v>
      </c>
      <c r="BF49" t="s">
        <v>245</v>
      </c>
      <c r="BG49" s="40">
        <f t="shared" si="42"/>
        <v>0.20011125292365506</v>
      </c>
      <c r="BH49" s="41">
        <v>18</v>
      </c>
      <c r="BI49" s="41">
        <v>22</v>
      </c>
      <c r="BJ49" s="42">
        <f ca="1">((BD49*BH49+$AP49-$AQ49)/$H49)/'Framework Notes'!E7</f>
        <v>29.348055072144554</v>
      </c>
      <c r="BK49" s="42">
        <f ca="1">((BF49*BI49+$AP49-$AQ49)/$H49)/'Framework Notes'!E7</f>
        <v>69.374144609221773</v>
      </c>
      <c r="BL49" s="40">
        <f t="shared" ca="1" si="43"/>
        <v>-8.6319148114027078E-2</v>
      </c>
      <c r="BM49" s="40">
        <f t="shared" ca="1" si="44"/>
        <v>0.1076377105570725</v>
      </c>
      <c r="BN49" s="43" t="s">
        <v>77</v>
      </c>
      <c r="BO49" s="43" t="s">
        <v>194</v>
      </c>
      <c r="BP49" s="43" t="s">
        <v>176</v>
      </c>
    </row>
    <row r="50" spans="1:68" ht="15" customHeight="1" x14ac:dyDescent="0.25">
      <c r="A50" s="158" t="e" vm="47">
        <v>#VALUE!</v>
      </c>
      <c r="B50" s="25" t="str">
        <f t="array" aca="1" ref="B50" ca="1">_FV(A50,"Símbolo bursátil",TRUE())</f>
        <v>NFLX</v>
      </c>
      <c r="C50" s="26" t="s">
        <v>127</v>
      </c>
      <c r="D50" s="26" t="s">
        <v>111</v>
      </c>
      <c r="E50" s="27" t="str">
        <f t="array" aca="1" ref="E50" ca="1">_FV(A50,"Abreviatura de intercambio",TRUE())</f>
        <v>XNAS</v>
      </c>
      <c r="F50" s="27" t="str">
        <f t="array" aca="1" ref="F50" ca="1">_FV(A50,"Moneda")</f>
        <v>USD</v>
      </c>
      <c r="G50" s="28">
        <f t="array" aca="1" ref="G50" ca="1">_FV(A50,"Precio")</f>
        <v>92.44</v>
      </c>
      <c r="H50" s="29">
        <f t="array" aca="1" ref="H50" ca="1">_FV(A50,"Acciones en circulación",TRUE())/1000000</f>
        <v>4210.7979999999998</v>
      </c>
      <c r="I50" s="30">
        <f t="shared" ca="1" si="25"/>
        <v>389246.16712</v>
      </c>
      <c r="J50" s="31">
        <v>0.5</v>
      </c>
      <c r="K50" s="31">
        <v>6.5</v>
      </c>
      <c r="L50" s="31">
        <v>2</v>
      </c>
      <c r="M50" s="31">
        <v>0.5</v>
      </c>
      <c r="N50" s="31">
        <v>-0.5</v>
      </c>
      <c r="O50" s="31">
        <f>4.1/5</f>
        <v>0.82</v>
      </c>
      <c r="P50" s="31">
        <v>1</v>
      </c>
      <c r="Q50" s="31">
        <v>0</v>
      </c>
      <c r="R50" s="32">
        <f t="shared" si="28"/>
        <v>10.82</v>
      </c>
      <c r="S50" s="33">
        <f t="shared" si="29"/>
        <v>6.36</v>
      </c>
      <c r="T50" s="31">
        <v>14.5</v>
      </c>
      <c r="U50" s="31">
        <v>17</v>
      </c>
      <c r="V50" s="31">
        <v>14</v>
      </c>
      <c r="W50" s="31">
        <v>8</v>
      </c>
      <c r="X50" s="31">
        <v>6.5</v>
      </c>
      <c r="Y50" s="31">
        <v>12</v>
      </c>
      <c r="Z50" s="31">
        <v>7</v>
      </c>
      <c r="AA50" s="31">
        <v>-18</v>
      </c>
      <c r="AB50" s="32">
        <f t="shared" si="30"/>
        <v>61</v>
      </c>
      <c r="AC50" s="33">
        <f t="shared" si="31"/>
        <v>6.1</v>
      </c>
      <c r="AD50" s="31">
        <v>10</v>
      </c>
      <c r="AE50" s="31">
        <v>-3</v>
      </c>
      <c r="AF50" s="31">
        <v>6.5</v>
      </c>
      <c r="AG50" s="31">
        <v>13</v>
      </c>
      <c r="AH50" s="31">
        <v>2</v>
      </c>
      <c r="AI50" s="31">
        <v>6.5</v>
      </c>
      <c r="AJ50" s="31">
        <v>12.5</v>
      </c>
      <c r="AK50" s="31">
        <v>-6</v>
      </c>
      <c r="AL50" s="32">
        <f t="shared" si="32"/>
        <v>41.5</v>
      </c>
      <c r="AM50" s="33">
        <f t="shared" si="33"/>
        <v>5.93</v>
      </c>
      <c r="AN50" s="34">
        <f t="shared" si="34"/>
        <v>6.13</v>
      </c>
      <c r="AO50" s="35" t="s">
        <v>74</v>
      </c>
      <c r="AP50" s="36">
        <v>12250</v>
      </c>
      <c r="AQ50" s="36">
        <f>1000+13360</f>
        <v>14360</v>
      </c>
      <c r="AR50" s="36">
        <f t="shared" ref="AR50:AR62" ca="1" si="48">I50-AP50+AQ50</f>
        <v>391356.16712</v>
      </c>
      <c r="AS50" s="36">
        <v>11900</v>
      </c>
      <c r="AT50" s="36">
        <v>13800</v>
      </c>
      <c r="AU50" s="36">
        <v>14000</v>
      </c>
      <c r="AV50" s="36">
        <v>46900</v>
      </c>
      <c r="AW50" s="37">
        <f t="shared" ca="1" si="35"/>
        <v>32.887072867226891</v>
      </c>
      <c r="AX50" s="37">
        <f t="shared" ca="1" si="36"/>
        <v>27.954011937142855</v>
      </c>
      <c r="AY50" s="37">
        <f t="shared" ca="1" si="37"/>
        <v>8.3444811752665249</v>
      </c>
      <c r="AZ50" s="38">
        <v>28000</v>
      </c>
      <c r="BA50" s="39">
        <f t="shared" si="38"/>
        <v>0.29424307036247332</v>
      </c>
      <c r="BB50" s="39">
        <f t="shared" si="39"/>
        <v>1.675</v>
      </c>
      <c r="BC50" s="40">
        <f t="shared" si="40"/>
        <v>0.49285714285714283</v>
      </c>
      <c r="BD50">
        <v>14500</v>
      </c>
      <c r="BE50" s="40">
        <f t="shared" si="41"/>
        <v>4.0313437399594143E-2</v>
      </c>
      <c r="BF50">
        <v>20000</v>
      </c>
      <c r="BG50" s="40">
        <f t="shared" si="42"/>
        <v>0.10942157365574934</v>
      </c>
      <c r="BH50" s="41">
        <v>17</v>
      </c>
      <c r="BI50" s="41">
        <v>25</v>
      </c>
      <c r="BJ50" s="42">
        <f t="shared" ref="BJ50:BJ60" ca="1" si="49">(BD50*BH50+$AP50-$AQ50)/$H50</f>
        <v>58.038880041265344</v>
      </c>
      <c r="BK50" s="42">
        <f t="shared" ref="BK50:BK60" ca="1" si="50">(BF50*BI50+$AP50-$AQ50)/$H50</f>
        <v>118.24124548363517</v>
      </c>
      <c r="BL50" s="40">
        <f t="shared" ca="1" si="43"/>
        <v>-8.8887893694772346E-2</v>
      </c>
      <c r="BM50" s="40">
        <f t="shared" ca="1" si="44"/>
        <v>6.3474950251119822E-2</v>
      </c>
      <c r="BN50" s="43" t="s">
        <v>77</v>
      </c>
      <c r="BO50" s="43" t="s">
        <v>246</v>
      </c>
      <c r="BP50" s="43" t="s">
        <v>190</v>
      </c>
    </row>
    <row r="51" spans="1:68" ht="15" customHeight="1" x14ac:dyDescent="0.25">
      <c r="A51" s="158" t="e" vm="48">
        <v>#VALUE!</v>
      </c>
      <c r="B51" s="25" t="str">
        <f t="array" aca="1" ref="B51" ca="1">_FV(A51,"Símbolo bursátil",TRUE())</f>
        <v>NKE</v>
      </c>
      <c r="C51" s="26" t="s">
        <v>127</v>
      </c>
      <c r="D51" s="26" t="s">
        <v>235</v>
      </c>
      <c r="E51" s="27" t="str">
        <f t="array" aca="1" ref="E51" ca="1">_FV(A51,"Abreviatura de intercambio",TRUE())</f>
        <v>XNYS</v>
      </c>
      <c r="F51" s="27" t="str">
        <f t="array" aca="1" ref="F51" ca="1">_FV(A51,"Moneda")</f>
        <v>USD</v>
      </c>
      <c r="G51" s="28">
        <f t="array" aca="1" ref="G51" ca="1">_FV(A51,"Precio")</f>
        <v>44.69</v>
      </c>
      <c r="H51" s="29">
        <f t="array" aca="1" ref="H51" ca="1">_FV(A51,"Acciones en circulación",TRUE())/1000000</f>
        <v>1480.8869999999999</v>
      </c>
      <c r="I51" s="30">
        <f t="shared" ca="1" si="25"/>
        <v>66180.840029999992</v>
      </c>
      <c r="J51" s="44">
        <v>0</v>
      </c>
      <c r="K51" s="44">
        <v>5</v>
      </c>
      <c r="L51" s="44">
        <v>1</v>
      </c>
      <c r="M51" s="44">
        <v>0</v>
      </c>
      <c r="N51" s="44">
        <v>0</v>
      </c>
      <c r="O51" s="44">
        <v>0</v>
      </c>
      <c r="P51" s="44">
        <v>1</v>
      </c>
      <c r="Q51" s="44">
        <v>0</v>
      </c>
      <c r="R51" s="45">
        <f t="shared" si="28"/>
        <v>7</v>
      </c>
      <c r="S51" s="33">
        <f t="shared" si="29"/>
        <v>4.12</v>
      </c>
      <c r="T51" s="44">
        <v>10</v>
      </c>
      <c r="U51" s="44">
        <v>13</v>
      </c>
      <c r="V51" s="44">
        <v>8</v>
      </c>
      <c r="W51" s="44">
        <v>7</v>
      </c>
      <c r="X51" s="44">
        <v>6</v>
      </c>
      <c r="Y51" s="44">
        <v>9</v>
      </c>
      <c r="Z51" s="44">
        <v>5</v>
      </c>
      <c r="AA51" s="44">
        <v>-10</v>
      </c>
      <c r="AB51" s="45">
        <f t="shared" si="30"/>
        <v>48</v>
      </c>
      <c r="AC51" s="33">
        <f t="shared" si="31"/>
        <v>4.8</v>
      </c>
      <c r="AD51" s="44">
        <v>11</v>
      </c>
      <c r="AE51" s="44">
        <v>-2</v>
      </c>
      <c r="AF51" s="44">
        <v>7</v>
      </c>
      <c r="AG51" s="44">
        <v>9</v>
      </c>
      <c r="AH51" s="44">
        <v>3</v>
      </c>
      <c r="AI51" s="44">
        <v>6</v>
      </c>
      <c r="AJ51" s="44">
        <v>10</v>
      </c>
      <c r="AK51" s="44">
        <v>-4</v>
      </c>
      <c r="AL51" s="45">
        <f t="shared" si="32"/>
        <v>40</v>
      </c>
      <c r="AM51" s="33">
        <f t="shared" si="33"/>
        <v>5.71</v>
      </c>
      <c r="AN51" s="34">
        <f t="shared" si="34"/>
        <v>4.88</v>
      </c>
      <c r="AO51" s="35" t="s">
        <v>74</v>
      </c>
      <c r="AP51" s="36">
        <v>8000</v>
      </c>
      <c r="AQ51" s="36">
        <v>9500</v>
      </c>
      <c r="AR51" s="36">
        <f t="shared" ca="1" si="48"/>
        <v>67680.840029999992</v>
      </c>
      <c r="AS51" s="36">
        <v>5000</v>
      </c>
      <c r="AT51" s="36">
        <v>4800</v>
      </c>
      <c r="AU51" s="36">
        <v>7500</v>
      </c>
      <c r="AV51" s="36">
        <v>51000</v>
      </c>
      <c r="AW51" s="37">
        <f t="shared" ca="1" si="35"/>
        <v>13.536168005999999</v>
      </c>
      <c r="AX51" s="37">
        <f t="shared" ca="1" si="36"/>
        <v>9.0241120039999991</v>
      </c>
      <c r="AY51" s="37">
        <f t="shared" ca="1" si="37"/>
        <v>1.3270752947058821</v>
      </c>
      <c r="AZ51" s="38">
        <v>20000</v>
      </c>
      <c r="BA51" s="39">
        <f t="shared" si="38"/>
        <v>9.4117647058823528E-2</v>
      </c>
      <c r="BB51" s="39">
        <f t="shared" si="39"/>
        <v>2.5499999999999998</v>
      </c>
      <c r="BC51" s="40">
        <f t="shared" si="40"/>
        <v>0.24</v>
      </c>
      <c r="BD51" t="s">
        <v>247</v>
      </c>
      <c r="BE51" s="40">
        <f t="shared" si="41"/>
        <v>0</v>
      </c>
      <c r="BF51" t="s">
        <v>248</v>
      </c>
      <c r="BG51" s="40">
        <f t="shared" si="42"/>
        <v>8.9996605927845197E-2</v>
      </c>
      <c r="BH51" s="41">
        <v>14</v>
      </c>
      <c r="BI51" s="41">
        <v>21</v>
      </c>
      <c r="BJ51" s="42">
        <f t="shared" ca="1" si="49"/>
        <v>46.256061401038707</v>
      </c>
      <c r="BK51" s="42">
        <f t="shared" ca="1" si="50"/>
        <v>108.07914445869267</v>
      </c>
      <c r="BL51" s="40">
        <f t="shared" ca="1" si="43"/>
        <v>6.9123305826486181E-3</v>
      </c>
      <c r="BM51" s="40">
        <f t="shared" ca="1" si="44"/>
        <v>0.24704718365297818</v>
      </c>
      <c r="BN51" s="43" t="s">
        <v>77</v>
      </c>
      <c r="BO51" s="43" t="s">
        <v>226</v>
      </c>
      <c r="BP51" s="43" t="s">
        <v>249</v>
      </c>
    </row>
    <row r="52" spans="1:68" ht="15" customHeight="1" x14ac:dyDescent="0.25">
      <c r="A52" s="158" t="e" vm="49">
        <v>#VALUE!</v>
      </c>
      <c r="B52" s="25" t="str">
        <f t="array" aca="1" ref="B52" ca="1">_FV(A52,"Símbolo bursátil",TRUE())</f>
        <v>MIPS</v>
      </c>
      <c r="C52" s="26" t="s">
        <v>115</v>
      </c>
      <c r="D52" s="26" t="s">
        <v>73</v>
      </c>
      <c r="E52" s="27" t="str">
        <f t="array" aca="1" ref="E52" ca="1">_FV(A52,"Abreviatura de intercambio",TRUE())</f>
        <v>XSTO</v>
      </c>
      <c r="F52" s="27" t="str">
        <f t="array" aca="1" ref="F52" ca="1">_FV(A52,"Moneda")</f>
        <v>SEK</v>
      </c>
      <c r="G52" s="28">
        <f t="array" aca="1" ref="G52" ca="1">_FV(A52,"Precio")</f>
        <v>281.60000000000002</v>
      </c>
      <c r="H52" s="29">
        <f t="array" aca="1" ref="H52" ca="1">_FV(A52,"Acciones en circulación",TRUE())/1000000</f>
        <v>26.491119999999999</v>
      </c>
      <c r="I52" s="30">
        <f t="shared" ca="1" si="25"/>
        <v>7459.8993920000003</v>
      </c>
      <c r="J52" s="31">
        <v>2</v>
      </c>
      <c r="K52" s="31">
        <v>4</v>
      </c>
      <c r="L52" s="31">
        <v>2</v>
      </c>
      <c r="M52" s="31">
        <v>0</v>
      </c>
      <c r="N52" s="31">
        <v>-1</v>
      </c>
      <c r="O52" s="31">
        <v>0</v>
      </c>
      <c r="P52" s="31">
        <v>0</v>
      </c>
      <c r="Q52" s="31">
        <v>0</v>
      </c>
      <c r="R52" s="32">
        <f t="shared" si="28"/>
        <v>7</v>
      </c>
      <c r="S52" s="33">
        <f t="shared" si="29"/>
        <v>4.12</v>
      </c>
      <c r="T52" s="31">
        <v>11</v>
      </c>
      <c r="U52" s="31">
        <v>11</v>
      </c>
      <c r="V52" s="31">
        <v>10</v>
      </c>
      <c r="W52" s="31">
        <v>6</v>
      </c>
      <c r="X52" s="31">
        <v>6</v>
      </c>
      <c r="Y52" s="31">
        <v>9</v>
      </c>
      <c r="Z52" s="31">
        <v>4</v>
      </c>
      <c r="AA52" s="31">
        <v>-12</v>
      </c>
      <c r="AB52" s="32">
        <f t="shared" si="30"/>
        <v>45</v>
      </c>
      <c r="AC52" s="33">
        <f t="shared" si="31"/>
        <v>4.5</v>
      </c>
      <c r="AD52" s="31">
        <v>10</v>
      </c>
      <c r="AE52" s="31">
        <v>-3</v>
      </c>
      <c r="AF52" s="31">
        <v>9</v>
      </c>
      <c r="AG52" s="31">
        <v>9</v>
      </c>
      <c r="AH52" s="31">
        <v>3</v>
      </c>
      <c r="AI52" s="31">
        <v>6</v>
      </c>
      <c r="AJ52" s="31">
        <v>9</v>
      </c>
      <c r="AK52" s="31">
        <v>-5</v>
      </c>
      <c r="AL52" s="32">
        <f t="shared" si="32"/>
        <v>38</v>
      </c>
      <c r="AM52" s="33">
        <f t="shared" si="33"/>
        <v>5.43</v>
      </c>
      <c r="AN52" s="34">
        <f t="shared" si="34"/>
        <v>4.68</v>
      </c>
      <c r="AO52" s="35" t="s">
        <v>145</v>
      </c>
      <c r="AP52" s="36">
        <v>200</v>
      </c>
      <c r="AQ52" s="36">
        <v>0</v>
      </c>
      <c r="AR52" s="36">
        <f t="shared" ca="1" si="48"/>
        <v>7259.8993920000003</v>
      </c>
      <c r="AS52" s="36">
        <v>110</v>
      </c>
      <c r="AT52" s="36">
        <v>130</v>
      </c>
      <c r="AU52" s="36">
        <v>165</v>
      </c>
      <c r="AV52" s="36">
        <v>450</v>
      </c>
      <c r="AW52" s="37">
        <f t="shared" ca="1" si="35"/>
        <v>65.99908538181819</v>
      </c>
      <c r="AX52" s="37">
        <f t="shared" ca="1" si="36"/>
        <v>43.999390254545453</v>
      </c>
      <c r="AY52" s="37">
        <f t="shared" ca="1" si="37"/>
        <v>16.13310976</v>
      </c>
      <c r="AZ52" s="38">
        <v>350</v>
      </c>
      <c r="BA52" s="39">
        <f t="shared" si="38"/>
        <v>0.28888888888888886</v>
      </c>
      <c r="BB52" s="39">
        <f t="shared" si="39"/>
        <v>1.2857142857142858</v>
      </c>
      <c r="BC52" s="40">
        <f t="shared" si="40"/>
        <v>0.37142857142857144</v>
      </c>
      <c r="BD52" t="s">
        <v>250</v>
      </c>
      <c r="BE52" s="40">
        <f t="shared" si="41"/>
        <v>1.9244876491456564E-2</v>
      </c>
      <c r="BF52" t="s">
        <v>131</v>
      </c>
      <c r="BG52" s="40">
        <f t="shared" si="42"/>
        <v>0.18032490564431192</v>
      </c>
      <c r="BH52" s="41">
        <v>17.5</v>
      </c>
      <c r="BI52" s="41">
        <v>22.5</v>
      </c>
      <c r="BJ52" s="42">
        <f t="shared" ca="1" si="49"/>
        <v>87.482144960273487</v>
      </c>
      <c r="BK52" s="42">
        <f t="shared" ca="1" si="50"/>
        <v>221.58368540099477</v>
      </c>
      <c r="BL52" s="40">
        <f t="shared" ca="1" si="43"/>
        <v>-0.20848827162985561</v>
      </c>
      <c r="BM52" s="40">
        <f t="shared" ca="1" si="44"/>
        <v>-5.8161839672816074E-2</v>
      </c>
      <c r="BN52" s="43" t="s">
        <v>77</v>
      </c>
      <c r="BO52" s="43" t="s">
        <v>251</v>
      </c>
      <c r="BP52" s="43" t="s">
        <v>190</v>
      </c>
    </row>
    <row r="53" spans="1:68" ht="15" customHeight="1" x14ac:dyDescent="0.25">
      <c r="A53" s="158" t="e" vm="50">
        <v>#VALUE!</v>
      </c>
      <c r="B53" s="25" t="str">
        <f t="array" aca="1" ref="B53" ca="1">_FV(A53,"Símbolo bursátil",TRUE())</f>
        <v>FERG</v>
      </c>
      <c r="C53" s="26" t="s">
        <v>195</v>
      </c>
      <c r="D53" s="26" t="s">
        <v>96</v>
      </c>
      <c r="E53" s="27" t="str">
        <f t="array" aca="1" ref="E53" ca="1">_FV(A53,"Abreviatura de intercambio",TRUE())</f>
        <v>XNYS</v>
      </c>
      <c r="F53" s="27" t="str">
        <f t="array" aca="1" ref="F53" ca="1">_FV(A53,"Moneda")</f>
        <v>USD</v>
      </c>
      <c r="G53" s="28">
        <f t="array" aca="1" ref="G53" ca="1">_FV(A53,"Precio")</f>
        <v>263.58999999999997</v>
      </c>
      <c r="H53" s="29">
        <f t="array" aca="1" ref="H53" ca="1">_FV(A53,"Acciones en circulación",TRUE())/1000000</f>
        <v>194.3929</v>
      </c>
      <c r="I53" s="30">
        <f t="shared" ca="1" si="25"/>
        <v>51240.024510999996</v>
      </c>
      <c r="J53" s="44">
        <v>0</v>
      </c>
      <c r="K53" s="44">
        <v>4</v>
      </c>
      <c r="L53" s="44">
        <v>1</v>
      </c>
      <c r="M53" s="44">
        <v>0</v>
      </c>
      <c r="N53" s="44">
        <v>0</v>
      </c>
      <c r="O53" s="44">
        <v>0</v>
      </c>
      <c r="P53" s="44">
        <v>0</v>
      </c>
      <c r="Q53" s="44">
        <v>0</v>
      </c>
      <c r="R53" s="45">
        <f t="shared" si="28"/>
        <v>5</v>
      </c>
      <c r="S53" s="33">
        <f t="shared" si="29"/>
        <v>2.94</v>
      </c>
      <c r="T53" s="44">
        <v>12</v>
      </c>
      <c r="U53" s="44">
        <v>11</v>
      </c>
      <c r="V53" s="44">
        <v>10</v>
      </c>
      <c r="W53" s="44">
        <v>9</v>
      </c>
      <c r="X53" s="44">
        <v>7</v>
      </c>
      <c r="Y53" s="44">
        <v>10</v>
      </c>
      <c r="Z53" s="44">
        <v>4</v>
      </c>
      <c r="AA53" s="44">
        <v>-8</v>
      </c>
      <c r="AB53" s="45">
        <f t="shared" si="30"/>
        <v>55</v>
      </c>
      <c r="AC53" s="33">
        <f t="shared" si="31"/>
        <v>5.5</v>
      </c>
      <c r="AD53" s="44">
        <v>11</v>
      </c>
      <c r="AE53" s="44">
        <v>-2</v>
      </c>
      <c r="AF53" s="44">
        <v>5</v>
      </c>
      <c r="AG53" s="44">
        <v>10</v>
      </c>
      <c r="AH53" s="44">
        <v>3</v>
      </c>
      <c r="AI53" s="44">
        <v>7</v>
      </c>
      <c r="AJ53" s="44">
        <v>9</v>
      </c>
      <c r="AK53" s="44">
        <v>-4</v>
      </c>
      <c r="AL53" s="45">
        <f t="shared" si="32"/>
        <v>39</v>
      </c>
      <c r="AM53" s="33">
        <f t="shared" si="33"/>
        <v>5.57</v>
      </c>
      <c r="AN53" s="34">
        <f t="shared" si="34"/>
        <v>4.67</v>
      </c>
      <c r="AO53" s="35" t="s">
        <v>74</v>
      </c>
      <c r="AP53" s="36">
        <v>450</v>
      </c>
      <c r="AQ53" s="36">
        <v>4000</v>
      </c>
      <c r="AR53" s="36">
        <f t="shared" ca="1" si="48"/>
        <v>54790.024510999996</v>
      </c>
      <c r="AS53" s="36">
        <v>2400</v>
      </c>
      <c r="AT53" s="36">
        <v>2800</v>
      </c>
      <c r="AU53" s="36">
        <v>3700</v>
      </c>
      <c r="AV53" s="36">
        <v>30000</v>
      </c>
      <c r="AW53" s="37">
        <f t="shared" ca="1" si="35"/>
        <v>22.829176879583333</v>
      </c>
      <c r="AX53" s="37">
        <f t="shared" ca="1" si="36"/>
        <v>14.808114732702702</v>
      </c>
      <c r="AY53" s="37">
        <f t="shared" ca="1" si="37"/>
        <v>1.8263341503666666</v>
      </c>
      <c r="AZ53" s="38">
        <v>12000</v>
      </c>
      <c r="BA53" s="39">
        <f t="shared" si="38"/>
        <v>9.3333333333333338E-2</v>
      </c>
      <c r="BB53" s="39">
        <f t="shared" si="39"/>
        <v>2.5</v>
      </c>
      <c r="BC53" s="40">
        <f t="shared" si="40"/>
        <v>0.23333333333333334</v>
      </c>
      <c r="BD53" t="s">
        <v>252</v>
      </c>
      <c r="BE53" s="40">
        <f t="shared" si="41"/>
        <v>9.966033447608158E-3</v>
      </c>
      <c r="BF53" t="s">
        <v>253</v>
      </c>
      <c r="BG53" s="40">
        <f t="shared" si="42"/>
        <v>0.10999233818109388</v>
      </c>
      <c r="BH53" s="41">
        <v>12</v>
      </c>
      <c r="BI53" s="41">
        <v>18</v>
      </c>
      <c r="BJ53" s="42">
        <f t="shared" ca="1" si="49"/>
        <v>137.4227145127214</v>
      </c>
      <c r="BK53" s="42">
        <f t="shared" ca="1" si="50"/>
        <v>356.1961367930619</v>
      </c>
      <c r="BL53" s="40">
        <f t="shared" ca="1" si="43"/>
        <v>-0.12213867021845604</v>
      </c>
      <c r="BM53" s="40">
        <f t="shared" ca="1" si="44"/>
        <v>7.8177013937896112E-2</v>
      </c>
      <c r="BN53" s="43" t="s">
        <v>77</v>
      </c>
      <c r="BO53" s="43" t="s">
        <v>254</v>
      </c>
      <c r="BP53" s="43" t="s">
        <v>176</v>
      </c>
    </row>
    <row r="54" spans="1:68" ht="15" customHeight="1" x14ac:dyDescent="0.25">
      <c r="A54" s="158" t="e" vm="51">
        <v>#VALUE!</v>
      </c>
      <c r="B54" s="25" t="str">
        <f t="array" aca="1" ref="B54" ca="1">_FV(A54,"Símbolo bursátil",TRUE())</f>
        <v>S</v>
      </c>
      <c r="C54" s="26" t="s">
        <v>110</v>
      </c>
      <c r="D54" s="26" t="s">
        <v>111</v>
      </c>
      <c r="E54" s="27" t="str">
        <f t="array" aca="1" ref="E54" ca="1">_FV(A54,"Abreviatura de intercambio",TRUE())</f>
        <v>XNYS</v>
      </c>
      <c r="F54" s="27" t="str">
        <f t="array" aca="1" ref="F54" ca="1">_FV(A54,"Moneda")</f>
        <v>USD</v>
      </c>
      <c r="G54" s="28">
        <f t="array" aca="1" ref="G54" ca="1">_FV(A54,"Precio")</f>
        <v>14.24</v>
      </c>
      <c r="H54" s="29">
        <f t="array" aca="1" ref="H54" ca="1">_FV(A54,"Acciones en circulación",TRUE())/1000000</f>
        <v>340.2765</v>
      </c>
      <c r="I54" s="30">
        <f t="shared" ca="1" si="25"/>
        <v>4845.5373600000003</v>
      </c>
      <c r="J54" s="31">
        <v>1</v>
      </c>
      <c r="K54" s="31">
        <v>4</v>
      </c>
      <c r="L54" s="31">
        <v>2</v>
      </c>
      <c r="M54" s="31">
        <v>-1</v>
      </c>
      <c r="N54" s="31">
        <v>0</v>
      </c>
      <c r="O54" s="31">
        <v>0</v>
      </c>
      <c r="P54" s="31">
        <v>1</v>
      </c>
      <c r="Q54" s="31">
        <v>0</v>
      </c>
      <c r="R54" s="32">
        <f t="shared" si="28"/>
        <v>7</v>
      </c>
      <c r="S54" s="33">
        <f t="shared" si="29"/>
        <v>4.12</v>
      </c>
      <c r="T54" s="31">
        <v>6</v>
      </c>
      <c r="U54" s="31">
        <v>10</v>
      </c>
      <c r="V54" s="31">
        <v>15</v>
      </c>
      <c r="W54" s="31">
        <v>7</v>
      </c>
      <c r="X54" s="31">
        <v>7</v>
      </c>
      <c r="Y54" s="31">
        <v>9</v>
      </c>
      <c r="Z54" s="31">
        <v>5</v>
      </c>
      <c r="AA54" s="31">
        <v>-18</v>
      </c>
      <c r="AB54" s="32">
        <f t="shared" si="30"/>
        <v>41</v>
      </c>
      <c r="AC54" s="33">
        <f t="shared" si="31"/>
        <v>4.0999999999999996</v>
      </c>
      <c r="AD54" s="31">
        <v>9</v>
      </c>
      <c r="AE54" s="31">
        <v>-5</v>
      </c>
      <c r="AF54" s="31">
        <v>7</v>
      </c>
      <c r="AG54" s="31">
        <v>7</v>
      </c>
      <c r="AH54" s="31">
        <v>0</v>
      </c>
      <c r="AI54" s="31">
        <v>6</v>
      </c>
      <c r="AJ54" s="31">
        <v>9</v>
      </c>
      <c r="AK54" s="31">
        <v>-8</v>
      </c>
      <c r="AL54" s="32">
        <f t="shared" si="32"/>
        <v>25</v>
      </c>
      <c r="AM54" s="33">
        <f t="shared" si="33"/>
        <v>3.57</v>
      </c>
      <c r="AN54" s="34">
        <f t="shared" si="34"/>
        <v>3.93</v>
      </c>
      <c r="AO54" s="35" t="s">
        <v>74</v>
      </c>
      <c r="AP54" s="36">
        <v>1100</v>
      </c>
      <c r="AQ54" s="36">
        <v>0</v>
      </c>
      <c r="AR54" s="36">
        <f t="shared" ca="1" si="48"/>
        <v>3745.5373600000003</v>
      </c>
      <c r="AS54" s="36">
        <v>50</v>
      </c>
      <c r="AT54" s="36">
        <v>-20</v>
      </c>
      <c r="AU54" s="36">
        <v>10</v>
      </c>
      <c r="AV54" s="36">
        <v>815</v>
      </c>
      <c r="AW54" s="37">
        <f t="shared" ca="1" si="35"/>
        <v>74.910747200000003</v>
      </c>
      <c r="AX54" s="37">
        <f t="shared" ca="1" si="36"/>
        <v>374.55373600000001</v>
      </c>
      <c r="AY54" s="37">
        <f t="shared" ca="1" si="37"/>
        <v>4.5957513619631909</v>
      </c>
      <c r="AZ54" s="38">
        <v>1500</v>
      </c>
      <c r="BA54" s="39">
        <f t="shared" si="38"/>
        <v>-2.4539877300613498E-2</v>
      </c>
      <c r="BB54" s="39">
        <f t="shared" si="39"/>
        <v>0.54333333333333333</v>
      </c>
      <c r="BC54" s="40">
        <f t="shared" si="40"/>
        <v>-1.3333333333333334E-2</v>
      </c>
      <c r="BD54" t="s">
        <v>255</v>
      </c>
      <c r="BE54" s="40">
        <f t="shared" si="41"/>
        <v>7.8625221439269977E-2</v>
      </c>
      <c r="BF54" t="s">
        <v>256</v>
      </c>
      <c r="BG54" s="40">
        <f t="shared" si="42"/>
        <v>0.30049470405023282</v>
      </c>
      <c r="BH54" s="41">
        <v>18</v>
      </c>
      <c r="BI54" s="41">
        <v>26</v>
      </c>
      <c r="BJ54" s="42">
        <f t="shared" ca="1" si="49"/>
        <v>7.0942307211929121</v>
      </c>
      <c r="BK54" s="42">
        <f t="shared" ca="1" si="50"/>
        <v>17.444636934963185</v>
      </c>
      <c r="BL54" s="40">
        <f t="shared" ca="1" si="43"/>
        <v>-0.13008050434665508</v>
      </c>
      <c r="BM54" s="40">
        <f t="shared" ca="1" si="44"/>
        <v>5.205388986816506E-2</v>
      </c>
      <c r="BN54" s="43" t="s">
        <v>77</v>
      </c>
      <c r="BO54" s="43" t="s">
        <v>257</v>
      </c>
      <c r="BP54" s="43" t="s">
        <v>79</v>
      </c>
    </row>
    <row r="55" spans="1:68" ht="15" customHeight="1" x14ac:dyDescent="0.25">
      <c r="A55" s="158" t="e" vm="52">
        <v>#VALUE!</v>
      </c>
      <c r="B55" s="25" t="str">
        <f t="array" aca="1" ref="B55" ca="1">_FV(A55,"Símbolo bursátil",TRUE())</f>
        <v>TREX</v>
      </c>
      <c r="C55" s="26" t="s">
        <v>195</v>
      </c>
      <c r="D55" s="26" t="s">
        <v>73</v>
      </c>
      <c r="E55" s="27" t="str">
        <f t="array" aca="1" ref="E55" ca="1">_FV(A55,"Abreviatura de intercambio",TRUE())</f>
        <v>XNYS</v>
      </c>
      <c r="F55" s="27" t="str">
        <f t="array" aca="1" ref="F55" ca="1">_FV(A55,"Moneda")</f>
        <v>USD</v>
      </c>
      <c r="G55" s="28">
        <f t="array" aca="1" ref="G55" ca="1">_FV(A55,"Precio")</f>
        <v>41.9</v>
      </c>
      <c r="H55" s="29">
        <f t="array" aca="1" ref="H55" ca="1">_FV(A55,"Acciones en circulación",TRUE())/1000000</f>
        <v>103.889</v>
      </c>
      <c r="I55" s="30">
        <f t="shared" ca="1" si="25"/>
        <v>4352.9490999999998</v>
      </c>
      <c r="J55" s="44">
        <v>1</v>
      </c>
      <c r="K55" s="44">
        <v>4</v>
      </c>
      <c r="L55" s="44">
        <v>1</v>
      </c>
      <c r="M55" s="44">
        <v>0</v>
      </c>
      <c r="N55" s="44">
        <v>-1</v>
      </c>
      <c r="O55" s="44">
        <v>0</v>
      </c>
      <c r="P55" s="44">
        <v>0</v>
      </c>
      <c r="Q55" s="44">
        <v>0</v>
      </c>
      <c r="R55" s="45">
        <f t="shared" si="28"/>
        <v>5</v>
      </c>
      <c r="S55" s="33">
        <f t="shared" si="29"/>
        <v>2.94</v>
      </c>
      <c r="T55" s="44">
        <v>10</v>
      </c>
      <c r="U55" s="44">
        <v>10</v>
      </c>
      <c r="V55" s="44">
        <v>9</v>
      </c>
      <c r="W55" s="44">
        <v>7</v>
      </c>
      <c r="X55" s="44">
        <v>6</v>
      </c>
      <c r="Y55" s="44">
        <v>9</v>
      </c>
      <c r="Z55" s="44">
        <v>4</v>
      </c>
      <c r="AA55" s="44">
        <v>-11</v>
      </c>
      <c r="AB55" s="45">
        <f t="shared" si="30"/>
        <v>44</v>
      </c>
      <c r="AC55" s="33">
        <f t="shared" si="31"/>
        <v>4.4000000000000004</v>
      </c>
      <c r="AD55" s="44">
        <v>10</v>
      </c>
      <c r="AE55" s="44">
        <v>-3</v>
      </c>
      <c r="AF55" s="44">
        <v>5</v>
      </c>
      <c r="AG55" s="44">
        <v>8</v>
      </c>
      <c r="AH55" s="44">
        <v>2</v>
      </c>
      <c r="AI55" s="44">
        <v>6</v>
      </c>
      <c r="AJ55" s="44">
        <v>8</v>
      </c>
      <c r="AK55" s="44">
        <v>-5</v>
      </c>
      <c r="AL55" s="45">
        <f t="shared" si="32"/>
        <v>31</v>
      </c>
      <c r="AM55" s="33">
        <f t="shared" si="33"/>
        <v>4.43</v>
      </c>
      <c r="AN55" s="34">
        <f t="shared" si="34"/>
        <v>3.92</v>
      </c>
      <c r="AO55" s="35" t="s">
        <v>74</v>
      </c>
      <c r="AP55" s="36">
        <v>50</v>
      </c>
      <c r="AQ55" s="36">
        <v>150</v>
      </c>
      <c r="AR55" s="36">
        <f t="shared" ca="1" si="48"/>
        <v>4452.9490999999998</v>
      </c>
      <c r="AS55" s="36">
        <v>190</v>
      </c>
      <c r="AT55" s="36">
        <v>190</v>
      </c>
      <c r="AU55" s="36">
        <v>270</v>
      </c>
      <c r="AV55" s="36">
        <v>1100</v>
      </c>
      <c r="AW55" s="37">
        <f t="shared" ca="1" si="35"/>
        <v>23.436574210526313</v>
      </c>
      <c r="AX55" s="37">
        <f t="shared" ca="1" si="36"/>
        <v>16.492404074074074</v>
      </c>
      <c r="AY55" s="37">
        <f t="shared" ca="1" si="37"/>
        <v>4.0481355454545449</v>
      </c>
      <c r="AZ55" s="38">
        <v>900</v>
      </c>
      <c r="BA55" s="39">
        <f t="shared" si="38"/>
        <v>0.17272727272727273</v>
      </c>
      <c r="BB55" s="39">
        <f t="shared" si="39"/>
        <v>1.2222222222222223</v>
      </c>
      <c r="BC55" s="40">
        <f t="shared" si="40"/>
        <v>0.21111111111111114</v>
      </c>
      <c r="BD55" t="s">
        <v>258</v>
      </c>
      <c r="BE55" s="40">
        <f t="shared" si="41"/>
        <v>0</v>
      </c>
      <c r="BF55" t="s">
        <v>259</v>
      </c>
      <c r="BG55" s="40">
        <f t="shared" si="42"/>
        <v>0.1401066974124392</v>
      </c>
      <c r="BH55" s="41">
        <v>12</v>
      </c>
      <c r="BI55" s="41">
        <v>18</v>
      </c>
      <c r="BJ55" s="42">
        <f t="shared" ca="1" si="49"/>
        <v>20.983934776540348</v>
      </c>
      <c r="BK55" s="42">
        <f t="shared" ca="1" si="50"/>
        <v>62.451270105593473</v>
      </c>
      <c r="BL55" s="40">
        <f t="shared" ca="1" si="43"/>
        <v>-0.12916759597242133</v>
      </c>
      <c r="BM55" s="40">
        <f t="shared" ca="1" si="44"/>
        <v>0.10492248904541479</v>
      </c>
      <c r="BN55" s="43" t="s">
        <v>77</v>
      </c>
      <c r="BO55" s="43" t="s">
        <v>260</v>
      </c>
      <c r="BP55" s="43" t="s">
        <v>154</v>
      </c>
    </row>
    <row r="56" spans="1:68" ht="15" customHeight="1" x14ac:dyDescent="0.25">
      <c r="A56" s="158" t="e" vm="53">
        <v>#VALUE!</v>
      </c>
      <c r="B56" s="25" t="str">
        <f t="array" aca="1" ref="B56" ca="1">_FV(A56,"Símbolo bursátil",TRUE())</f>
        <v>SGO</v>
      </c>
      <c r="C56" s="26" t="s">
        <v>195</v>
      </c>
      <c r="D56" s="26" t="s">
        <v>235</v>
      </c>
      <c r="E56" s="27" t="str">
        <f t="array" aca="1" ref="E56" ca="1">_FV(A56,"Abreviatura de intercambio",TRUE())</f>
        <v>XPAR</v>
      </c>
      <c r="F56" s="27" t="str">
        <f t="array" aca="1" ref="F56" ca="1">_FV(A56,"Moneda")</f>
        <v>EUR</v>
      </c>
      <c r="G56" s="28">
        <f t="array" aca="1" ref="G56" ca="1">_FV(A56,"Precio")</f>
        <v>77.540000000000006</v>
      </c>
      <c r="H56" s="29">
        <f t="array" aca="1" ref="H56" ca="1">_FV(A56,"Acciones en circulación",TRUE())/1000000</f>
        <v>494.82530000000003</v>
      </c>
      <c r="I56" s="30">
        <f t="shared" ca="1" si="25"/>
        <v>38368.753762000008</v>
      </c>
      <c r="J56" s="31">
        <v>0</v>
      </c>
      <c r="K56" s="31">
        <v>4</v>
      </c>
      <c r="L56" s="31">
        <v>1</v>
      </c>
      <c r="M56" s="31">
        <v>0</v>
      </c>
      <c r="N56" s="31">
        <v>0</v>
      </c>
      <c r="O56" s="31">
        <v>0</v>
      </c>
      <c r="P56" s="31">
        <v>0</v>
      </c>
      <c r="Q56" s="31">
        <v>0</v>
      </c>
      <c r="R56" s="32">
        <f t="shared" si="28"/>
        <v>5</v>
      </c>
      <c r="S56" s="33">
        <f t="shared" si="29"/>
        <v>2.94</v>
      </c>
      <c r="T56" s="31">
        <v>10</v>
      </c>
      <c r="U56" s="31">
        <v>10</v>
      </c>
      <c r="V56" s="31">
        <v>9</v>
      </c>
      <c r="W56" s="31">
        <v>8</v>
      </c>
      <c r="X56" s="31">
        <v>6</v>
      </c>
      <c r="Y56" s="31">
        <v>9</v>
      </c>
      <c r="Z56" s="31">
        <v>4</v>
      </c>
      <c r="AA56" s="31">
        <v>-11</v>
      </c>
      <c r="AB56" s="32">
        <f t="shared" si="30"/>
        <v>45</v>
      </c>
      <c r="AC56" s="33">
        <f t="shared" si="31"/>
        <v>4.5</v>
      </c>
      <c r="AD56" s="31">
        <v>10</v>
      </c>
      <c r="AE56" s="31">
        <v>-3</v>
      </c>
      <c r="AF56" s="31">
        <v>3</v>
      </c>
      <c r="AG56" s="31">
        <v>8</v>
      </c>
      <c r="AH56" s="31">
        <v>1</v>
      </c>
      <c r="AI56" s="31">
        <v>6</v>
      </c>
      <c r="AJ56" s="31">
        <v>8</v>
      </c>
      <c r="AK56" s="31">
        <v>-6</v>
      </c>
      <c r="AL56" s="32">
        <f t="shared" si="32"/>
        <v>27</v>
      </c>
      <c r="AM56" s="33">
        <f t="shared" si="33"/>
        <v>3.86</v>
      </c>
      <c r="AN56" s="34">
        <f t="shared" si="34"/>
        <v>3.77</v>
      </c>
      <c r="AO56" s="35" t="s">
        <v>86</v>
      </c>
      <c r="AP56" s="36">
        <v>6500</v>
      </c>
      <c r="AQ56" s="36">
        <v>15000</v>
      </c>
      <c r="AR56" s="36">
        <f t="shared" ca="1" si="48"/>
        <v>46868.753762000008</v>
      </c>
      <c r="AS56" s="36">
        <v>2400</v>
      </c>
      <c r="AT56" s="36">
        <v>3000</v>
      </c>
      <c r="AU56" s="36">
        <v>6800</v>
      </c>
      <c r="AV56" s="36">
        <v>46600</v>
      </c>
      <c r="AW56" s="37">
        <f t="shared" ca="1" si="35"/>
        <v>19.528647400833336</v>
      </c>
      <c r="AX56" s="37">
        <f t="shared" ca="1" si="36"/>
        <v>6.8924637885294127</v>
      </c>
      <c r="AY56" s="37">
        <f t="shared" ca="1" si="37"/>
        <v>1.0057672481115882</v>
      </c>
      <c r="AZ56" s="38">
        <v>28000</v>
      </c>
      <c r="BA56" s="39">
        <f t="shared" si="38"/>
        <v>6.4377682403433473E-2</v>
      </c>
      <c r="BB56" s="39">
        <f t="shared" si="39"/>
        <v>1.6642857142857144</v>
      </c>
      <c r="BC56" s="40">
        <f t="shared" si="40"/>
        <v>0.10714285714285714</v>
      </c>
      <c r="BD56" t="s">
        <v>252</v>
      </c>
      <c r="BE56" s="40">
        <f t="shared" si="41"/>
        <v>9.966033447608158E-3</v>
      </c>
      <c r="BF56" t="s">
        <v>261</v>
      </c>
      <c r="BG56" s="40">
        <f t="shared" si="42"/>
        <v>9.001785812014429E-2</v>
      </c>
      <c r="BH56" s="41">
        <v>12</v>
      </c>
      <c r="BI56" s="41">
        <v>16</v>
      </c>
      <c r="BJ56" s="42">
        <f t="shared" ca="1" si="49"/>
        <v>43.983199727257272</v>
      </c>
      <c r="BK56" s="42">
        <f t="shared" ca="1" si="50"/>
        <v>102.23406119290989</v>
      </c>
      <c r="BL56" s="40">
        <f t="shared" ca="1" si="43"/>
        <v>-0.10720406380977077</v>
      </c>
      <c r="BM56" s="40">
        <f t="shared" ca="1" si="44"/>
        <v>7.1562370093176897E-2</v>
      </c>
      <c r="BN56" s="43" t="s">
        <v>77</v>
      </c>
      <c r="BO56" s="43" t="s">
        <v>114</v>
      </c>
      <c r="BP56" s="43" t="s">
        <v>126</v>
      </c>
    </row>
    <row r="57" spans="1:68" ht="15" customHeight="1" x14ac:dyDescent="0.25">
      <c r="A57" s="158" t="e" vm="54">
        <v>#VALUE!</v>
      </c>
      <c r="B57" s="25" t="str">
        <f t="array" aca="1" ref="B57" ca="1">_FV(A57,"Símbolo bursátil",TRUE())</f>
        <v>TFF</v>
      </c>
      <c r="C57" s="26" t="s">
        <v>211</v>
      </c>
      <c r="D57" s="26" t="s">
        <v>235</v>
      </c>
      <c r="E57" s="27" t="str">
        <f t="array" aca="1" ref="E57" ca="1">_FV(A57,"Abreviatura de intercambio",TRUE())</f>
        <v>XPAR</v>
      </c>
      <c r="F57" s="27" t="str">
        <f t="array" aca="1" ref="F57" ca="1">_FV(A57,"Moneda")</f>
        <v>EUR</v>
      </c>
      <c r="G57" s="28">
        <f t="array" aca="1" ref="G57" ca="1">_FV(A57,"Precio")</f>
        <v>16.12</v>
      </c>
      <c r="H57" s="29">
        <f t="array" aca="1" ref="H57" ca="1">_FV(A57,"Acciones en circulación",TRUE())/1000000</f>
        <v>21.68</v>
      </c>
      <c r="I57" s="30">
        <f t="shared" ca="1" si="25"/>
        <v>349.48160000000001</v>
      </c>
      <c r="J57" s="44">
        <v>0</v>
      </c>
      <c r="K57" s="44">
        <v>5</v>
      </c>
      <c r="L57" s="44">
        <v>1</v>
      </c>
      <c r="M57" s="44">
        <v>-1</v>
      </c>
      <c r="N57" s="44">
        <v>-2</v>
      </c>
      <c r="O57" s="44">
        <v>0</v>
      </c>
      <c r="P57" s="44">
        <v>0</v>
      </c>
      <c r="Q57" s="44">
        <v>1</v>
      </c>
      <c r="R57" s="45">
        <f t="shared" si="28"/>
        <v>4</v>
      </c>
      <c r="S57" s="33">
        <f t="shared" si="29"/>
        <v>2.35</v>
      </c>
      <c r="T57" s="44">
        <v>7</v>
      </c>
      <c r="U57" s="44">
        <v>11</v>
      </c>
      <c r="V57" s="44">
        <v>7</v>
      </c>
      <c r="W57" s="44">
        <v>6</v>
      </c>
      <c r="X57" s="44">
        <v>5</v>
      </c>
      <c r="Y57" s="44">
        <v>9</v>
      </c>
      <c r="Z57" s="44">
        <v>8</v>
      </c>
      <c r="AA57" s="44">
        <v>-13</v>
      </c>
      <c r="AB57" s="45">
        <f t="shared" si="30"/>
        <v>40</v>
      </c>
      <c r="AC57" s="33">
        <f t="shared" si="31"/>
        <v>4</v>
      </c>
      <c r="AD57" s="44">
        <v>9</v>
      </c>
      <c r="AE57" s="44">
        <v>-4</v>
      </c>
      <c r="AF57" s="44">
        <v>3</v>
      </c>
      <c r="AG57" s="44">
        <v>8</v>
      </c>
      <c r="AH57" s="44">
        <v>-1</v>
      </c>
      <c r="AI57" s="44">
        <v>7</v>
      </c>
      <c r="AJ57" s="44">
        <v>9</v>
      </c>
      <c r="AK57" s="44">
        <v>-6</v>
      </c>
      <c r="AL57" s="45">
        <f t="shared" si="32"/>
        <v>25</v>
      </c>
      <c r="AM57" s="33">
        <f t="shared" si="33"/>
        <v>3.57</v>
      </c>
      <c r="AN57" s="34">
        <f t="shared" si="34"/>
        <v>3.31</v>
      </c>
      <c r="AO57" s="35" t="s">
        <v>86</v>
      </c>
      <c r="AP57" s="36">
        <v>25</v>
      </c>
      <c r="AQ57" s="36">
        <v>365</v>
      </c>
      <c r="AR57" s="36">
        <f t="shared" ca="1" si="48"/>
        <v>689.48160000000007</v>
      </c>
      <c r="AS57" s="36">
        <v>25</v>
      </c>
      <c r="AT57" s="36">
        <v>20</v>
      </c>
      <c r="AU57" s="36">
        <v>55</v>
      </c>
      <c r="AV57" s="36">
        <v>320</v>
      </c>
      <c r="AW57" s="37">
        <f t="shared" ca="1" si="35"/>
        <v>27.579264000000002</v>
      </c>
      <c r="AX57" s="37">
        <f t="shared" ca="1" si="36"/>
        <v>12.536029090909093</v>
      </c>
      <c r="AY57" s="37">
        <f t="shared" ca="1" si="37"/>
        <v>2.15463</v>
      </c>
      <c r="AZ57" s="38">
        <v>500</v>
      </c>
      <c r="BA57" s="39">
        <f t="shared" si="38"/>
        <v>6.25E-2</v>
      </c>
      <c r="BB57" s="39">
        <f t="shared" si="39"/>
        <v>0.64</v>
      </c>
      <c r="BC57" s="40">
        <f t="shared" si="40"/>
        <v>0.04</v>
      </c>
      <c r="BD57" t="s">
        <v>262</v>
      </c>
      <c r="BE57" s="40">
        <f t="shared" si="41"/>
        <v>0</v>
      </c>
      <c r="BF57" t="s">
        <v>263</v>
      </c>
      <c r="BG57" s="40">
        <f t="shared" si="42"/>
        <v>0.11970220528043152</v>
      </c>
      <c r="BH57" s="41">
        <v>6</v>
      </c>
      <c r="BI57" s="41">
        <v>12.5</v>
      </c>
      <c r="BJ57" s="42">
        <f t="shared" ca="1" si="49"/>
        <v>-8.7638376383763834</v>
      </c>
      <c r="BK57" s="42">
        <f t="shared" ca="1" si="50"/>
        <v>9.6863468634686356</v>
      </c>
      <c r="BL57" s="40">
        <f t="shared" ca="1" si="43"/>
        <v>-1.8852498403825659</v>
      </c>
      <c r="BM57" s="40">
        <f t="shared" ca="1" si="44"/>
        <v>-0.11956206838434214</v>
      </c>
      <c r="BN57" s="43" t="s">
        <v>77</v>
      </c>
      <c r="BO57" s="43" t="s">
        <v>167</v>
      </c>
      <c r="BP57" s="43" t="s">
        <v>167</v>
      </c>
    </row>
    <row r="58" spans="1:68" ht="15" customHeight="1" x14ac:dyDescent="0.25">
      <c r="A58" s="158" t="e" vm="55">
        <v>#VALUE!</v>
      </c>
      <c r="B58" s="25" t="str">
        <f t="array" aca="1" ref="B58" ca="1">_FV(A58,"Símbolo bursátil",TRUE())</f>
        <v>CELH</v>
      </c>
      <c r="C58" s="26" t="s">
        <v>127</v>
      </c>
      <c r="D58" s="26" t="s">
        <v>111</v>
      </c>
      <c r="E58" s="27" t="str">
        <f t="array" aca="1" ref="E58" ca="1">_FV(A58,"Abreviatura de intercambio",TRUE())</f>
        <v>XNAS</v>
      </c>
      <c r="F58" s="27" t="str">
        <f t="array" aca="1" ref="F58" ca="1">_FV(A58,"Moneda")</f>
        <v>USD</v>
      </c>
      <c r="G58" s="28">
        <f t="array" aca="1" ref="G58" ca="1">_FV(A58,"Precio")</f>
        <v>34.590000000000003</v>
      </c>
      <c r="H58" s="29">
        <f t="array" aca="1" ref="H58" ca="1">_FV(A58,"Acciones en circulación",TRUE())/1000000</f>
        <v>256.89609999999999</v>
      </c>
      <c r="I58" s="30">
        <f t="shared" ca="1" si="25"/>
        <v>8886.0360990000008</v>
      </c>
      <c r="J58" s="31">
        <v>0</v>
      </c>
      <c r="K58" s="31">
        <v>4</v>
      </c>
      <c r="L58" s="31">
        <v>2</v>
      </c>
      <c r="M58" s="31">
        <v>0</v>
      </c>
      <c r="N58" s="31">
        <v>-2</v>
      </c>
      <c r="O58" s="31">
        <v>0</v>
      </c>
      <c r="P58" s="31">
        <v>0</v>
      </c>
      <c r="Q58" s="31">
        <v>0</v>
      </c>
      <c r="R58" s="32">
        <f t="shared" si="28"/>
        <v>4</v>
      </c>
      <c r="S58" s="33">
        <f t="shared" si="29"/>
        <v>2.35</v>
      </c>
      <c r="T58" s="31">
        <v>10</v>
      </c>
      <c r="U58" s="31">
        <v>9</v>
      </c>
      <c r="V58" s="31">
        <v>11</v>
      </c>
      <c r="W58" s="31">
        <v>6</v>
      </c>
      <c r="X58" s="31">
        <v>6</v>
      </c>
      <c r="Y58" s="31">
        <v>8</v>
      </c>
      <c r="Z58" s="31">
        <v>4</v>
      </c>
      <c r="AA58" s="31">
        <v>-16</v>
      </c>
      <c r="AB58" s="32">
        <f t="shared" si="30"/>
        <v>38</v>
      </c>
      <c r="AC58" s="33">
        <f t="shared" si="31"/>
        <v>3.8</v>
      </c>
      <c r="AD58" s="31">
        <v>8</v>
      </c>
      <c r="AE58" s="31">
        <v>-4</v>
      </c>
      <c r="AF58" s="31">
        <v>7</v>
      </c>
      <c r="AG58" s="31">
        <v>7</v>
      </c>
      <c r="AH58" s="31">
        <v>2</v>
      </c>
      <c r="AI58" s="31">
        <v>5</v>
      </c>
      <c r="AJ58" s="31">
        <v>7</v>
      </c>
      <c r="AK58" s="31">
        <v>-7</v>
      </c>
      <c r="AL58" s="32">
        <f t="shared" si="32"/>
        <v>25</v>
      </c>
      <c r="AM58" s="33">
        <f t="shared" si="33"/>
        <v>3.57</v>
      </c>
      <c r="AN58" s="34">
        <f t="shared" si="34"/>
        <v>3.24</v>
      </c>
      <c r="AO58" s="35" t="s">
        <v>74</v>
      </c>
      <c r="AP58" s="36">
        <v>920</v>
      </c>
      <c r="AQ58" s="36">
        <v>0</v>
      </c>
      <c r="AR58" s="36">
        <f t="shared" ca="1" si="48"/>
        <v>7966.0360990000008</v>
      </c>
      <c r="AS58" s="36">
        <v>220</v>
      </c>
      <c r="AT58" s="36">
        <v>180</v>
      </c>
      <c r="AU58" s="36">
        <v>270</v>
      </c>
      <c r="AV58" s="36">
        <v>1400</v>
      </c>
      <c r="AW58" s="37">
        <f t="shared" ca="1" si="35"/>
        <v>36.20925499545455</v>
      </c>
      <c r="AX58" s="37">
        <f t="shared" ca="1" si="36"/>
        <v>29.503837403703706</v>
      </c>
      <c r="AY58" s="37">
        <f t="shared" ca="1" si="37"/>
        <v>5.6900257850000004</v>
      </c>
      <c r="AZ58" s="38">
        <v>600</v>
      </c>
      <c r="BA58" s="39">
        <f t="shared" si="38"/>
        <v>0.12857142857142856</v>
      </c>
      <c r="BB58" s="39">
        <f t="shared" si="39"/>
        <v>2.3333333333333335</v>
      </c>
      <c r="BC58" s="40">
        <f t="shared" si="40"/>
        <v>0.3</v>
      </c>
      <c r="BD58" t="s">
        <v>264</v>
      </c>
      <c r="BE58" s="40">
        <f t="shared" si="41"/>
        <v>7.9831440532173836E-2</v>
      </c>
      <c r="BF58" t="s">
        <v>265</v>
      </c>
      <c r="BG58" s="40">
        <f t="shared" si="42"/>
        <v>0.30004945974509623</v>
      </c>
      <c r="BH58" s="41">
        <v>16</v>
      </c>
      <c r="BI58" s="41">
        <v>22.5</v>
      </c>
      <c r="BJ58" s="42">
        <f t="shared" ca="1" si="49"/>
        <v>23.698296704387495</v>
      </c>
      <c r="BK58" s="42">
        <f t="shared" ca="1" si="50"/>
        <v>75.137380442910583</v>
      </c>
      <c r="BL58" s="40">
        <f t="shared" ca="1" si="43"/>
        <v>-7.2842930521081262E-2</v>
      </c>
      <c r="BM58" s="40">
        <f t="shared" ca="1" si="44"/>
        <v>0.21402148303949287</v>
      </c>
      <c r="BN58" s="43" t="s">
        <v>77</v>
      </c>
      <c r="BO58" s="43" t="s">
        <v>114</v>
      </c>
      <c r="BP58" s="43" t="s">
        <v>203</v>
      </c>
    </row>
    <row r="59" spans="1:68" ht="15" customHeight="1" x14ac:dyDescent="0.25">
      <c r="A59" s="158" t="e" vm="56">
        <v>#VALUE!</v>
      </c>
      <c r="B59" s="25" t="str">
        <f t="array" aca="1" ref="B59" ca="1">_FV(A59,"Símbolo bursátil",TRUE())</f>
        <v>BFIT</v>
      </c>
      <c r="C59" s="26" t="s">
        <v>191</v>
      </c>
      <c r="D59" s="26" t="s">
        <v>111</v>
      </c>
      <c r="E59" s="27" t="str">
        <f t="array" aca="1" ref="E59" ca="1">_FV(A59,"Abreviatura de intercambio",TRUE())</f>
        <v>XAMS</v>
      </c>
      <c r="F59" s="27" t="str">
        <f t="array" aca="1" ref="F59" ca="1">_FV(A59,"Moneda")</f>
        <v>EUR</v>
      </c>
      <c r="G59" s="28">
        <f t="array" aca="1" ref="G59" ca="1">_FV(A59,"Precio")</f>
        <v>30.14</v>
      </c>
      <c r="H59" s="29">
        <f t="array" aca="1" ref="H59" ca="1">_FV(A59,"Acciones en circulación",TRUE())/1000000</f>
        <v>66</v>
      </c>
      <c r="I59" s="30">
        <f t="shared" ca="1" si="25"/>
        <v>1989.24</v>
      </c>
      <c r="J59" s="44">
        <v>0</v>
      </c>
      <c r="K59" s="44">
        <v>4</v>
      </c>
      <c r="L59" s="44">
        <v>1</v>
      </c>
      <c r="M59" s="44">
        <v>-1</v>
      </c>
      <c r="N59" s="44">
        <v>0</v>
      </c>
      <c r="O59" s="44">
        <v>0</v>
      </c>
      <c r="P59" s="44">
        <v>0</v>
      </c>
      <c r="Q59" s="44">
        <v>0</v>
      </c>
      <c r="R59" s="45">
        <f t="shared" si="28"/>
        <v>4</v>
      </c>
      <c r="S59" s="33">
        <f t="shared" si="29"/>
        <v>2.35</v>
      </c>
      <c r="T59" s="44">
        <v>7</v>
      </c>
      <c r="U59" s="44">
        <v>9</v>
      </c>
      <c r="V59" s="44">
        <v>10</v>
      </c>
      <c r="W59" s="44">
        <v>8</v>
      </c>
      <c r="X59" s="44">
        <v>6</v>
      </c>
      <c r="Y59" s="44">
        <v>9</v>
      </c>
      <c r="Z59" s="44">
        <v>5</v>
      </c>
      <c r="AA59" s="44">
        <v>-15</v>
      </c>
      <c r="AB59" s="45">
        <f t="shared" si="30"/>
        <v>39</v>
      </c>
      <c r="AC59" s="33">
        <f t="shared" si="31"/>
        <v>3.9</v>
      </c>
      <c r="AD59" s="44">
        <v>8</v>
      </c>
      <c r="AE59" s="44">
        <v>-5</v>
      </c>
      <c r="AF59" s="44">
        <v>2</v>
      </c>
      <c r="AG59" s="44">
        <v>8</v>
      </c>
      <c r="AH59" s="44">
        <v>-2</v>
      </c>
      <c r="AI59" s="44">
        <v>6</v>
      </c>
      <c r="AJ59" s="44">
        <v>8</v>
      </c>
      <c r="AK59" s="44">
        <v>-7</v>
      </c>
      <c r="AL59" s="45">
        <f t="shared" si="32"/>
        <v>18</v>
      </c>
      <c r="AM59" s="33">
        <f t="shared" si="33"/>
        <v>2.57</v>
      </c>
      <c r="AN59" s="34">
        <f t="shared" si="34"/>
        <v>2.94</v>
      </c>
      <c r="AO59" s="35" t="s">
        <v>86</v>
      </c>
      <c r="AP59" s="36">
        <v>40</v>
      </c>
      <c r="AQ59" s="36">
        <v>740</v>
      </c>
      <c r="AR59" s="36">
        <f t="shared" ca="1" si="48"/>
        <v>2689.24</v>
      </c>
      <c r="AS59" s="36">
        <v>80</v>
      </c>
      <c r="AT59" s="36">
        <v>50</v>
      </c>
      <c r="AU59" s="36">
        <v>260</v>
      </c>
      <c r="AV59" s="36">
        <v>1250</v>
      </c>
      <c r="AW59" s="37">
        <f t="shared" ca="1" si="35"/>
        <v>33.615499999999997</v>
      </c>
      <c r="AX59" s="37">
        <f t="shared" ca="1" si="36"/>
        <v>10.343230769230768</v>
      </c>
      <c r="AY59" s="37">
        <f t="shared" ca="1" si="37"/>
        <v>2.151392</v>
      </c>
      <c r="AZ59" s="38">
        <v>1500</v>
      </c>
      <c r="BA59" s="39">
        <f t="shared" si="38"/>
        <v>0.04</v>
      </c>
      <c r="BB59" s="39">
        <f t="shared" si="39"/>
        <v>0.83333333333333337</v>
      </c>
      <c r="BC59" s="40">
        <f t="shared" si="40"/>
        <v>3.3333333333333333E-2</v>
      </c>
      <c r="BD59" t="s">
        <v>266</v>
      </c>
      <c r="BE59" s="40">
        <f t="shared" si="41"/>
        <v>1.9244876491456564E-2</v>
      </c>
      <c r="BF59" t="s">
        <v>267</v>
      </c>
      <c r="BG59" s="40">
        <f t="shared" si="42"/>
        <v>0.15996225865400127</v>
      </c>
      <c r="BH59" s="41">
        <v>12</v>
      </c>
      <c r="BI59" s="41">
        <v>18</v>
      </c>
      <c r="BJ59" s="42">
        <f t="shared" ca="1" si="49"/>
        <v>5.3939393939393936</v>
      </c>
      <c r="BK59" s="42">
        <f t="shared" ca="1" si="50"/>
        <v>35.212121212121211</v>
      </c>
      <c r="BL59" s="40">
        <f t="shared" ca="1" si="43"/>
        <v>-0.29115290660231352</v>
      </c>
      <c r="BM59" s="40">
        <f t="shared" ca="1" si="44"/>
        <v>3.9650184680105394E-2</v>
      </c>
      <c r="BN59" s="43" t="s">
        <v>77</v>
      </c>
      <c r="BO59" s="43" t="s">
        <v>103</v>
      </c>
      <c r="BP59" s="43" t="s">
        <v>268</v>
      </c>
    </row>
    <row r="60" spans="1:68" ht="15" customHeight="1" x14ac:dyDescent="0.25">
      <c r="A60" s="158" t="e" vm="57">
        <v>#VALUE!</v>
      </c>
      <c r="B60" s="25" t="str">
        <f t="array" aca="1" ref="B60" ca="1">_FV(A60,"Símbolo bursátil",TRUE())</f>
        <v>VRLA</v>
      </c>
      <c r="C60" s="26" t="s">
        <v>211</v>
      </c>
      <c r="D60" s="26" t="s">
        <v>235</v>
      </c>
      <c r="E60" s="27" t="str">
        <f t="array" aca="1" ref="E60" ca="1">_FV(A60,"Abreviatura de intercambio",TRUE())</f>
        <v>XWBO</v>
      </c>
      <c r="F60" s="27" t="str">
        <f t="array" aca="1" ref="F60" ca="1">_FV(A60,"Moneda")</f>
        <v>EUR</v>
      </c>
      <c r="G60" s="28">
        <f t="array" aca="1" ref="G60" ca="1">_FV(A60,"Precio")</f>
        <v>18.41</v>
      </c>
      <c r="H60" s="29">
        <f t="array" aca="1" ref="H60" ca="1">_FV(A60,"Acciones en circulación",TRUE())/1000000</f>
        <v>120.8051</v>
      </c>
      <c r="I60" s="30">
        <f t="shared" ca="1" si="25"/>
        <v>2224.0218909999999</v>
      </c>
      <c r="J60" s="31">
        <v>0.75</v>
      </c>
      <c r="K60" s="31">
        <v>5.5</v>
      </c>
      <c r="L60" s="31">
        <v>0.5</v>
      </c>
      <c r="M60" s="31">
        <v>-0.75</v>
      </c>
      <c r="N60" s="31">
        <v>-0.75</v>
      </c>
      <c r="O60" s="31">
        <v>0</v>
      </c>
      <c r="P60" s="31">
        <v>0</v>
      </c>
      <c r="Q60" s="31">
        <v>0</v>
      </c>
      <c r="R60" s="32">
        <f t="shared" si="28"/>
        <v>5.25</v>
      </c>
      <c r="S60" s="33">
        <f t="shared" si="29"/>
        <v>3.09</v>
      </c>
      <c r="T60" s="31">
        <v>9</v>
      </c>
      <c r="U60" s="31">
        <v>11</v>
      </c>
      <c r="V60" s="31">
        <v>8</v>
      </c>
      <c r="W60" s="31">
        <v>6.5</v>
      </c>
      <c r="X60" s="31">
        <v>6.5</v>
      </c>
      <c r="Y60" s="31">
        <v>9</v>
      </c>
      <c r="Z60" s="31">
        <v>5</v>
      </c>
      <c r="AA60" s="31">
        <v>-18</v>
      </c>
      <c r="AB60" s="32">
        <f t="shared" si="30"/>
        <v>37</v>
      </c>
      <c r="AC60" s="33">
        <f t="shared" si="31"/>
        <v>3.7</v>
      </c>
      <c r="AD60" s="31">
        <v>12</v>
      </c>
      <c r="AE60" s="31">
        <v>-2</v>
      </c>
      <c r="AF60" s="31">
        <v>3</v>
      </c>
      <c r="AG60" s="31">
        <v>9</v>
      </c>
      <c r="AH60" s="31">
        <v>0</v>
      </c>
      <c r="AI60" s="31">
        <v>7</v>
      </c>
      <c r="AJ60" s="31">
        <v>9</v>
      </c>
      <c r="AK60" s="31">
        <v>-6</v>
      </c>
      <c r="AL60" s="32">
        <f t="shared" si="32"/>
        <v>32</v>
      </c>
      <c r="AM60" s="33">
        <f t="shared" si="33"/>
        <v>4.57</v>
      </c>
      <c r="AN60" s="34">
        <f t="shared" si="34"/>
        <v>3.79</v>
      </c>
      <c r="AO60" s="35" t="s">
        <v>86</v>
      </c>
      <c r="AP60" s="36">
        <v>365</v>
      </c>
      <c r="AQ60" s="36">
        <v>2261</v>
      </c>
      <c r="AR60" s="36">
        <f t="shared" ca="1" si="48"/>
        <v>4120.0218910000003</v>
      </c>
      <c r="AS60" s="36">
        <v>249</v>
      </c>
      <c r="AT60" s="36">
        <v>270</v>
      </c>
      <c r="AU60" s="36">
        <v>704</v>
      </c>
      <c r="AV60" s="36">
        <v>3311</v>
      </c>
      <c r="AW60" s="37">
        <f t="shared" ca="1" si="35"/>
        <v>16.546272654618477</v>
      </c>
      <c r="AX60" s="37">
        <f t="shared" ca="1" si="36"/>
        <v>5.852303822443182</v>
      </c>
      <c r="AY60" s="37">
        <f t="shared" ca="1" si="37"/>
        <v>1.2443436698882513</v>
      </c>
      <c r="AZ60" s="38">
        <v>3400</v>
      </c>
      <c r="BA60" s="39">
        <f t="shared" si="38"/>
        <v>8.1546360616128064E-2</v>
      </c>
      <c r="BB60" s="39">
        <f t="shared" si="39"/>
        <v>0.97382352941176475</v>
      </c>
      <c r="BC60" s="40">
        <f t="shared" si="40"/>
        <v>7.9411764705882362E-2</v>
      </c>
      <c r="BD60">
        <v>300</v>
      </c>
      <c r="BE60" s="40">
        <f t="shared" si="41"/>
        <v>3.7968996331624982E-2</v>
      </c>
      <c r="BF60">
        <v>490</v>
      </c>
      <c r="BG60" s="40">
        <f t="shared" si="42"/>
        <v>0.1449838120148832</v>
      </c>
      <c r="BH60" s="41">
        <v>8</v>
      </c>
      <c r="BI60" s="41">
        <v>15</v>
      </c>
      <c r="BJ60" s="42">
        <f t="shared" ca="1" si="49"/>
        <v>4.1720092943095946</v>
      </c>
      <c r="BK60" s="42">
        <f t="shared" ca="1" si="50"/>
        <v>45.147100577707398</v>
      </c>
      <c r="BL60" s="40">
        <f t="shared" ca="1" si="43"/>
        <v>-0.25688111925853641</v>
      </c>
      <c r="BM60" s="40">
        <f t="shared" ca="1" si="44"/>
        <v>0.25139385773074308</v>
      </c>
      <c r="BN60" s="43" t="s">
        <v>77</v>
      </c>
      <c r="BO60" s="43" t="s">
        <v>189</v>
      </c>
      <c r="BP60" s="43" t="s">
        <v>268</v>
      </c>
    </row>
    <row r="61" spans="1:68" ht="15" customHeight="1" x14ac:dyDescent="0.25">
      <c r="A61" s="158" t="e" vm="58">
        <v>#VALUE!</v>
      </c>
      <c r="B61" s="25" t="str">
        <f t="array" aca="1" ref="B61" ca="1">_FV(A61,"Símbolo bursátil",TRUE())</f>
        <v>KIST</v>
      </c>
      <c r="C61" s="26" t="s">
        <v>242</v>
      </c>
      <c r="D61" s="26" t="s">
        <v>243</v>
      </c>
      <c r="E61" s="27" t="str">
        <f t="array" aca="1" ref="E61" ca="1">_FV(A61,"Abreviatura de intercambio",TRUE())</f>
        <v>XLON</v>
      </c>
      <c r="F61" s="27" t="str">
        <f t="array" aca="1" ref="F61" ca="1">_FV(A61,"Moneda")</f>
        <v>GBp</v>
      </c>
      <c r="G61" s="28">
        <f t="array" aca="1" ref="G61" ca="1">_FV(A61,"Precio")</f>
        <v>308</v>
      </c>
      <c r="H61" s="29">
        <f t="array" aca="1" ref="H61" ca="1">_FV(A61,"Acciones en circulación",TRUE())/1000000</f>
        <v>83.117649999999998</v>
      </c>
      <c r="I61" s="30">
        <f ca="1">G61/100*H61</f>
        <v>256.00236200000001</v>
      </c>
      <c r="J61" s="44">
        <v>0</v>
      </c>
      <c r="K61" s="44">
        <v>2</v>
      </c>
      <c r="L61" s="44">
        <v>1</v>
      </c>
      <c r="M61" s="44">
        <v>0</v>
      </c>
      <c r="N61" s="44">
        <v>-2</v>
      </c>
      <c r="O61" s="44">
        <v>0</v>
      </c>
      <c r="P61" s="44">
        <v>1</v>
      </c>
      <c r="Q61" s="44">
        <v>1</v>
      </c>
      <c r="R61" s="45">
        <f t="shared" si="28"/>
        <v>3</v>
      </c>
      <c r="S61" s="33">
        <f t="shared" si="29"/>
        <v>1.76</v>
      </c>
      <c r="T61" s="44">
        <v>9</v>
      </c>
      <c r="U61" s="44">
        <v>5</v>
      </c>
      <c r="V61" s="44">
        <v>8</v>
      </c>
      <c r="W61" s="44">
        <v>5</v>
      </c>
      <c r="X61" s="44">
        <v>4</v>
      </c>
      <c r="Y61" s="44">
        <v>10</v>
      </c>
      <c r="Z61" s="44">
        <v>10</v>
      </c>
      <c r="AA61" s="44">
        <v>-20</v>
      </c>
      <c r="AB61" s="45">
        <f t="shared" si="30"/>
        <v>31</v>
      </c>
      <c r="AC61" s="33">
        <f t="shared" si="31"/>
        <v>3.1</v>
      </c>
      <c r="AD61" s="44">
        <v>5</v>
      </c>
      <c r="AE61" s="44">
        <v>-10</v>
      </c>
      <c r="AF61" s="44">
        <v>2</v>
      </c>
      <c r="AG61" s="44">
        <v>10</v>
      </c>
      <c r="AH61" s="44">
        <v>1</v>
      </c>
      <c r="AI61" s="44">
        <v>8</v>
      </c>
      <c r="AJ61" s="44">
        <v>5</v>
      </c>
      <c r="AK61" s="44">
        <v>-10</v>
      </c>
      <c r="AL61" s="45">
        <f t="shared" si="32"/>
        <v>11</v>
      </c>
      <c r="AM61" s="33">
        <f t="shared" si="33"/>
        <v>1.57</v>
      </c>
      <c r="AN61" s="34">
        <f t="shared" si="34"/>
        <v>2.14</v>
      </c>
      <c r="AO61" s="35" t="s">
        <v>136</v>
      </c>
      <c r="AP61" s="36">
        <v>80</v>
      </c>
      <c r="AQ61" s="36">
        <v>40</v>
      </c>
      <c r="AR61" s="36">
        <f t="shared" ca="1" si="48"/>
        <v>216.00236200000001</v>
      </c>
      <c r="AS61" s="36">
        <v>60</v>
      </c>
      <c r="AT61" s="36">
        <v>40</v>
      </c>
      <c r="AU61" s="36">
        <v>130</v>
      </c>
      <c r="AV61" s="36">
        <v>260</v>
      </c>
      <c r="AW61" s="37">
        <f t="shared" ca="1" si="35"/>
        <v>3.6000393666666666</v>
      </c>
      <c r="AX61" s="37">
        <f t="shared" ca="1" si="36"/>
        <v>1.6615566307692309</v>
      </c>
      <c r="AY61" s="37">
        <f t="shared" ca="1" si="37"/>
        <v>0.83077831538461544</v>
      </c>
      <c r="AZ61" s="38">
        <v>300</v>
      </c>
      <c r="BA61" s="39">
        <f t="shared" si="38"/>
        <v>0.15384615384615385</v>
      </c>
      <c r="BB61" s="39">
        <f t="shared" si="39"/>
        <v>0.8666666666666667</v>
      </c>
      <c r="BC61" s="40">
        <f t="shared" si="40"/>
        <v>0.13333333333333333</v>
      </c>
      <c r="BD61" t="s">
        <v>269</v>
      </c>
      <c r="BE61" s="40">
        <f t="shared" si="41"/>
        <v>-0.10219223176287473</v>
      </c>
      <c r="BF61" t="s">
        <v>270</v>
      </c>
      <c r="BG61" s="40">
        <f t="shared" si="42"/>
        <v>0.1008397341583922</v>
      </c>
      <c r="BH61" s="41">
        <v>2</v>
      </c>
      <c r="BI61" s="41">
        <v>5</v>
      </c>
      <c r="BJ61" s="42">
        <f ca="1">(BD61*BH61+$AP61-$AQ61)/$H61*100</f>
        <v>132.34252893338538</v>
      </c>
      <c r="BK61" s="42">
        <f ca="1">(BF61*BI61+$AP61-$AQ61)/$H61*100</f>
        <v>631.63479718206656</v>
      </c>
      <c r="BL61" s="40">
        <f t="shared" ca="1" si="43"/>
        <v>-0.15544148958354775</v>
      </c>
      <c r="BM61" s="40">
        <f t="shared" ca="1" si="44"/>
        <v>0.19668220436646222</v>
      </c>
      <c r="BN61" s="43" t="s">
        <v>77</v>
      </c>
      <c r="BO61" s="43" t="s">
        <v>167</v>
      </c>
      <c r="BP61" s="43" t="s">
        <v>167</v>
      </c>
    </row>
    <row r="62" spans="1:68" ht="15" customHeight="1" x14ac:dyDescent="0.25">
      <c r="A62" s="158" t="e" vm="59">
        <v>#VALUE!</v>
      </c>
      <c r="B62" s="25" t="str">
        <f t="array" aca="1" ref="B62" ca="1">_FV(A62,"Símbolo bursátil",TRUE())</f>
        <v>WOSG</v>
      </c>
      <c r="C62" s="26" t="s">
        <v>127</v>
      </c>
      <c r="D62" s="26" t="s">
        <v>235</v>
      </c>
      <c r="E62" s="27" t="str">
        <f t="array" aca="1" ref="E62" ca="1">_FV(A62,"Abreviatura de intercambio",TRUE())</f>
        <v>XLON</v>
      </c>
      <c r="F62" s="27" t="str">
        <f t="array" aca="1" ref="F62" ca="1">_FV(A62,"Moneda")</f>
        <v>GBp</v>
      </c>
      <c r="G62" s="28">
        <f t="array" aca="1" ref="G62" ca="1">_FV(A62,"Precio")</f>
        <v>508.5</v>
      </c>
      <c r="H62" s="29">
        <f t="array" aca="1" ref="H62" ca="1">_FV(A62,"Acciones en circulación",TRUE())/1000000</f>
        <v>233.30160000000001</v>
      </c>
      <c r="I62" s="30">
        <f ca="1">G62/100*H62</f>
        <v>1186.338636</v>
      </c>
      <c r="J62" s="31">
        <v>0.5</v>
      </c>
      <c r="K62" s="31">
        <v>3</v>
      </c>
      <c r="L62" s="31">
        <v>1</v>
      </c>
      <c r="M62" s="31">
        <v>-1</v>
      </c>
      <c r="N62" s="31">
        <v>-2</v>
      </c>
      <c r="O62" s="31">
        <v>0</v>
      </c>
      <c r="P62" s="31">
        <v>0</v>
      </c>
      <c r="Q62" s="31">
        <v>0</v>
      </c>
      <c r="R62" s="32">
        <f t="shared" si="28"/>
        <v>1.5</v>
      </c>
      <c r="S62" s="33">
        <f t="shared" si="29"/>
        <v>0.88</v>
      </c>
      <c r="T62" s="31">
        <v>7</v>
      </c>
      <c r="U62" s="31">
        <v>8</v>
      </c>
      <c r="V62" s="31">
        <v>7</v>
      </c>
      <c r="W62" s="31">
        <v>4</v>
      </c>
      <c r="X62" s="31">
        <v>4</v>
      </c>
      <c r="Y62" s="31">
        <v>7</v>
      </c>
      <c r="Z62" s="31">
        <v>4</v>
      </c>
      <c r="AA62" s="31">
        <v>-16</v>
      </c>
      <c r="AB62" s="32">
        <f t="shared" si="30"/>
        <v>25</v>
      </c>
      <c r="AC62" s="33">
        <f t="shared" si="31"/>
        <v>2.5</v>
      </c>
      <c r="AD62" s="31">
        <v>7</v>
      </c>
      <c r="AE62" s="31">
        <v>-5</v>
      </c>
      <c r="AF62" s="31">
        <v>5</v>
      </c>
      <c r="AG62" s="31">
        <v>7</v>
      </c>
      <c r="AH62" s="31">
        <v>1</v>
      </c>
      <c r="AI62" s="31">
        <v>5</v>
      </c>
      <c r="AJ62" s="31">
        <v>6</v>
      </c>
      <c r="AK62" s="31">
        <v>-6</v>
      </c>
      <c r="AL62" s="32">
        <f t="shared" si="32"/>
        <v>20</v>
      </c>
      <c r="AM62" s="33">
        <f t="shared" si="33"/>
        <v>2.86</v>
      </c>
      <c r="AN62" s="34">
        <f t="shared" si="34"/>
        <v>2.08</v>
      </c>
      <c r="AO62" s="35" t="s">
        <v>136</v>
      </c>
      <c r="AP62" s="36">
        <v>70</v>
      </c>
      <c r="AQ62" s="36">
        <v>270</v>
      </c>
      <c r="AR62" s="36">
        <f t="shared" ca="1" si="48"/>
        <v>1386.338636</v>
      </c>
      <c r="AS62" s="36">
        <v>90</v>
      </c>
      <c r="AT62" s="36">
        <v>80</v>
      </c>
      <c r="AU62" s="36">
        <v>170</v>
      </c>
      <c r="AV62" s="36">
        <v>1700</v>
      </c>
      <c r="AW62" s="37">
        <f t="shared" ca="1" si="35"/>
        <v>15.403762622222221</v>
      </c>
      <c r="AX62" s="37">
        <f t="shared" ca="1" si="36"/>
        <v>8.1549331529411759</v>
      </c>
      <c r="AY62" s="37">
        <f t="shared" ca="1" si="37"/>
        <v>0.81549331529411762</v>
      </c>
      <c r="AZ62" s="38">
        <v>900</v>
      </c>
      <c r="BA62" s="39">
        <f t="shared" si="38"/>
        <v>4.7058823529411764E-2</v>
      </c>
      <c r="BB62" s="39">
        <f t="shared" si="39"/>
        <v>1.8888888888888888</v>
      </c>
      <c r="BC62" s="40">
        <f t="shared" si="40"/>
        <v>8.8888888888888878E-2</v>
      </c>
      <c r="BD62" t="s">
        <v>271</v>
      </c>
      <c r="BE62" s="40">
        <f t="shared" si="41"/>
        <v>0</v>
      </c>
      <c r="BF62" t="s">
        <v>272</v>
      </c>
      <c r="BG62" s="40">
        <f t="shared" si="42"/>
        <v>0.1396217223413001</v>
      </c>
      <c r="BH62" s="41">
        <v>8</v>
      </c>
      <c r="BI62" s="41">
        <v>14</v>
      </c>
      <c r="BJ62" s="42">
        <f ca="1">(BD62*BH62+$AP62-$AQ62)/$H62*100</f>
        <v>222.88745555109779</v>
      </c>
      <c r="BK62" s="42">
        <f ca="1">(BF62*BI62+$AP62-$AQ62)/$H62*100</f>
        <v>952.41524275872939</v>
      </c>
      <c r="BL62" s="40">
        <f t="shared" ca="1" si="43"/>
        <v>-0.15207208356754032</v>
      </c>
      <c r="BM62" s="40">
        <f t="shared" ca="1" si="44"/>
        <v>0.16985987407948899</v>
      </c>
      <c r="BN62" s="43" t="s">
        <v>77</v>
      </c>
      <c r="BO62" s="46" t="s">
        <v>273</v>
      </c>
      <c r="BP62" s="43" t="s">
        <v>274</v>
      </c>
    </row>
    <row r="63" spans="1:68" ht="15" customHeight="1" x14ac:dyDescent="0.25">
      <c r="A63" s="158" t="e" vm="60">
        <v>#VALUE!</v>
      </c>
      <c r="B63" s="25" t="str">
        <f t="array" aca="1" ref="B63" ca="1">_FV(A63,"Símbolo bursátil",TRUE())</f>
        <v>IPCO</v>
      </c>
      <c r="C63" s="26" t="s">
        <v>242</v>
      </c>
      <c r="D63" s="26" t="s">
        <v>243</v>
      </c>
      <c r="E63" s="27" t="str">
        <f t="array" aca="1" ref="E63" ca="1">_FV(A63,"Abreviatura de intercambio",TRUE())</f>
        <v>XTSE</v>
      </c>
      <c r="F63" s="27" t="str">
        <f t="array" aca="1" ref="F63" ca="1">_FV(A63,"Moneda")</f>
        <v>CAD</v>
      </c>
      <c r="G63" s="28">
        <f t="array" aca="1" ref="G63" ca="1">_FV(A63,"Precio")</f>
        <v>36.450000000000003</v>
      </c>
      <c r="H63" s="29">
        <f t="array" aca="1" ref="H63" ca="1">_FV(A63,"Acciones en circulación",TRUE())/1000000</f>
        <v>112.82680000000001</v>
      </c>
      <c r="I63" s="30">
        <f ca="1">G63*H63</f>
        <v>4112.5368600000002</v>
      </c>
      <c r="J63" s="44">
        <v>0</v>
      </c>
      <c r="K63" s="44">
        <v>2</v>
      </c>
      <c r="L63" s="44">
        <v>1</v>
      </c>
      <c r="M63" s="44">
        <v>0</v>
      </c>
      <c r="N63" s="44">
        <v>-2</v>
      </c>
      <c r="O63" s="44">
        <v>0</v>
      </c>
      <c r="P63" s="44">
        <v>0</v>
      </c>
      <c r="Q63" s="44">
        <v>1</v>
      </c>
      <c r="R63" s="45">
        <f t="shared" si="28"/>
        <v>2</v>
      </c>
      <c r="S63" s="33">
        <f t="shared" si="29"/>
        <v>1.18</v>
      </c>
      <c r="T63" s="44">
        <v>9</v>
      </c>
      <c r="U63" s="44">
        <v>5</v>
      </c>
      <c r="V63" s="44">
        <v>8</v>
      </c>
      <c r="W63" s="44">
        <v>6</v>
      </c>
      <c r="X63" s="44">
        <v>4</v>
      </c>
      <c r="Y63" s="44">
        <v>9</v>
      </c>
      <c r="Z63" s="44">
        <v>9</v>
      </c>
      <c r="AA63" s="44">
        <v>-22</v>
      </c>
      <c r="AB63" s="45">
        <f t="shared" si="30"/>
        <v>28</v>
      </c>
      <c r="AC63" s="33">
        <f t="shared" si="31"/>
        <v>2.8</v>
      </c>
      <c r="AD63" s="44">
        <v>6</v>
      </c>
      <c r="AE63" s="44">
        <v>-10</v>
      </c>
      <c r="AF63" s="44">
        <v>2</v>
      </c>
      <c r="AG63" s="44">
        <v>9</v>
      </c>
      <c r="AH63" s="44">
        <v>0</v>
      </c>
      <c r="AI63" s="44">
        <v>7</v>
      </c>
      <c r="AJ63" s="44">
        <v>5</v>
      </c>
      <c r="AK63" s="44">
        <v>-11</v>
      </c>
      <c r="AL63" s="45">
        <f t="shared" si="32"/>
        <v>8</v>
      </c>
      <c r="AM63" s="33">
        <f t="shared" si="33"/>
        <v>1.1399999999999999</v>
      </c>
      <c r="AN63" s="34">
        <f t="shared" si="34"/>
        <v>1.71</v>
      </c>
      <c r="AO63" s="35" t="s">
        <v>74</v>
      </c>
      <c r="AP63" s="36">
        <v>50</v>
      </c>
      <c r="AQ63" s="36">
        <v>430</v>
      </c>
      <c r="AR63" s="36">
        <f ca="1">I63*'Framework Notes'!E7-AP63+AQ63</f>
        <v>3388.7319667760003</v>
      </c>
      <c r="AS63" s="36">
        <v>230</v>
      </c>
      <c r="AT63" s="36">
        <v>170</v>
      </c>
      <c r="AU63" s="36">
        <v>380</v>
      </c>
      <c r="AV63" s="36">
        <v>790</v>
      </c>
      <c r="AW63" s="37">
        <f t="shared" ca="1" si="35"/>
        <v>14.733617246852175</v>
      </c>
      <c r="AX63" s="37">
        <f t="shared" ca="1" si="36"/>
        <v>8.9177157020421056</v>
      </c>
      <c r="AY63" s="37">
        <f t="shared" ca="1" si="37"/>
        <v>4.289534135159494</v>
      </c>
      <c r="AZ63" s="38">
        <v>1800</v>
      </c>
      <c r="BA63" s="39">
        <f t="shared" si="38"/>
        <v>0.21518987341772153</v>
      </c>
      <c r="BB63" s="39">
        <f t="shared" si="39"/>
        <v>0.43888888888888888</v>
      </c>
      <c r="BC63" s="40">
        <f t="shared" si="40"/>
        <v>9.4444444444444442E-2</v>
      </c>
      <c r="BD63" t="s">
        <v>275</v>
      </c>
      <c r="BE63" s="40">
        <f t="shared" si="41"/>
        <v>-4.9967563918014046E-2</v>
      </c>
      <c r="BF63" t="s">
        <v>276</v>
      </c>
      <c r="BG63" s="40">
        <f t="shared" si="42"/>
        <v>0.11981282593120568</v>
      </c>
      <c r="BH63" s="41">
        <v>10</v>
      </c>
      <c r="BI63" s="41">
        <v>15</v>
      </c>
      <c r="BJ63" s="42">
        <f ca="1">(BD63*BH63+$AP63-$AQ63)/$H63</f>
        <v>12.408399422832163</v>
      </c>
      <c r="BK63" s="42">
        <f ca="1">(BF63*BI63+$AP63-$AQ63)/$H63</f>
        <v>50.475596223592262</v>
      </c>
      <c r="BL63" s="40">
        <f t="shared" ca="1" si="43"/>
        <v>-0.19387266773029699</v>
      </c>
      <c r="BM63" s="40">
        <f t="shared" ca="1" si="44"/>
        <v>8.4790769778161801E-2</v>
      </c>
      <c r="BN63" s="43" t="s">
        <v>77</v>
      </c>
      <c r="BO63" s="43" t="s">
        <v>179</v>
      </c>
      <c r="BP63" s="43" t="s">
        <v>176</v>
      </c>
    </row>
    <row r="64" spans="1:68" ht="15" customHeight="1" x14ac:dyDescent="0.25">
      <c r="A64" s="158" t="e" vm="61">
        <v>#VALUE!</v>
      </c>
      <c r="B64" s="25" t="str">
        <f t="array" aca="1" ref="B64" ca="1">_FV(A64,"Símbolo bursátil",TRUE())</f>
        <v>OTLY</v>
      </c>
      <c r="C64" s="26" t="s">
        <v>127</v>
      </c>
      <c r="D64" s="26" t="s">
        <v>235</v>
      </c>
      <c r="E64" s="27" t="str">
        <f t="array" aca="1" ref="E64" ca="1">_FV(A64,"Abreviatura de intercambio",TRUE())</f>
        <v>XNAS</v>
      </c>
      <c r="F64" s="27" t="str">
        <f t="array" aca="1" ref="F64" ca="1">_FV(A64,"Moneda")</f>
        <v>USD</v>
      </c>
      <c r="G64" s="28">
        <f t="array" aca="1" ref="G64" ca="1">_FV(A64,"Precio")</f>
        <v>12.6</v>
      </c>
      <c r="H64" s="29">
        <f t="array" aca="1" ref="H64" ca="1">_FV(A64,"Acciones en circulación",TRUE())/1000000</f>
        <v>31.225000000000001</v>
      </c>
      <c r="I64" s="30">
        <f ca="1">G64*H64</f>
        <v>393.435</v>
      </c>
      <c r="J64" s="31">
        <v>1</v>
      </c>
      <c r="K64" s="31">
        <v>5</v>
      </c>
      <c r="L64" s="31">
        <v>1.5</v>
      </c>
      <c r="M64" s="31">
        <v>-0.5</v>
      </c>
      <c r="N64" s="31">
        <v>-1</v>
      </c>
      <c r="O64" s="31">
        <v>0</v>
      </c>
      <c r="P64" s="31">
        <v>0</v>
      </c>
      <c r="Q64" s="31">
        <v>0</v>
      </c>
      <c r="R64" s="32">
        <f t="shared" si="28"/>
        <v>6</v>
      </c>
      <c r="S64" s="33">
        <f t="shared" si="29"/>
        <v>3.53</v>
      </c>
      <c r="T64" s="31">
        <v>10</v>
      </c>
      <c r="U64" s="31">
        <v>5</v>
      </c>
      <c r="V64" s="31">
        <v>12</v>
      </c>
      <c r="W64" s="31">
        <v>6</v>
      </c>
      <c r="X64" s="31">
        <v>5.5</v>
      </c>
      <c r="Y64" s="31">
        <v>7</v>
      </c>
      <c r="Z64" s="31">
        <v>6</v>
      </c>
      <c r="AA64" s="31">
        <v>-25</v>
      </c>
      <c r="AB64" s="32">
        <f t="shared" si="30"/>
        <v>26.5</v>
      </c>
      <c r="AC64" s="33">
        <f t="shared" si="31"/>
        <v>2.65</v>
      </c>
      <c r="AD64" s="31">
        <v>6</v>
      </c>
      <c r="AE64" s="31">
        <v>-12</v>
      </c>
      <c r="AF64" s="31">
        <v>4</v>
      </c>
      <c r="AG64" s="31">
        <v>6</v>
      </c>
      <c r="AH64" s="31">
        <v>-2</v>
      </c>
      <c r="AI64" s="31">
        <v>4</v>
      </c>
      <c r="AJ64" s="31">
        <v>9</v>
      </c>
      <c r="AK64" s="31">
        <v>-12</v>
      </c>
      <c r="AL64" s="32">
        <f t="shared" si="32"/>
        <v>3</v>
      </c>
      <c r="AM64" s="33">
        <f t="shared" si="33"/>
        <v>0.43</v>
      </c>
      <c r="AN64" s="34">
        <f t="shared" si="34"/>
        <v>2.2000000000000002</v>
      </c>
      <c r="AO64" s="35" t="s">
        <v>74</v>
      </c>
      <c r="AP64" s="36">
        <v>180</v>
      </c>
      <c r="AQ64" s="36">
        <v>280</v>
      </c>
      <c r="AR64" s="36">
        <f ca="1">I64-AP64+AQ64</f>
        <v>493.435</v>
      </c>
      <c r="AS64" s="36">
        <v>-50</v>
      </c>
      <c r="AT64" s="36">
        <v>-100</v>
      </c>
      <c r="AU64" s="36">
        <v>-10</v>
      </c>
      <c r="AV64" s="36">
        <v>830</v>
      </c>
      <c r="AW64" s="37">
        <f t="shared" ca="1" si="35"/>
        <v>-9.8687000000000005</v>
      </c>
      <c r="AX64" s="37">
        <f t="shared" ca="1" si="36"/>
        <v>-49.343499999999999</v>
      </c>
      <c r="AY64" s="37">
        <f t="shared" ca="1" si="37"/>
        <v>0.59450000000000003</v>
      </c>
      <c r="AZ64" s="38">
        <v>650</v>
      </c>
      <c r="BA64" s="39">
        <f t="shared" si="38"/>
        <v>-0.12048192771084337</v>
      </c>
      <c r="BB64" s="39">
        <f t="shared" si="39"/>
        <v>1.2769230769230768</v>
      </c>
      <c r="BC64" s="40">
        <f t="shared" si="40"/>
        <v>-0.15384615384615383</v>
      </c>
      <c r="BD64" t="s">
        <v>277</v>
      </c>
      <c r="BE64" s="40">
        <f t="shared" si="41"/>
        <v>0</v>
      </c>
      <c r="BF64" t="s">
        <v>278</v>
      </c>
      <c r="BG64" s="40">
        <f t="shared" si="42"/>
        <v>-2.179198639369468</v>
      </c>
      <c r="BH64" s="41">
        <v>12</v>
      </c>
      <c r="BI64" s="41">
        <v>16</v>
      </c>
      <c r="BJ64" s="42">
        <f ca="1">(BD64*BH64+$AP64-$AQ64)/$H64</f>
        <v>-22.417934347477981</v>
      </c>
      <c r="BK64" s="42">
        <f ca="1">(BF64*BI64+$AP64-$AQ64)/$H64</f>
        <v>55.212169735788628</v>
      </c>
      <c r="BL64" s="40">
        <f t="shared" ca="1" si="43"/>
        <v>-2.1221347444862095</v>
      </c>
      <c r="BM64" s="40">
        <f t="shared" ca="1" si="44"/>
        <v>0.4468252095779921</v>
      </c>
      <c r="BN64" s="43" t="s">
        <v>77</v>
      </c>
      <c r="BO64" s="43" t="s">
        <v>279</v>
      </c>
      <c r="BP64" s="43" t="s">
        <v>84</v>
      </c>
    </row>
  </sheetData>
  <mergeCells count="9">
    <mergeCell ref="BJ2:BM2"/>
    <mergeCell ref="BN2:BP2"/>
    <mergeCell ref="A1:AW1"/>
    <mergeCell ref="A2:I2"/>
    <mergeCell ref="J2:S2"/>
    <mergeCell ref="T2:AC2"/>
    <mergeCell ref="AD2:AM2"/>
    <mergeCell ref="AN2:AN3"/>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4" t="s">
        <v>280</v>
      </c>
      <c r="B1" s="14"/>
      <c r="C1" s="14"/>
      <c r="D1" s="14"/>
      <c r="E1" s="14"/>
      <c r="F1" s="14"/>
    </row>
    <row r="3" spans="1:6" ht="15" customHeight="1" x14ac:dyDescent="0.25">
      <c r="A3" s="47" t="s">
        <v>281</v>
      </c>
    </row>
    <row r="4" spans="1:6" ht="15" customHeight="1" x14ac:dyDescent="0.25">
      <c r="A4" s="48" t="s">
        <v>282</v>
      </c>
      <c r="D4" t="e" vm="62">
        <v>#VALUE!</v>
      </c>
      <c r="E4" s="49">
        <f t="array" aca="1" ref="E4" ca="1">_FV(D4,"Precio")</f>
        <v>186.75</v>
      </c>
    </row>
    <row r="5" spans="1:6" ht="15" customHeight="1" x14ac:dyDescent="0.25">
      <c r="A5" s="48" t="s">
        <v>283</v>
      </c>
      <c r="D5" t="e" vm="63">
        <v>#VALUE!</v>
      </c>
      <c r="E5" s="50">
        <f t="array" aca="1" ref="E5" ca="1">_FV(D5,"Precio")</f>
        <v>1.2734000000000001</v>
      </c>
    </row>
    <row r="6" spans="1:6" ht="15" customHeight="1" x14ac:dyDescent="0.25">
      <c r="A6" s="48" t="s">
        <v>284</v>
      </c>
      <c r="D6" t="e" vm="64">
        <v>#VALUE!</v>
      </c>
      <c r="E6" s="51">
        <f t="array" aca="1" ref="E6" ca="1">_FV(D6,"Precio")</f>
        <v>464.18</v>
      </c>
    </row>
    <row r="7" spans="1:6" ht="15" customHeight="1" x14ac:dyDescent="0.25">
      <c r="D7" t="e" vm="65">
        <v>#VALUE!</v>
      </c>
      <c r="E7" s="50">
        <f t="array" aca="1" ref="E7" ca="1">_FV(D7,"Precio")</f>
        <v>0.73160000000000003</v>
      </c>
    </row>
    <row r="8" spans="1:6" ht="15" customHeight="1" x14ac:dyDescent="0.25">
      <c r="A8" s="47" t="s">
        <v>285</v>
      </c>
      <c r="D8" t="e" vm="66">
        <v>#VALUE!</v>
      </c>
      <c r="E8" s="52">
        <f t="array" aca="1" ref="E8" ca="1">_FV(D8,"Precio")</f>
        <v>0.85319999999999996</v>
      </c>
    </row>
    <row r="9" spans="1:6" ht="15" customHeight="1" x14ac:dyDescent="0.25">
      <c r="A9" s="48" t="s">
        <v>286</v>
      </c>
    </row>
    <row r="10" spans="1:6" ht="15" customHeight="1" x14ac:dyDescent="0.25">
      <c r="A10" s="48" t="s">
        <v>287</v>
      </c>
    </row>
    <row r="11" spans="1:6" ht="15" customHeight="1" x14ac:dyDescent="0.25">
      <c r="A11" s="48" t="s">
        <v>288</v>
      </c>
    </row>
    <row r="12" spans="1:6" ht="15" customHeight="1" x14ac:dyDescent="0.25">
      <c r="A12" s="48" t="s">
        <v>289</v>
      </c>
    </row>
    <row r="13" spans="1:6" ht="15" customHeight="1" x14ac:dyDescent="0.25">
      <c r="A13" s="48" t="s">
        <v>290</v>
      </c>
    </row>
    <row r="14" spans="1:6" ht="15" customHeight="1" x14ac:dyDescent="0.25">
      <c r="A14" s="48" t="s">
        <v>291</v>
      </c>
    </row>
    <row r="15" spans="1:6" ht="15" customHeight="1" x14ac:dyDescent="0.25">
      <c r="A15" s="48" t="s">
        <v>292</v>
      </c>
    </row>
    <row r="16" spans="1:6" ht="15" customHeight="1" x14ac:dyDescent="0.25">
      <c r="A16" s="48" t="s">
        <v>293</v>
      </c>
    </row>
    <row r="18" spans="1:1" ht="15" customHeight="1" x14ac:dyDescent="0.25">
      <c r="A18" s="47" t="s">
        <v>294</v>
      </c>
    </row>
    <row r="19" spans="1:1" ht="15" customHeight="1" x14ac:dyDescent="0.25">
      <c r="A19" s="48" t="s">
        <v>295</v>
      </c>
    </row>
    <row r="20" spans="1:1" ht="15" customHeight="1" x14ac:dyDescent="0.25">
      <c r="A20" s="48" t="s">
        <v>296</v>
      </c>
    </row>
    <row r="21" spans="1:1" ht="15" customHeight="1" x14ac:dyDescent="0.25">
      <c r="A21" s="48" t="s">
        <v>297</v>
      </c>
    </row>
    <row r="22" spans="1:1" ht="15" customHeight="1" x14ac:dyDescent="0.25">
      <c r="A22" s="48" t="s">
        <v>298</v>
      </c>
    </row>
    <row r="23" spans="1:1" ht="15" customHeight="1" x14ac:dyDescent="0.25">
      <c r="A23" s="48" t="s">
        <v>299</v>
      </c>
    </row>
    <row r="24" spans="1:1" ht="15" customHeight="1" x14ac:dyDescent="0.25">
      <c r="A24" s="48" t="s">
        <v>300</v>
      </c>
    </row>
    <row r="25" spans="1:1" ht="15" customHeight="1" x14ac:dyDescent="0.25">
      <c r="A25" s="48" t="s">
        <v>301</v>
      </c>
    </row>
    <row r="26" spans="1:1" ht="15" customHeight="1" x14ac:dyDescent="0.25">
      <c r="A26" s="48" t="s">
        <v>302</v>
      </c>
    </row>
    <row r="28" spans="1:1" ht="15" customHeight="1" x14ac:dyDescent="0.25">
      <c r="A28" s="47" t="s">
        <v>303</v>
      </c>
    </row>
    <row r="29" spans="1:1" ht="15" customHeight="1" x14ac:dyDescent="0.25">
      <c r="A29" s="48" t="s">
        <v>304</v>
      </c>
    </row>
    <row r="30" spans="1:1" ht="15" customHeight="1" x14ac:dyDescent="0.25">
      <c r="A30" s="48" t="s">
        <v>305</v>
      </c>
    </row>
    <row r="31" spans="1:1" ht="15" customHeight="1" x14ac:dyDescent="0.25">
      <c r="A31" s="48" t="s">
        <v>306</v>
      </c>
    </row>
    <row r="32" spans="1:1" ht="15" customHeight="1" x14ac:dyDescent="0.25">
      <c r="A32" s="48" t="s">
        <v>307</v>
      </c>
    </row>
    <row r="33" spans="1:1" ht="15" customHeight="1" x14ac:dyDescent="0.25">
      <c r="A33" s="48" t="s">
        <v>308</v>
      </c>
    </row>
    <row r="34" spans="1:1" ht="15" customHeight="1" x14ac:dyDescent="0.25">
      <c r="A34" s="48" t="s">
        <v>309</v>
      </c>
    </row>
    <row r="35" spans="1:1" ht="15" customHeight="1" x14ac:dyDescent="0.25">
      <c r="A35" s="48" t="s">
        <v>310</v>
      </c>
    </row>
    <row r="36" spans="1:1" ht="15" customHeight="1" x14ac:dyDescent="0.25">
      <c r="A36" s="48" t="s">
        <v>311</v>
      </c>
    </row>
    <row r="38" spans="1:1" ht="15" customHeight="1" x14ac:dyDescent="0.25">
      <c r="A38" s="47" t="s">
        <v>312</v>
      </c>
    </row>
    <row r="39" spans="1:1" ht="15" customHeight="1" x14ac:dyDescent="0.25">
      <c r="A39" s="48" t="s">
        <v>313</v>
      </c>
    </row>
    <row r="40" spans="1:1" ht="15" customHeight="1" x14ac:dyDescent="0.25">
      <c r="A40" s="48" t="s">
        <v>314</v>
      </c>
    </row>
    <row r="42" spans="1:1" ht="15" customHeight="1" x14ac:dyDescent="0.25">
      <c r="A42" s="47" t="s">
        <v>315</v>
      </c>
    </row>
    <row r="43" spans="1:1" ht="15" customHeight="1" x14ac:dyDescent="0.25">
      <c r="A43" s="48" t="s">
        <v>316</v>
      </c>
    </row>
    <row r="44" spans="1:1" ht="15" customHeight="1" x14ac:dyDescent="0.25">
      <c r="A44" s="48" t="s">
        <v>317</v>
      </c>
    </row>
    <row r="45" spans="1:1" ht="15" customHeight="1" x14ac:dyDescent="0.25">
      <c r="A45" s="48" t="s">
        <v>318</v>
      </c>
    </row>
    <row r="46" spans="1:1" ht="15" customHeight="1" x14ac:dyDescent="0.25">
      <c r="A46" s="48" t="s">
        <v>319</v>
      </c>
    </row>
    <row r="47" spans="1:1" ht="15" customHeight="1" x14ac:dyDescent="0.25">
      <c r="A47" s="48" t="s">
        <v>320</v>
      </c>
    </row>
    <row r="49" spans="1:1" ht="15" customHeight="1" x14ac:dyDescent="0.25">
      <c r="A49" s="47" t="s">
        <v>321</v>
      </c>
    </row>
    <row r="50" spans="1:1" ht="15" customHeight="1" x14ac:dyDescent="0.25">
      <c r="A50" s="48" t="s">
        <v>322</v>
      </c>
    </row>
    <row r="51" spans="1:1" ht="15" customHeight="1" x14ac:dyDescent="0.25">
      <c r="A51" s="48" t="s">
        <v>323</v>
      </c>
    </row>
    <row r="52" spans="1:1" ht="15" customHeight="1" x14ac:dyDescent="0.25">
      <c r="A52" s="48" t="s">
        <v>324</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6" t="s">
        <v>325</v>
      </c>
      <c r="B1" s="6"/>
      <c r="C1" s="6"/>
      <c r="D1" s="6"/>
      <c r="E1" s="6"/>
      <c r="F1" s="6"/>
      <c r="G1" s="6"/>
      <c r="H1" s="6"/>
      <c r="I1" s="6"/>
      <c r="J1" s="6"/>
      <c r="K1" s="6"/>
      <c r="L1" s="6"/>
      <c r="M1" s="53"/>
      <c r="N1" s="53"/>
      <c r="O1" s="53"/>
      <c r="P1" s="53"/>
      <c r="Q1" s="53"/>
      <c r="R1" s="53"/>
    </row>
    <row r="2" spans="1:47" ht="24.75" customHeight="1" x14ac:dyDescent="0.25">
      <c r="A2" s="5" t="s">
        <v>326</v>
      </c>
      <c r="B2" s="5"/>
      <c r="C2" s="5"/>
      <c r="D2" s="5"/>
      <c r="E2" s="5"/>
      <c r="F2" s="5"/>
      <c r="G2" s="5"/>
      <c r="H2" s="5"/>
      <c r="I2" s="5"/>
      <c r="J2" s="5"/>
      <c r="K2" s="5"/>
      <c r="L2" s="5"/>
    </row>
    <row r="3" spans="1:47" ht="24.75" customHeight="1" x14ac:dyDescent="0.25">
      <c r="A3" s="4" t="s">
        <v>327</v>
      </c>
      <c r="B3" s="4"/>
      <c r="C3" s="3" t="s">
        <v>328</v>
      </c>
      <c r="D3" s="3"/>
      <c r="E3" s="2" t="s">
        <v>329</v>
      </c>
      <c r="F3" s="2"/>
      <c r="G3" s="1" t="s">
        <v>330</v>
      </c>
      <c r="H3" s="1"/>
      <c r="I3" s="107" t="s">
        <v>331</v>
      </c>
      <c r="J3" s="107"/>
      <c r="K3" s="108" t="s">
        <v>332</v>
      </c>
      <c r="L3" s="108"/>
    </row>
    <row r="4" spans="1:47" ht="49.5" customHeight="1" x14ac:dyDescent="0.25">
      <c r="A4" s="109">
        <f ca="1">COUNTA('Watchlist Ratings'!B4:B64)</f>
        <v>61</v>
      </c>
      <c r="B4" s="109"/>
      <c r="C4" s="110">
        <f>ROUND(AVERAGE('Watchlist Ratings'!AN4:AN64),2)</f>
        <v>5.94</v>
      </c>
      <c r="D4" s="110"/>
      <c r="E4" s="111" t="str">
        <f>TEXT(AVERAGE('Watchlist Ratings'!BC4:BC64),"0.0%")</f>
        <v>21.4%</v>
      </c>
      <c r="F4" s="111"/>
      <c r="G4" s="111" t="str">
        <f ca="1">TEXT(AVERAGE('Watchlist Ratings'!AW4:AW64),"0.0x")</f>
        <v>36.1x</v>
      </c>
      <c r="H4" s="111"/>
      <c r="I4" s="111">
        <f ca="1">COUNTIF('Watchlist Ratings'!BM4:BM64,"&gt;0")</f>
        <v>56</v>
      </c>
      <c r="J4" s="111"/>
      <c r="K4" s="112">
        <f>COUNTIF('Watchlist Ratings'!AN4:AN64,"&gt;7.5")</f>
        <v>15</v>
      </c>
      <c r="L4" s="112"/>
    </row>
    <row r="5" spans="1:47" ht="19.5" customHeight="1" x14ac:dyDescent="0.25">
      <c r="A5" s="113" t="s">
        <v>333</v>
      </c>
      <c r="B5" s="113"/>
      <c r="C5" s="114" t="s">
        <v>334</v>
      </c>
      <c r="D5" s="114"/>
      <c r="E5" s="114" t="s">
        <v>335</v>
      </c>
      <c r="F5" s="114"/>
      <c r="G5" s="114" t="s">
        <v>336</v>
      </c>
      <c r="H5" s="114"/>
      <c r="I5" s="114" t="s">
        <v>337</v>
      </c>
      <c r="J5" s="114"/>
      <c r="K5" s="115" t="s">
        <v>338</v>
      </c>
      <c r="L5" s="115"/>
    </row>
    <row r="6" spans="1:47" ht="18" customHeight="1" x14ac:dyDescent="0.25">
      <c r="A6" s="116" t="s">
        <v>339</v>
      </c>
      <c r="B6" s="116"/>
      <c r="C6" s="117" t="s">
        <v>340</v>
      </c>
      <c r="D6" s="117"/>
      <c r="E6" s="117" t="s">
        <v>341</v>
      </c>
      <c r="F6" s="117"/>
      <c r="G6" s="118" t="s">
        <v>342</v>
      </c>
      <c r="H6" s="118"/>
      <c r="I6" s="117" t="s">
        <v>343</v>
      </c>
      <c r="J6" s="117"/>
      <c r="K6" s="119" t="s">
        <v>344</v>
      </c>
      <c r="L6" s="119"/>
      <c r="O6" t="s">
        <v>345</v>
      </c>
      <c r="S6" t="s">
        <v>346</v>
      </c>
      <c r="V6" t="s">
        <v>347</v>
      </c>
      <c r="Y6" t="s">
        <v>348</v>
      </c>
      <c r="AA6" t="s">
        <v>349</v>
      </c>
      <c r="AE6" t="s">
        <v>350</v>
      </c>
      <c r="AF6" t="s">
        <v>351</v>
      </c>
      <c r="AH6" t="s">
        <v>350</v>
      </c>
      <c r="AI6" t="s">
        <v>351</v>
      </c>
      <c r="AJ6" t="s">
        <v>350</v>
      </c>
      <c r="AK6" t="s">
        <v>352</v>
      </c>
      <c r="AL6" t="s">
        <v>353</v>
      </c>
      <c r="AM6" t="s">
        <v>350</v>
      </c>
      <c r="AN6" t="s">
        <v>354</v>
      </c>
      <c r="AO6" t="s">
        <v>350</v>
      </c>
      <c r="AP6" t="s">
        <v>355</v>
      </c>
      <c r="AQ6" t="s">
        <v>356</v>
      </c>
      <c r="AS6" t="s">
        <v>350</v>
      </c>
      <c r="AT6" t="s">
        <v>354</v>
      </c>
      <c r="AU6" t="s">
        <v>356</v>
      </c>
    </row>
    <row r="7" spans="1:47" ht="15.75" customHeight="1" x14ac:dyDescent="0.25">
      <c r="A7" s="54" t="s">
        <v>357</v>
      </c>
      <c r="B7" s="55" t="s">
        <v>350</v>
      </c>
      <c r="C7" s="55" t="s">
        <v>358</v>
      </c>
      <c r="D7" s="55" t="s">
        <v>359</v>
      </c>
      <c r="E7" s="55" t="s">
        <v>360</v>
      </c>
      <c r="F7" s="55" t="s">
        <v>361</v>
      </c>
      <c r="G7" s="55" t="s">
        <v>352</v>
      </c>
      <c r="H7" s="55" t="s">
        <v>362</v>
      </c>
      <c r="I7" s="55" t="s">
        <v>61</v>
      </c>
      <c r="J7" s="56" t="s">
        <v>354</v>
      </c>
      <c r="K7" s="57"/>
      <c r="O7" t="s">
        <v>350</v>
      </c>
      <c r="P7" t="s">
        <v>361</v>
      </c>
      <c r="Q7" t="s">
        <v>363</v>
      </c>
      <c r="S7" t="s">
        <v>350</v>
      </c>
      <c r="T7" t="s">
        <v>61</v>
      </c>
      <c r="V7" t="s">
        <v>350</v>
      </c>
      <c r="W7" t="s">
        <v>352</v>
      </c>
      <c r="X7" t="s">
        <v>353</v>
      </c>
      <c r="Y7" t="s">
        <v>350</v>
      </c>
      <c r="Z7" t="s">
        <v>354</v>
      </c>
      <c r="AA7" t="s">
        <v>350</v>
      </c>
      <c r="AB7" t="s">
        <v>364</v>
      </c>
      <c r="AC7" t="s">
        <v>363</v>
      </c>
      <c r="AE7" t="s">
        <v>365</v>
      </c>
      <c r="AF7">
        <v>83.3333333333333</v>
      </c>
      <c r="AH7" t="s">
        <v>365</v>
      </c>
      <c r="AI7">
        <v>83.3</v>
      </c>
      <c r="AJ7" t="s">
        <v>366</v>
      </c>
      <c r="AK7">
        <v>8</v>
      </c>
      <c r="AL7">
        <v>3</v>
      </c>
      <c r="AM7" t="s">
        <v>367</v>
      </c>
      <c r="AN7">
        <v>52.2</v>
      </c>
      <c r="AO7" t="s">
        <v>366</v>
      </c>
      <c r="AP7">
        <v>4.5</v>
      </c>
      <c r="AQ7">
        <v>33.6</v>
      </c>
      <c r="AS7" t="s">
        <v>366</v>
      </c>
      <c r="AT7">
        <v>20.173600073636401</v>
      </c>
      <c r="AU7">
        <v>33.701681153345</v>
      </c>
    </row>
    <row r="8" spans="1:47" ht="30" customHeight="1" x14ac:dyDescent="0.25">
      <c r="A8" s="120" t="s">
        <v>368</v>
      </c>
      <c r="B8" s="120"/>
      <c r="C8" s="120"/>
      <c r="D8" s="120"/>
      <c r="E8" s="120"/>
      <c r="F8" s="120"/>
      <c r="G8" s="120"/>
      <c r="H8" s="120"/>
      <c r="I8" s="120"/>
      <c r="J8" s="120"/>
      <c r="K8" s="120"/>
      <c r="L8" s="120"/>
      <c r="O8" t="str">
        <f ca="1">'Watchlist Ratings'!B4</f>
        <v>VEEV</v>
      </c>
      <c r="P8" s="58">
        <f>'Watchlist Ratings'!AN4</f>
        <v>8.2799999999999994</v>
      </c>
      <c r="Q8" s="40">
        <f ca="1">'Watchlist Ratings'!BM4</f>
        <v>0.34921257745203937</v>
      </c>
      <c r="S8" t="str">
        <f ca="1">'Watchlist Ratings'!B4</f>
        <v>VEEV</v>
      </c>
      <c r="T8" s="40">
        <f>'Watchlist Ratings'!BC4</f>
        <v>0.53999999999999992</v>
      </c>
      <c r="V8" t="str">
        <f ca="1">'Watchlist Ratings'!B4</f>
        <v>VEEV</v>
      </c>
      <c r="W8" s="59">
        <f>'Watchlist Ratings'!K4</f>
        <v>8</v>
      </c>
      <c r="X8" s="59">
        <f>'Watchlist Ratings'!L4</f>
        <v>2</v>
      </c>
      <c r="Y8" t="str">
        <f ca="1">'Watchlist Ratings'!B4</f>
        <v>VEEV</v>
      </c>
      <c r="Z8">
        <f ca="1">'Watchlist Ratings'!AW4</f>
        <v>19.288643560909094</v>
      </c>
      <c r="AA8" t="str">
        <f ca="1">'Watchlist Ratings'!B4</f>
        <v>VEEV</v>
      </c>
      <c r="AB8">
        <f ca="1">'Watchlist Ratings'!BL4</f>
        <v>5.372136698029184E-2</v>
      </c>
      <c r="AC8">
        <f ca="1">'Watchlist Ratings'!BM4</f>
        <v>0.34921257745203937</v>
      </c>
      <c r="AE8" t="s">
        <v>369</v>
      </c>
      <c r="AF8">
        <v>83.3333333333333</v>
      </c>
      <c r="AH8" t="s">
        <v>369</v>
      </c>
      <c r="AI8">
        <v>83.3</v>
      </c>
      <c r="AJ8" t="s">
        <v>370</v>
      </c>
      <c r="AK8">
        <v>8</v>
      </c>
      <c r="AL8">
        <v>3</v>
      </c>
      <c r="AM8" t="s">
        <v>371</v>
      </c>
      <c r="AN8">
        <v>51.1</v>
      </c>
      <c r="AO8" t="s">
        <v>372</v>
      </c>
      <c r="AP8">
        <v>3.7</v>
      </c>
      <c r="AQ8">
        <v>32.4</v>
      </c>
      <c r="AS8" t="s">
        <v>370</v>
      </c>
      <c r="AT8">
        <v>44.5724369425714</v>
      </c>
      <c r="AU8">
        <v>10.123218193895701</v>
      </c>
    </row>
    <row r="9" spans="1:47" ht="15" customHeight="1" x14ac:dyDescent="0.25">
      <c r="A9" s="60">
        <v>2</v>
      </c>
      <c r="B9" s="61" t="str">
        <f ca="1">'Watchlist Ratings'!B5</f>
        <v>MSFT</v>
      </c>
      <c r="C9" s="62">
        <f>'Watchlist Ratings'!S5</f>
        <v>8.7100000000000009</v>
      </c>
      <c r="D9" s="62">
        <f>'Watchlist Ratings'!AC5</f>
        <v>7.6</v>
      </c>
      <c r="E9" s="62">
        <f>'Watchlist Ratings'!AM5</f>
        <v>7.71</v>
      </c>
      <c r="F9" s="62">
        <f>'Watchlist Ratings'!AN5</f>
        <v>8.01</v>
      </c>
      <c r="G9" s="63">
        <f>'Watchlist Ratings'!K5</f>
        <v>8</v>
      </c>
      <c r="H9" s="63">
        <f>'Watchlist Ratings'!L5</f>
        <v>3</v>
      </c>
      <c r="I9" s="64">
        <f>'Watchlist Ratings'!BC5</f>
        <v>0.3214285714285714</v>
      </c>
      <c r="J9" s="65">
        <f ca="1">'Watchlist Ratings'!AW5</f>
        <v>44.572436942571429</v>
      </c>
      <c r="O9" t="str">
        <f ca="1">'Watchlist Ratings'!B5</f>
        <v>MSFT</v>
      </c>
      <c r="P9" s="58">
        <f>'Watchlist Ratings'!AN5</f>
        <v>8.01</v>
      </c>
      <c r="Q9" s="40">
        <f ca="1">'Watchlist Ratings'!BM5</f>
        <v>0.10123218193895678</v>
      </c>
      <c r="S9" t="str">
        <f ca="1">'Watchlist Ratings'!B5</f>
        <v>MSFT</v>
      </c>
      <c r="T9" s="40">
        <f>'Watchlist Ratings'!BC5</f>
        <v>0.3214285714285714</v>
      </c>
      <c r="V9" t="str">
        <f ca="1">'Watchlist Ratings'!B5</f>
        <v>MSFT</v>
      </c>
      <c r="W9" s="59">
        <f>'Watchlist Ratings'!K5</f>
        <v>8</v>
      </c>
      <c r="X9" s="59">
        <f>'Watchlist Ratings'!L5</f>
        <v>3</v>
      </c>
      <c r="Y9" t="str">
        <f ca="1">'Watchlist Ratings'!B5</f>
        <v>MSFT</v>
      </c>
      <c r="Z9">
        <f ca="1">'Watchlist Ratings'!AW5</f>
        <v>44.572436942571429</v>
      </c>
      <c r="AA9" t="str">
        <f ca="1">'Watchlist Ratings'!B5</f>
        <v>MSFT</v>
      </c>
      <c r="AB9">
        <f ca="1">'Watchlist Ratings'!BL5</f>
        <v>-7.8946171485779426E-2</v>
      </c>
      <c r="AC9">
        <f ca="1">'Watchlist Ratings'!BM5</f>
        <v>0.10123218193895678</v>
      </c>
      <c r="AE9" t="s">
        <v>373</v>
      </c>
      <c r="AF9">
        <v>59.375</v>
      </c>
      <c r="AH9" t="s">
        <v>373</v>
      </c>
      <c r="AI9">
        <v>59.4</v>
      </c>
      <c r="AJ9" t="s">
        <v>371</v>
      </c>
      <c r="AK9">
        <v>8</v>
      </c>
      <c r="AL9">
        <v>1</v>
      </c>
      <c r="AM9" t="s">
        <v>374</v>
      </c>
      <c r="AN9">
        <v>45.6</v>
      </c>
      <c r="AO9" t="s">
        <v>375</v>
      </c>
      <c r="AP9">
        <v>1.1000000000000001</v>
      </c>
      <c r="AQ9">
        <v>28.4</v>
      </c>
      <c r="AS9" t="s">
        <v>375</v>
      </c>
      <c r="AT9">
        <v>28.571278521519002</v>
      </c>
      <c r="AU9">
        <v>28.414482662692301</v>
      </c>
    </row>
    <row r="10" spans="1:47" ht="15" customHeight="1" x14ac:dyDescent="0.25">
      <c r="A10" s="66">
        <v>3</v>
      </c>
      <c r="B10" s="67" t="str">
        <f ca="1">'Watchlist Ratings'!B6</f>
        <v>ADYEN</v>
      </c>
      <c r="C10" s="68">
        <f>'Watchlist Ratings'!S6</f>
        <v>7.49</v>
      </c>
      <c r="D10" s="68">
        <f>'Watchlist Ratings'!AC6</f>
        <v>7.4</v>
      </c>
      <c r="E10" s="68">
        <f>'Watchlist Ratings'!AM6</f>
        <v>8.2899999999999991</v>
      </c>
      <c r="F10" s="68">
        <f>'Watchlist Ratings'!AN6</f>
        <v>7.73</v>
      </c>
      <c r="G10" s="69">
        <f>'Watchlist Ratings'!K6</f>
        <v>7</v>
      </c>
      <c r="H10" s="69">
        <f>'Watchlist Ratings'!L6</f>
        <v>2</v>
      </c>
      <c r="I10" s="70">
        <f>'Watchlist Ratings'!BC6</f>
        <v>0.23999999999999996</v>
      </c>
      <c r="J10" s="71">
        <f ca="1">'Watchlist Ratings'!AW6</f>
        <v>28.179927554430382</v>
      </c>
      <c r="O10" t="str">
        <f ca="1">'Watchlist Ratings'!B6</f>
        <v>ADYEN</v>
      </c>
      <c r="P10" s="58">
        <f>'Watchlist Ratings'!AN6</f>
        <v>7.73</v>
      </c>
      <c r="Q10" s="40">
        <f ca="1">'Watchlist Ratings'!BM6</f>
        <v>0.28735923181267742</v>
      </c>
      <c r="S10" t="str">
        <f ca="1">'Watchlist Ratings'!B6</f>
        <v>ADYEN</v>
      </c>
      <c r="T10" s="40">
        <f>'Watchlist Ratings'!BC6</f>
        <v>0.23999999999999996</v>
      </c>
      <c r="V10" t="str">
        <f ca="1">'Watchlist Ratings'!B6</f>
        <v>ADYEN</v>
      </c>
      <c r="W10" s="59">
        <f>'Watchlist Ratings'!K6</f>
        <v>7</v>
      </c>
      <c r="X10" s="59">
        <f>'Watchlist Ratings'!L6</f>
        <v>2</v>
      </c>
      <c r="Y10" t="str">
        <f ca="1">'Watchlist Ratings'!B6</f>
        <v>ADYEN</v>
      </c>
      <c r="Z10">
        <f ca="1">'Watchlist Ratings'!AW6</f>
        <v>28.179927554430382</v>
      </c>
      <c r="AA10" t="str">
        <f ca="1">'Watchlist Ratings'!B6</f>
        <v>ADYEN</v>
      </c>
      <c r="AB10">
        <f ca="1">'Watchlist Ratings'!BL6</f>
        <v>1.3281690276011338E-2</v>
      </c>
      <c r="AC10">
        <f ca="1">'Watchlist Ratings'!BM6</f>
        <v>0.28735923181267742</v>
      </c>
      <c r="AE10" t="s">
        <v>366</v>
      </c>
      <c r="AF10">
        <v>54</v>
      </c>
      <c r="AH10" t="s">
        <v>366</v>
      </c>
      <c r="AI10">
        <v>54</v>
      </c>
      <c r="AJ10" t="s">
        <v>367</v>
      </c>
      <c r="AK10">
        <v>8</v>
      </c>
      <c r="AL10">
        <v>3</v>
      </c>
      <c r="AM10" t="s">
        <v>370</v>
      </c>
      <c r="AN10">
        <v>44.8</v>
      </c>
      <c r="AO10" t="s">
        <v>376</v>
      </c>
      <c r="AP10">
        <v>1.8</v>
      </c>
      <c r="AQ10">
        <v>25</v>
      </c>
      <c r="AS10" t="s">
        <v>377</v>
      </c>
      <c r="AT10">
        <v>24.369253736000001</v>
      </c>
      <c r="AU10">
        <v>23.4863412384314</v>
      </c>
    </row>
    <row r="11" spans="1:47" ht="15" customHeight="1" x14ac:dyDescent="0.25">
      <c r="A11" s="60">
        <v>4</v>
      </c>
      <c r="B11" s="61" t="str">
        <f ca="1">'Watchlist Ratings'!B7</f>
        <v>BN</v>
      </c>
      <c r="C11" s="62">
        <f>'Watchlist Ratings'!S7</f>
        <v>8.33</v>
      </c>
      <c r="D11" s="62">
        <f>'Watchlist Ratings'!AC7</f>
        <v>7.9</v>
      </c>
      <c r="E11" s="62">
        <f>'Watchlist Ratings'!AM7</f>
        <v>7.57</v>
      </c>
      <c r="F11" s="62">
        <f>'Watchlist Ratings'!AN7</f>
        <v>7.93</v>
      </c>
      <c r="G11" s="63">
        <f>'Watchlist Ratings'!K7</f>
        <v>7</v>
      </c>
      <c r="H11" s="63">
        <f>'Watchlist Ratings'!L7</f>
        <v>3</v>
      </c>
      <c r="I11" s="64">
        <f>'Watchlist Ratings'!BC7</f>
        <v>6.1111111111111109E-2</v>
      </c>
      <c r="J11" s="65">
        <f ca="1">'Watchlist Ratings'!AW7</f>
        <v>23.693177191999997</v>
      </c>
      <c r="O11" t="str">
        <f ca="1">'Watchlist Ratings'!B7</f>
        <v>BN</v>
      </c>
      <c r="P11" s="58">
        <f>'Watchlist Ratings'!AN7</f>
        <v>7.93</v>
      </c>
      <c r="Q11" s="40">
        <f ca="1">'Watchlist Ratings'!BM7</f>
        <v>0.24412109092771805</v>
      </c>
      <c r="S11" t="str">
        <f ca="1">'Watchlist Ratings'!B7</f>
        <v>BN</v>
      </c>
      <c r="T11" s="40">
        <f>'Watchlist Ratings'!BC7</f>
        <v>6.1111111111111109E-2</v>
      </c>
      <c r="V11" t="str">
        <f ca="1">'Watchlist Ratings'!B7</f>
        <v>BN</v>
      </c>
      <c r="W11" s="59">
        <f>'Watchlist Ratings'!K7</f>
        <v>7</v>
      </c>
      <c r="X11" s="59">
        <f>'Watchlist Ratings'!L7</f>
        <v>3</v>
      </c>
      <c r="Y11" t="str">
        <f ca="1">'Watchlist Ratings'!B7</f>
        <v>BN</v>
      </c>
      <c r="Z11">
        <f ca="1">'Watchlist Ratings'!AW7</f>
        <v>23.693177191999997</v>
      </c>
      <c r="AA11" t="str">
        <f ca="1">'Watchlist Ratings'!B7</f>
        <v>BN</v>
      </c>
      <c r="AB11">
        <f ca="1">'Watchlist Ratings'!BL7</f>
        <v>1.3565053734955868E-2</v>
      </c>
      <c r="AC11">
        <f ca="1">'Watchlist Ratings'!BM7</f>
        <v>0.24412109092771805</v>
      </c>
      <c r="AE11" t="s">
        <v>378</v>
      </c>
      <c r="AF11">
        <v>41.6666666666667</v>
      </c>
      <c r="AH11" t="s">
        <v>378</v>
      </c>
      <c r="AI11">
        <v>41.7</v>
      </c>
      <c r="AJ11" t="s">
        <v>379</v>
      </c>
      <c r="AK11">
        <v>8</v>
      </c>
      <c r="AL11">
        <v>2</v>
      </c>
      <c r="AM11" t="s">
        <v>380</v>
      </c>
      <c r="AN11">
        <v>43.6</v>
      </c>
      <c r="AO11" t="s">
        <v>377</v>
      </c>
      <c r="AP11">
        <v>0.6</v>
      </c>
      <c r="AQ11">
        <v>23.3</v>
      </c>
      <c r="AS11" t="s">
        <v>371</v>
      </c>
      <c r="AT11">
        <v>51.179748126470599</v>
      </c>
      <c r="AU11">
        <v>0.80673234994763598</v>
      </c>
    </row>
    <row r="12" spans="1:47" ht="15" customHeight="1" x14ac:dyDescent="0.25">
      <c r="A12" s="66">
        <v>5</v>
      </c>
      <c r="B12" s="67" t="str">
        <f ca="1">'Watchlist Ratings'!B8</f>
        <v>COST</v>
      </c>
      <c r="C12" s="68">
        <f>'Watchlist Ratings'!S8</f>
        <v>7.81</v>
      </c>
      <c r="D12" s="68">
        <f>'Watchlist Ratings'!AC8</f>
        <v>7.8</v>
      </c>
      <c r="E12" s="68">
        <f>'Watchlist Ratings'!AM8</f>
        <v>8.43</v>
      </c>
      <c r="F12" s="68">
        <f>'Watchlist Ratings'!AN8</f>
        <v>8.01</v>
      </c>
      <c r="G12" s="69">
        <f>'Watchlist Ratings'!K8</f>
        <v>8</v>
      </c>
      <c r="H12" s="69">
        <f>'Watchlist Ratings'!L8</f>
        <v>1</v>
      </c>
      <c r="I12" s="70">
        <f>'Watchlist Ratings'!BC8</f>
        <v>0.1875</v>
      </c>
      <c r="J12" s="71">
        <f ca="1">'Watchlist Ratings'!AW8</f>
        <v>52.188144161764704</v>
      </c>
      <c r="O12" t="str">
        <f ca="1">'Watchlist Ratings'!B8</f>
        <v>COST</v>
      </c>
      <c r="P12" s="58">
        <f>'Watchlist Ratings'!AN8</f>
        <v>8.01</v>
      </c>
      <c r="Q12" s="40">
        <f ca="1">'Watchlist Ratings'!BM8</f>
        <v>3.2171569978285408E-3</v>
      </c>
      <c r="S12" t="str">
        <f ca="1">'Watchlist Ratings'!B8</f>
        <v>COST</v>
      </c>
      <c r="T12" s="40">
        <f>'Watchlist Ratings'!BC8</f>
        <v>0.1875</v>
      </c>
      <c r="V12" t="str">
        <f ca="1">'Watchlist Ratings'!B8</f>
        <v>COST</v>
      </c>
      <c r="W12" s="59">
        <f>'Watchlist Ratings'!K8</f>
        <v>8</v>
      </c>
      <c r="X12" s="59">
        <f>'Watchlist Ratings'!L8</f>
        <v>1</v>
      </c>
      <c r="Y12" t="str">
        <f ca="1">'Watchlist Ratings'!B8</f>
        <v>COST</v>
      </c>
      <c r="Z12">
        <f ca="1">'Watchlist Ratings'!AW8</f>
        <v>52.188144161764704</v>
      </c>
      <c r="AA12" t="str">
        <f ca="1">'Watchlist Ratings'!B8</f>
        <v>COST</v>
      </c>
      <c r="AB12">
        <f ca="1">'Watchlist Ratings'!BL8</f>
        <v>-0.12317507333596478</v>
      </c>
      <c r="AC12">
        <f ca="1">'Watchlist Ratings'!BM8</f>
        <v>3.2171569978285408E-3</v>
      </c>
      <c r="AE12" t="s">
        <v>381</v>
      </c>
      <c r="AF12">
        <v>38.3333333333333</v>
      </c>
      <c r="AH12" t="s">
        <v>381</v>
      </c>
      <c r="AI12">
        <v>38.299999999999997</v>
      </c>
      <c r="AJ12" t="s">
        <v>375</v>
      </c>
      <c r="AK12">
        <v>7</v>
      </c>
      <c r="AL12">
        <v>3</v>
      </c>
      <c r="AM12" t="s">
        <v>373</v>
      </c>
      <c r="AN12">
        <v>40.299999999999997</v>
      </c>
      <c r="AO12" t="s">
        <v>382</v>
      </c>
      <c r="AP12">
        <v>-0.1</v>
      </c>
      <c r="AQ12">
        <v>20.8</v>
      </c>
      <c r="AS12" t="s">
        <v>382</v>
      </c>
      <c r="AT12">
        <v>25.7039266520833</v>
      </c>
      <c r="AU12">
        <v>20.9506730863196</v>
      </c>
    </row>
    <row r="13" spans="1:47" ht="15" customHeight="1" x14ac:dyDescent="0.25">
      <c r="A13" s="60">
        <v>6</v>
      </c>
      <c r="B13" s="61" t="str">
        <f ca="1">'Watchlist Ratings'!B9</f>
        <v>DSGX</v>
      </c>
      <c r="C13" s="62">
        <f>'Watchlist Ratings'!S9</f>
        <v>7.24</v>
      </c>
      <c r="D13" s="62">
        <f>'Watchlist Ratings'!AC9</f>
        <v>7.5</v>
      </c>
      <c r="E13" s="62">
        <f>'Watchlist Ratings'!AM9</f>
        <v>8.7100000000000009</v>
      </c>
      <c r="F13" s="62">
        <f>'Watchlist Ratings'!AN9</f>
        <v>7.82</v>
      </c>
      <c r="G13" s="63">
        <f>'Watchlist Ratings'!K9</f>
        <v>7</v>
      </c>
      <c r="H13" s="63">
        <f>'Watchlist Ratings'!L9</f>
        <v>2</v>
      </c>
      <c r="I13" s="64">
        <f>'Watchlist Ratings'!BC9</f>
        <v>0.16842105263157894</v>
      </c>
      <c r="J13" s="65">
        <f ca="1">'Watchlist Ratings'!AW9</f>
        <v>24.322846666666671</v>
      </c>
      <c r="L13" s="57" t="s">
        <v>383</v>
      </c>
      <c r="M13" t="s">
        <v>384</v>
      </c>
      <c r="O13" t="str">
        <f ca="1">'Watchlist Ratings'!B9</f>
        <v>DSGX</v>
      </c>
      <c r="P13" s="58">
        <f>'Watchlist Ratings'!AN9</f>
        <v>7.82</v>
      </c>
      <c r="Q13" s="40">
        <f ca="1">'Watchlist Ratings'!BM9</f>
        <v>0.22537416317838144</v>
      </c>
      <c r="S13" t="str">
        <f ca="1">'Watchlist Ratings'!B9</f>
        <v>DSGX</v>
      </c>
      <c r="T13" s="40">
        <f>'Watchlist Ratings'!BC9</f>
        <v>0.16842105263157894</v>
      </c>
      <c r="V13" t="str">
        <f ca="1">'Watchlist Ratings'!B9</f>
        <v>DSGX</v>
      </c>
      <c r="W13" s="59">
        <f>'Watchlist Ratings'!K9</f>
        <v>7</v>
      </c>
      <c r="X13" s="59">
        <f>'Watchlist Ratings'!L9</f>
        <v>2</v>
      </c>
      <c r="Y13" t="str">
        <f ca="1">'Watchlist Ratings'!B9</f>
        <v>DSGX</v>
      </c>
      <c r="Z13">
        <f ca="1">'Watchlist Ratings'!AW9</f>
        <v>24.322846666666671</v>
      </c>
      <c r="AA13" t="str">
        <f ca="1">'Watchlist Ratings'!B9</f>
        <v>DSGX</v>
      </c>
      <c r="AB13">
        <f ca="1">'Watchlist Ratings'!BL9</f>
        <v>1.0746360753893791E-2</v>
      </c>
      <c r="AC13">
        <f ca="1">'Watchlist Ratings'!BM9</f>
        <v>0.22537416317838144</v>
      </c>
      <c r="AE13" t="s">
        <v>376</v>
      </c>
      <c r="AF13">
        <v>37.5</v>
      </c>
      <c r="AH13" t="s">
        <v>376</v>
      </c>
      <c r="AI13">
        <v>37.5</v>
      </c>
      <c r="AJ13" t="s">
        <v>377</v>
      </c>
      <c r="AK13">
        <v>7</v>
      </c>
      <c r="AL13">
        <v>3</v>
      </c>
      <c r="AM13" t="s">
        <v>385</v>
      </c>
      <c r="AN13">
        <v>38.9</v>
      </c>
      <c r="AO13" t="s">
        <v>386</v>
      </c>
      <c r="AP13">
        <v>4.7</v>
      </c>
      <c r="AQ13">
        <v>32.9</v>
      </c>
      <c r="AS13" t="s">
        <v>381</v>
      </c>
      <c r="AT13">
        <v>29.589673076923098</v>
      </c>
      <c r="AU13">
        <v>13.4877131347373</v>
      </c>
    </row>
    <row r="14" spans="1:47" ht="15" customHeight="1" x14ac:dyDescent="0.25">
      <c r="A14" s="66">
        <v>7</v>
      </c>
      <c r="B14" s="67" t="str">
        <f ca="1">'Watchlist Ratings'!B10</f>
        <v>RAA</v>
      </c>
      <c r="C14" s="68">
        <f>'Watchlist Ratings'!S10</f>
        <v>8.1300000000000008</v>
      </c>
      <c r="D14" s="68">
        <f>'Watchlist Ratings'!AC10</f>
        <v>7.5</v>
      </c>
      <c r="E14" s="68">
        <f>'Watchlist Ratings'!AM10</f>
        <v>8.2899999999999991</v>
      </c>
      <c r="F14" s="68">
        <f>'Watchlist Ratings'!AN10</f>
        <v>7.97</v>
      </c>
      <c r="G14" s="69">
        <f>'Watchlist Ratings'!K10</f>
        <v>7</v>
      </c>
      <c r="H14" s="69">
        <f>'Watchlist Ratings'!L10</f>
        <v>2</v>
      </c>
      <c r="I14" s="70">
        <f>'Watchlist Ratings'!BC10</f>
        <v>0.38333333333333336</v>
      </c>
      <c r="J14" s="71">
        <f ca="1">'Watchlist Ratings'!AW10</f>
        <v>27.818576923076922</v>
      </c>
      <c r="L14" t="s">
        <v>387</v>
      </c>
      <c r="M14">
        <f>COUNTIF('Watchlist Ratings'!AN4:AN64,"&gt;=8")</f>
        <v>5</v>
      </c>
      <c r="O14" t="str">
        <f ca="1">'Watchlist Ratings'!B10</f>
        <v>RAA</v>
      </c>
      <c r="P14" s="58">
        <f>'Watchlist Ratings'!AN10</f>
        <v>7.97</v>
      </c>
      <c r="Q14" s="40">
        <f ca="1">'Watchlist Ratings'!BM10</f>
        <v>0.15192557557910069</v>
      </c>
      <c r="S14" t="str">
        <f ca="1">'Watchlist Ratings'!B10</f>
        <v>RAA</v>
      </c>
      <c r="T14" s="40">
        <f>'Watchlist Ratings'!BC10</f>
        <v>0.38333333333333336</v>
      </c>
      <c r="V14" t="str">
        <f ca="1">'Watchlist Ratings'!B10</f>
        <v>RAA</v>
      </c>
      <c r="W14" s="59">
        <f>'Watchlist Ratings'!K10</f>
        <v>7</v>
      </c>
      <c r="X14" s="59">
        <f>'Watchlist Ratings'!L10</f>
        <v>2</v>
      </c>
      <c r="Y14" t="str">
        <f ca="1">'Watchlist Ratings'!B10</f>
        <v>RAA</v>
      </c>
      <c r="Z14">
        <f ca="1">'Watchlist Ratings'!AW10</f>
        <v>27.818576923076922</v>
      </c>
      <c r="AA14" t="str">
        <f ca="1">'Watchlist Ratings'!B10</f>
        <v>RAA</v>
      </c>
      <c r="AB14">
        <f ca="1">'Watchlist Ratings'!BL10</f>
        <v>-6.9027009114458138E-2</v>
      </c>
      <c r="AC14">
        <f ca="1">'Watchlist Ratings'!BM10</f>
        <v>0.15192557557910069</v>
      </c>
      <c r="AE14" t="s">
        <v>388</v>
      </c>
      <c r="AF14">
        <v>37.142857142857103</v>
      </c>
      <c r="AH14" t="s">
        <v>388</v>
      </c>
      <c r="AI14">
        <v>37.1</v>
      </c>
      <c r="AJ14" t="s">
        <v>382</v>
      </c>
      <c r="AK14">
        <v>7</v>
      </c>
      <c r="AL14">
        <v>2</v>
      </c>
      <c r="AM14" t="s">
        <v>379</v>
      </c>
      <c r="AN14">
        <v>38.5</v>
      </c>
      <c r="AO14" t="s">
        <v>389</v>
      </c>
      <c r="AP14">
        <v>-4.2</v>
      </c>
      <c r="AQ14">
        <v>13.7</v>
      </c>
      <c r="AS14" t="s">
        <v>372</v>
      </c>
      <c r="AT14">
        <v>26.244954871232899</v>
      </c>
      <c r="AU14">
        <v>32.575210542620198</v>
      </c>
    </row>
    <row r="15" spans="1:47" ht="15" customHeight="1" x14ac:dyDescent="0.25">
      <c r="A15" s="60">
        <v>8</v>
      </c>
      <c r="B15" s="61" t="str">
        <f ca="1">'Watchlist Ratings'!B11</f>
        <v>ZS</v>
      </c>
      <c r="C15" s="62">
        <f>'Watchlist Ratings'!S11</f>
        <v>8.07</v>
      </c>
      <c r="D15" s="62">
        <f>'Watchlist Ratings'!AC11</f>
        <v>7</v>
      </c>
      <c r="E15" s="62">
        <f>'Watchlist Ratings'!AM11</f>
        <v>7.29</v>
      </c>
      <c r="F15" s="62">
        <f>'Watchlist Ratings'!AN11</f>
        <v>7.45</v>
      </c>
      <c r="G15" s="63">
        <f>'Watchlist Ratings'!K11</f>
        <v>6</v>
      </c>
      <c r="H15" s="63">
        <f>'Watchlist Ratings'!L11</f>
        <v>2</v>
      </c>
      <c r="I15" s="64">
        <f>'Watchlist Ratings'!BC11</f>
        <v>0.15</v>
      </c>
      <c r="J15" s="65">
        <f ca="1">'Watchlist Ratings'!AW11</f>
        <v>26.557725821917806</v>
      </c>
      <c r="L15" t="s">
        <v>390</v>
      </c>
      <c r="M15">
        <f>COUNTIFS('Watchlist Ratings'!AN4:AN64,"&gt;=7",'Watchlist Ratings'!AN4:AN64,"&lt;8")</f>
        <v>14</v>
      </c>
      <c r="O15" t="str">
        <f ca="1">'Watchlist Ratings'!B11</f>
        <v>ZS</v>
      </c>
      <c r="P15" s="58">
        <f>'Watchlist Ratings'!AN11</f>
        <v>7.45</v>
      </c>
      <c r="Q15" s="40">
        <f ca="1">'Watchlist Ratings'!BM11</f>
        <v>0.32226499873093206</v>
      </c>
      <c r="S15" t="str">
        <f ca="1">'Watchlist Ratings'!B11</f>
        <v>ZS</v>
      </c>
      <c r="T15" s="40">
        <f>'Watchlist Ratings'!BC11</f>
        <v>0.15</v>
      </c>
      <c r="V15" t="str">
        <f ca="1">'Watchlist Ratings'!B11</f>
        <v>ZS</v>
      </c>
      <c r="W15" s="59">
        <f>'Watchlist Ratings'!K11</f>
        <v>6</v>
      </c>
      <c r="X15" s="59">
        <f>'Watchlist Ratings'!L11</f>
        <v>2</v>
      </c>
      <c r="Y15" t="str">
        <f ca="1">'Watchlist Ratings'!B11</f>
        <v>ZS</v>
      </c>
      <c r="Z15">
        <f ca="1">'Watchlist Ratings'!AW11</f>
        <v>26.557725821917806</v>
      </c>
      <c r="AA15" t="str">
        <f ca="1">'Watchlist Ratings'!B11</f>
        <v>ZS</v>
      </c>
      <c r="AB15">
        <f ca="1">'Watchlist Ratings'!BL11</f>
        <v>3.5349445440920002E-2</v>
      </c>
      <c r="AC15">
        <f ca="1">'Watchlist Ratings'!BM11</f>
        <v>0.32226499873093206</v>
      </c>
      <c r="AE15" t="s">
        <v>389</v>
      </c>
      <c r="AF15">
        <v>36.1111111111111</v>
      </c>
      <c r="AH15" t="s">
        <v>389</v>
      </c>
      <c r="AI15">
        <v>36.1</v>
      </c>
      <c r="AJ15" t="s">
        <v>381</v>
      </c>
      <c r="AK15">
        <v>7</v>
      </c>
      <c r="AL15">
        <v>2</v>
      </c>
      <c r="AM15" t="s">
        <v>391</v>
      </c>
      <c r="AN15">
        <v>37.700000000000003</v>
      </c>
      <c r="AO15" t="s">
        <v>381</v>
      </c>
      <c r="AP15">
        <v>-8</v>
      </c>
      <c r="AQ15">
        <v>13.5</v>
      </c>
      <c r="AS15" t="s">
        <v>392</v>
      </c>
      <c r="AT15">
        <v>27.905545425233299</v>
      </c>
      <c r="AU15">
        <v>8.8031472249346301</v>
      </c>
    </row>
    <row r="16" spans="1:47" ht="15" customHeight="1" x14ac:dyDescent="0.25">
      <c r="A16" s="66">
        <v>9</v>
      </c>
      <c r="B16" s="67" t="str">
        <f ca="1">'Watchlist Ratings'!B12</f>
        <v>NTO</v>
      </c>
      <c r="C16" s="68">
        <f>'Watchlist Ratings'!S12</f>
        <v>8.1300000000000008</v>
      </c>
      <c r="D16" s="68">
        <f>'Watchlist Ratings'!AC12</f>
        <v>7.5</v>
      </c>
      <c r="E16" s="68">
        <f>'Watchlist Ratings'!AM12</f>
        <v>8.14</v>
      </c>
      <c r="F16" s="68">
        <f>'Watchlist Ratings'!AN12</f>
        <v>7.92</v>
      </c>
      <c r="G16" s="69">
        <f>'Watchlist Ratings'!K12</f>
        <v>7</v>
      </c>
      <c r="H16" s="69">
        <f>'Watchlist Ratings'!L12</f>
        <v>3</v>
      </c>
      <c r="I16" s="70">
        <f>'Watchlist Ratings'!BC12</f>
        <v>0.21875</v>
      </c>
      <c r="J16" s="71">
        <f ca="1">'Watchlist Ratings'!AW12</f>
        <v>25.395685080151512</v>
      </c>
      <c r="L16" t="s">
        <v>393</v>
      </c>
      <c r="M16">
        <f>COUNTIFS('Watchlist Ratings'!AN4:AN64,"&gt;=6",'Watchlist Ratings'!AN4:AN64,"&lt;7")</f>
        <v>15</v>
      </c>
      <c r="O16" t="str">
        <f ca="1">'Watchlist Ratings'!B12</f>
        <v>NTO</v>
      </c>
      <c r="P16" s="58">
        <f>'Watchlist Ratings'!AN12</f>
        <v>7.92</v>
      </c>
      <c r="Q16" s="40">
        <f ca="1">'Watchlist Ratings'!BM12</f>
        <v>0.10925301798657316</v>
      </c>
      <c r="S16" t="str">
        <f ca="1">'Watchlist Ratings'!B12</f>
        <v>NTO</v>
      </c>
      <c r="T16" s="40">
        <f>'Watchlist Ratings'!BC12</f>
        <v>0.21875</v>
      </c>
      <c r="V16" t="str">
        <f ca="1">'Watchlist Ratings'!B12</f>
        <v>NTO</v>
      </c>
      <c r="W16" s="59">
        <f>'Watchlist Ratings'!K12</f>
        <v>7</v>
      </c>
      <c r="X16" s="59">
        <f>'Watchlist Ratings'!L12</f>
        <v>3</v>
      </c>
      <c r="Y16" t="str">
        <f ca="1">'Watchlist Ratings'!B12</f>
        <v>NTO</v>
      </c>
      <c r="Z16">
        <f ca="1">'Watchlist Ratings'!AW12</f>
        <v>25.395685080151512</v>
      </c>
      <c r="AA16" t="str">
        <f ca="1">'Watchlist Ratings'!B12</f>
        <v>NTO</v>
      </c>
      <c r="AB16">
        <f ca="1">'Watchlist Ratings'!BL12</f>
        <v>-7.7723587765218261E-2</v>
      </c>
      <c r="AC16">
        <f ca="1">'Watchlist Ratings'!BM12</f>
        <v>0.10925301798657316</v>
      </c>
      <c r="AE16" t="s">
        <v>370</v>
      </c>
      <c r="AF16">
        <v>32.142857142857103</v>
      </c>
      <c r="AH16" t="s">
        <v>370</v>
      </c>
      <c r="AI16">
        <v>32.1</v>
      </c>
      <c r="AJ16" t="s">
        <v>392</v>
      </c>
      <c r="AK16">
        <v>7</v>
      </c>
      <c r="AL16">
        <v>3</v>
      </c>
      <c r="AM16" t="s">
        <v>381</v>
      </c>
      <c r="AN16">
        <v>29.6</v>
      </c>
      <c r="AO16" t="s">
        <v>379</v>
      </c>
      <c r="AP16">
        <v>-7.9</v>
      </c>
      <c r="AQ16">
        <v>12.3</v>
      </c>
      <c r="AS16" t="s">
        <v>367</v>
      </c>
      <c r="AT16">
        <v>52.2229498644231</v>
      </c>
      <c r="AU16">
        <v>4.7817205741696798</v>
      </c>
    </row>
    <row r="17" spans="1:47" ht="15" customHeight="1" x14ac:dyDescent="0.25">
      <c r="A17" s="60">
        <v>10</v>
      </c>
      <c r="B17" s="61" t="str">
        <f ca="1">'Watchlist Ratings'!B13</f>
        <v>AMZN</v>
      </c>
      <c r="C17" s="62">
        <f>'Watchlist Ratings'!S13</f>
        <v>9.25</v>
      </c>
      <c r="D17" s="62">
        <f>'Watchlist Ratings'!AC13</f>
        <v>7.7</v>
      </c>
      <c r="E17" s="62">
        <f>'Watchlist Ratings'!AM13</f>
        <v>7.29</v>
      </c>
      <c r="F17" s="62">
        <f>'Watchlist Ratings'!AN13</f>
        <v>8.08</v>
      </c>
      <c r="G17" s="63">
        <f>'Watchlist Ratings'!K13</f>
        <v>8</v>
      </c>
      <c r="H17" s="63">
        <f>'Watchlist Ratings'!L13</f>
        <v>3</v>
      </c>
      <c r="I17" s="64">
        <f>'Watchlist Ratings'!BC13</f>
        <v>0.18333333333333335</v>
      </c>
      <c r="J17" s="65">
        <f ca="1">'Watchlist Ratings'!AW13</f>
        <v>54.308681078846156</v>
      </c>
      <c r="L17" t="s">
        <v>394</v>
      </c>
      <c r="M17">
        <f>COUNTIF('Watchlist Ratings'!AN4:AN64,"&lt;6")</f>
        <v>27</v>
      </c>
      <c r="O17" t="str">
        <f ca="1">'Watchlist Ratings'!B13</f>
        <v>AMZN</v>
      </c>
      <c r="P17" s="58">
        <f>'Watchlist Ratings'!AN13</f>
        <v>8.08</v>
      </c>
      <c r="Q17" s="40">
        <f ca="1">'Watchlist Ratings'!BM13</f>
        <v>3.7663330894378566E-2</v>
      </c>
      <c r="S17" t="str">
        <f ca="1">'Watchlist Ratings'!B13</f>
        <v>AMZN</v>
      </c>
      <c r="T17" s="40">
        <f>'Watchlist Ratings'!BC13</f>
        <v>0.18333333333333335</v>
      </c>
      <c r="V17" t="str">
        <f ca="1">'Watchlist Ratings'!B13</f>
        <v>AMZN</v>
      </c>
      <c r="W17" s="59">
        <f>'Watchlist Ratings'!K13</f>
        <v>8</v>
      </c>
      <c r="X17" s="59">
        <f>'Watchlist Ratings'!L13</f>
        <v>3</v>
      </c>
      <c r="Y17" t="str">
        <f ca="1">'Watchlist Ratings'!B13</f>
        <v>AMZN</v>
      </c>
      <c r="Z17">
        <f ca="1">'Watchlist Ratings'!AW13</f>
        <v>54.308681078846156</v>
      </c>
      <c r="AA17" t="str">
        <f ca="1">'Watchlist Ratings'!B13</f>
        <v>AMZN</v>
      </c>
      <c r="AB17">
        <f ca="1">'Watchlist Ratings'!BL13</f>
        <v>-0.10220533252572028</v>
      </c>
      <c r="AC17">
        <f ca="1">'Watchlist Ratings'!BM13</f>
        <v>3.7663330894378566E-2</v>
      </c>
      <c r="AS17" t="s">
        <v>391</v>
      </c>
      <c r="AT17">
        <v>37.736707694444398</v>
      </c>
      <c r="AU17">
        <v>5.3744270407932504</v>
      </c>
    </row>
    <row r="18" spans="1:47" ht="15" customHeight="1" x14ac:dyDescent="0.25">
      <c r="A18" s="66">
        <v>11</v>
      </c>
      <c r="B18" s="67" t="str">
        <f ca="1">'Watchlist Ratings'!B14</f>
        <v>SU</v>
      </c>
      <c r="C18" s="68">
        <f>'Watchlist Ratings'!S14</f>
        <v>8.14</v>
      </c>
      <c r="D18" s="68">
        <f>'Watchlist Ratings'!AC14</f>
        <v>7.7</v>
      </c>
      <c r="E18" s="68">
        <f>'Watchlist Ratings'!AM14</f>
        <v>7.71</v>
      </c>
      <c r="F18" s="68">
        <f>'Watchlist Ratings'!AN14</f>
        <v>7.85</v>
      </c>
      <c r="G18" s="69">
        <f>'Watchlist Ratings'!K14</f>
        <v>7</v>
      </c>
      <c r="H18" s="69">
        <f>'Watchlist Ratings'!L14</f>
        <v>3</v>
      </c>
      <c r="I18" s="70">
        <f>'Watchlist Ratings'!BC14</f>
        <v>0.12631578947368421</v>
      </c>
      <c r="J18" s="71">
        <f ca="1">'Watchlist Ratings'!AW14</f>
        <v>37.396846666666669</v>
      </c>
      <c r="O18" t="str">
        <f ca="1">'Watchlist Ratings'!B14</f>
        <v>SU</v>
      </c>
      <c r="P18" s="58">
        <f>'Watchlist Ratings'!AN14</f>
        <v>7.85</v>
      </c>
      <c r="Q18" s="40">
        <f ca="1">'Watchlist Ratings'!BM14</f>
        <v>5.6264582021875231E-2</v>
      </c>
      <c r="V18" t="str">
        <f ca="1">'Watchlist Ratings'!B14</f>
        <v>SU</v>
      </c>
      <c r="W18" s="59">
        <f>'Watchlist Ratings'!K14</f>
        <v>7</v>
      </c>
      <c r="X18" s="59">
        <f>'Watchlist Ratings'!L14</f>
        <v>3</v>
      </c>
      <c r="Y18" t="str">
        <f ca="1">'Watchlist Ratings'!B14</f>
        <v>SU</v>
      </c>
      <c r="Z18">
        <f ca="1">'Watchlist Ratings'!AW14</f>
        <v>37.396846666666669</v>
      </c>
      <c r="AA18" t="str">
        <f ca="1">'Watchlist Ratings'!B14</f>
        <v>SU</v>
      </c>
      <c r="AB18">
        <f ca="1">'Watchlist Ratings'!BL14</f>
        <v>-0.10494200890302641</v>
      </c>
      <c r="AC18">
        <f ca="1">'Watchlist Ratings'!BM14</f>
        <v>5.6264582021875231E-2</v>
      </c>
      <c r="AS18" t="s">
        <v>389</v>
      </c>
      <c r="AT18">
        <v>24.612029698461502</v>
      </c>
      <c r="AU18">
        <v>13.683807480135</v>
      </c>
    </row>
    <row r="19" spans="1:47" ht="15" customHeight="1" x14ac:dyDescent="0.25">
      <c r="A19" s="60">
        <v>12</v>
      </c>
      <c r="B19" s="61" t="str">
        <f ca="1">'Watchlist Ratings'!B15</f>
        <v>ITX</v>
      </c>
      <c r="C19" s="62">
        <f>'Watchlist Ratings'!S15</f>
        <v>7.2</v>
      </c>
      <c r="D19" s="62">
        <f>'Watchlist Ratings'!AC15</f>
        <v>7.7</v>
      </c>
      <c r="E19" s="62">
        <f>'Watchlist Ratings'!AM15</f>
        <v>8.14</v>
      </c>
      <c r="F19" s="62">
        <f>'Watchlist Ratings'!AN15</f>
        <v>7.68</v>
      </c>
      <c r="G19" s="63">
        <f>'Watchlist Ratings'!K15</f>
        <v>6.5</v>
      </c>
      <c r="H19" s="63">
        <f>'Watchlist Ratings'!L15</f>
        <v>2</v>
      </c>
      <c r="I19" s="64">
        <f>'Watchlist Ratings'!BC15</f>
        <v>0.36111111111111105</v>
      </c>
      <c r="J19" s="65">
        <f ca="1">'Watchlist Ratings'!AW15</f>
        <v>23.432496787692308</v>
      </c>
      <c r="O19" t="str">
        <f ca="1">'Watchlist Ratings'!B15</f>
        <v>ITX</v>
      </c>
      <c r="P19" s="58">
        <f>'Watchlist Ratings'!AN15</f>
        <v>7.68</v>
      </c>
      <c r="Q19" s="40">
        <f ca="1">'Watchlist Ratings'!BM15</f>
        <v>0.14991282543667639</v>
      </c>
      <c r="V19" t="str">
        <f ca="1">'Watchlist Ratings'!B15</f>
        <v>ITX</v>
      </c>
      <c r="W19" s="59">
        <f>'Watchlist Ratings'!K15</f>
        <v>6.5</v>
      </c>
      <c r="X19" s="59">
        <f>'Watchlist Ratings'!L15</f>
        <v>2</v>
      </c>
      <c r="Y19" t="str">
        <f ca="1">'Watchlist Ratings'!B15</f>
        <v>ITX</v>
      </c>
      <c r="Z19">
        <f ca="1">'Watchlist Ratings'!AW15</f>
        <v>23.432496787692308</v>
      </c>
      <c r="AA19" t="str">
        <f ca="1">'Watchlist Ratings'!B15</f>
        <v>ITX</v>
      </c>
      <c r="AB19">
        <f ca="1">'Watchlist Ratings'!BL15</f>
        <v>-3.3671685044053157E-2</v>
      </c>
      <c r="AC19">
        <f ca="1">'Watchlist Ratings'!BM15</f>
        <v>0.14991282543667639</v>
      </c>
      <c r="AS19" t="s">
        <v>374</v>
      </c>
      <c r="AT19">
        <v>45.617441111111098</v>
      </c>
      <c r="AU19">
        <v>3.6173393375436902</v>
      </c>
    </row>
    <row r="20" spans="1:47" ht="15" customHeight="1" x14ac:dyDescent="0.25">
      <c r="A20" s="66">
        <v>13</v>
      </c>
      <c r="B20" s="67" t="str">
        <f ca="1">'Watchlist Ratings'!B16</f>
        <v>LOTB</v>
      </c>
      <c r="C20" s="68">
        <f>'Watchlist Ratings'!S16</f>
        <v>8.09</v>
      </c>
      <c r="D20" s="68">
        <f>'Watchlist Ratings'!AC16</f>
        <v>7.9</v>
      </c>
      <c r="E20" s="68">
        <f>'Watchlist Ratings'!AM16</f>
        <v>8</v>
      </c>
      <c r="F20" s="68">
        <f>'Watchlist Ratings'!AN16</f>
        <v>8</v>
      </c>
      <c r="G20" s="69">
        <f>'Watchlist Ratings'!K16</f>
        <v>7</v>
      </c>
      <c r="H20" s="69">
        <f>'Watchlist Ratings'!L16</f>
        <v>3</v>
      </c>
      <c r="I20" s="70">
        <f>'Watchlist Ratings'!BC16</f>
        <v>0.20625000000000002</v>
      </c>
      <c r="J20" s="71">
        <f ca="1">'Watchlist Ratings'!AW16</f>
        <v>46.070780000000006</v>
      </c>
      <c r="O20" t="str">
        <f ca="1">'Watchlist Ratings'!B16</f>
        <v>LOTB</v>
      </c>
      <c r="P20" s="58">
        <f>'Watchlist Ratings'!AN16</f>
        <v>8</v>
      </c>
      <c r="Q20" s="40">
        <f ca="1">'Watchlist Ratings'!BM16</f>
        <v>3.3583587090321831E-2</v>
      </c>
      <c r="V20" t="str">
        <f ca="1">'Watchlist Ratings'!B16</f>
        <v>LOTB</v>
      </c>
      <c r="W20" s="59">
        <f>'Watchlist Ratings'!K16</f>
        <v>7</v>
      </c>
      <c r="X20" s="59">
        <f>'Watchlist Ratings'!L16</f>
        <v>3</v>
      </c>
      <c r="Y20" t="str">
        <f ca="1">'Watchlist Ratings'!B16</f>
        <v>LOTB</v>
      </c>
      <c r="Z20">
        <f ca="1">'Watchlist Ratings'!AW16</f>
        <v>46.070780000000006</v>
      </c>
      <c r="AA20" t="str">
        <f ca="1">'Watchlist Ratings'!B16</f>
        <v>LOTB</v>
      </c>
      <c r="AB20">
        <f ca="1">'Watchlist Ratings'!BL16</f>
        <v>-0.1479134208357874</v>
      </c>
      <c r="AC20">
        <f ca="1">'Watchlist Ratings'!BM16</f>
        <v>3.3583587090321831E-2</v>
      </c>
      <c r="AS20" t="s">
        <v>380</v>
      </c>
      <c r="AT20">
        <v>43.630936634999998</v>
      </c>
      <c r="AU20">
        <v>4.3482859737552504</v>
      </c>
    </row>
    <row r="21" spans="1:47" ht="15" customHeight="1" x14ac:dyDescent="0.25">
      <c r="A21" s="60">
        <v>14</v>
      </c>
      <c r="B21" s="61" t="str">
        <f ca="1">'Watchlist Ratings'!B17</f>
        <v>HLMA</v>
      </c>
      <c r="C21" s="62">
        <f>'Watchlist Ratings'!S17</f>
        <v>8.15</v>
      </c>
      <c r="D21" s="62">
        <f>'Watchlist Ratings'!AC17</f>
        <v>7.2</v>
      </c>
      <c r="E21" s="62">
        <f>'Watchlist Ratings'!AM17</f>
        <v>8.2899999999999991</v>
      </c>
      <c r="F21" s="62">
        <f>'Watchlist Ratings'!AN17</f>
        <v>7.88</v>
      </c>
      <c r="G21" s="63">
        <f>'Watchlist Ratings'!K17</f>
        <v>6</v>
      </c>
      <c r="H21" s="63">
        <f>'Watchlist Ratings'!L17</f>
        <v>3</v>
      </c>
      <c r="I21" s="64">
        <f>'Watchlist Ratings'!BC17</f>
        <v>0.1761904761904762</v>
      </c>
      <c r="J21" s="65">
        <f ca="1">'Watchlist Ratings'!AW17</f>
        <v>42.776734709999999</v>
      </c>
      <c r="O21" t="str">
        <f ca="1">'Watchlist Ratings'!B17</f>
        <v>HLMA</v>
      </c>
      <c r="P21" s="58">
        <f>'Watchlist Ratings'!AN17</f>
        <v>7.88</v>
      </c>
      <c r="Q21" s="40">
        <f ca="1">'Watchlist Ratings'!BM17</f>
        <v>4.874516911010951E-2</v>
      </c>
      <c r="V21" t="str">
        <f ca="1">'Watchlist Ratings'!B17</f>
        <v>HLMA</v>
      </c>
      <c r="W21" s="59">
        <f>'Watchlist Ratings'!K17</f>
        <v>6</v>
      </c>
      <c r="X21" s="59">
        <f>'Watchlist Ratings'!L17</f>
        <v>3</v>
      </c>
      <c r="Y21" t="str">
        <f ca="1">'Watchlist Ratings'!B17</f>
        <v>HLMA</v>
      </c>
      <c r="Z21">
        <f ca="1">'Watchlist Ratings'!AW17</f>
        <v>42.776734709999999</v>
      </c>
      <c r="AA21" t="str">
        <f ca="1">'Watchlist Ratings'!B17</f>
        <v>HLMA</v>
      </c>
      <c r="AB21">
        <f ca="1">'Watchlist Ratings'!BL17</f>
        <v>-0.11947568677075815</v>
      </c>
      <c r="AC21">
        <f ca="1">'Watchlist Ratings'!BM17</f>
        <v>4.874516911010951E-2</v>
      </c>
      <c r="AS21" t="s">
        <v>379</v>
      </c>
      <c r="AT21">
        <v>38.120501266027397</v>
      </c>
      <c r="AU21">
        <v>12.615575978128</v>
      </c>
    </row>
    <row r="22" spans="1:47" ht="15" customHeight="1" x14ac:dyDescent="0.25">
      <c r="A22" s="72">
        <v>15</v>
      </c>
      <c r="B22" s="73" t="str">
        <f ca="1">'Watchlist Ratings'!B18</f>
        <v>FICO</v>
      </c>
      <c r="C22" s="74">
        <f>'Watchlist Ratings'!S18</f>
        <v>6.93</v>
      </c>
      <c r="D22" s="74">
        <f>'Watchlist Ratings'!AC18</f>
        <v>6.4</v>
      </c>
      <c r="E22" s="74">
        <f>'Watchlist Ratings'!AM18</f>
        <v>8.14</v>
      </c>
      <c r="F22" s="74">
        <f>'Watchlist Ratings'!AN18</f>
        <v>7.16</v>
      </c>
      <c r="G22" s="75">
        <f>'Watchlist Ratings'!K18</f>
        <v>8</v>
      </c>
      <c r="H22" s="75">
        <f>'Watchlist Ratings'!L18</f>
        <v>2</v>
      </c>
      <c r="I22" s="76">
        <f>'Watchlist Ratings'!BC18</f>
        <v>0.29090909090909089</v>
      </c>
      <c r="J22" s="77">
        <f ca="1">'Watchlist Ratings'!AW18</f>
        <v>35.663148566575344</v>
      </c>
      <c r="O22" t="str">
        <f ca="1">'Watchlist Ratings'!B18</f>
        <v>FICO</v>
      </c>
      <c r="P22" s="58">
        <f>'Watchlist Ratings'!AN18</f>
        <v>7.16</v>
      </c>
      <c r="Q22" s="40">
        <f ca="1">'Watchlist Ratings'!BM18</f>
        <v>0.14677261815152964</v>
      </c>
      <c r="V22" t="str">
        <f ca="1">'Watchlist Ratings'!B18</f>
        <v>FICO</v>
      </c>
      <c r="W22" s="59">
        <f>'Watchlist Ratings'!K18</f>
        <v>8</v>
      </c>
      <c r="X22" s="59">
        <f>'Watchlist Ratings'!L18</f>
        <v>2</v>
      </c>
      <c r="Y22" t="str">
        <f ca="1">'Watchlist Ratings'!B18</f>
        <v>FICO</v>
      </c>
      <c r="Z22">
        <f ca="1">'Watchlist Ratings'!AW18</f>
        <v>35.663148566575344</v>
      </c>
      <c r="AA22" t="str">
        <f ca="1">'Watchlist Ratings'!B18</f>
        <v>FICO</v>
      </c>
      <c r="AB22">
        <f ca="1">'Watchlist Ratings'!BL18</f>
        <v>-6.4097602665554976E-2</v>
      </c>
      <c r="AC22">
        <f ca="1">'Watchlist Ratings'!BM18</f>
        <v>0.14677261815152964</v>
      </c>
    </row>
    <row r="23" spans="1:47" ht="15" customHeight="1" x14ac:dyDescent="0.25">
      <c r="O23" t="str">
        <f ca="1">'Watchlist Ratings'!B19</f>
        <v>LIFCO B</v>
      </c>
      <c r="P23" s="58">
        <f>'Watchlist Ratings'!AN19</f>
        <v>7.9</v>
      </c>
      <c r="Q23" s="40">
        <f ca="1">'Watchlist Ratings'!BM19</f>
        <v>0.12560864395433158</v>
      </c>
    </row>
    <row r="24" spans="1:47" ht="30" customHeight="1" x14ac:dyDescent="0.3">
      <c r="A24" s="121" t="s">
        <v>395</v>
      </c>
      <c r="B24" s="121"/>
      <c r="C24" s="121"/>
      <c r="D24" s="121"/>
      <c r="E24" s="121"/>
      <c r="F24" s="121"/>
      <c r="G24" s="121"/>
      <c r="H24" s="121"/>
      <c r="I24" s="121"/>
      <c r="J24" s="121"/>
      <c r="K24" s="121"/>
      <c r="L24" s="121"/>
      <c r="M24" s="121"/>
      <c r="N24" s="121"/>
      <c r="O24" s="121"/>
      <c r="P24" s="121"/>
      <c r="Q24" s="121"/>
      <c r="R24" s="121"/>
    </row>
    <row r="25" spans="1:47" ht="4.5" customHeight="1" x14ac:dyDescent="0.25">
      <c r="O25" t="str">
        <f ca="1">'Watchlist Ratings'!B21</f>
        <v>MNST</v>
      </c>
      <c r="P25" s="58">
        <f>'Watchlist Ratings'!AN21</f>
        <v>7.41</v>
      </c>
      <c r="Q25">
        <f ca="1">'Watchlist Ratings'!BM21</f>
        <v>-2.4498165099422264E-2</v>
      </c>
    </row>
    <row r="26" spans="1:47" ht="19.5" customHeight="1" x14ac:dyDescent="0.25">
      <c r="O26" t="str">
        <f ca="1">'Watchlist Ratings'!B22</f>
        <v>ABNB</v>
      </c>
      <c r="P26" s="58">
        <f>'Watchlist Ratings'!AN22</f>
        <v>7.75</v>
      </c>
      <c r="Q26">
        <f ca="1">'Watchlist Ratings'!BM22</f>
        <v>0.24926996986099637</v>
      </c>
    </row>
    <row r="27" spans="1:47" ht="19.5" customHeight="1" x14ac:dyDescent="0.25">
      <c r="O27" t="str">
        <f ca="1">'Watchlist Ratings'!B23</f>
        <v>DNP</v>
      </c>
      <c r="P27" s="58">
        <f>'Watchlist Ratings'!AN23</f>
        <v>7.44</v>
      </c>
      <c r="Q27">
        <f ca="1">'Watchlist Ratings'!BM23</f>
        <v>5.4201787127444723E-2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22"/>
      <c r="M40" s="122"/>
      <c r="N40" s="122"/>
      <c r="O40" s="122"/>
      <c r="P40" s="122"/>
      <c r="Q40" s="122"/>
      <c r="R40" s="122"/>
    </row>
    <row r="41" spans="2:18" ht="19.5" customHeight="1" x14ac:dyDescent="0.25">
      <c r="L41" s="78"/>
      <c r="M41" s="78"/>
      <c r="N41" s="78"/>
      <c r="O41" s="78"/>
      <c r="P41" s="78"/>
      <c r="Q41" s="78"/>
    </row>
    <row r="42" spans="2:18" ht="19.5" customHeight="1" x14ac:dyDescent="0.25">
      <c r="J42" s="123"/>
      <c r="K42" s="123"/>
      <c r="L42" s="123"/>
      <c r="M42" s="123"/>
      <c r="N42" s="123"/>
      <c r="O42" s="123"/>
      <c r="P42" s="123"/>
      <c r="Q42" s="123"/>
    </row>
    <row r="43" spans="2:18" ht="19.5" customHeight="1" x14ac:dyDescent="0.25">
      <c r="B43" s="79"/>
      <c r="C43" s="79"/>
      <c r="D43" s="79"/>
      <c r="E43" s="79"/>
      <c r="F43" s="79"/>
      <c r="G43" s="79"/>
      <c r="H43" s="79"/>
      <c r="J43" s="80"/>
      <c r="K43" s="80"/>
      <c r="L43" s="80"/>
      <c r="M43" s="80"/>
      <c r="N43" s="80"/>
      <c r="O43" s="80"/>
      <c r="P43" s="80"/>
      <c r="Q43" s="80"/>
    </row>
    <row r="44" spans="2:18" ht="19.5" customHeight="1" x14ac:dyDescent="0.25">
      <c r="E44" s="81"/>
      <c r="F44" s="81"/>
      <c r="G44" s="81"/>
    </row>
    <row r="45" spans="2:18" ht="19.5" customHeight="1" x14ac:dyDescent="0.25">
      <c r="E45" s="81"/>
      <c r="F45" s="81"/>
      <c r="G45" s="81"/>
    </row>
    <row r="46" spans="2:18" ht="19.5" customHeight="1" x14ac:dyDescent="0.25">
      <c r="E46" s="81"/>
      <c r="F46" s="81"/>
      <c r="G46" s="81"/>
    </row>
    <row r="47" spans="2:18" ht="19.5" customHeight="1" x14ac:dyDescent="0.25">
      <c r="E47" s="81"/>
      <c r="F47" s="81"/>
      <c r="G47" s="81"/>
    </row>
    <row r="48" spans="2:18" ht="19.5" customHeight="1" x14ac:dyDescent="0.25">
      <c r="E48" s="81"/>
      <c r="F48" s="81"/>
      <c r="G48" s="81"/>
    </row>
    <row r="49" spans="1:17" ht="19.5" customHeight="1" x14ac:dyDescent="0.25">
      <c r="E49" s="81"/>
      <c r="F49" s="81"/>
      <c r="G49" s="81"/>
    </row>
    <row r="50" spans="1:17" ht="19.5" customHeight="1" x14ac:dyDescent="0.25">
      <c r="E50" s="81"/>
      <c r="F50" s="81"/>
      <c r="G50" s="81"/>
    </row>
    <row r="51" spans="1:17" ht="19.5" customHeight="1" x14ac:dyDescent="0.25">
      <c r="E51" s="81"/>
      <c r="F51" s="81"/>
      <c r="G51" s="81"/>
    </row>
    <row r="52" spans="1:17" ht="19.5" customHeight="1" x14ac:dyDescent="0.25">
      <c r="E52" s="81"/>
      <c r="F52" s="81"/>
      <c r="G52" s="81"/>
    </row>
    <row r="53" spans="1:17" ht="19.5" customHeight="1" x14ac:dyDescent="0.25">
      <c r="E53" s="81"/>
      <c r="F53" s="81"/>
      <c r="G53" s="81"/>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24" t="s">
        <v>396</v>
      </c>
      <c r="B62" s="124"/>
      <c r="C62" s="124"/>
      <c r="D62" s="124"/>
      <c r="E62" s="124"/>
      <c r="F62" s="124"/>
      <c r="G62" s="124"/>
      <c r="H62" s="124"/>
      <c r="J62" s="125" t="s">
        <v>397</v>
      </c>
      <c r="K62" s="125"/>
      <c r="L62" s="125"/>
      <c r="M62" s="125"/>
      <c r="N62" s="125"/>
      <c r="O62" s="125"/>
      <c r="P62" s="125"/>
      <c r="Q62" s="125"/>
    </row>
    <row r="63" spans="1:17" ht="4.5" customHeight="1" x14ac:dyDescent="0.25">
      <c r="A63" s="82" t="s">
        <v>350</v>
      </c>
      <c r="B63" s="82" t="s">
        <v>398</v>
      </c>
      <c r="C63" s="82" t="s">
        <v>399</v>
      </c>
      <c r="D63" s="82" t="s">
        <v>400</v>
      </c>
      <c r="E63" s="82" t="s">
        <v>364</v>
      </c>
      <c r="F63" s="82" t="s">
        <v>363</v>
      </c>
      <c r="G63" s="82" t="s">
        <v>401</v>
      </c>
      <c r="H63" s="82" t="s">
        <v>402</v>
      </c>
      <c r="J63" s="83" t="s">
        <v>350</v>
      </c>
      <c r="K63" s="83" t="s">
        <v>403</v>
      </c>
      <c r="L63" s="83" t="s">
        <v>404</v>
      </c>
      <c r="M63" s="83" t="s">
        <v>405</v>
      </c>
      <c r="N63" s="83" t="s">
        <v>406</v>
      </c>
      <c r="O63" s="83" t="s">
        <v>352</v>
      </c>
      <c r="P63" s="83" t="s">
        <v>407</v>
      </c>
      <c r="Q63" s="83" t="s">
        <v>408</v>
      </c>
    </row>
    <row r="64" spans="1:17" ht="4.5" customHeight="1" x14ac:dyDescent="0.25">
      <c r="A64" s="84" t="str">
        <f ca="1">'Watchlist Ratings'!B4</f>
        <v>VEEV</v>
      </c>
      <c r="B64" s="85">
        <f ca="1">'Watchlist Ratings'!G4</f>
        <v>161.13</v>
      </c>
      <c r="C64" s="85">
        <f ca="1">'Watchlist Ratings'!BJ4</f>
        <v>209.31740411642866</v>
      </c>
      <c r="D64" s="85">
        <f ca="1">'Watchlist Ratings'!BK4</f>
        <v>533.94673022679717</v>
      </c>
      <c r="E64" s="86">
        <f ca="1">'Watchlist Ratings'!BL4</f>
        <v>5.372136698029184E-2</v>
      </c>
      <c r="F64" s="86">
        <f ca="1">'Watchlist Ratings'!BM4</f>
        <v>0.34921257745203937</v>
      </c>
      <c r="G64" s="86">
        <f t="shared" ref="G64:G71" ca="1" si="0">F64-E64</f>
        <v>0.29549121047174753</v>
      </c>
      <c r="H64" s="84" t="str">
        <f t="shared" ref="H64:H71" ca="1" si="1">IF(E64&gt;0,"🟢 BUY",IF(E64&gt;-0.05,"🟡 HOLD","🔴 PASS"))</f>
        <v>🟢 BUY</v>
      </c>
      <c r="J64" s="84" t="str">
        <f ca="1">'Watchlist Ratings'!B4</f>
        <v>VEEV</v>
      </c>
      <c r="K64" s="87">
        <f>'Watchlist Ratings'!AM4</f>
        <v>8.57</v>
      </c>
      <c r="L64" s="88">
        <f>'Watchlist Ratings'!AF4</f>
        <v>10</v>
      </c>
      <c r="M64" s="88">
        <f>'Watchlist Ratings'!AG4</f>
        <v>14</v>
      </c>
      <c r="N64" s="88">
        <f>'Watchlist Ratings'!AK4</f>
        <v>-5</v>
      </c>
      <c r="O64" s="88">
        <f>'Watchlist Ratings'!K4</f>
        <v>8</v>
      </c>
      <c r="P64" s="88">
        <f>'Watchlist Ratings'!L4</f>
        <v>2</v>
      </c>
      <c r="Q64" s="84" t="str">
        <f t="shared" ref="Q64:Q71" si="2">IF(K64&gt;=8,"🟢 ALTO",IF(K64&gt;=7,"🟡 MEDIO","🔴 BAJO"))</f>
        <v>🟢 ALTO</v>
      </c>
    </row>
    <row r="65" spans="1:17" ht="4.5" customHeight="1" x14ac:dyDescent="0.25">
      <c r="A65" s="84" t="str">
        <f ca="1">'Watchlist Ratings'!B5</f>
        <v>MSFT</v>
      </c>
      <c r="B65" s="85">
        <f ca="1">'Watchlist Ratings'!G5</f>
        <v>424.62</v>
      </c>
      <c r="C65" s="85">
        <f ca="1">'Watchlist Ratings'!BJ5</f>
        <v>281.46571825767217</v>
      </c>
      <c r="D65" s="85">
        <f ca="1">'Watchlist Ratings'!BK5</f>
        <v>624.47639115824393</v>
      </c>
      <c r="E65" s="86">
        <f ca="1">'Watchlist Ratings'!BL5</f>
        <v>-7.8946171485779426E-2</v>
      </c>
      <c r="F65" s="86">
        <f ca="1">'Watchlist Ratings'!BM5</f>
        <v>0.10123218193895678</v>
      </c>
      <c r="G65" s="86">
        <f t="shared" ca="1" si="0"/>
        <v>0.1801783534247362</v>
      </c>
      <c r="H65" s="84" t="str">
        <f t="shared" ca="1" si="1"/>
        <v>🔴 PASS</v>
      </c>
      <c r="J65" s="84" t="str">
        <f ca="1">'Watchlist Ratings'!B5</f>
        <v>MSFT</v>
      </c>
      <c r="K65" s="87">
        <f>'Watchlist Ratings'!AM5</f>
        <v>7.71</v>
      </c>
      <c r="L65" s="88">
        <f>'Watchlist Ratings'!AF5</f>
        <v>5</v>
      </c>
      <c r="M65" s="88">
        <f>'Watchlist Ratings'!AG5</f>
        <v>14</v>
      </c>
      <c r="N65" s="88">
        <f>'Watchlist Ratings'!AK5</f>
        <v>-6</v>
      </c>
      <c r="O65" s="88">
        <f>'Watchlist Ratings'!K5</f>
        <v>8</v>
      </c>
      <c r="P65" s="88">
        <f>'Watchlist Ratings'!L5</f>
        <v>3</v>
      </c>
      <c r="Q65" s="84" t="str">
        <f t="shared" si="2"/>
        <v>🟡 MEDIO</v>
      </c>
    </row>
    <row r="66" spans="1:17" ht="4.5" customHeight="1" x14ac:dyDescent="0.25">
      <c r="A66" s="84" t="str">
        <f ca="1">'Watchlist Ratings'!B6</f>
        <v>ADYEN</v>
      </c>
      <c r="B66" s="85">
        <f ca="1">'Watchlist Ratings'!G6</f>
        <v>975.1</v>
      </c>
      <c r="C66" s="85">
        <f ca="1">'Watchlist Ratings'!BJ6</f>
        <v>1041.5979875540768</v>
      </c>
      <c r="D66" s="85">
        <f ca="1">'Watchlist Ratings'!BK6</f>
        <v>2678.2318065860945</v>
      </c>
      <c r="E66" s="86">
        <f ca="1">'Watchlist Ratings'!BL6</f>
        <v>1.3281690276011338E-2</v>
      </c>
      <c r="F66" s="86">
        <f ca="1">'Watchlist Ratings'!BM6</f>
        <v>0.28735923181267742</v>
      </c>
      <c r="G66" s="86">
        <f t="shared" ca="1" si="0"/>
        <v>0.27407754153666608</v>
      </c>
      <c r="H66" s="84" t="str">
        <f t="shared" ca="1" si="1"/>
        <v>🟢 BUY</v>
      </c>
      <c r="J66" s="84" t="str">
        <f ca="1">'Watchlist Ratings'!B6</f>
        <v>ADYEN</v>
      </c>
      <c r="K66" s="87">
        <f>'Watchlist Ratings'!AM6</f>
        <v>8.2899999999999991</v>
      </c>
      <c r="L66" s="88">
        <f>'Watchlist Ratings'!AF6</f>
        <v>9</v>
      </c>
      <c r="M66" s="88">
        <f>'Watchlist Ratings'!AG6</f>
        <v>14</v>
      </c>
      <c r="N66" s="88">
        <f>'Watchlist Ratings'!AK6</f>
        <v>-6</v>
      </c>
      <c r="O66" s="88">
        <f>'Watchlist Ratings'!K6</f>
        <v>7</v>
      </c>
      <c r="P66" s="88">
        <f>'Watchlist Ratings'!L6</f>
        <v>2</v>
      </c>
      <c r="Q66" s="84" t="str">
        <f t="shared" si="2"/>
        <v>🟢 ALTO</v>
      </c>
    </row>
    <row r="67" spans="1:17" ht="4.5" customHeight="1" x14ac:dyDescent="0.25">
      <c r="A67" s="84" t="str">
        <f ca="1">'Watchlist Ratings'!B7</f>
        <v>BN</v>
      </c>
      <c r="B67" s="85">
        <f ca="1">'Watchlist Ratings'!G7</f>
        <v>45.48</v>
      </c>
      <c r="C67" s="85">
        <f ca="1">'Watchlist Ratings'!BJ7</f>
        <v>48.649524231530187</v>
      </c>
      <c r="D67" s="85">
        <f ca="1">'Watchlist Ratings'!BK7</f>
        <v>108.96099641067259</v>
      </c>
      <c r="E67" s="86">
        <f ca="1">'Watchlist Ratings'!BL7</f>
        <v>1.3565053734955868E-2</v>
      </c>
      <c r="F67" s="86">
        <f ca="1">'Watchlist Ratings'!BM7</f>
        <v>0.24412109092771805</v>
      </c>
      <c r="G67" s="86">
        <f t="shared" ca="1" si="0"/>
        <v>0.23055603719276219</v>
      </c>
      <c r="H67" s="84" t="str">
        <f t="shared" ca="1" si="1"/>
        <v>🟢 BUY</v>
      </c>
      <c r="J67" s="84" t="str">
        <f ca="1">'Watchlist Ratings'!B7</f>
        <v>BN</v>
      </c>
      <c r="K67" s="87">
        <f>'Watchlist Ratings'!AM7</f>
        <v>7.57</v>
      </c>
      <c r="L67" s="88">
        <f>'Watchlist Ratings'!AF7</f>
        <v>5</v>
      </c>
      <c r="M67" s="88">
        <f>'Watchlist Ratings'!AG7</f>
        <v>15</v>
      </c>
      <c r="N67" s="88">
        <f>'Watchlist Ratings'!AK7</f>
        <v>-5</v>
      </c>
      <c r="O67" s="88">
        <f>'Watchlist Ratings'!K7</f>
        <v>7</v>
      </c>
      <c r="P67" s="88">
        <f>'Watchlist Ratings'!L7</f>
        <v>3</v>
      </c>
      <c r="Q67" s="84" t="str">
        <f t="shared" si="2"/>
        <v>🟡 MEDIO</v>
      </c>
    </row>
    <row r="68" spans="1:17" ht="4.5" customHeight="1" x14ac:dyDescent="0.25">
      <c r="A68" s="84" t="str">
        <f ca="1">'Watchlist Ratings'!B8</f>
        <v>COST</v>
      </c>
      <c r="B68" s="85">
        <f ca="1">'Watchlist Ratings'!G8</f>
        <v>1011.15</v>
      </c>
      <c r="C68" s="85">
        <f ca="1">'Watchlist Ratings'!BJ8</f>
        <v>524.05880728723503</v>
      </c>
      <c r="D68" s="85">
        <f ca="1">'Watchlist Ratings'!BK8</f>
        <v>1024.2250409949229</v>
      </c>
      <c r="E68" s="86">
        <f ca="1">'Watchlist Ratings'!BL8</f>
        <v>-0.12317507333596478</v>
      </c>
      <c r="F68" s="86">
        <f ca="1">'Watchlist Ratings'!BM8</f>
        <v>3.2171569978285408E-3</v>
      </c>
      <c r="G68" s="86">
        <f t="shared" ca="1" si="0"/>
        <v>0.12639223033379332</v>
      </c>
      <c r="H68" s="84" t="str">
        <f t="shared" ca="1" si="1"/>
        <v>🔴 PASS</v>
      </c>
      <c r="J68" s="84" t="str">
        <f ca="1">'Watchlist Ratings'!B8</f>
        <v>COST</v>
      </c>
      <c r="K68" s="87">
        <f>'Watchlist Ratings'!AM8</f>
        <v>8.43</v>
      </c>
      <c r="L68" s="88">
        <f>'Watchlist Ratings'!AF8</f>
        <v>6</v>
      </c>
      <c r="M68" s="88">
        <f>'Watchlist Ratings'!AG8</f>
        <v>13</v>
      </c>
      <c r="N68" s="88">
        <f>'Watchlist Ratings'!AK8</f>
        <v>-3</v>
      </c>
      <c r="O68" s="88">
        <f>'Watchlist Ratings'!K8</f>
        <v>8</v>
      </c>
      <c r="P68" s="88">
        <f>'Watchlist Ratings'!L8</f>
        <v>1</v>
      </c>
      <c r="Q68" s="84" t="str">
        <f t="shared" si="2"/>
        <v>🟢 ALTO</v>
      </c>
    </row>
    <row r="69" spans="1:17" ht="4.5" customHeight="1" x14ac:dyDescent="0.25">
      <c r="A69" s="84" t="str">
        <f ca="1">'Watchlist Ratings'!B9</f>
        <v>DSGX</v>
      </c>
      <c r="B69" s="85">
        <f ca="1">'Watchlist Ratings'!G9</f>
        <v>72</v>
      </c>
      <c r="C69" s="85">
        <f ca="1">'Watchlist Ratings'!BJ9</f>
        <v>75.952736902555898</v>
      </c>
      <c r="D69" s="85">
        <f ca="1">'Watchlist Ratings'!BK9</f>
        <v>162.33320855702007</v>
      </c>
      <c r="E69" s="86">
        <f ca="1">'Watchlist Ratings'!BL9</f>
        <v>1.0746360753893791E-2</v>
      </c>
      <c r="F69" s="86">
        <f ca="1">'Watchlist Ratings'!BM9</f>
        <v>0.22537416317838144</v>
      </c>
      <c r="G69" s="86">
        <f t="shared" ca="1" si="0"/>
        <v>0.21462780242448765</v>
      </c>
      <c r="H69" s="84" t="str">
        <f t="shared" ca="1" si="1"/>
        <v>🟢 BUY</v>
      </c>
      <c r="J69" s="84" t="str">
        <f ca="1">'Watchlist Ratings'!B9</f>
        <v>DSGX</v>
      </c>
      <c r="K69" s="87">
        <f>'Watchlist Ratings'!AM9</f>
        <v>8.7100000000000009</v>
      </c>
      <c r="L69" s="88">
        <f>'Watchlist Ratings'!AF9</f>
        <v>10</v>
      </c>
      <c r="M69" s="88">
        <f>'Watchlist Ratings'!AG9</f>
        <v>13</v>
      </c>
      <c r="N69" s="88">
        <f>'Watchlist Ratings'!AK9</f>
        <v>-3</v>
      </c>
      <c r="O69" s="88">
        <f>'Watchlist Ratings'!K9</f>
        <v>7</v>
      </c>
      <c r="P69" s="88">
        <f>'Watchlist Ratings'!L9</f>
        <v>2</v>
      </c>
      <c r="Q69" s="84" t="str">
        <f t="shared" si="2"/>
        <v>🟢 ALTO</v>
      </c>
    </row>
    <row r="70" spans="1:17" ht="4.5" customHeight="1" x14ac:dyDescent="0.25">
      <c r="A70" s="84" t="str">
        <f ca="1">'Watchlist Ratings'!B10</f>
        <v>RAA</v>
      </c>
      <c r="B70" s="85">
        <f ca="1">'Watchlist Ratings'!G10</f>
        <v>659</v>
      </c>
      <c r="C70" s="85">
        <f ca="1">'Watchlist Ratings'!BJ10</f>
        <v>460.86191732629732</v>
      </c>
      <c r="D70" s="85">
        <f ca="1">'Watchlist Ratings'!BK10</f>
        <v>1160.3342128408092</v>
      </c>
      <c r="E70" s="86">
        <f ca="1">'Watchlist Ratings'!BL10</f>
        <v>-6.9027009114458138E-2</v>
      </c>
      <c r="F70" s="86">
        <f ca="1">'Watchlist Ratings'!BM10</f>
        <v>0.15192557557910069</v>
      </c>
      <c r="G70" s="86">
        <f t="shared" ca="1" si="0"/>
        <v>0.22095258469355883</v>
      </c>
      <c r="H70" s="84" t="str">
        <f t="shared" ca="1" si="1"/>
        <v>🔴 PASS</v>
      </c>
      <c r="J70" s="84" t="str">
        <f ca="1">'Watchlist Ratings'!B10</f>
        <v>RAA</v>
      </c>
      <c r="K70" s="87">
        <f>'Watchlist Ratings'!AM10</f>
        <v>8.2899999999999991</v>
      </c>
      <c r="L70" s="88">
        <f>'Watchlist Ratings'!AF10</f>
        <v>8</v>
      </c>
      <c r="M70" s="88">
        <f>'Watchlist Ratings'!AG10</f>
        <v>13</v>
      </c>
      <c r="N70" s="88">
        <f>'Watchlist Ratings'!AK10</f>
        <v>-3</v>
      </c>
      <c r="O70" s="88">
        <f>'Watchlist Ratings'!K10</f>
        <v>7</v>
      </c>
      <c r="P70" s="88">
        <f>'Watchlist Ratings'!L10</f>
        <v>2</v>
      </c>
      <c r="Q70" s="84" t="str">
        <f t="shared" si="2"/>
        <v>🟢 ALTO</v>
      </c>
    </row>
    <row r="71" spans="1:17" ht="19.5" customHeight="1" x14ac:dyDescent="0.25">
      <c r="A71" s="84" t="str">
        <f ca="1">'Watchlist Ratings'!B11</f>
        <v>ZS</v>
      </c>
      <c r="B71" s="85">
        <f ca="1">'Watchlist Ratings'!G11</f>
        <v>135.5</v>
      </c>
      <c r="C71" s="85">
        <f ca="1">'Watchlist Ratings'!BJ11</f>
        <v>161.2033531790085</v>
      </c>
      <c r="D71" s="85">
        <f ca="1">'Watchlist Ratings'!BK11</f>
        <v>414.20306025161904</v>
      </c>
      <c r="E71" s="86">
        <f ca="1">'Watchlist Ratings'!BL11</f>
        <v>3.5349445440920002E-2</v>
      </c>
      <c r="F71" s="86">
        <f ca="1">'Watchlist Ratings'!BM11</f>
        <v>0.32226499873093206</v>
      </c>
      <c r="G71" s="86">
        <f t="shared" ca="1" si="0"/>
        <v>0.28691555329001206</v>
      </c>
      <c r="H71" s="84" t="str">
        <f t="shared" ca="1" si="1"/>
        <v>🟢 BUY</v>
      </c>
      <c r="J71" s="84" t="str">
        <f ca="1">'Watchlist Ratings'!B11</f>
        <v>ZS</v>
      </c>
      <c r="K71" s="87">
        <f>'Watchlist Ratings'!AM11</f>
        <v>7.29</v>
      </c>
      <c r="L71" s="88">
        <f>'Watchlist Ratings'!AF11</f>
        <v>9</v>
      </c>
      <c r="M71" s="88">
        <f>'Watchlist Ratings'!AG11</f>
        <v>11</v>
      </c>
      <c r="N71" s="88">
        <f>'Watchlist Ratings'!AK11</f>
        <v>-5</v>
      </c>
      <c r="O71" s="88">
        <f>'Watchlist Ratings'!K11</f>
        <v>6</v>
      </c>
      <c r="P71" s="88">
        <f>'Watchlist Ratings'!L11</f>
        <v>2</v>
      </c>
      <c r="Q71" s="84" t="str">
        <f t="shared" si="2"/>
        <v>🟡 MEDIO</v>
      </c>
    </row>
    <row r="72" spans="1:17" ht="27.75" customHeight="1" x14ac:dyDescent="0.25">
      <c r="A72" s="126" t="str">
        <f ca="1">'Watchlist Ratings'!B12</f>
        <v>NTO</v>
      </c>
      <c r="B72" s="126"/>
      <c r="C72" s="126"/>
      <c r="D72" s="126"/>
      <c r="E72" s="126"/>
      <c r="F72" s="126"/>
      <c r="G72" s="126"/>
      <c r="H72" s="126"/>
      <c r="I72" s="126"/>
      <c r="J72" s="127" t="str">
        <f ca="1">'Watchlist Ratings'!B12</f>
        <v>NTO</v>
      </c>
      <c r="K72" s="127"/>
      <c r="L72" s="127"/>
      <c r="M72" s="127"/>
      <c r="N72" s="127"/>
      <c r="O72" s="127"/>
      <c r="P72" s="127"/>
      <c r="Q72" s="127"/>
    </row>
    <row r="73" spans="1:17" ht="19.5" customHeight="1" x14ac:dyDescent="0.25">
      <c r="A73" s="89" t="str">
        <f ca="1">'Watchlist Ratings'!B13</f>
        <v>AMZN</v>
      </c>
      <c r="B73" s="90">
        <f ca="1">'Watchlist Ratings'!G13</f>
        <v>263.99</v>
      </c>
      <c r="C73" s="90">
        <f ca="1">'Watchlist Ratings'!BJ13</f>
        <v>153.98293162141229</v>
      </c>
      <c r="D73" s="90">
        <f ca="1">'Watchlist Ratings'!BK13</f>
        <v>306.06477912740752</v>
      </c>
      <c r="E73" s="91">
        <f ca="1">'Watchlist Ratings'!BL13</f>
        <v>-0.10220533252572028</v>
      </c>
      <c r="F73" s="91">
        <f ca="1">'Watchlist Ratings'!BM13</f>
        <v>3.7663330894378566E-2</v>
      </c>
      <c r="G73" s="91">
        <f ca="1">F73-E73</f>
        <v>0.13986866342009885</v>
      </c>
      <c r="H73" s="92" t="str">
        <f ca="1">IF(E73&gt;0,"🟢 BUY",IF(E73&gt;-0.05,"🟡 HOLD","🔴 PASS"))</f>
        <v>🔴 PASS</v>
      </c>
      <c r="J73" s="93" t="str">
        <f ca="1">'Watchlist Ratings'!B13</f>
        <v>AMZN</v>
      </c>
      <c r="K73" s="94">
        <f>'Watchlist Ratings'!AM13</f>
        <v>7.29</v>
      </c>
      <c r="L73" s="95">
        <f>'Watchlist Ratings'!AF13</f>
        <v>4</v>
      </c>
      <c r="M73" s="95">
        <f>'Watchlist Ratings'!AG13</f>
        <v>13</v>
      </c>
      <c r="N73" s="95">
        <f>'Watchlist Ratings'!AK13</f>
        <v>-5</v>
      </c>
      <c r="O73" s="95">
        <f>'Watchlist Ratings'!K13</f>
        <v>8</v>
      </c>
      <c r="P73" s="95">
        <f>'Watchlist Ratings'!L13</f>
        <v>3</v>
      </c>
      <c r="Q73" s="93" t="str">
        <f>IF(K73&gt;=8,"🟢 ALTO",IF(K73&gt;=7,"🟡 MEDIO","🔴 BAJO"))</f>
        <v>🟡 MEDIO</v>
      </c>
    </row>
    <row r="74" spans="1:17" ht="19.5" customHeight="1" x14ac:dyDescent="0.25">
      <c r="A74" s="96" t="s">
        <v>366</v>
      </c>
      <c r="B74" s="97" t="str">
        <f ca="1">VLOOKUP(A74,'Watchlist Ratings'!$B$4:$BM$64,4,FALSE())</f>
        <v>XNYS</v>
      </c>
      <c r="C74" s="97">
        <f ca="1">VLOOKUP(A74,'Watchlist Ratings'!$B$4:$BM$64,59,FALSE())</f>
        <v>18</v>
      </c>
      <c r="D74" s="97">
        <f ca="1">VLOOKUP(A74,'Watchlist Ratings'!$B$4:$BM$64,60,FALSE())</f>
        <v>30</v>
      </c>
      <c r="E74" s="98">
        <f ca="1">VLOOKUP(A74,'Watchlist Ratings'!$B$4:$BM$64,61,FALSE())</f>
        <v>209.31740411642866</v>
      </c>
      <c r="F74" s="98">
        <f ca="1">VLOOKUP(A74,'Watchlist Ratings'!$B$4:$BM$64,64,FALSE())</f>
        <v>0.34921257745203937</v>
      </c>
      <c r="G74" s="98">
        <f ca="1">F74-E74</f>
        <v>-208.96819153897661</v>
      </c>
      <c r="H74" s="96" t="str">
        <f ca="1">IF(E74&gt;0,"🟢 BUY",IF(E74&gt;-0.05,"🟡 HOLD","🔴 PASS"))</f>
        <v>🟢 BUY</v>
      </c>
      <c r="J74" s="99" t="s">
        <v>366</v>
      </c>
      <c r="K74" s="99">
        <f ca="1">VLOOKUP(J74,'Watchlist Ratings'!$B$4:$BM$64,36,FALSE())</f>
        <v>-5</v>
      </c>
      <c r="L74" s="99">
        <f ca="1">VLOOKUP(J74,'Watchlist Ratings'!$B$4:$BM$64,29,FALSE())</f>
        <v>14</v>
      </c>
      <c r="M74" s="99">
        <f ca="1">VLOOKUP(J74,'Watchlist Ratings'!$B$4:$BM$64,30,FALSE())</f>
        <v>0</v>
      </c>
      <c r="N74" s="99">
        <f ca="1">VLOOKUP(J74,'Watchlist Ratings'!$B$4:$BM$64,34,FALSE())</f>
        <v>8</v>
      </c>
      <c r="O74" s="99">
        <f ca="1">VLOOKUP(J74,'Watchlist Ratings'!$B$4:$BM$64,8,FALSE())</f>
        <v>26317.507917000003</v>
      </c>
      <c r="P74" s="99">
        <f ca="1">VLOOKUP(J74,'Watchlist Ratings'!$B$4:$BM$64,9,FALSE())</f>
        <v>1.5</v>
      </c>
      <c r="Q74" s="99" t="str">
        <f ca="1">IF(K74&gt;=8.5,"🟢 ALTO",IF(K74&gt;=7.5,"🟡 MEDIO","🔴 BAJO"))</f>
        <v>🔴 BAJO</v>
      </c>
    </row>
    <row r="75" spans="1:17" ht="19.5" customHeight="1" x14ac:dyDescent="0.25">
      <c r="A75" s="100" t="s">
        <v>370</v>
      </c>
      <c r="B75" s="101" t="str">
        <f ca="1">VLOOKUP(A75,'Watchlist Ratings'!$B$4:$BM$64,4,FALSE())</f>
        <v>XNAS</v>
      </c>
      <c r="C75" s="101">
        <f ca="1">VLOOKUP(A75,'Watchlist Ratings'!$B$4:$BM$64,59,FALSE())</f>
        <v>20</v>
      </c>
      <c r="D75" s="101">
        <f ca="1">VLOOKUP(A75,'Watchlist Ratings'!$B$4:$BM$64,60,FALSE())</f>
        <v>30</v>
      </c>
      <c r="E75" s="102">
        <f ca="1">VLOOKUP(A75,'Watchlist Ratings'!$B$4:$BM$64,61,FALSE())</f>
        <v>281.46571825767217</v>
      </c>
      <c r="F75" s="102">
        <f ca="1">VLOOKUP(A75,'Watchlist Ratings'!$B$4:$BM$64,64,FALSE())</f>
        <v>0.10123218193895678</v>
      </c>
      <c r="G75" s="102">
        <f ca="1">F75-E75</f>
        <v>-281.36448607573323</v>
      </c>
      <c r="H75" s="100" t="str">
        <f ca="1">IF(E75&gt;0,"🟢 BUY",IF(E75&gt;-0.05,"🟡 HOLD","🔴 PASS"))</f>
        <v>🟢 BUY</v>
      </c>
      <c r="J75" s="100" t="s">
        <v>370</v>
      </c>
      <c r="K75" s="100">
        <f ca="1">VLOOKUP(J75,'Watchlist Ratings'!$B$4:$BM$64,36,FALSE())</f>
        <v>-6</v>
      </c>
      <c r="L75" s="100">
        <f ca="1">VLOOKUP(J75,'Watchlist Ratings'!$B$4:$BM$64,29,FALSE())</f>
        <v>14</v>
      </c>
      <c r="M75" s="100">
        <f ca="1">VLOOKUP(J75,'Watchlist Ratings'!$B$4:$BM$64,30,FALSE())</f>
        <v>0</v>
      </c>
      <c r="N75" s="100">
        <f ca="1">VLOOKUP(J75,'Watchlist Ratings'!$B$4:$BM$64,34,FALSE())</f>
        <v>9</v>
      </c>
      <c r="O75" s="100">
        <f ca="1">VLOOKUP(J75,'Watchlist Ratings'!$B$4:$BM$64,8,FALSE())</f>
        <v>3153070.58598</v>
      </c>
      <c r="P75" s="100">
        <f ca="1">VLOOKUP(J75,'Watchlist Ratings'!$B$4:$BM$64,9,FALSE())</f>
        <v>1</v>
      </c>
      <c r="Q75" s="100" t="str">
        <f ca="1">IF(K75&gt;=8.5,"🟢 ALTO",IF(K75&gt;=7.5,"🟡 MEDIO","🔴 BAJO"))</f>
        <v>🔴 BAJO</v>
      </c>
    </row>
    <row r="76" spans="1:17" ht="19.5" customHeight="1" x14ac:dyDescent="0.3">
      <c r="A76" s="128" t="s">
        <v>409</v>
      </c>
      <c r="B76" s="128"/>
      <c r="C76" s="128"/>
      <c r="D76" s="128"/>
      <c r="E76" s="128"/>
      <c r="F76" s="128"/>
      <c r="G76" s="128"/>
      <c r="H76" s="128"/>
      <c r="I76" s="128"/>
      <c r="J76" s="128"/>
      <c r="K76" s="128"/>
      <c r="L76" s="128"/>
      <c r="M76" s="128"/>
      <c r="N76" s="128"/>
      <c r="O76" s="128"/>
      <c r="P76" s="128"/>
      <c r="Q76" s="128"/>
    </row>
    <row r="77" spans="1:17" ht="19.5" customHeight="1" x14ac:dyDescent="0.25">
      <c r="A77" s="100" t="s">
        <v>377</v>
      </c>
      <c r="B77" s="101" t="str">
        <f ca="1">VLOOKUP(A77,'Watchlist Ratings'!$B$4:$BM$64,4,FALSE())</f>
        <v>XNYS</v>
      </c>
      <c r="C77" s="101">
        <f ca="1">VLOOKUP(A77,'Watchlist Ratings'!$B$4:$BM$64,59,FALSE())</f>
        <v>18</v>
      </c>
      <c r="D77" s="101">
        <f ca="1">VLOOKUP(A77,'Watchlist Ratings'!$B$4:$BM$64,60,FALSE())</f>
        <v>25</v>
      </c>
      <c r="E77" s="102">
        <f ca="1">VLOOKUP(A77,'Watchlist Ratings'!$B$4:$BM$64,61,FALSE())</f>
        <v>48.649524231530187</v>
      </c>
      <c r="F77" s="102">
        <f ca="1">VLOOKUP(A77,'Watchlist Ratings'!$B$4:$BM$64,64,FALSE())</f>
        <v>0.24412109092771805</v>
      </c>
      <c r="G77" s="102">
        <f ca="1">F77-E77</f>
        <v>-48.405403140602466</v>
      </c>
      <c r="H77" s="100" t="str">
        <f ca="1">IF(E77&gt;0,"🟢 BUY",IF(E77&gt;-0.05,"🟡 HOLD","🔴 PASS"))</f>
        <v>🟢 BUY</v>
      </c>
      <c r="J77" s="100" t="s">
        <v>377</v>
      </c>
      <c r="K77" s="100">
        <f ca="1">VLOOKUP(J77,'Watchlist Ratings'!$B$4:$BM$64,36,FALSE())</f>
        <v>-5</v>
      </c>
      <c r="L77" s="100">
        <f ca="1">VLOOKUP(J77,'Watchlist Ratings'!$B$4:$BM$64,29,FALSE())</f>
        <v>14</v>
      </c>
      <c r="M77" s="100">
        <f ca="1">VLOOKUP(J77,'Watchlist Ratings'!$B$4:$BM$64,30,FALSE())</f>
        <v>-1</v>
      </c>
      <c r="N77" s="100">
        <f ca="1">VLOOKUP(J77,'Watchlist Ratings'!$B$4:$BM$64,34,FALSE())</f>
        <v>10</v>
      </c>
      <c r="O77" s="100">
        <f ca="1">VLOOKUP(J77,'Watchlist Ratings'!$B$4:$BM$64,8,FALSE())</f>
        <v>111465.88595999999</v>
      </c>
      <c r="P77" s="100">
        <f ca="1">VLOOKUP(J77,'Watchlist Ratings'!$B$4:$BM$64,9,FALSE())</f>
        <v>1</v>
      </c>
      <c r="Q77" s="100" t="str">
        <f ca="1">IF(K77&gt;=8.5,"🟢 ALTO",IF(K77&gt;=7.5,"🟡 MEDIO","🔴 BAJO"))</f>
        <v>🔴 BAJO</v>
      </c>
    </row>
    <row r="78" spans="1:17" ht="19.5" customHeight="1" x14ac:dyDescent="0.25">
      <c r="A78" s="129" t="s">
        <v>410</v>
      </c>
      <c r="B78" s="129"/>
      <c r="C78" s="130" t="s">
        <v>411</v>
      </c>
      <c r="D78" s="130"/>
      <c r="E78" s="131" t="s">
        <v>412</v>
      </c>
      <c r="F78" s="131"/>
      <c r="G78" s="131" t="s">
        <v>413</v>
      </c>
      <c r="H78" s="131"/>
      <c r="I78" s="132" t="s">
        <v>414</v>
      </c>
      <c r="J78" s="132"/>
      <c r="K78" s="129" t="s">
        <v>415</v>
      </c>
      <c r="L78" s="129"/>
      <c r="M78" s="129" t="s">
        <v>416</v>
      </c>
      <c r="N78" s="129"/>
      <c r="O78" s="129" t="s">
        <v>417</v>
      </c>
      <c r="P78" s="129"/>
      <c r="Q78" s="103" t="str">
        <f>IF(K78&gt;=8.5,"🟢 ALTO",IF(K78&gt;=7.5,"🟡 MEDIO","🔴 BAJO"))</f>
        <v>🟢 ALTO</v>
      </c>
    </row>
    <row r="79" spans="1:17" ht="19.5" customHeight="1" x14ac:dyDescent="0.25">
      <c r="A79" s="133" t="str">
        <f ca="1">INDEX('Watchlist Ratings'!B:B,MATCH(MAX('Watchlist Ratings'!AN:AN),'Watchlist Ratings'!AN:AN,0))</f>
        <v>VEEV</v>
      </c>
      <c r="B79" s="133"/>
      <c r="C79" s="134" t="str">
        <f ca="1">INDEX('Watchlist Ratings'!B:B,MATCH(MAX('Watchlist Ratings'!BM:BM),'Watchlist Ratings'!BM:BM,0))</f>
        <v>OTLY</v>
      </c>
      <c r="D79" s="134"/>
      <c r="E79" s="135" t="str">
        <f ca="1">INDEX('Watchlist Ratings'!B:B,MATCH(MAX('Watchlist Ratings'!BC:BC),'Watchlist Ratings'!BC:BC,0))</f>
        <v>NVDA</v>
      </c>
      <c r="F79" s="135"/>
      <c r="G79" s="135" t="str">
        <f ca="1">INDEX('Watchlist Ratings'!B:B,MATCH(MAX('Watchlist Ratings'!K:K),'Watchlist Ratings'!K:K,0))</f>
        <v>VEEV</v>
      </c>
      <c r="H79" s="135"/>
      <c r="I79" s="136" t="str">
        <f ca="1">INDEX('Watchlist Ratings'!B:B,MATCH(MAX('Watchlist Ratings'!L:L),'Watchlist Ratings'!L:L,0))</f>
        <v>MSFT</v>
      </c>
      <c r="J79" s="136"/>
      <c r="K79" s="133" t="str">
        <f ca="1">INDEX('Watchlist Ratings'!B:B,MATCH(MAX('Watchlist Ratings'!AM:AM),'Watchlist Ratings'!AM:AM,0))</f>
        <v>DSGX</v>
      </c>
      <c r="L79" s="133"/>
      <c r="M79" s="133" t="str">
        <f t="array" aca="1" ref="M79" ca="1">INDEX('Watchlist Ratings'!B:B,MATCH(MIN('Watchlist Ratings'!AW4:AW64),'Watchlist Ratings'!AW4:AW64,0)+3)</f>
        <v>OTLY</v>
      </c>
      <c r="N79" s="133"/>
      <c r="O79" s="133" t="str">
        <f t="array" aca="1" ref="O79" ca="1">INDEX('Watchlist Ratings'!B:B,MATCH(MAX('Watchlist Ratings'!BM4:BM64-'Watchlist Ratings'!BL4:BL64),'Watchlist Ratings'!BM4:BM64-'Watchlist Ratings'!BL4:BL64,0)+3)</f>
        <v>OTLY</v>
      </c>
      <c r="P79" s="133"/>
      <c r="Q79" s="100" t="str">
        <f ca="1">IF(K79&gt;=8.5,"🟢 ALTO",IF(K79&gt;=7.5,"🟡 MEDIO","🔴 BAJO"))</f>
        <v>🟢 ALTO</v>
      </c>
    </row>
    <row r="80" spans="1:17" ht="19.5" customHeight="1" x14ac:dyDescent="0.25">
      <c r="A80" s="137">
        <f>MAX('Watchlist Ratings'!AN:AN)</f>
        <v>8.2799999999999994</v>
      </c>
      <c r="B80" s="137"/>
      <c r="C80" s="138">
        <f ca="1">MAX('Watchlist Ratings'!BM:BM)</f>
        <v>0.4468252095779921</v>
      </c>
      <c r="D80" s="138"/>
      <c r="E80" s="139">
        <f>MAX('Watchlist Ratings'!BC:BC)</f>
        <v>0.83333333333333326</v>
      </c>
      <c r="F80" s="139"/>
      <c r="G80" s="139" t="str">
        <f>MAX('Watchlist Ratings'!K:K)&amp;"/8"</f>
        <v>8/8</v>
      </c>
      <c r="H80" s="139"/>
      <c r="I80" s="140" t="str">
        <f>MAX('Watchlist Ratings'!L:L)&amp;"/3"</f>
        <v>3/3</v>
      </c>
      <c r="J80" s="140"/>
      <c r="K80" s="141">
        <f>MAX('Watchlist Ratings'!AM:AM)</f>
        <v>8.7100000000000009</v>
      </c>
      <c r="L80" s="141"/>
      <c r="M80" s="141" t="str">
        <f ca="1">MIN('Watchlist Ratings'!AW4:AW64)&amp;"x"</f>
        <v>-9.8687x</v>
      </c>
      <c r="N80" s="141"/>
      <c r="O80" s="141" t="str">
        <f t="array" aca="1" ref="O80" ca="1">TEXT(MAX('Watchlist Ratings'!BM4:BM64-'Watchlist Ratings'!BL4:BL64),"0.0%")</f>
        <v>256.9%</v>
      </c>
      <c r="P80" s="141"/>
      <c r="Q80" s="103" t="str">
        <f>IF(K80&gt;=8.5,"🟢 ALTO",IF(K80&gt;=7.5,"🟡 MEDIO","🔴 BAJO"))</f>
        <v>🟢 ALTO</v>
      </c>
    </row>
    <row r="81" spans="1:17" ht="19.5" customHeight="1" x14ac:dyDescent="0.25">
      <c r="A81" s="100" t="s">
        <v>372</v>
      </c>
      <c r="B81" s="101" t="str">
        <f ca="1">VLOOKUP(A81,'Watchlist Ratings'!$B$4:$BM$64,4,FALSE())</f>
        <v>XNAS</v>
      </c>
      <c r="C81" s="101">
        <f ca="1">VLOOKUP(A81,'Watchlist Ratings'!$B$4:$BM$64,59,FALSE())</f>
        <v>20</v>
      </c>
      <c r="D81" s="101">
        <f ca="1">VLOOKUP(A81,'Watchlist Ratings'!$B$4:$BM$64,60,FALSE())</f>
        <v>30</v>
      </c>
      <c r="E81" s="102">
        <f ca="1">VLOOKUP(A81,'Watchlist Ratings'!$B$4:$BM$64,61,FALSE())</f>
        <v>161.2033531790085</v>
      </c>
      <c r="F81" s="102">
        <f ca="1">VLOOKUP(A81,'Watchlist Ratings'!$B$4:$BM$64,64,FALSE())</f>
        <v>0.32226499873093206</v>
      </c>
      <c r="G81" s="102">
        <f ca="1">F81-E81</f>
        <v>-160.88108818027757</v>
      </c>
      <c r="H81" s="100" t="str">
        <f ca="1">IF(E81&gt;0,"🟢 BUY",IF(E81&gt;-0.05,"🟡 HOLD","🔴 PASS"))</f>
        <v>🟢 BUY</v>
      </c>
      <c r="J81" s="100" t="s">
        <v>372</v>
      </c>
      <c r="K81" s="100">
        <f ca="1">VLOOKUP(J81,'Watchlist Ratings'!$B$4:$BM$64,36,FALSE())</f>
        <v>-5</v>
      </c>
      <c r="L81" s="100">
        <f ca="1">VLOOKUP(J81,'Watchlist Ratings'!$B$4:$BM$64,29,FALSE())</f>
        <v>13</v>
      </c>
      <c r="M81" s="100">
        <f ca="1">VLOOKUP(J81,'Watchlist Ratings'!$B$4:$BM$64,30,FALSE())</f>
        <v>-2</v>
      </c>
      <c r="N81" s="100">
        <f ca="1">VLOOKUP(J81,'Watchlist Ratings'!$B$4:$BM$64,34,FALSE())</f>
        <v>9</v>
      </c>
      <c r="O81" s="100">
        <f ca="1">VLOOKUP(J81,'Watchlist Ratings'!$B$4:$BM$64,8,FALSE())</f>
        <v>21787.13985</v>
      </c>
      <c r="P81" s="100">
        <f ca="1">VLOOKUP(J81,'Watchlist Ratings'!$B$4:$BM$64,9,FALSE())</f>
        <v>2</v>
      </c>
      <c r="Q81" s="100" t="str">
        <f ca="1">IF(K81&gt;=8.5,"🟢 ALTO",IF(K81&gt;=7.5,"🟡 MEDIO","🔴 BAJO"))</f>
        <v>🔴 BAJO</v>
      </c>
    </row>
    <row r="82" spans="1:17" ht="19.5" customHeight="1" x14ac:dyDescent="0.25">
      <c r="A82" s="142" t="s">
        <v>418</v>
      </c>
      <c r="B82" s="142"/>
      <c r="C82" s="142"/>
      <c r="D82" s="142"/>
      <c r="E82" s="142"/>
      <c r="F82" s="142"/>
      <c r="G82" s="142"/>
      <c r="H82" s="142"/>
      <c r="I82" s="142"/>
      <c r="J82" s="142"/>
      <c r="K82" s="142"/>
      <c r="L82" s="142"/>
      <c r="M82" s="142"/>
      <c r="N82" s="142"/>
      <c r="O82" s="142"/>
      <c r="P82" s="142"/>
      <c r="Q82" s="142"/>
    </row>
    <row r="83" spans="1:17" ht="19.5" customHeight="1" x14ac:dyDescent="0.25">
      <c r="A83" s="104" t="s">
        <v>367</v>
      </c>
      <c r="B83" s="105" t="str">
        <f ca="1">VLOOKUP(A83,'Watchlist Ratings'!$B$4:$BM$64,4,FALSE())</f>
        <v>XNAS</v>
      </c>
      <c r="C83" s="105">
        <f ca="1">VLOOKUP(A83,'Watchlist Ratings'!$B$4:$BM$64,59,FALSE())</f>
        <v>22.5</v>
      </c>
      <c r="D83" s="105">
        <f ca="1">VLOOKUP(A83,'Watchlist Ratings'!$B$4:$BM$64,60,FALSE())</f>
        <v>30</v>
      </c>
      <c r="E83" s="106">
        <f ca="1">VLOOKUP(A83,'Watchlist Ratings'!$B$4:$BM$64,61,FALSE())</f>
        <v>153.98293162141229</v>
      </c>
      <c r="F83" s="106">
        <f ca="1">VLOOKUP(A83,'Watchlist Ratings'!$B$4:$BM$64,64,FALSE())</f>
        <v>3.7663330894378566E-2</v>
      </c>
      <c r="G83" s="106">
        <f ca="1">F83-E83</f>
        <v>-153.9452682905179</v>
      </c>
      <c r="H83" s="104" t="str">
        <f ca="1">IF(E83&gt;0,"🟢 BUY",IF(E83&gt;-0.05,"🟡 HOLD","🔴 PASS"))</f>
        <v>🟢 BUY</v>
      </c>
      <c r="J83" s="104" t="s">
        <v>367</v>
      </c>
      <c r="K83" s="104">
        <f ca="1">VLOOKUP(J83,'Watchlist Ratings'!$B$4:$BM$64,36,FALSE())</f>
        <v>-5</v>
      </c>
      <c r="L83" s="104">
        <f ca="1">VLOOKUP(J83,'Watchlist Ratings'!$B$4:$BM$64,29,FALSE())</f>
        <v>14</v>
      </c>
      <c r="M83" s="104">
        <f ca="1">VLOOKUP(J83,'Watchlist Ratings'!$B$4:$BM$64,30,FALSE())</f>
        <v>-1</v>
      </c>
      <c r="N83" s="104">
        <f ca="1">VLOOKUP(J83,'Watchlist Ratings'!$B$4:$BM$64,34,FALSE())</f>
        <v>8</v>
      </c>
      <c r="O83" s="104">
        <f ca="1">VLOOKUP(J83,'Watchlist Ratings'!$B$4:$BM$64,8,FALSE())</f>
        <v>2839051.4161</v>
      </c>
      <c r="P83" s="104">
        <f ca="1">VLOOKUP(J83,'Watchlist Ratings'!$B$4:$BM$64,9,FALSE())</f>
        <v>1.5</v>
      </c>
      <c r="Q83" s="104" t="str">
        <f ca="1">IF(K83&gt;=8.5,"🟢 ALTO",IF(K83&gt;=7.5,"🟡 MEDIO","🔴 BAJO"))</f>
        <v>🔴 BAJO</v>
      </c>
    </row>
    <row r="84" spans="1:17" ht="19.5" customHeight="1" x14ac:dyDescent="0.25"/>
    <row r="85" spans="1:17" ht="27.75" customHeight="1" x14ac:dyDescent="0.25">
      <c r="A85" s="143" t="s">
        <v>409</v>
      </c>
      <c r="B85" s="143"/>
      <c r="C85" s="143"/>
      <c r="D85" s="143"/>
      <c r="E85" s="143"/>
      <c r="F85" s="143"/>
      <c r="G85" s="143"/>
      <c r="H85" s="143"/>
      <c r="I85" s="143"/>
      <c r="J85" s="143"/>
      <c r="K85" s="143"/>
      <c r="L85" s="143"/>
      <c r="M85" s="143"/>
      <c r="N85" s="143"/>
      <c r="O85" s="143"/>
      <c r="P85" s="143"/>
      <c r="Q85" s="143"/>
    </row>
    <row r="86" spans="1:17" ht="19.5" customHeight="1" x14ac:dyDescent="0.25"/>
    <row r="87" spans="1:17" ht="19.5" customHeight="1" x14ac:dyDescent="0.25">
      <c r="A87" s="144" t="s">
        <v>410</v>
      </c>
      <c r="B87" s="144"/>
      <c r="C87" s="145" t="s">
        <v>411</v>
      </c>
      <c r="D87" s="145"/>
      <c r="E87" s="146" t="s">
        <v>412</v>
      </c>
      <c r="F87" s="146"/>
      <c r="G87" s="147" t="s">
        <v>413</v>
      </c>
      <c r="H87" s="147"/>
      <c r="I87" s="148" t="s">
        <v>414</v>
      </c>
      <c r="J87" s="148"/>
      <c r="K87" s="149" t="s">
        <v>415</v>
      </c>
      <c r="L87" s="149"/>
      <c r="M87" s="150" t="s">
        <v>416</v>
      </c>
      <c r="N87" s="150"/>
      <c r="O87" s="151" t="s">
        <v>417</v>
      </c>
      <c r="P87" s="151"/>
    </row>
    <row r="88" spans="1:17" ht="19.5" customHeight="1" x14ac:dyDescent="0.3">
      <c r="A88" s="152" t="str">
        <f ca="1">INDEX('Watchlist Ratings'!B$4:B$64,MATCH(MAX('Watchlist Ratings'!AN$4:AN$64),'Watchlist Ratings'!AN$4:AN$64,0))</f>
        <v>VEEV</v>
      </c>
      <c r="B88" s="152"/>
      <c r="C88" s="153" t="str">
        <f ca="1">INDEX('Watchlist Ratings'!B$4:B$64,MATCH(MAX('Watchlist Ratings'!BM$4:BM$64),'Watchlist Ratings'!BM$4:BM$64,0))</f>
        <v>OTLY</v>
      </c>
      <c r="D88" s="153"/>
      <c r="E88" s="152" t="str">
        <f ca="1">INDEX('Watchlist Ratings'!B$4:B$64,MATCH(MAX('Watchlist Ratings'!BC$4:BC$64),'Watchlist Ratings'!BC$4:BC$64,0))</f>
        <v>NVDA</v>
      </c>
      <c r="F88" s="152"/>
      <c r="G88" s="152" t="str">
        <f ca="1">INDEX('Watchlist Ratings'!B$4:B$64,MATCH(MAX('Watchlist Ratings'!K$4:K$64),'Watchlist Ratings'!K$4:K$64,0))</f>
        <v>VEEV</v>
      </c>
      <c r="H88" s="152"/>
      <c r="I88" s="152" t="str">
        <f ca="1">INDEX('Watchlist Ratings'!B$4:B$64,MATCH(MAX('Watchlist Ratings'!L$4:L$64),'Watchlist Ratings'!L$4:L$64,0))</f>
        <v>MSFT</v>
      </c>
      <c r="J88" s="152"/>
      <c r="K88" s="152" t="str">
        <f ca="1">INDEX('Watchlist Ratings'!B$4:B$64,MATCH(MAX('Watchlist Ratings'!AM$4:AM$64),'Watchlist Ratings'!AM$4:AM$64,0))</f>
        <v>DSGX</v>
      </c>
      <c r="L88" s="152"/>
      <c r="M88" s="152" t="str">
        <f t="array" aca="1" ref="M88" ca="1">INDEX('Watchlist Ratings'!B$4:B$64,MATCH(MIN(IF('Watchlist Ratings'!AW$4:AW$64&gt;0,'Watchlist Ratings'!AW$4:AW$64)),IF('Watchlist Ratings'!AW$4:AW$64&gt;0,'Watchlist Ratings'!AW$4:AW$64),0))</f>
        <v>KIST</v>
      </c>
      <c r="N88" s="152"/>
      <c r="O88" s="152" t="str">
        <f t="array" aca="1" ref="O88" ca="1">INDEX('Watchlist Ratings'!B$4:B$64,MATCH(MAX('Watchlist Ratings'!BM$4:BM$64-'Watchlist Ratings'!BL$4:BL$64),'Watchlist Ratings'!BM$4:BM$64-'Watchlist Ratings'!BL$4:BL$64,0))</f>
        <v>OTLY</v>
      </c>
      <c r="P88" s="152"/>
    </row>
    <row r="89" spans="1:17" ht="19.5" customHeight="1" x14ac:dyDescent="0.25">
      <c r="A89" s="154">
        <f>MAX('Watchlist Ratings'!AN$4:AN$64)</f>
        <v>8.2799999999999994</v>
      </c>
      <c r="B89" s="154"/>
      <c r="C89" s="155">
        <f ca="1">MAX('Watchlist Ratings'!BM$4:BM$64)</f>
        <v>0.4468252095779921</v>
      </c>
      <c r="D89" s="155"/>
      <c r="E89" s="155">
        <f>MAX('Watchlist Ratings'!BC$4:BC$64)</f>
        <v>0.83333333333333326</v>
      </c>
      <c r="F89" s="155"/>
      <c r="G89" s="156" t="str">
        <f>MAX('Watchlist Ratings'!K$4:K$64)&amp;"/8"</f>
        <v>8/8</v>
      </c>
      <c r="H89" s="156"/>
      <c r="I89" s="156" t="str">
        <f>MAX('Watchlist Ratings'!L$4:L$64)&amp;"/3"</f>
        <v>3/3</v>
      </c>
      <c r="J89" s="156"/>
      <c r="K89" s="156">
        <f>MAX('Watchlist Ratings'!AM$4:AM$64)</f>
        <v>8.7100000000000009</v>
      </c>
      <c r="L89" s="156"/>
      <c r="M89" s="156" t="str">
        <f t="array" aca="1" ref="M89" ca="1">MIN(IF('Watchlist Ratings'!AW$4:AW$64&gt;0,'Watchlist Ratings'!AW$4:AW$64))&amp;"x"</f>
        <v>3.60003936666667x</v>
      </c>
      <c r="N89" s="156"/>
      <c r="O89" s="156">
        <f t="array" aca="1" ref="O89" ca="1">MAX('Watchlist Ratings'!BM$4:BM$64-'Watchlist Ratings'!BL$4:BL$64)</f>
        <v>2.5689599540642014</v>
      </c>
      <c r="P89" s="156"/>
    </row>
    <row r="90" spans="1:17" ht="19.5" customHeight="1" x14ac:dyDescent="0.25"/>
    <row r="91" spans="1:17" ht="19.5" customHeight="1" x14ac:dyDescent="0.25">
      <c r="A91" s="157" t="s">
        <v>418</v>
      </c>
      <c r="B91" s="157"/>
      <c r="C91" s="157"/>
      <c r="D91" s="157"/>
      <c r="E91" s="157"/>
      <c r="F91" s="157"/>
      <c r="G91" s="157"/>
      <c r="H91" s="157"/>
      <c r="I91" s="157"/>
      <c r="J91" s="157"/>
      <c r="K91" s="157"/>
      <c r="L91" s="157"/>
      <c r="M91" s="157"/>
      <c r="N91" s="157"/>
      <c r="O91" s="157"/>
      <c r="P91" s="157"/>
      <c r="Q91" s="157"/>
    </row>
  </sheetData>
  <mergeCells count="86">
    <mergeCell ref="K89:L89"/>
    <mergeCell ref="M89:N89"/>
    <mergeCell ref="O89:P89"/>
    <mergeCell ref="A91:Q91"/>
    <mergeCell ref="A89:B89"/>
    <mergeCell ref="C89:D89"/>
    <mergeCell ref="E89:F89"/>
    <mergeCell ref="G89:H89"/>
    <mergeCell ref="I89:J89"/>
    <mergeCell ref="K87:L87"/>
    <mergeCell ref="M87:N87"/>
    <mergeCell ref="O87:P87"/>
    <mergeCell ref="A88:B88"/>
    <mergeCell ref="C88:D88"/>
    <mergeCell ref="E88:F88"/>
    <mergeCell ref="G88:H88"/>
    <mergeCell ref="I88:J88"/>
    <mergeCell ref="K88:L88"/>
    <mergeCell ref="M88:N88"/>
    <mergeCell ref="O88:P88"/>
    <mergeCell ref="A87:B87"/>
    <mergeCell ref="C87:D87"/>
    <mergeCell ref="E87:F87"/>
    <mergeCell ref="G87:H87"/>
    <mergeCell ref="I87:J87"/>
    <mergeCell ref="K80:L80"/>
    <mergeCell ref="M80:N80"/>
    <mergeCell ref="O80:P80"/>
    <mergeCell ref="A82:Q82"/>
    <mergeCell ref="A85:Q85"/>
    <mergeCell ref="A80:B80"/>
    <mergeCell ref="C80:D80"/>
    <mergeCell ref="E80:F80"/>
    <mergeCell ref="G80:H80"/>
    <mergeCell ref="I80:J80"/>
    <mergeCell ref="K78:L78"/>
    <mergeCell ref="M78:N78"/>
    <mergeCell ref="O78:P78"/>
    <mergeCell ref="A79:B79"/>
    <mergeCell ref="C79:D79"/>
    <mergeCell ref="E79:F79"/>
    <mergeCell ref="G79:H79"/>
    <mergeCell ref="I79:J79"/>
    <mergeCell ref="K79:L79"/>
    <mergeCell ref="M79:N79"/>
    <mergeCell ref="O79:P79"/>
    <mergeCell ref="A78:B78"/>
    <mergeCell ref="C78:D78"/>
    <mergeCell ref="E78:F78"/>
    <mergeCell ref="G78:H78"/>
    <mergeCell ref="I78:J78"/>
    <mergeCell ref="A62:H62"/>
    <mergeCell ref="J62:Q62"/>
    <mergeCell ref="A72:I72"/>
    <mergeCell ref="J72:Q72"/>
    <mergeCell ref="A76:Q76"/>
    <mergeCell ref="K6:L6"/>
    <mergeCell ref="A8:L8"/>
    <mergeCell ref="A24:R24"/>
    <mergeCell ref="L40:R40"/>
    <mergeCell ref="J42:Q42"/>
    <mergeCell ref="A6:B6"/>
    <mergeCell ref="C6:D6"/>
    <mergeCell ref="E6:F6"/>
    <mergeCell ref="G6:H6"/>
    <mergeCell ref="I6:J6"/>
    <mergeCell ref="K4:L4"/>
    <mergeCell ref="A5:B5"/>
    <mergeCell ref="C5:D5"/>
    <mergeCell ref="E5:F5"/>
    <mergeCell ref="G5:H5"/>
    <mergeCell ref="I5:J5"/>
    <mergeCell ref="K5:L5"/>
    <mergeCell ref="A4:B4"/>
    <mergeCell ref="C4:D4"/>
    <mergeCell ref="E4:F4"/>
    <mergeCell ref="G4:H4"/>
    <mergeCell ref="I4:J4"/>
    <mergeCell ref="A1:L1"/>
    <mergeCell ref="A2:L2"/>
    <mergeCell ref="A3:B3"/>
    <mergeCell ref="C3:D3"/>
    <mergeCell ref="E3:F3"/>
    <mergeCell ref="G3:H3"/>
    <mergeCell ref="I3:J3"/>
    <mergeCell ref="K3:L3"/>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Watchlist Ratings</vt:lpstr>
      <vt:lpstr>Framework Notes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Roger Salvador Guasch</cp:lastModifiedBy>
  <cp:revision>11</cp:revision>
  <dcterms:created xsi:type="dcterms:W3CDTF">2026-04-17T08:44:31Z</dcterms:created>
  <dcterms:modified xsi:type="dcterms:W3CDTF">2026-04-26T08:13:20Z</dcterms:modified>
  <dc:language>en-US</dc:language>
</cp:coreProperties>
</file>