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CDC363C0-E4E0-4D8D-9264-DDDAF2F66666}" xr6:coauthVersionLast="47" xr6:coauthVersionMax="47" xr10:uidLastSave="{00000000-0000-0000-0000-000000000000}"/>
  <bookViews>
    <workbookView xWindow="-289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74" i="1" l="1"/>
  <c r="H72" i="1"/>
  <c r="BK72" i="1" s="1"/>
  <c r="H73" i="1"/>
  <c r="BK73" i="1" s="1"/>
  <c r="H74" i="1"/>
  <c r="BK74" i="1" s="1"/>
  <c r="G72" i="1"/>
  <c r="G73" i="1"/>
  <c r="G74" i="1"/>
  <c r="F72" i="1"/>
  <c r="F73" i="1"/>
  <c r="F74" i="1"/>
  <c r="E72" i="1"/>
  <c r="E73" i="1"/>
  <c r="E74" i="1"/>
  <c r="B72" i="1" a="1"/>
  <c r="B72" i="1" s="1"/>
  <c r="B73" i="1" a="1"/>
  <c r="B73" i="1" s="1"/>
  <c r="B74" i="1" a="1"/>
  <c r="B74" i="1" s="1"/>
  <c r="BG74" i="1"/>
  <c r="BB74" i="1"/>
  <c r="BA74" i="1"/>
  <c r="AL74" i="1"/>
  <c r="AM74" i="1" s="1"/>
  <c r="AB74" i="1"/>
  <c r="AC74" i="1" s="1"/>
  <c r="R74" i="1"/>
  <c r="S74" i="1" s="1"/>
  <c r="BG73" i="1"/>
  <c r="BE73" i="1"/>
  <c r="BB73" i="1"/>
  <c r="BA73" i="1"/>
  <c r="AL73" i="1"/>
  <c r="AM73" i="1" s="1"/>
  <c r="AB73" i="1"/>
  <c r="AC73" i="1" s="1"/>
  <c r="R73" i="1"/>
  <c r="S73" i="1" s="1"/>
  <c r="BG72" i="1"/>
  <c r="BE72" i="1"/>
  <c r="BB72" i="1"/>
  <c r="BA72" i="1"/>
  <c r="AL72" i="1"/>
  <c r="AM72" i="1" s="1"/>
  <c r="AB72" i="1"/>
  <c r="AC72" i="1" s="1"/>
  <c r="R72" i="1"/>
  <c r="S72" i="1" s="1"/>
  <c r="H4" i="1" a="1"/>
  <c r="H4" i="1" s="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BJ74" i="1" l="1"/>
  <c r="BL74" i="1" s="1"/>
  <c r="I74" i="1"/>
  <c r="AR74" i="1" s="1"/>
  <c r="AY74" i="1" s="1"/>
  <c r="BM74" i="1"/>
  <c r="BC74" i="1"/>
  <c r="AN74" i="1"/>
  <c r="BC73" i="1"/>
  <c r="BM73" i="1"/>
  <c r="BJ72" i="1"/>
  <c r="BL72" i="1" s="1"/>
  <c r="BM72" i="1"/>
  <c r="I72" i="1"/>
  <c r="AR72" i="1" s="1"/>
  <c r="AY72" i="1" s="1"/>
  <c r="I73" i="1"/>
  <c r="AR73" i="1" s="1"/>
  <c r="AY73" i="1" s="1"/>
  <c r="BJ73" i="1"/>
  <c r="BL73" i="1" s="1"/>
  <c r="AN73" i="1"/>
  <c r="BC72" i="1"/>
  <c r="AN72" i="1"/>
  <c r="BM70" i="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Q61" i="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G28" i="1"/>
  <c r="BE28" i="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AW74" i="1" l="1"/>
  <c r="AX74" i="1"/>
  <c r="AX72" i="1"/>
  <c r="AW72" i="1"/>
  <c r="AX73" i="1"/>
  <c r="AW73" i="1"/>
  <c r="BL45" i="1"/>
  <c r="BL39" i="1"/>
  <c r="BL11" i="1"/>
  <c r="AN28" i="1"/>
  <c r="AN34" i="1"/>
  <c r="BL40" i="1"/>
  <c r="BL48" i="1"/>
  <c r="BL58" i="1"/>
  <c r="BL47" i="1"/>
  <c r="BM16" i="1"/>
  <c r="AC20" i="3" s="1"/>
  <c r="BL19" i="1"/>
  <c r="BM64" i="1"/>
  <c r="BL17" i="1"/>
  <c r="AB21" i="3" s="1"/>
  <c r="BL22" i="1"/>
  <c r="BL13" i="1"/>
  <c r="BL20" i="1"/>
  <c r="BM28" i="1"/>
  <c r="AN20" i="1"/>
  <c r="BL31" i="1"/>
  <c r="BC49" i="1"/>
  <c r="BL52" i="1"/>
  <c r="AN60" i="1"/>
  <c r="BL26" i="1"/>
  <c r="BL24" i="1"/>
  <c r="BL32" i="1"/>
  <c r="BL43" i="1"/>
  <c r="AN24" i="1"/>
  <c r="BM4" i="1"/>
  <c r="F74" i="3" s="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P25" i="3" s="1"/>
  <c r="BC36" i="1"/>
  <c r="AN12" i="1"/>
  <c r="AN29" i="1"/>
  <c r="AN45" i="1"/>
  <c r="AN47" i="1"/>
  <c r="AN52" i="1"/>
  <c r="AN57" i="1"/>
  <c r="AN19" i="1"/>
  <c r="P23" i="3" s="1"/>
  <c r="AN40" i="1"/>
  <c r="AN65" i="1"/>
  <c r="AN43" i="1"/>
  <c r="AN48" i="1"/>
  <c r="BC52" i="1"/>
  <c r="AN25" i="1"/>
  <c r="AN30" i="1"/>
  <c r="AN38" i="1"/>
  <c r="AN46" i="1"/>
  <c r="AN53" i="1"/>
  <c r="BC55" i="1"/>
  <c r="BC62" i="1"/>
  <c r="D15" i="3"/>
  <c r="AN11" i="1"/>
  <c r="D11" i="3"/>
  <c r="AN7" i="1"/>
  <c r="D22" i="3"/>
  <c r="AN18" i="1"/>
  <c r="AN27" i="1"/>
  <c r="D10" i="3"/>
  <c r="AN6" i="1"/>
  <c r="AN8" i="1"/>
  <c r="AN35" i="1"/>
  <c r="BC9" i="1"/>
  <c r="I13" i="3" s="1"/>
  <c r="AN13" i="1"/>
  <c r="BC21" i="1"/>
  <c r="BC5" i="1"/>
  <c r="I9" i="3" s="1"/>
  <c r="BK50" i="1"/>
  <c r="BM50" i="1" s="1"/>
  <c r="BC56" i="1"/>
  <c r="AN15" i="1"/>
  <c r="AN23" i="1"/>
  <c r="P27" i="3" s="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T15" i="3" s="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I10" i="3"/>
  <c r="Y12" i="3"/>
  <c r="O12" i="3"/>
  <c r="J68" i="3"/>
  <c r="A68" i="3"/>
  <c r="B12" i="3"/>
  <c r="V12" i="3"/>
  <c r="S12" i="3"/>
  <c r="AA12" i="3"/>
  <c r="S14" i="3"/>
  <c r="J70" i="3"/>
  <c r="A70" i="3"/>
  <c r="AA14" i="3"/>
  <c r="Y14" i="3"/>
  <c r="O14" i="3"/>
  <c r="B14" i="3"/>
  <c r="V14" i="3"/>
  <c r="K70" i="3"/>
  <c r="Q70" i="3" s="1"/>
  <c r="E14" i="3"/>
  <c r="C65" i="3"/>
  <c r="BJ14" i="1"/>
  <c r="BK14" i="1"/>
  <c r="BM14" i="1" s="1"/>
  <c r="BK6" i="1"/>
  <c r="BM6" i="1" s="1"/>
  <c r="BJ6" i="1"/>
  <c r="BL6" i="1" s="1"/>
  <c r="D67"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AA20" i="3"/>
  <c r="O20" i="3"/>
  <c r="B20" i="3"/>
  <c r="Y20" i="3"/>
  <c r="V20" i="3"/>
  <c r="BJ30" i="1"/>
  <c r="BL30" i="1" s="1"/>
  <c r="BK30" i="1"/>
  <c r="BM30" i="1" s="1"/>
  <c r="BJ35" i="1"/>
  <c r="BL35" i="1" s="1"/>
  <c r="BK35" i="1"/>
  <c r="BM35" i="1" s="1"/>
  <c r="BK44" i="1"/>
  <c r="BM44" i="1" s="1"/>
  <c r="BJ44" i="1"/>
  <c r="BL44" i="1" s="1"/>
  <c r="K65" i="3"/>
  <c r="Q65" i="3" s="1"/>
  <c r="E9"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I61" i="1"/>
  <c r="AR61" i="1" s="1"/>
  <c r="BC61" i="1"/>
  <c r="BJ64" i="1"/>
  <c r="BL64" i="1" s="1"/>
  <c r="T9" i="3" l="1"/>
  <c r="I15" i="3"/>
  <c r="T14" i="3"/>
  <c r="T11" i="3"/>
  <c r="T16" i="3"/>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Roger Salvador</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 ref="G74" authorId="2" shapeId="0" xr:uid="{54082418-AAC7-418A-B256-FF489C36A48F}">
      <text>
        <r>
          <rPr>
            <b/>
            <sz val="9"/>
            <color indexed="81"/>
            <rFont val="Tahoma"/>
            <charset val="1"/>
          </rPr>
          <t>Cierre del viernes 4-sep-2026. Maximo 52 semanas 346,35; minimo 243,31; hace 12 meses 354,01. La accion esta un 23,4% por debajo de su maximo.</t>
        </r>
      </text>
    </comment>
    <comment ref="AG74" authorId="2" shapeId="0" xr:uid="{244EB96A-80FE-4E92-9C67-6AEA4C92235F}">
      <text>
        <r>
          <rPr>
            <b/>
            <sz val="9"/>
            <color indexed="81"/>
            <rFont val="Tahoma"/>
            <charset val="1"/>
          </rPr>
          <t>ROIIC del ultimo ciclo comparable de inversion en flota (2017-2019, sin recuperacion de precio de por medio): +339 M$ de EBIT sobre +4.835 M$ de capital = 7,0%, por debajo del coste de capital. En 2024-2025 fue del 24,3%, pero contiene la subida de precio post-pandemia. Es la pregunta central de la tesis.</t>
        </r>
      </text>
    </comment>
    <comment ref="AI74" authorId="2" shapeId="0" xr:uid="{FF4C968C-567C-4C3E-A2BD-FFD27A6AFB9D}">
      <text>
        <r>
          <rPr>
            <b/>
            <sz val="9"/>
            <color indexed="81"/>
            <rFont val="Tahoma"/>
            <charset val="1"/>
          </rPr>
          <t>PROVISIONAL. Pendiente de leer el DEF 14A: si la retribucion variable se paga por BPA ajustado y no por retorno sobre el capital, el incentivo a recomprar acciones con deuda es estructural y este 5 baja.</t>
        </r>
      </text>
    </comment>
    <comment ref="AK74" authorId="2" shapeId="0" xr:uid="{8E33E45A-1769-45FD-9543-134758825DAF}">
      <text>
        <r>
          <rPr>
            <b/>
            <sz val="9"/>
            <color indexed="81"/>
            <rFont val="Tahoma"/>
            <charset val="1"/>
          </rPr>
          <t>Riesgo terminal MEDIO-ALTO: 3,17x de apalancamiento, un activo iliquido que es el 86% del balance, y el riesgo binario de derogacion de la Seccion 883 (-19% del beneficio de un solo acto legislativo).</t>
        </r>
      </text>
    </comment>
    <comment ref="AQ74" authorId="2" shapeId="0" xr:uid="{FF367AA1-E9E7-4F93-83F8-9B91F96362AA}">
      <text>
        <r>
          <rPr>
            <b/>
            <sz val="9"/>
            <color indexed="81"/>
            <rFont val="Tahoma"/>
            <charset val="1"/>
          </rPr>
          <t>Deuda financiera EX-arrendamientos financieros a 30-jun-2026: 1.573 corriente + 21.263 a largo plazo. Es la convencion del 10-K y de toda la serie historica del libro de RCL (cuadra en 2025: 3.180 + 18.165 = 21.345, y 21.345 - 825 = 20.520 de deuda neta). Con los arrendamientos incluidos serian 23.518 y 22.643 de deuda neta: un 0,7% mas de EV, que no cambia ninguna conclusion.</t>
        </r>
      </text>
    </comment>
    <comment ref="AS74" authorId="2" shapeId="0" xr:uid="{3019D193-BF7B-4163-A0C9-C916749B3D6C}">
      <text>
        <r>
          <rPr>
            <b/>
            <sz val="9"/>
            <color indexed="81"/>
            <rFont val="Tahoma"/>
            <charset val="1"/>
          </rPr>
          <t>OJO: aqui NO hay FCF, hay EBITDA LTM (6.920 M$).
El FCF reportado LTM de RCL es de -416 M$ (OCF 6.786 - capex 7.202) y la normalizacion esta PROHIBIDA por la regla del 25-ago-2026: el capex lleva cuatro periodos seguidos por encima del doble del D&amp;A (2023: 2,68x, 2024: 2,04x, 2025: 3,04x, LTM: 3,97x), asi que no es una fase de inversion, es el negocio. Mismo caso que Lotus Bakeries.
Por tanto AW (EV/FCF) es en realidad EV/EBITDA y coincide con AX. La metrica honesta de RCL es EV/EBITDA, igual que en TFF Group. Ver el deep dive del 7-sep-2026.</t>
        </r>
      </text>
    </comment>
    <comment ref="AT74" authorId="2" shapeId="0" xr:uid="{EDD618BF-7C9F-470E-A8F9-9262E0166BA9}">
      <text>
        <r>
          <rPr>
            <b/>
            <sz val="9"/>
            <color indexed="81"/>
            <rFont val="Tahoma"/>
            <charset val="1"/>
          </rPr>
          <t>NOPAT = EBIT LTM 5.107 x (1 - 2,4%). La tasa efectiva de RCL es genuinamente del 2,4% (Seccion 883 del IRC, matriz liberiana). No es un artefacto GAAP: la tasa sobre EBIT y sobre ingresos tambien son casi cero y estables desde 2017.</t>
        </r>
      </text>
    </comment>
    <comment ref="AZ74" authorId="2" shapeId="0" xr:uid="{CDD7FADA-EC39-433E-B49D-33EFF1646BBB}">
      <text>
        <r>
          <rPr>
            <b/>
            <sz val="9"/>
            <color indexed="81"/>
            <rFont val="Tahoma"/>
            <charset val="1"/>
          </rPr>
          <t>Capital empleado = deuda neta (21.961) + fondos propios (10.236) a 30-jun-2026.</t>
        </r>
      </text>
    </comment>
    <comment ref="BD74" authorId="2" shapeId="0" xr:uid="{B96018AE-7763-43FB-8692-BA3BCE3CF998}">
      <text>
        <r>
          <rPr>
            <b/>
            <sz val="9"/>
            <color indexed="81"/>
            <rFont val="Tahoma"/>
            <charset val="1"/>
          </rPr>
          <t>EBITDA 2031 del escenario bajista, no FCF, por el mismo motivo que AS. BH es un EV/EBITDA de salida (8,0x), por debajo del minimo de la serie historica (10,22x en 2018) y muy por debajo del 13,42x de hoy.</t>
        </r>
      </text>
    </comment>
    <comment ref="BF74" authorId="2" shapeId="0" xr:uid="{1577D17C-9F68-4894-9A63-36A7EB06BBC1}">
      <text>
        <r>
          <rPr>
            <b/>
            <sz val="9"/>
            <color indexed="81"/>
            <rFont val="Tahoma"/>
            <charset val="1"/>
          </rPr>
          <t>EBITDA 2031 del escenario alcista. BI = 11,5x EV/EBITDA, solo un 4% por encima de la media pre-pandemia (11,03x) y POR DEBAJO del multiplo de hoy: regla 6, en un ciclico el multiplo no puede subir partiendo de un beneficio de pico.</t>
        </r>
      </text>
    </comment>
    <comment ref="BO74" authorId="2" shapeId="0" xr:uid="{90C30F1C-712E-4395-A45A-CF05603CBD0E}">
      <text>
        <r>
          <rPr>
            <b/>
            <sz val="9"/>
            <color indexed="81"/>
            <rFont val="Tahoma"/>
            <charset val="1"/>
          </rPr>
          <t>Q2-2026 ya publicado (periodo cerrado el 30-jun-2026). Fecha exacta de publicacion: verificacion pendiente.</t>
        </r>
      </text>
    </comment>
    <comment ref="BP74" authorId="2" shapeId="0" xr:uid="{798B39B8-7454-4725-8481-48C9D94FE8AC}">
      <text>
        <r>
          <rPr>
            <b/>
            <sz val="9"/>
            <color indexed="81"/>
            <rFont val="Tahoma"/>
            <charset val="1"/>
          </rPr>
          <t>Q3-2026 previsto para finales de octubre o primeros de noviembre. Fecha exacta: verificacion pendiente. Es EL catalizador: spread unitario interanual, depositos sobre ingresos y retribucion al accionista contra FCF.</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6"/>
        </ext>
      </extLst>
    </bk>
    <bk>
      <extLst>
        <ext uri="{3e2802c4-a4d2-4d8b-9148-e3be6c30e623}">
          <xlrd:rvb i="218"/>
        </ext>
      </extLst>
    </bk>
    <bk>
      <extLst>
        <ext uri="{3e2802c4-a4d2-4d8b-9148-e3be6c30e623}">
          <xlrd:rvb i="220"/>
        </ext>
      </extLst>
    </bk>
    <bk>
      <extLst>
        <ext uri="{3e2802c4-a4d2-4d8b-9148-e3be6c30e623}">
          <xlrd:rvb i="222"/>
        </ext>
      </extLst>
    </bk>
  </futureMetadata>
  <futureMetadata name="XLDAPR" count="1">
    <bk>
      <extLst>
        <ext uri="{bdbb8cdc-fa1e-496e-a857-3c3f30c029c3}">
          <xda:dynamicArrayProperties fDynamic="1" fCollapsed="0"/>
        </ext>
      </extLst>
    </bk>
  </futureMetadata>
  <cellMetadata count="1">
    <bk>
      <rc t="2" v="0"/>
    </bk>
  </cellMetadata>
  <valueMetadata count="7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valueMetadata>
</metadata>
</file>

<file path=xl/sharedStrings.xml><?xml version="1.0" encoding="utf-8"?>
<sst xmlns="http://schemas.openxmlformats.org/spreadsheetml/2006/main" count="1965" uniqueCount="887">
  <si>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</si>
  <si>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</si>
  <si>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</si>
  <si>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</si>
  <si>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</si>
  <si>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</si>
  <si>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</si>
  <si>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</si>
  <si>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</si>
  <si>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</si>
  <si>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</si>
  <si>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</si>
  <si>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</si>
  <si>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</si>
  <si>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</si>
  <si>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</si>
  <si>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</si>
  <si>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</si>
  <si>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</si>
  <si>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</si>
  <si>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</si>
  <si>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</si>
  <si>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</si>
  <si>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</si>
  <si>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</si>
  <si>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</si>
  <si>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</si>
  <si>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</si>
  <si>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</si>
  <si>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</si>
  <si>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</si>
  <si>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</si>
  <si>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</si>
  <si>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</si>
  <si>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</si>
  <si>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</si>
  <si>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</si>
  <si>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</si>
  <si>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</si>
  <si>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</si>
  <si>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</si>
  <si>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</si>
  <si>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</si>
  <si>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</si>
  <si>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</si>
  <si>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</si>
  <si>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</si>
  <si>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</si>
  <si>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</si>
  <si>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</si>
  <si>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</si>
  <si>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</si>
  <si>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</si>
  <si>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</si>
  <si>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</si>
  <si>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</si>
  <si>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</si>
  <si>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</si>
  <si>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</si>
  <si>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</si>
  <si>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</si>
  <si>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</si>
  <si>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</si>
  <si>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</si>
  <si>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</si>
  <si>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</si>
  <si>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</si>
  <si>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</si>
  <si>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</si>
  <si>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</si>
  <si>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</si>
  <si>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</si>
  <si>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</si>
  <si>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</si>
  <si>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</si>
  <si>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</si>
  <si>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</si>
  <si>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</si>
  <si>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</si>
  <si>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</si>
  <si>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</si>
  <si>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</si>
  <si>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</si>
  <si>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2026-07-30</t>
  </si>
  <si>
    <t>29/07/2026</t>
  </si>
  <si>
    <t>28/10/2026</t>
  </si>
  <si>
    <t>Fintech</t>
  </si>
  <si>
    <t>EUR</t>
  </si>
  <si>
    <t>13/08/2026</t>
  </si>
  <si>
    <t>Real Assets</t>
  </si>
  <si>
    <t>Defensive</t>
  </si>
  <si>
    <t>2026-06-10</t>
  </si>
  <si>
    <t>28/05/2026</t>
  </si>
  <si>
    <t>24/09/2026</t>
  </si>
  <si>
    <t>09/09/2026</t>
  </si>
  <si>
    <t>Hardware</t>
  </si>
  <si>
    <t>2026-06-24</t>
  </si>
  <si>
    <t>05/08/2026</t>
  </si>
  <si>
    <t>Cyber</t>
  </si>
  <si>
    <t>Growth</t>
  </si>
  <si>
    <t>02/09/2026</t>
  </si>
  <si>
    <t>IP owner</t>
  </si>
  <si>
    <t>JPY</t>
  </si>
  <si>
    <t>07/08/2026</t>
  </si>
  <si>
    <t>2026-07-18</t>
  </si>
  <si>
    <t>30/07/2026</t>
  </si>
  <si>
    <t>Electrify</t>
  </si>
  <si>
    <t>29/10/2026</t>
  </si>
  <si>
    <t>Consumo</t>
  </si>
  <si>
    <t>09/06/2026</t>
  </si>
  <si>
    <t>2026-04-26</t>
  </si>
  <si>
    <t>Healthcare</t>
  </si>
  <si>
    <t>GBP</t>
  </si>
  <si>
    <t>11/06/2026</t>
  </si>
  <si>
    <t>19/11/2026</t>
  </si>
  <si>
    <t>18/11/2026</t>
  </si>
  <si>
    <t>Industrial</t>
  </si>
  <si>
    <t>SEK</t>
  </si>
  <si>
    <t>14/07/2026</t>
  </si>
  <si>
    <t>22/10/2026</t>
  </si>
  <si>
    <t>27/08/2026</t>
  </si>
  <si>
    <t>06/08/2026</t>
  </si>
  <si>
    <t>PLN</t>
  </si>
  <si>
    <t>2026-07-29</t>
  </si>
  <si>
    <t>28/07/2026</t>
  </si>
  <si>
    <t>27/10/2026</t>
  </si>
  <si>
    <t>CHF</t>
  </si>
  <si>
    <t>19/08/2026</t>
  </si>
  <si>
    <t>04/08/2026</t>
  </si>
  <si>
    <t>22/07/2026</t>
  </si>
  <si>
    <t>16/07/2026</t>
  </si>
  <si>
    <t>Sports</t>
  </si>
  <si>
    <t>construction</t>
  </si>
  <si>
    <t>KZT</t>
  </si>
  <si>
    <t>10/08/2026</t>
  </si>
  <si>
    <t>IA</t>
  </si>
  <si>
    <t>20/05/2026</t>
  </si>
  <si>
    <t>Alcohol</t>
  </si>
  <si>
    <t>05/11/2026</t>
  </si>
  <si>
    <t>15/10/2026</t>
  </si>
  <si>
    <t>31/03/2026</t>
  </si>
  <si>
    <t>28/08/2026</t>
  </si>
  <si>
    <t>Special situation</t>
  </si>
  <si>
    <t>23/07/2026</t>
  </si>
  <si>
    <t>Materials</t>
  </si>
  <si>
    <t>Raw materials</t>
  </si>
  <si>
    <t>20/10/2026</t>
  </si>
  <si>
    <t>30/06/2026</t>
  </si>
  <si>
    <t>30/09/2026</t>
  </si>
  <si>
    <t>23/10/2026</t>
  </si>
  <si>
    <t>08/07/2026</t>
  </si>
  <si>
    <t>30/01/2027</t>
  </si>
  <si>
    <t>26/06/2026</t>
  </si>
  <si>
    <t>02/12/2026</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</si>
  <si>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</si>
  <si>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</si>
  <si>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</si>
  <si>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</si>
  <si>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</si>
  <si>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</si>
  <si>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</si>
  <si>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</si>
  <si>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</si>
  <si>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</si>
  <si>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</si>
  <si>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</si>
  <si>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</si>
  <si>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</si>
  <si>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</si>
  <si>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</si>
  <si>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</si>
  <si>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</si>
  <si>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</si>
  <si>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</si>
  <si>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</si>
  <si>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</si>
  <si>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</si>
  <si>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</si>
  <si>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</si>
  <si>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</si>
  <si>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</si>
  <si>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</si>
  <si>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</si>
  <si>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</si>
  <si>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</si>
  <si>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</si>
  <si>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</si>
  <si>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</si>
  <si>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</si>
  <si>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</si>
  <si>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</si>
  <si>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</si>
  <si>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</si>
  <si>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</si>
  <si>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</si>
  <si>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</si>
  <si>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</si>
  <si>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</si>
  <si>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</si>
  <si>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</si>
  <si>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</si>
  <si>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</si>
  <si>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</si>
  <si>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</si>
  <si>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</si>
  <si>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</si>
  <si>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</si>
  <si>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</si>
  <si>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</si>
  <si>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</si>
  <si>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</si>
  <si>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</si>
  <si>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</si>
  <si>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</si>
  <si>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</si>
  <si>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</si>
  <si>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</si>
  <si>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</si>
  <si>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</si>
  <si>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</si>
  <si>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</si>
  <si>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</si>
  <si>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</si>
  <si>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</si>
  <si>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</si>
  <si>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</si>
  <si>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</si>
  <si>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</si>
  <si>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</si>
  <si>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</si>
  <si>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</si>
  <si>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</si>
  <si>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</si>
  <si>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</si>
  <si>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</si>
  <si>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</si>
  <si>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</si>
  <si>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</si>
  <si>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</si>
  <si>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</si>
  <si>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</si>
  <si>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</si>
  <si>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</si>
  <si>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</si>
  <si>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</si>
  <si>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</si>
  <si>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</si>
  <si>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</si>
  <si>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</si>
  <si>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</si>
  <si>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</si>
  <si>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</si>
  <si>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</si>
  <si>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</si>
  <si>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</si>
  <si>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</si>
  <si>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</si>
  <si>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</si>
  <si>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</si>
  <si>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</si>
  <si>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</si>
  <si>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</si>
  <si>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</si>
  <si>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</si>
  <si>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</si>
  <si>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</si>
  <si>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</si>
  <si>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</si>
  <si>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</si>
  <si>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</si>
  <si>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</si>
  <si>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</si>
  <si>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</si>
  <si>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</si>
  <si>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</si>
  <si>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</si>
  <si>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</si>
  <si>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</si>
  <si>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</si>
  <si>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</si>
  <si>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</si>
  <si>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</si>
  <si>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</si>
  <si>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</si>
  <si>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</si>
  <si>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</si>
  <si>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</si>
  <si>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</si>
  <si>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</si>
  <si>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</si>
  <si>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</si>
  <si>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</si>
  <si>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</si>
  <si>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</si>
  <si>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</si>
  <si>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</si>
  <si>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</si>
  <si>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</si>
  <si>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</si>
  <si>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</si>
  <si>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</si>
  <si>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</si>
  <si>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</si>
  <si>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</si>
  <si>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</si>
  <si>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</si>
  <si>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</si>
  <si>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</si>
  <si>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</si>
  <si>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</si>
  <si>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</si>
  <si>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</si>
  <si>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</si>
  <si>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</si>
  <si>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</si>
  <si>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</si>
  <si>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</si>
  <si>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</si>
  <si>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</si>
  <si>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</si>
  <si>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</si>
  <si>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</si>
  <si>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</si>
  <si>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</si>
  <si>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</si>
  <si>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</si>
  <si>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</si>
  <si>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</si>
  <si>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</si>
  <si>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</si>
  <si>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</si>
  <si>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</si>
  <si>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</si>
  <si>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</si>
  <si>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</si>
  <si>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</si>
  <si>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</si>
  <si>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</si>
  <si>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</si>
  <si>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</si>
  <si>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</si>
  <si>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</si>
  <si>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</si>
  <si>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</si>
  <si>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</si>
  <si>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</si>
  <si>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</si>
  <si>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</si>
  <si>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</si>
  <si>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</si>
  <si>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</si>
  <si>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</si>
  <si>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</si>
  <si>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</si>
  <si>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</si>
  <si>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</si>
  <si>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</si>
  <si>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</si>
  <si>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</si>
  <si>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</si>
  <si>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</si>
  <si>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</si>
  <si>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</si>
  <si>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</si>
  <si>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</si>
  <si>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</si>
  <si>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</si>
  <si>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</si>
  <si>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</si>
  <si>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</si>
  <si>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</si>
  <si>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</si>
  <si>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</si>
  <si>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</si>
  <si>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</si>
  <si>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</si>
  <si>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</si>
  <si>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</si>
  <si>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</si>
  <si>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</si>
  <si>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</si>
  <si>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</si>
  <si>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</si>
  <si>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</si>
  <si>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</si>
  <si>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</si>
  <si>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</si>
  <si>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</si>
  <si>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</si>
  <si>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</si>
  <si>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</si>
  <si>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</si>
  <si>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</si>
  <si>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</si>
  <si>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</si>
  <si>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</si>
  <si>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</si>
  <si>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</si>
  <si>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</si>
  <si>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</si>
  <si>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</si>
  <si>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</si>
  <si>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</si>
  <si>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</si>
  <si>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</si>
  <si>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</si>
  <si>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</si>
  <si>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</si>
  <si>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</si>
  <si>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</si>
  <si>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</si>
  <si>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</si>
  <si>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</si>
  <si>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</si>
  <si>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</si>
  <si>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</si>
  <si>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</si>
  <si>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</si>
  <si>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</si>
  <si>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</si>
  <si>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</si>
  <si>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</si>
  <si>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</si>
  <si>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</si>
  <si>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</si>
  <si>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</si>
  <si>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</si>
  <si>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</si>
  <si>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</si>
  <si>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</si>
  <si>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</si>
  <si>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</si>
  <si>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</si>
  <si>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</si>
  <si>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</si>
  <si>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</si>
  <si>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</si>
  <si>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</si>
  <si>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</si>
  <si>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</si>
  <si>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</si>
  <si>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</si>
  <si>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</si>
  <si>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</si>
  <si>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</si>
  <si>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</si>
  <si>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</si>
  <si>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</si>
  <si>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</si>
  <si>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</si>
  <si>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</si>
  <si>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</si>
  <si>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</si>
  <si>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</si>
  <si>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</si>
  <si>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</si>
  <si>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</si>
  <si>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</si>
  <si>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</si>
  <si>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</si>
  <si>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</si>
  <si>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</si>
  <si>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</si>
  <si>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</si>
  <si>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</si>
  <si>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</si>
  <si>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</si>
  <si>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</si>
  <si>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</si>
  <si>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</si>
  <si>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</si>
  <si>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</si>
  <si>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</si>
  <si>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</si>
  <si>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</si>
  <si>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</si>
  <si>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</si>
  <si>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</si>
  <si>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</si>
  <si>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</si>
  <si>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</si>
  <si>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</si>
  <si>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</si>
  <si>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</si>
  <si>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</si>
  <si>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</si>
  <si>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</si>
  <si>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</si>
  <si>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</si>
  <si>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</si>
  <si>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</si>
  <si>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</si>
  <si>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</si>
  <si>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</si>
  <si>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</si>
  <si>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</si>
  <si>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</si>
  <si>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</si>
  <si>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</si>
  <si>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</si>
  <si>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</si>
  <si>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</si>
  <si>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</si>
  <si>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</si>
  <si>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</si>
  <si>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</si>
  <si>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</si>
  <si>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</si>
  <si>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</si>
  <si>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</si>
  <si>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</si>
  <si>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</si>
  <si>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</si>
  <si>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</si>
  <si>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</si>
  <si>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</si>
  <si>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</si>
  <si>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</si>
  <si>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</si>
  <si>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</si>
  <si>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</si>
  <si>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</si>
  <si>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</si>
  <si>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</si>
  <si>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</si>
  <si>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</si>
  <si>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</si>
  <si>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</si>
  <si>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</si>
  <si>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</si>
  <si>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</si>
  <si>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</si>
  <si>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</si>
  <si>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</si>
  <si>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</si>
  <si>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</si>
  <si>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</si>
  <si>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</si>
  <si>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</si>
  <si>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</si>
  <si>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</si>
  <si>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</si>
  <si>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</si>
  <si>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</si>
  <si>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</si>
  <si>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</si>
  <si>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</si>
  <si>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</si>
  <si>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</si>
  <si>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</si>
  <si>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</si>
  <si>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</si>
  <si>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</si>
  <si>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</si>
  <si>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</si>
  <si>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</si>
  <si>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</si>
  <si>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</si>
  <si>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</si>
  <si>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</si>
  <si>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</si>
  <si>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</si>
  <si>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</si>
  <si>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</si>
  <si>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</si>
  <si>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</si>
  <si>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</si>
  <si>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</si>
  <si>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</si>
  <si>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</si>
  <si>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</si>
  <si>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</si>
  <si>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</si>
  <si>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</si>
  <si>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</si>
  <si>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</si>
  <si>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</si>
  <si>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</si>
  <si>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</si>
  <si>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</si>
  <si>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</si>
  <si>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</si>
  <si>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</si>
  <si>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</si>
  <si>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</si>
  <si>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</si>
  <si>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</si>
  <si>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</si>
  <si>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</si>
  <si>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</si>
  <si>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</si>
  <si>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</si>
  <si>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</si>
  <si>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</si>
  <si>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</si>
  <si>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</si>
  <si>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</si>
  <si>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</si>
  <si>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</si>
  <si>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</si>
  <si>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</si>
  <si>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</si>
  <si>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</si>
  <si>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</si>
  <si>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</si>
  <si>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</si>
  <si>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</si>
  <si>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</si>
  <si>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</si>
  <si>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</si>
  <si>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</si>
  <si>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</si>
  <si>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</si>
  <si>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</si>
  <si>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</si>
  <si>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</si>
  <si>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</si>
  <si>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</si>
  <si>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</si>
  <si>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</si>
  <si>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</si>
  <si>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</si>
  <si>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</si>
  <si>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</si>
  <si>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</si>
  <si>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</si>
  <si>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</si>
  <si>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</si>
  <si>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</si>
  <si>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</si>
  <si>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</si>
  <si>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</si>
  <si>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</si>
  <si>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</si>
  <si>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</si>
  <si>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</si>
  <si>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</si>
  <si>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</si>
  <si>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</si>
  <si>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</si>
  <si>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</si>
  <si>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</si>
  <si>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</si>
  <si>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</si>
  <si>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</si>
  <si>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</si>
  <si>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</si>
  <si>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</si>
  <si>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</si>
  <si>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</si>
  <si>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</si>
  <si>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</si>
  <si>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</si>
  <si>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</si>
  <si>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</si>
  <si>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</si>
  <si>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</si>
  <si>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</si>
  <si>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</si>
  <si>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</si>
  <si>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</si>
  <si>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</si>
  <si>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</si>
  <si>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</si>
  <si>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</si>
  <si>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</si>
  <si>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</si>
  <si>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</si>
  <si>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22/09/2026</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</si>
  <si>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</si>
  <si>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</si>
  <si>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</si>
  <si>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</si>
  <si>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</si>
  <si>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</si>
  <si>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</si>
  <si>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</si>
  <si>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</si>
  <si>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</si>
  <si>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</si>
  <si>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</si>
  <si>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</si>
  <si>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</si>
  <si>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</si>
  <si>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</si>
  <si>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</si>
  <si>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</si>
  <si>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</si>
  <si>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</si>
  <si>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</si>
  <si>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</si>
  <si>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</si>
  <si>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</si>
  <si>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</si>
  <si>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</si>
  <si>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</si>
  <si>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</si>
  <si>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</si>
  <si>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</si>
  <si>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</si>
  <si>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</si>
  <si>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</si>
  <si>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</si>
  <si>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</si>
  <si>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</si>
  <si>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</si>
  <si>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</si>
  <si>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</si>
  <si>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</si>
  <si>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</si>
  <si>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</si>
  <si>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</si>
  <si>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</si>
  <si>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</si>
  <si>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</si>
  <si>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</si>
  <si>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</si>
  <si>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</si>
  <si>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</si>
  <si>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</si>
  <si>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</si>
  <si>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</si>
  <si>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</si>
  <si>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</si>
  <si>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</si>
  <si>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</si>
  <si>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</si>
  <si>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</si>
  <si>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</si>
  <si>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</si>
  <si>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</si>
  <si>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</si>
  <si>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</si>
  <si>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</si>
  <si>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</si>
  <si>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</si>
  <si>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</si>
  <si>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</si>
  <si>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</si>
  <si>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</si>
  <si>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</si>
  <si>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</si>
  <si>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</si>
  <si>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</si>
  <si>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</si>
  <si>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</si>
  <si>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</si>
  <si>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</si>
  <si>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</si>
  <si>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</si>
  <si>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</si>
  <si>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</si>
  <si>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</si>
  <si>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</si>
  <si>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</si>
  <si>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</si>
  <si>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</si>
  <si>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</si>
  <si>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</si>
  <si>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</si>
  <si>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</si>
  <si>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</si>
  <si>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</si>
  <si>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</si>
  <si>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</si>
  <si>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</si>
  <si>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</si>
  <si>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</si>
  <si>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</si>
  <si>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</si>
  <si>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</si>
  <si>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</si>
  <si>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</si>
  <si>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</si>
  <si>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</si>
  <si>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</si>
  <si>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</si>
  <si>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</si>
  <si>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</si>
  <si>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</si>
  <si>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</si>
  <si>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</si>
  <si>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</si>
  <si>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</si>
  <si>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</si>
  <si>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</si>
  <si>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</si>
  <si>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</si>
  <si>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</si>
  <si>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</si>
  <si>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</si>
  <si>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</si>
  <si>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</si>
  <si>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</si>
  <si>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</si>
  <si>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</si>
  <si>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</si>
  <si>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</si>
  <si>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</si>
  <si>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</si>
  <si>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</si>
  <si>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</si>
  <si>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</si>
  <si>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</si>
  <si>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</si>
  <si>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</si>
  <si>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</si>
  <si>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</si>
  <si>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</si>
  <si>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</si>
  <si>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</si>
  <si>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</si>
  <si>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</si>
  <si>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</si>
  <si>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</si>
  <si>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</si>
  <si>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</si>
  <si>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</si>
  <si>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</si>
  <si>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</si>
  <si>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</si>
  <si>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</si>
  <si>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</si>
  <si>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</si>
  <si>
    <t>2026-08-26</t>
  </si>
  <si>
    <t>SAP</t>
  </si>
  <si>
    <t>CTVA</t>
  </si>
  <si>
    <t>21/10/2026</t>
  </si>
  <si>
    <t>ALTA NUEVA - fila 72 completa</t>
  </si>
  <si>
    <t>Alta desde la tesis del Drive + deep dive del 26-ago-2026</t>
  </si>
  <si>
    <t>SAP SE. ALTA EN LA WATCHLIST. Cubre el unico hueco estructural que quedaba: software empresarial europeo con foso de coste de cambio, sin nada equivalente entre las 68 filas anteriores. La tesis del Drive (2021) acerto en el mecanismo -durante anos SAP se centro en EXTRAER valor en vez de aportarlo, y la migracion a la nube era la palanca- y se quedo corta en la magnitud, como todas: fijaba 36 B de ventas como escenario optimista y hoy son 38.190 M EUR. FLYWHEEL: el cliente implanta SAP en un proyecto de anos, toda su operativa queda codificada dentro, sacarlo es rehacer la empresa, y alrededor crece un ecosistema de consultoras y profesionales que actua de fuerza de ventas gratuita. La migracion a S/4HANA era la unica ventana en veinte anos en que la puerta estaba abierta y la han convertido en palanca: de licencia perpetua a suscripcion recurrente. FINANCIEROS LTM: ingresos 38.190, resultado operativo 10.990 (28,8% de margen), FCF 8.730 (22,9% de margen), caja neta de 1.690, capex del 1,9% de las ventas -no procede normalizar-, capital empleado 55.875 y ROIC del 14,1%. OJO CON EL ROIC: la tesis citaba un 40%, que es sobre capital invertido excluyendo fondo de comercio; con la definicion del libro sale 14,1% porque arrastra el goodwill de Concur, Ariba, SuccessFactors y Qualtrics. Las dos cifras son ciertas: el 40% dice que el negocio operativo es extraordinario, el 14,1% dice que han pagado mucho por comprar crecimiento. VALORACION: EV/FCF de 23,5x frente a la mediana del libro de 26,7x. Bajista 9.600 (+1,9%/a) a 16x y alcista 15.400 (+12,0%/a) a 24x: -25% y +80%, asimetria 3,2:1. RIESGO ESTRUCTURAL: si un agente de IA puede consultar y operar los datos de la empresa sin la capa de interfaz de SAP, el valor se desplaza del software al dato, y el dato es del cliente.</t>
  </si>
  <si>
    <t>ALTA NUEVA - fila 73 completa</t>
  </si>
  <si>
    <t>Corteva. ALTA EN LA WATCHLIST. Es el unico agricola del libro. La tesis del Drive (2021) hace el mejor trabajo del lote explicando POR QUE el agricultor no puede dejar de comprar: la semilla es el eslabon mas barato de la cosecha y el que mas la condiciona, y no puede guardar semilla de su propia cosecha porque la genetica se degrada en la segunda generacion. Es una suscripcion anual disfrazada de venta de producto. FLYWHEEL: 8-9% de las ventas en I+D, mas rendimiento por hectarea, recompra obligatoria cada campana, datos de cada parcela que mejoran la siguiente semilla, y un equipo comercial que llega a cada agricultor en las pocas semanas de la siembra. PROBLEMA DE MEDICION, EL TERCERO DEL LIBRO tras TFF y Nintendo: el FCF de un solo ano no significa nada. Cinco ejercicios: 2.154 / 267 / 1.174 / 1.548 / 2.815, con el capex plano en unos 590. Toda la variacion es circulante, porque entrega semilla en primavera y cobra tras la cosecha, y el corte LTM a junio cae en el pico de cuentas a cobrar (FCF LTM de solo 629). Se fija AS en 2.200, entre la media de cinco anos (1.592) y el calculo limpio de EBITDA menos capex, intereses e impuestos (2.560). EL ROIC DEL 6,8% ESTA DISTORSIONADO: el capital empleado de 30.853 incluye el fondo de comercio de la fusion DowDuPont de 2019; el ratio penaliza una fusion pagada hace siete anos, no el negocio de hoy. Por eso el EV/EBITDA de 13,5x es mejor lente que el EV/FCF de 26,3x. VALORACION: bajista 2.200 (0%/a) a 14x y alcista 3.543 (+10,0%/a) a 22x -multiplos bajos a proposito, por la regla de los ciclicos-. Sale -49% y +36%, asimetria 0,7:1. CONCLUSION HONESTA: buen negocio a precio exigente. La propia tesis decia -no brainer cerca de 28$- y hoy cotiza a 82,91.</t>
  </si>
  <si>
    <t>Deep dive del 26-ago-2026</t>
  </si>
  <si>
    <t>Halma. Financieros LTM al dia -llevaban desde el 24-jun- y deep dive nuevo. Correcciones: la DEUDA estaba infravalorada en 513 M GBP (400 -&gt; 913,4) y el CAPITAL EMPLEADO en 1.091 (2.100 -&gt; 3.191), asi que el ROIC baja del 17,6% al 12,6%. Tambien ingresos 2.340 -&gt; 2.580, EBITDA 515 -&gt; 622,8 y FCF 400 -&gt; 425,7. BD/BF rebasados sobre la base nueva manteniendo las CAGR implicitas. FLYWHEEL: compra fabricantes de nicho cuyo producto es OBLIGATORIO por norma -detectores de gas, sensores de humo, instrumentacion de agua-, y la norma solo se regula en una direccion, asi que cada revision AMPLIA el mercado. El producto es barato dentro del proyecto y critico para el resultado, por eso el cliente no negocia el precio y el margen operativo aguanta el 20,6% decadas. Es el mismo mecanismo que Sika pero mas cerca del extremo obligatorio. No procede normalizar el FCF: capex de 54,9 frente a un D&amp;A de 92,4, es de los negocios mas ligeros en capital del libro.</t>
  </si>
  <si>
    <t>Revision de la watchlist y archivo de material</t>
  </si>
  <si>
    <t>Roger revierte las cuatro salidas que propuse el 25-ago y las cuatro se quedan: IPCO por la expansion en marcha y por ser de los mejor gestionados en materias primas; KIST por el historial de Andrew Austin en RockRose y la opcionalidad de Noruega y Oman a estos precios; WOSG porque el acuerdo de distribucion con Rolex es de largo plazo y beneficia a las dos partes; BFIT se queda pero es la que mas dudas genera a los dos. El libro pasa de 68 a 70 empresas con SAP y Corteva. ARCHIVO: se encontro en la carpeta de Descargas material que existia pero no estaba en las carpetas de empresa y que por eso la auditoria de cobertura no contaba - la nota de analisis completa de Judges Scientific del 6-ago (con matriz C x A, sizing y disparadores de precio), el dashboard de Kaspi, los escenarios de Adyen, tres versiones del ecosistema de Brookfield, cuatro documentos de Celsius, dos de Monster y uno de Orca. Todo movido a su carpeta.</t>
  </si>
  <si>
    <t>Halma. R2 Financials 14 -&gt; 13. Hecho nuevo del deep dive: con el balance real el ROIC baja del 17,6% al 12,6%, porque el capital empleado son 3.191 M GBP y no 2.100, y la deuda 913,4 y no 400. El negocio operativo sigue siendo excelente -20,6% de margen operativo, capex del 2,1% de las ventas, conversion de caja del 80% del EBITDA- pero el retorno sobre TODO el capital empleado, incluido lo pagado por decadas de adquisiciones, es cinco puntos mas bajo de lo que decia la hoja. Ese es el numero relevante para juzgar a un comprador en serie. Contexto de largo plazo que NO cambia: sus mercados son obligatorios por norma y la norma solo se regula en una direccion, asi que cada revision normativa amplia el mercado. Por eso Durability sigue en 15 sobre 15, el maximo del libro. AVISO: con 13.600 M GBP de capitalizacion, cada compra de 50-100 M GBP mueve menos la aguja que hace diez anos; el crecimiento por adquisicion se diluye con la escala.</t>
  </si>
  <si>
    <t>Lifco. R2 Potential 13 -&gt; 12, por el mismo criterio que se aplico a Sika el 25-ago. El crecimiento organico es del 4,2% en 2025 y del 2,9% en el 1S26: la mayor parte del crecimiento es COMPRADO, no generado. Eso esta bien mientras el multiplo de entrada siga siendo bajo -Lifco paga 5-8 veces EBITA a fundadores que se jubilan, y ese es exactamente el modelo- pero el recorrido que mide esta columna depende de que siga habiendo empresas comprables a ese precio, y hay cada vez mas capital privado persiguiendo las mismas. FLYWHEEL, que es lo mejor de la compania: compra barato a un fundador que se jubila, NO integra, deja el nombre y el equipo, y ese trato le da reputacion entre fundadores, de modo que el flujo de operaciones llega solo. El foso es cultural, no financiero: cualquier fondo puede pagar 8 veces EBITA, muy pocos pueden prometer de forma creible que no tocaran la empresa en veinte anos. AVISO SOBRE EL CASO BAJISTA: asume el FCF creciendo un 7,0% anual, que para un comprador en serie es un ano normal y no un escenario malo. El bajista de verdad es que se seque el flujo de adquisiciones y quede el organico del 3%. Conviene endurecerlo.</t>
  </si>
  <si>
    <t>AH (R3 Financing Source)</t>
  </si>
  <si>
    <t>Schneider Electric. R3 Financing Source 4 -&gt; 3. La correccion de deuda del 25-ago -de 12.500 a 20.810 M EUR, ocho mil millones de diferencia por AVEVA y ETAP- deja la deuda neta en 16.290, o sea 1,9x EBITDA. Sigue siendo comodo pero ya no es la compania sin deuda que la hoja asumia, y limita la siguiente compra grande. FLYWHEEL: el instalador especifica Schneider una vez y el equipo dura decadas; toda ampliacion, repuesto o mantenimiento tiene que ser compatible con lo instalado, asi que el ingreso recurrente no exige volver a ganar al cliente. Encima del hardware venden software (EcoStruxure, AVEVA) que solo tiene sentido si el hardware es suyo. El riesgo real es perder la ESPECIFICACION frente a ABB o Siemens: es lento y silencioso, no se ve en los resultados hasta anos despues. COMPARACION UTIL: margen operativo 17,9% frente al 17,7% de ABB, pero ROIC del 13,2% frente al 17,6% de ABB. ABB convierte mejor el capital; Schneider tiene mas software. Y el viento de cola de la electrificacion NO es informacion: esta en el precio, a 30,3x FCF.</t>
  </si>
  <si>
    <t>AK (R3 Terminal Risk)</t>
  </si>
  <si>
    <t>Fair Isaac. R3 Terminal Risk -6 -&gt; -7. El deep dive deja claro que FICO tiene UN solo riesgo y es binario: el score esta escrito dentro de la normativa del mercado hipotecario estadounidense, y si la FHFA admite scores alternativos, el coste de cambio -que hoy no es de la entidad sino del SISTEMA- deja de existir. El proceso esta abierto. Ademas la compania se apalanca deliberadamente para recomprar acciones (2.200 M$ de deuda neta, 2,5x EBITDA), lo cual es matematicamente correcto con un ROIC del 29,1% pero amplifica el riesgo de cola. AVISO SOBRE EL CASO BAJISTA: +8,0% anual de FCF no es un caso bajista para FICO, es casi su caso base, porque solo con subir el precio por consulta ya llega. El bajista de verdad es regulatorio y es DISCONTINUO: si se abre el mercado, el FCF no crece al 8%, se estanca, y el multiplo se desploma a la vez. Esta fila tiene un riesgo de cola que el escenario lineal no captura, igual que Meta. ECONOMIA DEL NEGOCIO, que es de las mejores del libro: 50,9% de margen EBITDA, 42,4% de margen FCF, 29,1% de ROIC y capital empleado minimo. Casi todo el valor esta en el 40% de los ingresos que es el score; el software es una opcion, no la tesis.</t>
  </si>
  <si>
    <t>Veralto. R2 MOAT 16 -&gt; 17. Hecho de largo plazo: el 61% de los ingresos ya son RECURRENTES y la compania apunta al 65% en 2027. El flywheel es cuchilla y maquinilla con la norma detras - se vende un fotometro de Hach o una impresora Videojet a precio poco relevante, se queda instalado diez o quince anos, y solo funciona con MI consumible: reactivos calibrados para mi instrumento, tintas formuladas para mi cabezal. El consumible es barato y el coste de fallar es enorme, porque si la impresora falla para la linea de envasado y si el reactivo da mala lectura la planta incumple. Nadie arriesga por ahorrar ahi. A eso se suma el Danaher Business System, que se llevaron entero en la escision de 2023 y no aparece en el balance. FINANCIEROS: 24,4% de margen EBITDA, capex del orden del 1% de las ventas, ROIC 16,3%, deuda neta 1,1x EBITDA. LO QUE NO SE SUBE Y POR QUE: Capital Allocation sigue en 13 sobre 15 pero es una nota HEREDADA de la reputacion de Danaher, no ganada por Veralto - lleva menos de tres anos cotizando sola y no hay historial propio de asignacion de capital. RIESGO ESTRUCTURAL: comoditizacion del consumible, dificil en agua porque la homologacion es regulatoria, menos dificil en tintas de codificacion.</t>
  </si>
  <si>
    <t>V (R2 Potential); AA (R2 Risks)</t>
  </si>
  <si>
    <t>Legrand. R2 Potential 13 -&gt; 15 y R2 Risks -7 -&gt; -8, las dos por el mismo hecho. LEGRAND HA DEJADO DE SER LO QUE ERA: los centros de datos fueron el 26% de los ingresos de 2025 y la compania apunta a que puedan llegar al 40%; Norteamerica y Centroamerica son ya el 47% del grupo con el negocio estadounidense creciendo un 27%; y en 2026 lleva SIETE adquisiciones cerradas, unas 450 M EUR de ingresos anuales, todas en centro de datos y transicion energetica. La guia se sube a +16-19% de ventas ex divisa, +8-10% organico y margen operativo ajustado del 20,5-21,0%. SUBE POTENTIAL porque el recorrido es real y grande. BAJA RISKS porque son DOS RUEDAS DISTINTAS: el negocio historico -el enchufe, la marca local, Bticino en Italia y Pass &amp; Seymour en EE.UU.- tiene un foso de habito y distribucion de cien anos; el de centro de datos compite en un mercado nuevo con clientes hiperescaladores que tienen ingenieros propios, homologan a varios proveedores y negocian el precio cada ano. Es lo contrario del cliente que hizo grande a Legrand. Ademas un 26% de ingresos ligado al capex de la IA es una concentracion ciclica NUEVA en una compania que se compraba por no ser ciclica. AVISO: el ROIC es del 9,0% con 15.683 M EUR de capital empleado lleno de fondo de comercio, y la deuda neta esta en 2,5x EBITDA tras las siete compras.</t>
  </si>
  <si>
    <t>X (R2 Revenue Quality)</t>
  </si>
  <si>
    <t>KKR. R2 Revenue Quality 8 -&gt; 9. El mix ha migrado de carried interest -que es grumoso y depende de vender bien- a FEE-RELATED EARNINGS, que son contractuales: 1.214 M$ en el Q2 2026, +34% interanual, sobre 638.000 M$ de activos que pagan comision de los 796.000 totales. A eso se suma el capital PERMANENTE de Global Atlantic, que elimina el riesgo de ciclo de captacion: el asegurado financia a largo plazo la municion que la gestora necesita para ser paciente. En los ultimos doce meses ha captado 133.000 M$, con un record de 77.000 en un solo trimestre. AVISOS METODOLOGICOS IMPORTANTES, iguales que en Brookfield: (1) el capital empleado de 80.000 M$ NO TIENE BASE PUBLICADA, es una cifra de relleno, y el ROIC del 6,5% no mide nada - para una gestora la metrica correcta es el retorno sobre capital propio invertido, no sobre un balance que incluye dinero de terceros; (2) la deuda de 56.164 M$ es sobre todo pasivo de la aseguradora, no deuda del accionista de KKR. Lo honesto es juzgarla por el multiplo sobre beneficio ajustado: 5.000 M$ contra 96.846 de capitalizacion son 19,4 veces. AVISO SOBRE EL BAJISTA: +7,0% anual de FCF no es un caso bajista para una gestora; en un mal ciclo las comisiones de exito desaparecen y las de gestion se estancan.</t>
  </si>
  <si>
    <t>Y (R2 Mgmt &amp; Culture); AK (R3 Terminal Risk)</t>
  </si>
  <si>
    <t>Kingspan. R2 Mgmt &amp; Culture 11 -&gt; 9 y R3 Terminal Risk -4 -&gt; -5. GRENFELL, Y NO ES RUIDO PASADO. El informe final de la investigacion concluyo que Kingspan, aunque NO se le considero causante de la tragedia, CREO A SABIENDAS UN MERCADO FALSO para el aislamiento de la fachada, afirmando falsamente que habia superado ensayos que permitian su uso por encima de 18 metros. Consecuencias concretas: el BRE, el organismo britanico de normalizacion de la construccion, PUSO FIN A SU RELACION con Kingspan citando riesgo reputacional; la investigacion recogio que Kingspan amenazo con demandar por difamacion cuando se expusieron los ensayos defectuosos; y el respaldo de los asesores de voto al consejero delegado sigue siendo cualificado ano tras ano. POR QUE IMPORTA AL FLYWHEEL Y NO SOLO A LA IMAGEN: el motor de Kingspan es que la norma de eficiencia se endurece y su panel es la forma mas barata de cumplirla. Un fabricante cuyo producto se compra PORQUE cumple una norma no puede permitirse que el organismo que fija la norma le retire la confianza. Es dano al primer eslabon. Es la razon por la que esta fila no puede puntuar como Halma con un modelo conceptualmente parecido. NEGOCIO: ejecutan bien -guia subida a 1.125 M EUR de beneficio de explotacion, Advnsys +36%- pero el 79% del grupo crece al 2,2%, el margen EBITDA es del 13,4% (la mitad que Halma o Veralto, porque fabrican y transportan acero y espuma) y a 33,4x FCF la asimetria es 0,7:1.</t>
  </si>
  <si>
    <t>BD</t>
  </si>
  <si>
    <t>Revision del caso bajista</t>
  </si>
  <si>
    <t>Lifco. BD de 5.330 a 4.405. El caso bajista asumia el FCF creciendo un 7,0% anual durante cinco anos, que para un comprador en serie es un ano NORMAL y no un escenario malo. El bajista de verdad para Lifco es que se seque el flujo de adquisiciones -por inflacion del multiplo de entrada, que es el riesgo estructural del modelo- y quede solo el organico, que fue del 4,2% en 2025 y del 2,9% en el 1S26. Se fija en +3,0% anual. Ya se senalo al hacer el deep dive del 26-ago y se aplica ahora.</t>
  </si>
  <si>
    <t>Fair Isaac. BD de 1.073 a 730. El caso bajista asumia el FCF creciendo un 8,0% anual, que NO es un caso bajista para FICO: solo con subir el precio por consulta del score ya llega, y lo lleva haciendo anos sin que el volumen se resienta. El bajista real de esta fila es REGULATORIO Y DISCONTINUO: si la FHFA admite scores alternativos en el mercado hipotecario, el coste de cambio -que hoy no es de la entidad sino del SISTEMA- deja de existir, el FCF se estanca y el multiplo se desploma a la vez. Se pone el FCF@5y plano en 730. Sigue sin capturar que en ese escenario el multiplo tambien caeria, asi que el bajista real es peor que el que sale.</t>
  </si>
  <si>
    <t>Revision tras el deep dive del 25-ago</t>
  </si>
  <si>
    <t>Meta. R3 Terminal Risk -5 -&gt; -6. Al hacer el deep dive se anoto que la asimetria de 10,5:1 -la mas alta del libro- no es una senal de compra sino de resultado BINARIO, y que en el framework de sizing un binario se penaliza por el DIVISOR de riesgo terminal, no se premia por el numerador de asimetria. Esto lo aplica. Los hechos: capex de 89.320 M$, el 39,1% de las ventas y casi cuatro veces el D&amp;A, financiado con deuda neta positiva por primera vez en su historia (112.320 de deuda contra 90.260 de caja). Ademas Meta no controla el sistema operativo por el que llega a sus usuarios - Apple ya demostro en 2021 que puede cambiar las reglas y costarle decenas de miles de millones, riesgo que Alphabet no tiene porque se compro el suyo con Android.</t>
  </si>
  <si>
    <t>Correccion del capital empleado</t>
  </si>
  <si>
    <t>KKR. AZ de 80.000 a 34.500 M$. Los 80.000 eran una cifra de relleno sin base publicada y el ROIC resultante -6,5%- no media nada, porque el balance consolidado de KKR incluye los fondos que gestiona y la aseguradora Global Atlantic, o sea dinero de TERCEROS. Se sustituye por el VALOR CONTABLE publicado por la compania a 30-jun-2026: 34.500 M$, que incluye 5.300 M$ de caja e inversiones a corto. Es el capital del accionista, que es el denominador correcto para una gestora. El ROIC pasa del 6,5% al 15,0%, que si es una cifra interpretable. AVISO QUE SIGUE ABIERTO: la deuda de 56.164 M$ que entra en el EV es sobre todo pasivo de la aseguradora respaldado por su cartera, no deuda del accionista, asi que el EV/FCF de esta fila sigue estando inflado. Lo honesto para KKR es el multiplo sobre beneficio ajustado: 5.000 M$ contra 96.846 de capitalizacion, 19,4 veces.</t>
  </si>
  <si>
    <t>Brookfield. AZ de 90.000 a 42.483 M$. Mismo problema y misma solucion que en KKR: los 90.000 no tenian base publicada. El balance de Brookfield a 30-jun-2026 trae 525.515 M$ de activo y 166.636 de patrimonio total, pero de ese patrimonio solo 42.483 M$ son CAPITAL COMUN DE LA MATRIZ; los otros 120.100 son minoritarios de las filiales consolidadas, o sea dinero que no es del accionista de BN. Con el capital comun el ROIC pasa del 6,3% al 13,4% sobre el DE antes de realizaciones de 5.700 M$, que es coherente con lo que la propia compania comunica. Se completa asi la fila que quedo a medias el 25-ago cuando se pasaron NOPAT y EBITDA a metricas non-GAAP.</t>
  </si>
  <si>
    <t>Ninguno - verificacion</t>
  </si>
  <si>
    <t>Verificacion del aviso sobre la flotacion</t>
  </si>
  <si>
    <t>Airbnb. SE COMPRUEBA Y NO HAY QUE CAMBIAR NADA. El 25-ago se aviso de que parte de los 12.069 M$ de caja podian ser fondos de anfitriones pendientes de pago -flotacion, no caja propia- y de que eso afectaria al EV. Revisado el balance a 30-jun-2026: los 12.069 son caja y equivalentes (6.821) mas inversiones a corto (5.248), que son recursos PROPIOS de Airbnb. Los fondos de clientes van en lineas separadas del balance -fondos a cobrar y a pagar por cuenta de clientes- que en la presentacion normalizada quedan dentro de otros activos corrientes (12.308) y otros pasivos corrientes (13.245). El aviso era excesivamente cauteloso y queda retirado. MATIZ QUE SI ES REAL aunque no se ajusta: hay 2.831 M$ de ingresos diferidos, reservas cobradas cuya estancia aun no se ha producido. Es un pasivo genuino contra esa caja, pero es circulante negativo estructural del modelo -igual que en Costco, Inditex y Spotify- y no se neteaba en aquellas, asi que tampoco aqui.</t>
  </si>
  <si>
    <t>Triple Flag. R2 Risks -11 -&gt; -10. La compra del flujo del 5,5% de oro sobre Ravenswood por 440 M$, la mayor de su historia, sube la guia de 2026 a 100.000-110.000 GEO y la perspectiva de 2030 a 150.000-160.000, un +45% de volumen. Mas activos significa menos dependencia de una sola mina, que es el riesgo estructural de una compania de regalias -por eso Customers sigue en 6 sobre 10-. FLYWHEEL: paga por adelantado y recibe metal o dinero durante decadas sin poner un euro mas; no paga costes operativos, ni inflacion de salarios mineros, ni capex de sostenimiento, ni rehabilitacion. Margen bruto del 80%. Y lo que casi nadie valora: si la minera encuentra mas mineral, la regalia lo cubre GRATIS - compra opcionalidad geologica sin pagarla. LO QUE HAY QUE TENER CLARO: es una apuesta apalancada al precio del oro sin admitirlo. Los ingresos pasaron de unos 310 M$ en 2025 a 489 LTM y ese salto es del metal, no del negocio. Por eso el caso bajista asume el FCF CAYENDO un 3,5% anual y el alcista del 9% es solo VOLUMEN, sin sumarle subida de oro. EXCEPCION METODOLOGICA vigente: la regla de FCF normalizado se dispara mecanicamente pero no se aplica, porque ese capex son compras de flujos -M&amp;A de crecimiento- y en una royalty el capex de sostenimiento es cero.</t>
  </si>
  <si>
    <t>AG (R3 Capital Allocation)</t>
  </si>
  <si>
    <t>Campari. R3 Capital Allocation 9 -&gt; 8. El ROIC es del 5,8%, muy por debajo del coste de capital, con 7.090 M EUR de capital empleado llenos de marcas pagadas a multiplos de mercado -Courvoisier en 2024 por mas de mil millones es el ejemplo mas caro- y una deuda neta de 3,2x EBITDA, la mas alta del libro entre las companias de calidad media o alta. Y la propia estrategia lo reconoce: estan VENDIENDO marcas no prioritarias (Bisquit &amp; Dubouche y Cabo Wabo a Cobblestone) y el consejero delegado dice que la simplificacion de cartera termina en 2027. Es una compania deshaciendo compras. EL HECHO DE LARGO PLAZO MAS IMPORTANTE: Aperol crecio un 3,3% organico en el 1S2026 y el grupo un 2,7%, con guia del 3%. Aperol venia de una decada de doble digito. La joya de la corona ha entrado en crecimiento de un digito medio-bajo. Lo que si funciona es el agave: Espolon +8,2% y Sarti Rosa +8,8%. FLYWHEEL: no vende una bebida, vende un RITUAL con nombre -el Spritz tiene copa, proporcion y momento del dia propios- que se aprende viendo a otros en una terraza, y que el bar adopta porque se hace en diez segundos y se cobra como coctel. El foso no es el gusto del consumidor: es el hueco en la carta y la mano del camarero. Y a diferencia de Lotus, el ritual SI tiene sustituto: el siguiente ritual.</t>
  </si>
  <si>
    <t>Check Point. R2 Potential 8 -&gt; 9. Tres hechos nuevos que apuntan en la misma direccion: Gil Shwed dejo de ser consejero delegado en 2024 tras TREINTA Y UN anos y Nadav Zafrir -cofundador de Team8, ex Unidad 8200- lleva el timon; estan contratando cientos de comerciales para preparar un crecimiento mas fuerte en 2027, que es exactamente lo que la tesis bajista decia que nunca harian, gastar margen para comprar crecimiento; y correo, gestion de exposicion y seguridad de IA superaron conjuntamente el 40% de crecimiento en ARR en el Q2 2026. EL FLYWHEEL QUE FUNCIONA es la renovacion: las politicas de seguridad se acumulan durante anos, nadie sabe ya por que esta cada regla, y migrar significa reescribir y auditar la politica de la compania entera. EL QUE SE PARO es el paso cero, ganar clientes nuevos: el sector crece a doble digito y Check Point crecio un 5% en el Q1. Palo Alto y CrowdStrike gastaron el dinero en fuerza comercial y producto; Check Point lo gasto en recomprar acciones. LO QUE HACE INTERESANTE LA FILA: a 11,6x FCF es la mas barata del libro entre las rentables -mediana 26,7x- con un margen de caja libre del 39,9% y CONTABILIDAD LIMPIA, sin la discusion GAAP contra non-GAAP de Cloudflare, CrowdStrike o Zscaler. No hace falta que el despertar funcione para no perder dinero. El multiplo de salida bajista de 6x asume que dentro de cinco anos el mercado paga seis veces el FCF, precio de liquidacion ordenada: para una compania que pierde cuota es el escenario correcto y hay que dejarlo asi.</t>
  </si>
  <si>
    <t>RCL</t>
  </si>
  <si>
    <t>2026-09-07</t>
  </si>
  <si>
    <t>ALTA. Fila 74 nueva. Todas las columnas.</t>
  </si>
  <si>
    <t>Deep dive del 7-sep-2026 + 10-K FY2025 y 10-Q Q1/Q2-2026 (SEC EDGAR, CIK 0000884887)</t>
  </si>
  <si>
    <t>Royal Caribbean Group entra en la watchlist. Compuesto 3,48 (R1 4,06 / R2 4,10 / R3 2,57), entre Basic-Fit (3,09) y Verallia (3,96): calidad economica decente y calidad estructural mala, que es lo que es un ciclico intensivo en capital. AVISO DE MARCO: el EV/FCF NO aplica. El capex lleva cuatro periodos seguidos por encima del doble del D&amp;A (2023 2,68x, 2024 2,04x, 2025 3,04x, LTM 3,97x), asi que la normalizacion esta prohibida por la regla del 25-ago (la de Lotus Bakeries), y el FCF reportado LTM es de -416 M$ (OCF 6.786 - capex 7.202; D&amp;A 1.813). En AS, BD y BF hay EBITDA con multiplos EV/EBITDA, anotado en el comentario de cada celda. Valoracion: EV 92.887 M$ a 265,19 $, 13,42x EV/EBITDA LTM contra una media pre-pandemia de 11,03x (z = +0,67 sobre la serie completa). Escenarios a 2031: EBITDA 7.620 / 10.414 / 12.787 con salida a 8,0x / 10,0x / 11,5x, ninguno por encima del multiplo de hoy. TIR -7,8% / +6,8% / +15,5%, asimetria 2,98:1 en el modelo y 2,07:1 en este Excel, que aplica la deuda neta de hoy a un flujo de 2031 y por tanto no acredita los 11.000 M$ de desapalancamiento. Monte Carlo narrativo recalibrado: TIR mediana +2,6%, 46,9% de probabilidad de perder dinero, 19,2% de sacar mas del 10% anual. Veredicto: conviccion 3/5, riesgo terminal MEDIO-ALTO, sizing 0-1% ahora y 2-3% por debajo de 225 $. Vigilancia: el spread unitario del Q2-2026 fue -0,13% interanual, el primer trimestre no positivo del ciclo.</t>
  </si>
  <si>
    <t>trimestral</t>
  </si>
  <si>
    <t>anual</t>
  </si>
  <si>
    <t>no reportado (0)</t>
  </si>
  <si>
    <t>SBC LTM</t>
  </si>
  <si>
    <t>Capex de crecimiento</t>
  </si>
  <si>
    <t>FCF normalizado</t>
  </si>
  <si>
    <t>Fuente del SBC</t>
  </si>
  <si>
    <t>DE non-GAAP LTM Q2-26 (6.200 = 2,61 $/acc) menos SBC equity-settled 120 (40-F FY25). NO usar OCF-capex consolidado</t>
  </si>
  <si>
    <t>NORMALIZADO: FCF-SBC -22.282 + capex crecimiento 80.564 (capex 151.003 - D&amp;A 70.439 como mantenimiento). TTM Q2-26. FCF@5y escalado x0,758</t>
  </si>
  <si>
    <t>NORMALIZADO: OCF 6.786 - SBC 151 - D&amp;A 1.814 (mantenimiento). Capex barcos 7.202 = crecimiento. Antes AS era OCF sin descontar nada. FCF@5y escalado x0,697</t>
  </si>
  <si>
    <t>NORMALIZADO: FCF-SBC -104,6 + capex crecimiento 155,3 (Blackrod; capex 285,8 - DD&amp;A 130,5). FCF@5y sin escalar (base anterior 18,6 no comparable). BF era texto</t>
  </si>
  <si>
    <t>FCF-SBC NEGATIVO: SBC = 20% ingresos. FCF@5y pasado a post-SBC: ingresos y5 7.666 (25%/a) x SBC 10% = -767 sobre 658/1.175. EV/FCF no computable a este precio</t>
  </si>
  <si>
    <t>FCF-SBC NEGATIVO: SBC = 29% ingresos. FCF@5y post-SBC: ingresos y5 2.514 (18%/a) x SBC 15% = -377 sobre 90,5/230,6 -&gt; ambos negativos. REVISAR proyecciones pre-SBC (4-9% de margen parece bajo)</t>
  </si>
  <si>
    <t>FCF-SBC NEGATIVO (turnaround, sin capex que normalizar). FCF@5y post-SBC: -15 sobre 0/114 (SBC 1,4% ingresos)</t>
  </si>
  <si>
    <t>2026-09-11</t>
  </si>
  <si>
    <t>trimestral (Q2 FY27: 8,0 incl. impuestos asociados). Caja PRO FORMA 182 = 401,1 - Tai 99,3 - Extensiv 119,9 (cerradas tras el balance). Proximos resultados: estimacion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</si>
</sst>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9"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
      <b/>
      <sz val="9"/>
      <color indexed="81"/>
      <name val="Tahoma"/>
      <charset val="1"/>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49" fontId="7" fillId="45" borderId="28" xfId="0" applyNumberFormat="1" applyFont="1" applyFill="1" applyBorder="1" applyAlignment="1">
      <alignment horizontal="left" vertical="center"/>
    </xf>
    <xf numFmtId="0" fontId="0" fillId="0" borderId="0" xfId="0" applyAlignment="1">
      <alignment vertical="top" wrapText="1"/>
    </xf>
    <xf numFmtId="3" fontId="8" fillId="13" borderId="1" xfId="0" applyNumberFormat="1" applyFont="1" applyFill="1" applyBorder="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2" fontId="33" fillId="9" borderId="0" xfId="0" applyNumberFormat="1"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3" fillId="27" borderId="0" xfId="0" applyFont="1" applyFill="1" applyAlignment="1">
      <alignment horizont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2" fontId="0" fillId="9" borderId="0" xfId="0" applyNumberFormat="1" applyFill="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19</c:v>
                </c:pt>
                <c:pt idx="2">
                  <c:v>15</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7.73</c:v>
                </c:pt>
                <c:pt idx="11">
                  <c:v>7.77</c:v>
                </c:pt>
                <c:pt idx="12">
                  <c:v>7.84</c:v>
                </c:pt>
                <c:pt idx="13">
                  <c:v>7.78</c:v>
                </c:pt>
                <c:pt idx="14">
                  <c:v>7.14</c:v>
                </c:pt>
              </c:numCache>
            </c:numRef>
          </c:xVal>
          <c:yVal>
            <c:numRef>
              <c:f>Dashboard!$Q$8:$Q$22</c:f>
              <c:numCache>
                <c:formatCode>0.00%</c:formatCode>
                <c:ptCount val="15"/>
                <c:pt idx="0">
                  <c:v>0.12565033681249416</c:v>
                </c:pt>
                <c:pt idx="1">
                  <c:v>-4.3901717053937417E-2</c:v>
                </c:pt>
                <c:pt idx="2">
                  <c:v>0.19143357026843155</c:v>
                </c:pt>
                <c:pt idx="3">
                  <c:v>0.23001225011878002</c:v>
                </c:pt>
                <c:pt idx="4">
                  <c:v>1.2294152111582468E-2</c:v>
                </c:pt>
                <c:pt idx="5">
                  <c:v>0.1918359987886773</c:v>
                </c:pt>
                <c:pt idx="6">
                  <c:v>0.11505668417463499</c:v>
                </c:pt>
                <c:pt idx="7">
                  <c:v>-0.1606788161506062</c:v>
                </c:pt>
                <c:pt idx="8">
                  <c:v>2.4386461706497498E-2</c:v>
                </c:pt>
                <c:pt idx="9">
                  <c:v>5.4896326924366301E-2</c:v>
                </c:pt>
                <c:pt idx="10">
                  <c:v>2.3855767363836655E-2</c:v>
                </c:pt>
                <c:pt idx="11">
                  <c:v>6.8664205451557825E-2</c:v>
                </c:pt>
                <c:pt idx="12">
                  <c:v>-0.16479849674818892</c:v>
                </c:pt>
                <c:pt idx="13">
                  <c:v>6.4625059324732836E-2</c:v>
                </c:pt>
                <c:pt idx="14">
                  <c:v>0.15612806463239504</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3">
  <rv s="0">
    <v>https://www.bing.com/financeapi/forcetrigger?t=a259jc&amp;q=XNYS%3aVEEV&amp;form=skydnc</v>
    <v>Learn more on Bing</v>
  </rv>
  <rv s="1">
    <v>es-ES</v>
    <v>a259jc</v>
    <v>268435456</v>
    <v>1</v>
    <v>Con tecnología de Refinitiv</v>
    <v>0</v>
    <v>1</v>
    <v>VEEVA SYSTEMS INC. (XNYS:VEEV)</v>
    <v>3</v>
    <v>4</v>
    <v>Finance</v>
    <v>5</v>
    <v>XNYS</v>
    <v>161908800</v>
    <v>2007</v>
    <v>270.07</v>
    <v>0.93689999999999996</v>
    <v>-9.76</v>
    <v>-3.5478999999999997E-2</v>
    <v>42959261904</v>
    <v>275.08999999999997</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46273.801505751566</v>
    <v>New York Stock Exchange</v>
    <v>0</v>
    <v>271.51</v>
    <v>310.5</v>
    <v>264.13</v>
    <v>148.05000000000001</v>
    <v>USD</v>
    <v>VEEVA SYSTEMS INC.</v>
    <v>VEEVA SYSTEMS INC.</v>
    <v>43.392200000000003</v>
    <v>265.33</v>
    <v>Healthcare Equipment &amp; Supplies</v>
    <v>4280 Hacienda Drive, PLEASANTON, CA, 94588 US</v>
    <v>VEEV</v>
    <v>Acciones</v>
    <v>VEEVA SYSTEMS INC. (XNYS:VEEV)</v>
    <v>793452</v>
    <v>1971130</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492.8</v>
    <v>1.1022000000000001</v>
    <v>-7.6045999999999996</v>
    <v>-1.5218000000000001E-2</v>
    <v>3654076536993</v>
    <v>499.7</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46273.801508124998</v>
    <v>6</v>
    <v>Nasdaq Stock Market</v>
    <v>7</v>
    <v>495.19</v>
    <v>553.72</v>
    <v>490.15</v>
    <v>349.2</v>
    <v>USD</v>
    <v>MICROSOFT CORPORATION</v>
    <v>MICROSOFT CORPORATION</v>
    <v>27.419799999999999</v>
    <v>492.09539999999998</v>
    <v>Software &amp; IT Services</v>
    <v>One Microsoft Way, REDMOND, WA, 98052 US</v>
    <v>MSFT</v>
    <v>Acciones</v>
    <v>MICROSOFT CORPORATION (XNAS:MSFT)</v>
    <v>9414557</v>
    <v>27033973</v>
  </rv>
  <rv s="2">
    <v>8</v>
  </rv>
  <rv s="0">
    <v>https://www.bing.com/financeapi/forcetrigger?t=b1ao52&amp;q=XAMS%3aADYEN&amp;form=skydnc</v>
    <v>Learn more on Bing</v>
  </rv>
  <rv s="1">
    <v>es-ES</v>
    <v>b1ao52</v>
    <v>268435456</v>
    <v>1</v>
    <v>Con tecnología de Refinitiv</v>
    <v>0</v>
    <v>1</v>
    <v>Adyen N.V. (XAMS:ADYEN)</v>
    <v>3</v>
    <v>12</v>
    <v>Finance</v>
    <v>13</v>
    <v>XAMS</v>
    <v>31683550</v>
    <v>2006</v>
    <v>1003</v>
    <v>2.2425000000000002</v>
    <v>-10.8</v>
    <v>-1.0795999999999998E-2</v>
    <v>31696230000</v>
    <v>1000.4</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46273.666666666664</v>
    <v>Euronext Amsterdam</v>
    <v>10</v>
    <v>1007</v>
    <v>1600.8</v>
    <v>983.1</v>
    <v>772.4</v>
    <v>EUR</v>
    <v>Adyen N.V.</v>
    <v>Adyen N.V.</v>
    <v>27.729700000000001</v>
    <v>989.6</v>
    <v>Financial Technology (Fintech) &amp; Infrastructure</v>
    <v>Simon Carmiggeltstraat 6-50, AMSTERDAM, NOORD-HOLLAND, 1011DJ NL</v>
    <v>ADYEN</v>
    <v>Acciones</v>
    <v>Adyen N.V. (XAMS:ADYEN)</v>
    <v>81870</v>
    <v>93930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40.42</v>
    <v>1.5637000000000001</v>
    <v>-0.88500000000000001</v>
    <v>-2.1954999999999999E-2</v>
    <v>96666748875</v>
    <v>40.31</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46273.801477106252</v>
    <v>New York Stock Exchange</v>
    <v>13</v>
    <v>40.43</v>
    <v>49.564999999999998</v>
    <v>39.36</v>
    <v>37.93</v>
    <v>USD</v>
    <v>Brookfield Corporation</v>
    <v>Brookfield Corporation</v>
    <v>77.092299999999994</v>
    <v>39.424999999999997</v>
    <v>Investment Banking &amp; Investment Services</v>
    <v>Brookfield Place, 181 Bay St, Ste 100, Po Box 762, TORONTO, ON, M5J 2T3 CA</v>
    <v>BN</v>
    <v>Acciones</v>
    <v>Brookfield Corporation (XNYS:BN)</v>
    <v>2766365</v>
    <v>4129528</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913.55</v>
    <v>0.87490000000000001</v>
    <v>-5.33</v>
    <v>-5.8199999999999997E-3</v>
    <v>403747534308</v>
    <v>915.74</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46273.801515810155</v>
    <v>Nasdaq Stock Market</v>
    <v>16</v>
    <v>915.13</v>
    <v>1096.5</v>
    <v>906.1</v>
    <v>844.06</v>
    <v>USD</v>
    <v>COSTCO WHOLESALE CORPORATION</v>
    <v>COSTCO WHOLESALE CORPORATION</v>
    <v>45.790199999999999</v>
    <v>910.41</v>
    <v>Diversified Retail</v>
    <v>999 Lake Dr, ISSAQUAH, WA, 98027- US</v>
    <v>COST</v>
    <v>Acciones</v>
    <v>COSTCO WHOLESALE CORPORATION (XNAS:COST)</v>
    <v>1383827</v>
    <v>1808969</v>
  </rv>
  <rv s="2">
    <v>17</v>
  </rv>
  <rv s="0">
    <v>https://www.bing.com/financeapi/forcetrigger?t=a1rb5r&amp;q=XNAS%3aDSGX&amp;form=skydnc</v>
    <v>Learn more on Bing</v>
  </rv>
  <rv s="1">
    <v>es-ES</v>
    <v>a1rb5r</v>
    <v>268435456</v>
    <v>1</v>
    <v>Con tecnología de Refinitiv</v>
    <v>0</v>
    <v>1</v>
    <v>The Descartes Systems Group Inc. (XNAS:DSGX)</v>
    <v>3</v>
    <v>14</v>
    <v>Finance</v>
    <v>5</v>
    <v>XNAS</v>
    <v>85548550</v>
    <v>2023</v>
    <v>79</v>
    <v>0.22020000000000001</v>
    <v>-3.2875000000000001</v>
    <v>-4.1646000000000002E-2</v>
    <v>9319721000</v>
    <v>78.94</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46273.801473633597</v>
    <v>Nasdaq Stock Market</v>
    <v>19</v>
    <v>79</v>
    <v>109</v>
    <v>74.290000000000006</v>
    <v>62.555</v>
    <v>USD</v>
    <v>The Descartes Systems Group Inc.</v>
    <v>The Descartes Systems Group Inc.</v>
    <v>37.625</v>
    <v>75.652500000000003</v>
    <v>Software &amp; IT Services</v>
    <v>120 Randall Drive, WATERLOO, ON, N2V 1C6 CA</v>
    <v>DSGX</v>
    <v>Acciones</v>
    <v>The Descartes Systems Group Inc. (XNAS:DSGX)</v>
    <v>358284</v>
    <v>545398</v>
  </rv>
  <rv s="2">
    <v>20</v>
  </rv>
  <rv s="0">
    <v>https://www.bing.com/financeapi/forcetrigger?t=afjdk2&amp;q=XFRA%3aRAA&amp;form=skydnc</v>
    <v>Learn more on Bing</v>
  </rv>
  <rv s="1">
    <v>es-ES</v>
    <v>afjdk2</v>
    <v>268435456</v>
    <v>1</v>
    <v>Con tecnología de Refinitiv</v>
    <v>0</v>
    <v>1</v>
    <v>Rational (XFRA:RAA)</v>
    <v>3</v>
    <v>12</v>
    <v>Finance</v>
    <v>13</v>
    <v>XFRA</v>
    <v>11370000</v>
    <v>1999</v>
    <v>611.5</v>
    <v>1.3140000000000001</v>
    <v>-3.5</v>
    <v>-5.6959999999999997E-3</v>
    <v>7003920000</v>
    <v>614.5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46273.78402777778</v>
    <v>Deutsche Boerse AG</v>
    <v>22</v>
    <v>613.5</v>
    <v>1028</v>
    <v>611</v>
    <v>388.4</v>
    <v>EUR</v>
    <v>Rational</v>
    <v>Rational</v>
    <v>26.122299999999999</v>
    <v>611</v>
    <v>Household Goods</v>
    <v>Siegfried-Meister-Strasse 1, LANDSBERG AM LECH, BAYERN, 86899 DE</v>
    <v>RAA</v>
    <v>Acciones</v>
    <v>Rational (XFRA:RAA)</v>
    <v>10</v>
    <v>11890</v>
  </rv>
  <rv s="2">
    <v>23</v>
  </rv>
  <rv s="0">
    <v>https://www.bing.com/financeapi/forcetrigger?t=azbtyc&amp;q=XNAS%3aZS&amp;form=skydnc</v>
    <v>Learn more on Bing</v>
  </rv>
  <rv s="1">
    <v>es-ES</v>
    <v>azbtyc</v>
    <v>268435456</v>
    <v>1</v>
    <v>Con tecnología de Refinitiv</v>
    <v>0</v>
    <v>1</v>
    <v>ZSCALER, INC. (XNAS:ZS)</v>
    <v>3</v>
    <v>4</v>
    <v>Finance</v>
    <v>5</v>
    <v>XNAS</v>
    <v>163054700</v>
    <v>2007</v>
    <v>165.08</v>
    <v>0.95009999999999994</v>
    <v>-6.29</v>
    <v>-3.7044000000000001E-2</v>
    <v>26661073997</v>
    <v>169.8</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8700</v>
    <v>XNAS</v>
    <v>46273.801514918749</v>
    <v>Nasdaq Stock Market</v>
    <v>25</v>
    <v>165.62</v>
    <v>336.99</v>
    <v>159.24</v>
    <v>114.625</v>
    <v>USD</v>
    <v>ZSCALER, INC.</v>
    <v>ZSCALER, INC.</v>
    <v>0</v>
    <v>163.51</v>
    <v>Software &amp; IT Services</v>
    <v>120 Holger Way, SAN JOSE, CA, 95134 US</v>
    <v>ZS</v>
    <v>Acciones</v>
    <v>ZSCALER, INC. (XNAS:ZS)</v>
    <v>2896085</v>
    <v>2746505</v>
  </rv>
  <rv s="2">
    <v>26</v>
  </rv>
  <rv s="0">
    <v>https://www.bing.com/financeapi/forcetrigger?t=afgyk2&amp;q=XFRA%3aNTO&amp;form=skydnc</v>
    <v>Learn more on Bing</v>
  </rv>
  <rv s="1">
    <v>es-ES</v>
    <v>afgyk2</v>
    <v>268435456</v>
    <v>1</v>
    <v>Con tecnología de Refinitiv</v>
    <v>0</v>
    <v>1</v>
    <v>Nintendo Co., Ltd. (XFRA:NTO)</v>
    <v>3</v>
    <v>15</v>
    <v>Finance</v>
    <v>13</v>
    <v>XFRA</v>
    <v>1287260000</v>
    <v>1947</v>
    <v>49.195</v>
    <v>0.17630000000000001</v>
    <v>1.085</v>
    <v>2.2414999999999997E-2</v>
    <v>11263530000000</v>
    <v>48.405000000000001</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46273.772916666669</v>
    <v>Deutsche Boerse AG</v>
    <v>28</v>
    <v>49.79</v>
    <v>546.1</v>
    <v>48.4</v>
    <v>34.6</v>
    <v>EUR</v>
    <v>Nintendo Co., Ltd.</v>
    <v>Nintendo Co., Ltd.</v>
    <v>22.393699999999999</v>
    <v>49.49</v>
    <v>Leisure Products</v>
    <v>11-1, Kamitoba Hokotate-cho, Minami-ku, KYOTO-SHI, KYOTO-FU, 601-8501 JP</v>
    <v>NTO</v>
    <v>Acciones</v>
    <v>Nintendo Co., Ltd. (XFRA:NTO)</v>
    <v>901</v>
    <v>7697380</v>
  </rv>
  <rv s="2">
    <v>29</v>
  </rv>
  <rv s="0">
    <v>https://www.bing.com/financeapi/forcetrigger?t=a1nhlh&amp;q=XNAS%3aAMZN&amp;form=skydnc</v>
    <v>Learn more on Bing</v>
  </rv>
  <rv s="1">
    <v>es-ES</v>
    <v>a1nhlh</v>
    <v>268435456</v>
    <v>1</v>
    <v>Con tecnología de Refinitiv</v>
    <v>0</v>
    <v>1</v>
    <v>AMAZON.COM, INC. (XNAS:AMZN)</v>
    <v>3</v>
    <v>4</v>
    <v>Finance</v>
    <v>5</v>
    <v>XNAS</v>
    <v>10786310000</v>
    <v>1996</v>
    <v>256.76</v>
    <v>1.4524999999999999</v>
    <v>-1.5</v>
    <v>-5.8020000000000007E-3</v>
    <v>2772189533100</v>
    <v>258.51</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46273.801519142966</v>
    <v>Nasdaq Stock Market</v>
    <v>31</v>
    <v>257.99</v>
    <v>287.2</v>
    <v>254.75</v>
    <v>196</v>
    <v>USD</v>
    <v>AMAZON.COM, INC.</v>
    <v>AMAZON.COM, INC.</v>
    <v>20.6723</v>
    <v>257.01</v>
    <v>Diversified Retail</v>
    <v>410 Terry Avenue North, SEATTLE, WA, 98109 US</v>
    <v>AMZN</v>
    <v>Acciones</v>
    <v>AMAZON.COM, INC. (XNAS:AMZN)</v>
    <v>17161515</v>
    <v>36968751</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290.89999999999998</v>
    <v>1.3956999999999999</v>
    <v>4.0999999999999996</v>
    <v>1.3875E-2</v>
    <v>170977900000</v>
    <v>295.5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46273.666666666664</v>
    <v>Euronext Paris</v>
    <v>34</v>
    <v>299.60000000000002</v>
    <v>312.3</v>
    <v>290.85000000000002</v>
    <v>219.4</v>
    <v>EUR</v>
    <v>Schneider Electric SE</v>
    <v>Schneider Electric SE</v>
    <v>35.608199999999997</v>
    <v>299.60000000000002</v>
    <v>Machinery, Equipment &amp; Components</v>
    <v>35 rue Joseph Monier, RUEIL-MALMAISON, ILE-DE-FRANCE, 92500 FR</v>
    <v>SU</v>
    <v>Acciones</v>
    <v>Schneider Electric SE (XPAR:SU)</v>
    <v>635179</v>
    <v>653570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57.28</v>
    <v>1.1551</v>
    <v>-1.04</v>
    <v>-1.8068000000000001E-2</v>
    <v>179394500000</v>
    <v>57.56</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46273.666666666664</v>
    <v>Bolsas y Mercados Espanoles</v>
    <v>37</v>
    <v>57.42</v>
    <v>59.42</v>
    <v>56.24</v>
    <v>41.97</v>
    <v>EUR</v>
    <v>Industria de Diseño Textil, S.A.</v>
    <v>Industria de Diseño Textil, S.A.</v>
    <v>28.005199999999999</v>
    <v>56.52</v>
    <v>Specialty Retailers</v>
    <v>Edificio Inditex, Avda. Diputacion, s/n, ARTEIXO, LA CORUNA, 15143 ES</v>
    <v>ITX</v>
    <v>Acciones</v>
    <v>Industria de Diseño Textil, S.A. (BMEX:ITX)</v>
    <v>1636217</v>
    <v>1084070</v>
  </rv>
  <rv s="2">
    <v>38</v>
  </rv>
  <rv s="0">
    <v>https://www.bing.com/financeapi/forcetrigger?t=aaq652&amp;q=XBRU%3aLOTB&amp;form=skydnc</v>
    <v>Learn more on Bing</v>
  </rv>
  <rv s="1">
    <v>es-ES</v>
    <v>aaq652</v>
    <v>268435456</v>
    <v>1</v>
    <v>Con tecnología de Refinitiv</v>
    <v>0</v>
    <v>1</v>
    <v>Lotus Bakeries (XBRU:LOTB)</v>
    <v>3</v>
    <v>12</v>
    <v>Finance</v>
    <v>13</v>
    <v>XBRU</v>
    <v>816010</v>
    <v>1934</v>
    <v>12180</v>
    <v>0.86360000000000003</v>
    <v>40</v>
    <v>3.2840000000000005E-3</v>
    <v>9939038000</v>
    <v>12180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46273.666666666664</v>
    <v>Euronext Brussels</v>
    <v>40</v>
    <v>12380</v>
    <v>13200</v>
    <v>12180</v>
    <v>7270</v>
    <v>EUR</v>
    <v>Lotus Bakeries</v>
    <v>Lotus Bakeries</v>
    <v>51.997</v>
    <v>12220</v>
    <v>Food &amp; Tobacco</v>
    <v>Gentstraat 1, Lembeke, OOST-VLAANDEREN, 9971 BE</v>
    <v>LOTB</v>
    <v>Acciones</v>
    <v>Lotus Bakeries (XBRU:LOTB)</v>
    <v>480</v>
    <v>810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3668</v>
    <v>1.1133999999999999</v>
    <v>102</v>
    <v>2.7961E-2</v>
    <v>13849460000</v>
    <v>3648</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46273.650102500003</v>
    <v>London Stock Exchange</v>
    <v>43</v>
    <v>3766</v>
    <v>4902</v>
    <v>3642</v>
    <v>3242</v>
    <v>GBp</v>
    <v>HALMA PUBLIC LIMITED COMPANY</v>
    <v>HALMA PUBLIC LIMITED COMPANY</v>
    <v>38.0518</v>
    <v>3750</v>
    <v>Electronic Equipment &amp; Parts</v>
    <v>Misbourne Court, Rectory Way, AMERSHAM, BUCKINGHAMSHIRE, HP7 0DE GB</v>
    <v>HLMA</v>
    <v>Acciones</v>
    <v>HALMA PUBLIC LIMITED COMPANY (XLON:HLMA)</v>
    <v>2169716</v>
    <v>715570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920.31</v>
    <v>1.2902</v>
    <v>-8.26</v>
    <v>-8.8599999999999998E-3</v>
    <v>19956219360</v>
    <v>932.26</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46273.801468251564</v>
    <v>New York Stock Exchange</v>
    <v>46</v>
    <v>925.15499999999997</v>
    <v>1998.01</v>
    <v>899</v>
    <v>870.01</v>
    <v>USD</v>
    <v>FAIR ISAAC CORPORATION</v>
    <v>FAIR ISAAC CORPORATION</v>
    <v>26.694099999999999</v>
    <v>924</v>
    <v>Software &amp; IT Services</v>
    <v>5 West Mendenhall, Suites 105, BOZEMAN, MT, 59715 US</v>
    <v>FICO</v>
    <v>Acciones</v>
    <v>FAIR ISAAC CORPORATION (XNYS:FICO)</v>
    <v>435854</v>
    <v>335772</v>
  </rv>
  <rv s="2">
    <v>47</v>
  </rv>
  <rv s="0">
    <v>https://www.bing.com/financeapi/forcetrigger?t=amwtu2&amp;q=XSTO%3aLIFCO+B&amp;form=skydnc</v>
    <v>Learn more on Bing</v>
  </rv>
  <rv s="6">
    <v>es-ES</v>
    <v>amwtu2</v>
    <v>268435456</v>
    <v>1</v>
    <v>Con tecnología de Refinitiv</v>
    <v>18</v>
    <v>19</v>
    <v>Lifco (XSTO:LIFCO B)</v>
    <v>3</v>
    <v>20</v>
    <v>Finance</v>
    <v>21</v>
    <v>XSTO</v>
    <v>423836500</v>
    <v>1993</v>
    <v>315.39999999999998</v>
    <v>1.2994000000000001</v>
    <v>-3.8</v>
    <v>0</v>
    <v>-1.1995E-2</v>
    <v>0</v>
    <v>134271400000</v>
    <v>316.8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46273.666666666664</v>
    <v>NASDAQ Stockholm</v>
    <v>49</v>
    <v>316.60000000000002</v>
    <v>956.5</v>
    <v>312</v>
    <v>140.30000000000001</v>
    <v>SEK</v>
    <v>Lifco</v>
    <v>Lifco</v>
    <v>36.910400000000003</v>
    <v>313</v>
    <v>313</v>
    <v>Consumer Goods Conglomerates</v>
    <v>Verkmastaregatan 1, ENKOPING, UPPSALA, 745 85 SE</v>
    <v>LIFCO B</v>
    <v>Acciones</v>
    <v>Lifco (XSTO:LIFCO B)</v>
    <v>441023</v>
    <v>335410</v>
  </rv>
  <rv s="2">
    <v>50</v>
  </rv>
  <rv s="0">
    <v>https://www.bing.com/financeapi/forcetrigger?t=af9n8m&amp;q=XFRA%3aEVD&amp;form=skydnc</v>
    <v>Learn more on Bing</v>
  </rv>
  <rv s="1">
    <v>es-ES</v>
    <v>af9n8m</v>
    <v>268435456</v>
    <v>1</v>
    <v>Con tecnología de Refinitiv</v>
    <v>0</v>
    <v>1</v>
    <v>Eventim (XFRA:EVD)</v>
    <v>3</v>
    <v>12</v>
    <v>Finance</v>
    <v>13</v>
    <v>XFRA</v>
    <v>96000000</v>
    <v>2014</v>
    <v>56.9</v>
    <v>1.4956</v>
    <v>-2</v>
    <v>-3.3956E-2</v>
    <v>5496000000</v>
    <v>58.9</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46273.786805555559</v>
    <v>Deutsche Boerse AG</v>
    <v>52</v>
    <v>57.05</v>
    <v>113.8</v>
    <v>56.9</v>
    <v>25.98</v>
    <v>EUR</v>
    <v>Eventim</v>
    <v>Eventim</v>
    <v>17.781300000000002</v>
    <v>56.9</v>
    <v>Software &amp; IT Services</v>
    <v>Contrescarpe 75 A, BREMEN, BREMEN, 28195 DE</v>
    <v>EVD</v>
    <v>Acciones</v>
    <v>Eventim (XFRA:EVD)</v>
    <v>60</v>
    <v>655660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43.56</v>
    <v>0.48259999999999997</v>
    <v>-0.61499999999999999</v>
    <v>-1.4034999999999999E-2</v>
    <v>84509671280</v>
    <v>43.82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46273.801509918747</v>
    <v>Nasdaq Stock Market</v>
    <v>55</v>
    <v>43.7</v>
    <v>50.17</v>
    <v>43.01</v>
    <v>31.035</v>
    <v>USD</v>
    <v>MONSTER BEVERAGE CORPORATION</v>
    <v>MONSTER BEVERAGE CORPORATION</v>
    <v>40.0974</v>
    <v>43.204999999999998</v>
    <v>Beverages</v>
    <v>1 Monster Way, CORONA, CA, 92879-7101 US</v>
    <v>MNST</v>
    <v>Acciones</v>
    <v>MONSTER BEVERAGE CORPORATION (XNAS:MNST)</v>
    <v>3901864</v>
    <v>10547809</v>
  </rv>
  <rv s="2">
    <v>56</v>
  </rv>
  <rv s="0">
    <v>https://www.bing.com/financeapi/forcetrigger?t=bwvem7&amp;q=XNAS%3aABNB&amp;form=skydnc</v>
    <v>Learn more on Bing</v>
  </rv>
  <rv s="1">
    <v>es-ES</v>
    <v>bwvem7</v>
    <v>268435456</v>
    <v>1</v>
    <v>Con tecnología de Refinitiv</v>
    <v>0</v>
    <v>1</v>
    <v>AIRBNB, INC. (XNAS:ABNB)</v>
    <v>3</v>
    <v>4</v>
    <v>Finance</v>
    <v>5</v>
    <v>XNAS</v>
    <v>589585700</v>
    <v>2008</v>
    <v>181.33</v>
    <v>1.2302999999999999</v>
    <v>-7.4749999999999996</v>
    <v>-4.1085000000000003E-2</v>
    <v>102862069150</v>
    <v>181.94</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46273.801510821097</v>
    <v>Nasdaq Stock Market</v>
    <v>58</v>
    <v>182.79</v>
    <v>193.4529</v>
    <v>174.4</v>
    <v>110.81</v>
    <v>USD</v>
    <v>AIRBNB, INC.</v>
    <v>AIRBNB, INC.</v>
    <v>39.670099999999998</v>
    <v>174.465</v>
    <v>Software &amp; IT Services</v>
    <v>888 Brannan St., SAN FRANCISCO, CA, 94103 US</v>
    <v>ABNB</v>
    <v>Acciones</v>
    <v>AIRBNB, INC. (XNAS:ABNB)</v>
    <v>3787135</v>
    <v>5437074</v>
  </rv>
  <rv s="2">
    <v>59</v>
  </rv>
  <rv s="0">
    <v>https://www.bing.com/financeapi/forcetrigger?t=aqbzjc&amp;q=XWAR%3aDNP&amp;form=skydnc</v>
    <v>Learn more on Bing</v>
  </rv>
  <rv s="1">
    <v>es-ES</v>
    <v>aqbzjc</v>
    <v>268435456</v>
    <v>1</v>
    <v>Con tecnología de Refinitiv</v>
    <v>0</v>
    <v>1</v>
    <v>Dino Polska (XWAR:DNP)</v>
    <v>3</v>
    <v>22</v>
    <v>Finance</v>
    <v>23</v>
    <v>XWAR</v>
    <v>980400000</v>
    <v>2012</v>
    <v>36.36</v>
    <v>1.0322</v>
    <v>1.1100000000000001</v>
    <v>3.0612E-2</v>
    <v>35549300000</v>
    <v>36.26</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46273.628360925781</v>
    <v>Warsaw Stock Exchange</v>
    <v>61</v>
    <v>37.729999999999997</v>
    <v>48.03</v>
    <v>36.22</v>
    <v>26.89</v>
    <v>PLN</v>
    <v>Dino Polska</v>
    <v>Dino Polska</v>
    <v>23.372299999999999</v>
    <v>37.369999999999997</v>
    <v>Food &amp; Drug Retailing</v>
    <v>ul. Ostrowska 122, KROTOSZYN, WOJ. WIELKOPOLSKIE, 63-700 PL</v>
    <v>DNP</v>
    <v>Acciones</v>
    <v>Dino Polska (XWAR:DNP)</v>
    <v>6068024</v>
    <v>5075180</v>
  </rv>
  <rv s="2">
    <v>62</v>
  </rv>
  <rv s="7">
    <v>es-ES</v>
    <v>caydcw</v>
    <v>268435456</v>
    <v>1</v>
    <v>Con tecnología de Refinitiv</v>
    <v>24</v>
    <v>25</v>
    <v>VERALTO CORPORATION (XNYS:VLTO)</v>
    <v>26</v>
    <v>4</v>
    <v>Finance</v>
    <v>5</v>
    <v>XNYS</v>
    <v>243793300</v>
    <v>2022</v>
    <v>96.03</v>
    <v>0.68200000000000005</v>
    <v>-0.7</v>
    <v>-7.2680000000000002E-3</v>
    <v>23309077413</v>
    <v>96.31</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46273.801477303125</v>
    <v>New York Stock Exchange</v>
    <v>96.43</v>
    <v>109.86</v>
    <v>95.22</v>
    <v>80.03</v>
    <v>USD</v>
    <v>VERALTO CORPORATION</v>
    <v>VERALTO CORPORATION</v>
    <v>24.101299999999998</v>
    <v>95.61</v>
    <v>Professional &amp; Commercial Services</v>
    <v>225 Wyman Street, Suite 250, WALTHAM, MA, 02451 US</v>
    <v>VLTO</v>
    <v>Acciones</v>
    <v>VERALTO CORPORATION (XNYS:VLTO)</v>
    <v>533249</v>
    <v>1454190</v>
  </rv>
  <rv s="2">
    <v>64</v>
  </rv>
  <rv s="0">
    <v>https://www.bing.com/financeapi/forcetrigger?t=ae94vh&amp;q=XPAR%3aLR&amp;form=skydnc</v>
    <v>Learn more on Bing</v>
  </rv>
  <rv s="1">
    <v>es-ES</v>
    <v>ae94vh</v>
    <v>268435456</v>
    <v>1</v>
    <v>Con tecnología de Refinitiv</v>
    <v>0</v>
    <v>1</v>
    <v>Legrand SA (XPAR:LR)</v>
    <v>3</v>
    <v>12</v>
    <v>Finance</v>
    <v>13</v>
    <v>XPAR</v>
    <v>262245700</v>
    <v>1998</v>
    <v>144.19999999999999</v>
    <v>1.2276</v>
    <v>1.6</v>
    <v>1.1069000000000001E-2</v>
    <v>37907620000</v>
    <v>144.55000000000001</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46273.666666666664</v>
    <v>Euronext Paris</v>
    <v>66</v>
    <v>146.30000000000001</v>
    <v>166.95</v>
    <v>143.5</v>
    <v>121.95</v>
    <v>EUR</v>
    <v>Legrand SA</v>
    <v>Legrand SA</v>
    <v>29.1037</v>
    <v>146.15</v>
    <v>Machinery, Equipment &amp; Components</v>
    <v>128, av. du Marechal de Lattre de Tassigny, LIMOGES, NOUVELLE-AQUITAINE, 87000 FR</v>
    <v>LR</v>
    <v>Acciones</v>
    <v>Legrand SA (XPAR:LR)</v>
    <v>429338</v>
    <v>500160</v>
  </rv>
  <rv s="2">
    <v>67</v>
  </rv>
  <rv s="0">
    <v>https://www.bing.com/financeapi/forcetrigger?t=aoaorw&amp;q=XLON%3aJDG&amp;form=skydnc</v>
    <v>Learn more on Bing</v>
  </rv>
  <rv s="1">
    <v>es-ES</v>
    <v>aoaorw</v>
    <v>268435456</v>
    <v>1</v>
    <v>Con tecnología de Refinitiv</v>
    <v>0</v>
    <v>1</v>
    <v>Judges (XLON:JDG)</v>
    <v>3</v>
    <v>16</v>
    <v>Finance</v>
    <v>17</v>
    <v>XLON</v>
    <v>6660690</v>
    <v>2002</v>
    <v>4125</v>
    <v>0.77569999999999995</v>
    <v>-105</v>
    <v>-2.5579000000000001E-2</v>
    <v>273421500</v>
    <v>4105</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46273.649422522656</v>
    <v>London Stock Exchange</v>
    <v>69</v>
    <v>4080</v>
    <v>6700</v>
    <v>4000</v>
    <v>3480</v>
    <v>GBp</v>
    <v>Judges</v>
    <v>Judges</v>
    <v>48.350099999999998</v>
    <v>4000</v>
    <v>Machinery, Equipment &amp; Components</v>
    <v>52c Borough High Street, LONDON, SE1 1XN GB</v>
    <v>JDG</v>
    <v>Acciones</v>
    <v>Judges (XLON:JDG)</v>
    <v>6728</v>
    <v>26980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92.5</v>
    <v>1.4214</v>
    <v>0.56000000000000005</v>
    <v>-4.2739999999999998E-4</v>
    <v>6.0200000000000002E-3</v>
    <v>-0.04</v>
    <v>14832530000</v>
    <v>93.02</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46273.782199074078</v>
    <v>SIX Swiss Exchange</v>
    <v>72</v>
    <v>94.8</v>
    <v>109.8</v>
    <v>92.5</v>
    <v>73.02</v>
    <v>CHF</v>
    <v>Straumann Holding Ltd</v>
    <v>Straumann Holding Ltd</v>
    <v>40.336199999999998</v>
    <v>93.58</v>
    <v>93.54</v>
    <v>Healthcare Equipment &amp; Supplies</v>
    <v>Peter Merian-Weg 12, BASEL, BASEL-STADT, 4002 CH</v>
    <v>STMN</v>
    <v>Acciones</v>
    <v>Straumann Holding Ltd (XSWX:STMN)</v>
    <v>364062</v>
    <v>489380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616.05999999999995</v>
    <v>1.2151000000000001</v>
    <v>-5</v>
    <v>-8.1069999999999996E-3</v>
    <v>1558487745620</v>
    <v>616.77</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46273.801535196093</v>
    <v>Nasdaq Stock Market</v>
    <v>75</v>
    <v>624.79999999999995</v>
    <v>790.8</v>
    <v>610.54999999999995</v>
    <v>520.26</v>
    <v>USD</v>
    <v>META PLATFORMS, INC.</v>
    <v>META PLATFORMS, INC.</v>
    <v>21.1844</v>
    <v>611.77</v>
    <v>Software &amp; IT Services</v>
    <v>1 Meta Way, MENLO PARK, CA, 94025 US</v>
    <v>META</v>
    <v>Acciones</v>
    <v>META PLATFORMS, INC. (XNAS:META)</v>
    <v>10759763</v>
    <v>16078732</v>
  </rv>
  <rv s="2">
    <v>76</v>
  </rv>
  <rv s="0">
    <v>https://www.bing.com/financeapi/forcetrigger?t=a1wj9c&amp;q=XNYS%3aKKR&amp;form=skydnc</v>
    <v>Learn more on Bing</v>
  </rv>
  <rv s="1">
    <v>es-ES</v>
    <v>a1wj9c</v>
    <v>268435456</v>
    <v>1</v>
    <v>Con tecnología de Refinitiv</v>
    <v>0</v>
    <v>1</v>
    <v>KKR &amp; CO. INC. (XNYS:KKR)</v>
    <v>3</v>
    <v>4</v>
    <v>Finance</v>
    <v>5</v>
    <v>XNYS</v>
    <v>897635600</v>
    <v>2021</v>
    <v>106.69</v>
    <v>1.8084</v>
    <v>-1.46</v>
    <v>-1.3552E-2</v>
    <v>95391735212</v>
    <v>107.73</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46273.80150693281</v>
    <v>New York Stock Exchange</v>
    <v>78</v>
    <v>108.27</v>
    <v>152.095</v>
    <v>105.99</v>
    <v>82.67</v>
    <v>USD</v>
    <v>KKR &amp; CO. INC.</v>
    <v>KKR &amp; CO. INC.</v>
    <v>33.878500000000003</v>
    <v>106.27</v>
    <v>Investment Banking &amp; Investment Services</v>
    <v>30 Hudson Yards, NEW YORK, NY, 10001 US</v>
    <v>KKR</v>
    <v>Acciones</v>
    <v>KKR &amp; CO. INC. (XNYS:KKR)</v>
    <v>1809260</v>
    <v>4598355</v>
  </rv>
  <rv s="2">
    <v>79</v>
  </rv>
  <rv s="0">
    <v>https://www.bing.com/financeapi/forcetrigger?t=brh6oc&amp;q=XNYS%3aNET&amp;form=skydnc</v>
    <v>Learn more on Bing</v>
  </rv>
  <rv s="8">
    <v>es-ES</v>
    <v>brh6oc</v>
    <v>268435456</v>
    <v>1</v>
    <v>Con tecnología de Refinitiv</v>
    <v>29</v>
    <v>30</v>
    <v>CLOUDFLARE, INC. (XNYS:NET)</v>
    <v>3</v>
    <v>31</v>
    <v>Finance</v>
    <v>5</v>
    <v>XNYS</v>
    <v>356079700</v>
    <v>2009</v>
    <v>278.77</v>
    <v>1.6677</v>
    <v>7.7298999999999998</v>
    <v>2.7713999999999999E-2</v>
    <v>102070210397</v>
    <v>278.92</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46273.801486307813</v>
    <v>New York Stock Exchange</v>
    <v>81</v>
    <v>289</v>
    <v>332.22</v>
    <v>271.72000000000003</v>
    <v>158.83000000000001</v>
    <v>USD</v>
    <v>CLOUDFLARE, INC.</v>
    <v>CLOUDFLARE, INC.</v>
    <v>286.6499</v>
    <v>Software &amp; IT Services</v>
    <v>101 Townsend St, SAN FRANCISCO, CA, 94107-1934 US</v>
    <v>NET</v>
    <v>Acciones</v>
    <v>CLOUDFLARE, INC. (XNYS:NET)</v>
    <v>1536506</v>
    <v>3827612</v>
  </rv>
  <rv s="2">
    <v>82</v>
  </rv>
  <rv s="0">
    <v>https://www.bing.com/financeapi/forcetrigger?t=bq8rqh&amp;q=XNAS%3aCRWD&amp;form=skydnc</v>
    <v>Learn more on Bing</v>
  </rv>
  <rv s="1">
    <v>es-ES</v>
    <v>bq8rqh</v>
    <v>268435456</v>
    <v>1</v>
    <v>Con tecnología de Refinitiv</v>
    <v>0</v>
    <v>1</v>
    <v>CROWDSTRIKE HOLDINGS, INC. (XNAS:CRWD)</v>
    <v>3</v>
    <v>4</v>
    <v>Finance</v>
    <v>5</v>
    <v>XNAS</v>
    <v>1023935000</v>
    <v>2011</v>
    <v>210</v>
    <v>1.2190000000000001</v>
    <v>-3.14</v>
    <v>-1.4735E-2</v>
    <v>214985392600</v>
    <v>213.1</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11706</v>
    <v>XNAS</v>
    <v>46273.801498205466</v>
    <v>Nasdaq Stock Market</v>
    <v>84</v>
    <v>211.68</v>
    <v>233.88</v>
    <v>205.41</v>
    <v>85.68</v>
    <v>USD</v>
    <v>CROWDSTRIKE HOLDINGS, INC.</v>
    <v>CROWDSTRIKE HOLDINGS, INC.</v>
    <v>3683.5088000000001</v>
    <v>209.96</v>
    <v>Software &amp; IT Services</v>
    <v>206 E. 9TH STREET, SUITE 1400, AUSTIN, TX, 78701 US</v>
    <v>CRWD</v>
    <v>Acciones</v>
    <v>CROWDSTRIKE HOLDINGS, INC. (XNAS:CRWD)</v>
    <v>3919290</v>
    <v>9831241</v>
  </rv>
  <rv s="2">
    <v>85</v>
  </rv>
  <rv s="0">
    <v>https://www.bing.com/financeapi/forcetrigger?t=a1u3p2&amp;q=XNAS%3aGOOG&amp;form=skydnc</v>
    <v>Learn more on Bing</v>
  </rv>
  <rv s="1">
    <v>es-ES</v>
    <v>a1u3p2</v>
    <v>268435456</v>
    <v>1</v>
    <v>Con tecnología de Refinitiv</v>
    <v>0</v>
    <v>1</v>
    <v>ALPHABET INC. (XNAS:GOOG)</v>
    <v>3</v>
    <v>4</v>
    <v>Finance</v>
    <v>5</v>
    <v>XNAS</v>
    <v>12230000000</v>
    <v>2015</v>
    <v>332.1</v>
    <v>1.2138</v>
    <v>-1.27</v>
    <v>-3.7880000000000001E-3</v>
    <v>4085309200000</v>
    <v>335.31</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46273.801508553122</v>
    <v>Nasdaq Stock Market</v>
    <v>87</v>
    <v>336.47</v>
    <v>404.47</v>
    <v>330.39</v>
    <v>233.38</v>
    <v>USD</v>
    <v>ALPHABET INC.</v>
    <v>ALPHABET INC.</v>
    <v>16.7911</v>
    <v>334.04</v>
    <v>Software &amp; IT Services</v>
    <v>1600 Amphitheatre Parkway, MOUNTAIN VIEW, CA, 94043 US</v>
    <v>GOOG</v>
    <v>Acciones</v>
    <v>ALPHABET INC. (XNAS:GOOG)</v>
    <v>9062232</v>
    <v>16425072</v>
  </rv>
  <rv s="2">
    <v>88</v>
  </rv>
  <rv s="9">
    <v>es-ES</v>
    <v>cjjy9c</v>
    <v>268435456</v>
    <v>1</v>
    <v>Con tecnología de Refinitiv</v>
    <v>32</v>
    <v>33</v>
    <v>Abb Ltd (XSWX:ABBNE)</v>
    <v>26</v>
    <v>34</v>
    <v>Finance</v>
    <v>13</v>
    <v>XSWX</v>
    <v>1823154000</v>
    <v>1999</v>
    <v>79.02</v>
    <v>1.1292</v>
    <v>1.6</v>
    <v>2.0197E-2</v>
    <v>143975800000</v>
    <v>79.22</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46273.627222222225</v>
    <v>SIX Swiss Exchange</v>
    <v>80.86</v>
    <v>78.86</v>
    <v>CHF</v>
    <v>Abb Ltd</v>
    <v>Abb Ltd</v>
    <v>80.819999999999993</v>
    <v>Machinery, Equipment &amp; Components</v>
    <v>Affolternstrasse 44, ZUERICH, ZUERICH, 8050 CH</v>
    <v>ABBNE</v>
    <v>Acciones</v>
    <v>Abb Ltd (XSWX:ABBNE)</v>
    <v>86000</v>
    <v>1938830</v>
  </rv>
  <rv s="2">
    <v>90</v>
  </rv>
  <rv s="0">
    <v>https://www.bing.com/financeapi/forcetrigger?t=a1u6sm&amp;q=XNYS%3aGRMN&amp;form=skydnc</v>
    <v>Learn more on Bing</v>
  </rv>
  <rv s="1">
    <v>es-ES</v>
    <v>a1u6sm</v>
    <v>268435456</v>
    <v>1</v>
    <v>Con tecnología de Refinitiv</v>
    <v>0</v>
    <v>1</v>
    <v>Garmin Ltd. (XNYS:GRMN)</v>
    <v>3</v>
    <v>4</v>
    <v>Finance</v>
    <v>5</v>
    <v>XNYS</v>
    <v>192852500</v>
    <v>2010</v>
    <v>275.5</v>
    <v>0.83289999999999997</v>
    <v>-0.61</v>
    <v>-2.202E-3</v>
    <v>53308288050</v>
    <v>277.02999999999997</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46273.801510323436</v>
    <v>New York Stock Exchange</v>
    <v>92</v>
    <v>280.12</v>
    <v>314.27999999999997</v>
    <v>275.01</v>
    <v>186.67</v>
    <v>USD</v>
    <v>Garmin Ltd.</v>
    <v>Garmin Ltd.</v>
    <v>28.5063</v>
    <v>276.42</v>
    <v>Communications &amp; Networking</v>
    <v>Muehlentalstrasse 2, SCHAFFHAUSEN, SCHAFFHAUSEN, 8200 CH</v>
    <v>GRMN</v>
    <v>Acciones</v>
    <v>Garmin Ltd. (XNYS:GRMN)</v>
    <v>411933</v>
    <v>853483</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180428800</v>
    <v>1979</v>
    <v>100.7</v>
    <v>1.2442</v>
    <v>-1.5</v>
    <v>-1.4677000000000001E-2</v>
    <v>18674380000</v>
    <v>102.2</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46273.754861111112</v>
    <v>Deutsche Boerse AG</v>
    <v>95</v>
    <v>100.7</v>
    <v>108.4</v>
    <v>100.7</v>
    <v>32.01</v>
    <v>EUR</v>
    <v>KINGSPAN GROUP PUBLIC LIMITED COMPANY</v>
    <v>KINGSPAN GROUP PUBLIC LIMITED COMPANY</v>
    <v>26.41</v>
    <v>100.7</v>
    <v>Homebuilding &amp; Construction Supplies</v>
    <v>Dublin Road,, KINGSCOURT, CAVAN, A82 XY31 IE</v>
    <v>KRX</v>
    <v>Acciones</v>
    <v>KINGSPAN GROUP PUBLIC LIMITED COMPANY (XFRA:KRX)</v>
    <v>114</v>
    <v>292340</v>
  </rv>
  <rv s="2">
    <v>96</v>
  </rv>
  <rv s="0">
    <v>https://www.bing.com/financeapi/forcetrigger?t=bpiour&amp;q=OTCM%3aKAKZF&amp;form=skydnc</v>
    <v>Learn more on Bing</v>
  </rv>
  <rv s="1">
    <v>es-ES</v>
    <v>bpiour</v>
    <v>268435456</v>
    <v>1</v>
    <v>Con tecnología de Refinitiv</v>
    <v>0</v>
    <v>1</v>
    <v>Kaspi.kz AO (XNAS:KSPI)</v>
    <v>3</v>
    <v>4</v>
    <v>Finance</v>
    <v>5</v>
    <v>XNAS</v>
    <v>189333500</v>
    <v>2008</v>
    <v>108</v>
    <v>0.2089</v>
    <v>-0.95499999999999996</v>
    <v>-8.881E-3</v>
    <v>20178217762</v>
    <v>107.53</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46273.801377187498</v>
    <v>Nasdaq Stock Market</v>
    <v>98</v>
    <v>109</v>
    <v>109.94</v>
    <v>105.63</v>
    <v>68.59</v>
    <v>USD</v>
    <v>Kaspi.kz AO</v>
    <v>Kaspi.kz AO</v>
    <v>9.1463000000000001</v>
    <v>106.575</v>
    <v>Financial Technology (Fintech) &amp; Infrastructure</v>
    <v>Bostandykskiy Rayon, Ul. Nauryzbay Batyra, 154A, ALMATY, ALMATY, 050013 KZ</v>
    <v>KSPI</v>
    <v>Acciones</v>
    <v>Kaspi.kz AO (XNAS:KSPI)</v>
    <v>456287</v>
    <v>641899</v>
  </rv>
  <rv s="2">
    <v>99</v>
  </rv>
  <rv s="0">
    <v>https://www.bing.com/financeapi/forcetrigger?t=amft3m&amp;q=BMEX%3aCBAV&amp;form=skydnc</v>
    <v>Learn more on Bing</v>
  </rv>
  <rv s="10">
    <v>es-ES</v>
    <v>amft3m</v>
    <v>268435456</v>
    <v>1</v>
    <v>Con tecnología de Refinitiv</v>
    <v>35</v>
    <v>36</v>
    <v>CLINICA BAVIERA S.A (BMEX:CBAV)</v>
    <v>3</v>
    <v>37</v>
    <v>Finance</v>
    <v>13</v>
    <v>BMEX</v>
    <v>16307580</v>
    <v>58.6</v>
    <v>0.71299999999999997</v>
    <v>-2.2000000000000002</v>
    <v>-3.7288000000000002E-2</v>
    <v>962147200</v>
    <v>59</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46273.666666666664</v>
    <v>Bolsas y Mercados Espanoles</v>
    <v>101</v>
    <v>59</v>
    <v>62</v>
    <v>55</v>
    <v>40.1</v>
    <v>EUR</v>
    <v>CLINICA BAVIERA S.A</v>
    <v>CLINICA BAVIERA S.A</v>
    <v>19.828199999999999</v>
    <v>56.8</v>
    <v>Healthcare Providers &amp; Services</v>
    <v>Paseo de la Castellana 20, MADRID, MADRID, 28046 ES</v>
    <v>CBAV</v>
    <v>Acciones</v>
    <v>CLINICA BAVIERA S.A (BMEX:CBAV)</v>
    <v>5637</v>
    <v>1270</v>
  </rv>
  <rv s="2">
    <v>102</v>
  </rv>
  <rv s="0">
    <v>https://www.bing.com/financeapi/forcetrigger?t=a1yv52&amp;q=XNAS%3aNVDA&amp;form=skydnc</v>
    <v>Learn more on Bing</v>
  </rv>
  <rv s="1">
    <v>es-ES</v>
    <v>a1yv52</v>
    <v>268435456</v>
    <v>1</v>
    <v>Con tecnología de Refinitiv</v>
    <v>0</v>
    <v>1</v>
    <v>NVIDIA CORPORATION (XNAS:NVDA)</v>
    <v>3</v>
    <v>4</v>
    <v>Finance</v>
    <v>5</v>
    <v>XNAS</v>
    <v>24100000000</v>
    <v>1998</v>
    <v>233.14</v>
    <v>2.218</v>
    <v>-4.8499999999999996</v>
    <v>-2.1054E-2</v>
    <v>5434791000000</v>
    <v>230.36</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46273.801533703125</v>
    <v>Nasdaq Stock Market</v>
    <v>104</v>
    <v>233.71</v>
    <v>236.54</v>
    <v>225.25</v>
    <v>164.27</v>
    <v>USD</v>
    <v>NVIDIA CORPORATION</v>
    <v>NVIDIA CORPORATION</v>
    <v>28.507000000000001</v>
    <v>225.51</v>
    <v>Semiconductors &amp; Semiconductor Equipment</v>
    <v>2788 San Tomas Expressway, SANTA CLARA, CA, 95051 US</v>
    <v>NVDA</v>
    <v>Acciones</v>
    <v>NVIDIA CORPORATION (XNAS:NVDA)</v>
    <v>86465959</v>
    <v>128781141</v>
  </rv>
  <rv s="2">
    <v>105</v>
  </rv>
  <rv s="0">
    <v>https://www.bing.com/financeapi/forcetrigger?t=alwkk2&amp;q=XLIS%3aCOR&amp;form=skydnc</v>
    <v>Learn more on Bing</v>
  </rv>
  <rv s="1">
    <v>es-ES</v>
    <v>alwkk2</v>
    <v>268435456</v>
    <v>1</v>
    <v>Con tecnología de Refinitiv</v>
    <v>0</v>
    <v>1</v>
    <v>Corticeira Amori (XLIS:COR)</v>
    <v>3</v>
    <v>12</v>
    <v>Finance</v>
    <v>13</v>
    <v>XLIS</v>
    <v>133000000</v>
    <v>1963</v>
    <v>7.04</v>
    <v>0.44219999999999998</v>
    <v>-0.01</v>
    <v>-1.431E-3</v>
    <v>929670000</v>
    <v>6.99</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46273.666666666664</v>
    <v>Euronext Lisbon</v>
    <v>107</v>
    <v>7.04</v>
    <v>7.63</v>
    <v>6.97</v>
    <v>6.04</v>
    <v>EUR</v>
    <v>Corticeira Amori</v>
    <v>Corticeira Amori</v>
    <v>21.164300000000001</v>
    <v>6.98</v>
    <v>Paper &amp; Forest Products</v>
    <v>Rua Comendador Americo Ferreira Amorim, N 380, Apartado 20, Mozelos, AVEIRO, 4536-902 PT</v>
    <v>COR</v>
    <v>Acciones</v>
    <v>Corticeira Amori (XLIS:COR)</v>
    <v>69233</v>
    <v>119870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438.61</v>
    <v>1.3893</v>
    <v>10.765499999999999</v>
    <v>2.5099999999999997E-2</v>
    <v>2280365549187</v>
    <v>428.91</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46273.801514385937</v>
    <v>New York Stock Exchange</v>
    <v>110</v>
    <v>444.29</v>
    <v>479</v>
    <v>433.72</v>
    <v>241.62</v>
    <v>USD</v>
    <v>Taiwan Semiconductor Manufacturing Company Limited</v>
    <v>Taiwan Semiconductor Manufacturing Company Limited</v>
    <v>31.979199999999999</v>
    <v>439.6755</v>
    <v>Semiconductors &amp; Semiconductor Equipment</v>
    <v>No.8, Li-Hsin 6th Road, Hsinchu Science Park, HSINCHU, HSINCHU, 300 TW</v>
    <v>TSM</v>
    <v>Acciones</v>
    <v>Taiwan Semiconductor Manufacturing Company Limited (XNYS:TSM)</v>
    <v>9785149</v>
    <v>9757097</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535.30999999999995</v>
    <v>1.6014999999999999</v>
    <v>-13.295</v>
    <v>-2.4510000000000001E-2</v>
    <v>108755338917</v>
    <v>542.42999999999995</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46273.801467522659</v>
    <v>New York Stock Exchange</v>
    <v>113</v>
    <v>538.86680000000001</v>
    <v>745</v>
    <v>526.36</v>
    <v>405</v>
    <v>USD</v>
    <v>Spotify Technology S.A.</v>
    <v>Spotify Technology S.A.</v>
    <v>29.2364</v>
    <v>529.13499999999999</v>
    <v>Software &amp; IT Services</v>
    <v>33, Boulevard Prince Henri, LUXEMBOURG, 1724 LU</v>
    <v>SPOT</v>
    <v>Acciones</v>
    <v>Spotify Technology S.A. (XNYS:SPOT)</v>
    <v>1050414</v>
    <v>1882755</v>
  </rv>
  <rv s="2">
    <v>114</v>
  </rv>
  <rv s="0">
    <v>https://www.bing.com/financeapi/forcetrigger?t=ajg6ec&amp;q=XMIL%3aPRY&amp;form=skydnc</v>
    <v>Learn more on Bing</v>
  </rv>
  <rv s="10">
    <v>es-ES</v>
    <v>ajg6ec</v>
    <v>268435456</v>
    <v>1</v>
    <v>Con tecnología de Refinitiv</v>
    <v>35</v>
    <v>36</v>
    <v>Prysmian S.p.A. (XMIL:PRY)</v>
    <v>3</v>
    <v>37</v>
    <v>Finance</v>
    <v>38</v>
    <v>XMIL</v>
    <v>301836800</v>
    <v>125</v>
    <v>0.96899999999999997</v>
    <v>3</v>
    <v>2.3904000000000002E-2</v>
    <v>37880520000</v>
    <v>125.5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34591</v>
    <v>XMIL</v>
    <v>46273.666666666664</v>
    <v>Borsa Italiana</v>
    <v>116</v>
    <v>128.85</v>
    <v>157.25</v>
    <v>123.25</v>
    <v>76.739999999999995</v>
    <v>EUR</v>
    <v>Prysmian S.p.A.</v>
    <v>Prysmian S.p.A.</v>
    <v>26.291599999999999</v>
    <v>128.5</v>
    <v>Machinery, Equipment &amp; Components</v>
    <v>Via Chiese 6, MILANO, MILANO, 20126 IT</v>
    <v>PRY</v>
    <v>Acciones</v>
    <v>Prysmian S.p.A. (XMIL:PRY)</v>
    <v>834920</v>
    <v>936500</v>
  </rv>
  <rv s="2">
    <v>117</v>
  </rv>
  <rv s="0">
    <v>https://www.bing.com/financeapi/forcetrigger?t=an2bf2&amp;q=XSWX%3aJFN&amp;form=skydnc</v>
    <v>Learn more on Bing</v>
  </rv>
  <rv s="6">
    <v>es-ES</v>
    <v>an2bf2</v>
    <v>268435456</v>
    <v>1</v>
    <v>Con tecnología de Refinitiv</v>
    <v>18</v>
    <v>19</v>
    <v>Jungfraubahn (XSWX:JFN)</v>
    <v>3</v>
    <v>27</v>
    <v>Finance</v>
    <v>28</v>
    <v>XSWX</v>
    <v>5835000</v>
    <v>1952</v>
    <v>263</v>
    <v>0.54830000000000001</v>
    <v>-6.5</v>
    <v>2.3483E-2</v>
    <v>-2.4809000000000001E-2</v>
    <v>6</v>
    <v>1528770000</v>
    <v>262</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46273.747372685182</v>
    <v>SIX Swiss Exchange</v>
    <v>119</v>
    <v>263</v>
    <v>327</v>
    <v>255.5</v>
    <v>205.5</v>
    <v>CHF</v>
    <v>Jungfraubahn</v>
    <v>Jungfraubahn</v>
    <v>21.185700000000001</v>
    <v>255.5</v>
    <v>261.5</v>
    <v>Hotels &amp; Entertainment Services</v>
    <v>Harderstrasse 14, INTERLAKEN, BERN, 3800 CH</v>
    <v>JFN</v>
    <v>Acciones</v>
    <v>Jungfraubahn (XSWX:JFN)</v>
    <v>4494</v>
    <v>6810</v>
  </rv>
  <rv s="2">
    <v>120</v>
  </rv>
  <rv s="0">
    <v>https://www.bing.com/financeapi/forcetrigger?t=ajejhw&amp;q=XMIL%3aCPR&amp;form=skydnc</v>
    <v>Learn more on Bing</v>
  </rv>
  <rv s="1">
    <v>es-ES</v>
    <v>ajejhw</v>
    <v>268435456</v>
    <v>1</v>
    <v>Con tecnología de Refinitiv</v>
    <v>0</v>
    <v>1</v>
    <v>Davide Campari Milano NV (XMIL:CPR)</v>
    <v>3</v>
    <v>12</v>
    <v>Finance</v>
    <v>38</v>
    <v>XMIL</v>
    <v>1231268000</v>
    <v>2020</v>
    <v>5.72</v>
    <v>0.34260000000000002</v>
    <v>5.1999999999999998E-2</v>
    <v>9.0969999999999992E-3</v>
    <v>7037926000</v>
    <v>5.7160000000000002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46273.666666666664</v>
    <v>Borsa Italiana</v>
    <v>122</v>
    <v>5.7880000000000003</v>
    <v>6.82</v>
    <v>5.7119999999999997</v>
    <v>5.27</v>
    <v>EUR</v>
    <v>Davide Campari Milano NV</v>
    <v>Davide Campari Milano NV</v>
    <v>25.3093</v>
    <v>5.7679999999999998</v>
    <v>Beverages</v>
    <v>Via Sacchetti, 20, SESTO SAN GIOVANNI, MILANO, 20099 IT</v>
    <v>CPR</v>
    <v>Acciones</v>
    <v>Davide Campari Milano NV (XMIL:CPR)</v>
    <v>2721711</v>
    <v>4340230</v>
  </rv>
  <rv s="2">
    <v>123</v>
  </rv>
  <rv s="0">
    <v>https://www.bing.com/financeapi/forcetrigger?t=b1lbp2&amp;q=XSWX%3aSIKA&amp;form=skydnc</v>
    <v>Learn more on Bing</v>
  </rv>
  <rv s="6">
    <v>es-ES</v>
    <v>b1lbp2</v>
    <v>268435456</v>
    <v>1</v>
    <v>Con tecnología de Refinitiv</v>
    <v>18</v>
    <v>19</v>
    <v>Sika Ltd (XSWX:SIKA)</v>
    <v>3</v>
    <v>27</v>
    <v>Finance</v>
    <v>28</v>
    <v>XSWX</v>
    <v>160479300</v>
    <v>1971</v>
    <v>192.35</v>
    <v>1.6393</v>
    <v>0.6</v>
    <v>-1.805E-3</v>
    <v>3.1030000000000003E-3</v>
    <v>-0.35</v>
    <v>31028670000</v>
    <v>193.35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46273.787569444445</v>
    <v>SIX Swiss Exchange</v>
    <v>125</v>
    <v>193.95</v>
    <v>197.6</v>
    <v>190.95</v>
    <v>120.35</v>
    <v>CHF</v>
    <v>Sika Ltd</v>
    <v>Sika Ltd</v>
    <v>29.930599999999998</v>
    <v>193.95</v>
    <v>193.6</v>
    <v>Chemicals</v>
    <v>Zugerstrasse 50, BAAR, ZUG, 6340 CH</v>
    <v>SIKA</v>
    <v>Acciones</v>
    <v>Sika Ltd (XSWX:SIKA)</v>
    <v>281893</v>
    <v>305030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134.74</v>
    <v>0.46560000000000001</v>
    <v>-3.37</v>
    <v>-2.4590000000000001E-2</v>
    <v>13648808208</v>
    <v>137.05000000000001</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46273.801467580466</v>
    <v>Nasdaq Stock Market</v>
    <v>128</v>
    <v>135.37</v>
    <v>210.66</v>
    <v>132.06</v>
    <v>112.23</v>
    <v>USD</v>
    <v>CHECK POINT SOFTWARE TECHNOLOGIES LTD.</v>
    <v>CHECK POINT SOFTWARE TECHNOLOGIES LTD.</v>
    <v>13.6943</v>
    <v>133.68</v>
    <v>Software &amp; IT Services</v>
    <v>5 Shlomo Kaplan Street, TEL AVIV, TEL AVIV, 6789159 IL</v>
    <v>CHKP</v>
    <v>Acciones</v>
    <v>CHECK POINT SOFTWARE TECHNOLOGIES LTD. (XNAS:CHKP)</v>
    <v>756457</v>
    <v>926121</v>
  </rv>
  <rv s="2">
    <v>129</v>
  </rv>
  <rv s="0">
    <v>https://www.bing.com/financeapi/forcetrigger?t=ajgoa2&amp;q=XMIL%3aTGYM&amp;form=skydnc</v>
    <v>Learn more on Bing</v>
  </rv>
  <rv s="10">
    <v>es-ES</v>
    <v>ajgoa2</v>
    <v>268435456</v>
    <v>1</v>
    <v>Con tecnología de Refinitiv</v>
    <v>35</v>
    <v>36</v>
    <v>Technogym S.p.A. (XMIL:TGYM)</v>
    <v>3</v>
    <v>37</v>
    <v>Finance</v>
    <v>38</v>
    <v>XMIL</v>
    <v>201327500</v>
    <v>12.81</v>
    <v>0.84350000000000003</v>
    <v>0</v>
    <v>0</v>
    <v>2591085000</v>
    <v>12.87</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46273.666666666664</v>
    <v>Borsa Italiana</v>
    <v>131</v>
    <v>13.06</v>
    <v>21.82</v>
    <v>12.78</v>
    <v>12.2</v>
    <v>EUR</v>
    <v>Technogym S.p.A.</v>
    <v>Technogym S.p.A.</v>
    <v>22.3476</v>
    <v>12.87</v>
    <v>Leisure Products</v>
    <v>Via Calcinaro, 2861, CESENA, FORLI CESENA, 47521 IT</v>
    <v>TGYM</v>
    <v>Acciones</v>
    <v>Technogym S.p.A. (XMIL:TGYM)</v>
    <v>284461</v>
    <v>487990</v>
  </rv>
  <rv s="2">
    <v>132</v>
  </rv>
  <rv s="0">
    <v>https://www.bing.com/financeapi/forcetrigger?t=amg4gh&amp;q=BMEX%3aVID&amp;form=skydnc</v>
    <v>Learn more on Bing</v>
  </rv>
  <rv s="10">
    <v>es-ES</v>
    <v>amg4gh</v>
    <v>268435456</v>
    <v>1</v>
    <v>Con tecnología de Refinitiv</v>
    <v>35</v>
    <v>36</v>
    <v>VIDRALA, S.A. (BMEX:VID)</v>
    <v>3</v>
    <v>37</v>
    <v>Finance</v>
    <v>13</v>
    <v>BMEX</v>
    <v>35206260</v>
    <v>87.5</v>
    <v>1.0326</v>
    <v>0.4</v>
    <v>4.561E-3</v>
    <v>3087589000</v>
    <v>87.7</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46273.666666666664</v>
    <v>Bolsas y Mercados Espanoles</v>
    <v>134</v>
    <v>88.9</v>
    <v>92.8</v>
    <v>87.3</v>
    <v>70.400000000000006</v>
    <v>EUR</v>
    <v>VIDRALA, S.A.</v>
    <v>VIDRALA, S.A.</v>
    <v>14.108000000000001</v>
    <v>88.1</v>
    <v>Containers &amp; Packaging</v>
    <v>Barrio Munegazo, 22, LLODIO, ALAVA, 01400 ES</v>
    <v>VID</v>
    <v>Acciones</v>
    <v>VIDRALA, S.A. (BMEX:VID)</v>
    <v>16001</v>
    <v>26450</v>
  </rv>
  <rv s="2">
    <v>135</v>
  </rv>
  <rv s="0">
    <v>https://www.bing.com/financeapi/forcetrigger?t=c276a2&amp;q=XTSE%3aTFPM&amp;form=skydnc</v>
    <v>Learn more on Bing</v>
  </rv>
  <rv s="1">
    <v>es-ES</v>
    <v>c276a2</v>
    <v>268435456</v>
    <v>1</v>
    <v>Con tecnología de Refinitiv</v>
    <v>0</v>
    <v>1</v>
    <v>Triple Flag Prec (XTSE:TFPM)</v>
    <v>3</v>
    <v>39</v>
    <v>Finance</v>
    <v>40</v>
    <v>XTSE</v>
    <v>206003000</v>
    <v>2019</v>
    <v>46.52</v>
    <v>0.26900000000000002</v>
    <v>-0.3</v>
    <v>-6.3839999999999999E-3</v>
    <v>9618280070</v>
    <v>46.99</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46273.790879629632</v>
    <v>Toronto Stock Exchange</v>
    <v>137</v>
    <v>47.23</v>
    <v>57.26</v>
    <v>46.52</v>
    <v>37.274999999999999</v>
    <v>CAD</v>
    <v>Triple Flag Prec</v>
    <v>Triple Flag Prec</v>
    <v>16.5198</v>
    <v>46.69</v>
    <v>Metals &amp; Mining</v>
    <v>TD Canada Trust Tower, 161 Bay Street, Suite 4535, Toronto, ON, M5J 2S1 CA</v>
    <v>TFPM</v>
    <v>Acciones</v>
    <v>Triple Flag Prec (XTSE:TFPM)</v>
    <v>52757</v>
    <v>183030</v>
  </rv>
  <rv s="2">
    <v>138</v>
  </rv>
  <rv s="0">
    <v>https://www.bing.com/financeapi/forcetrigger?t=a1ygoc&amp;q=XNAS%3aNFLX&amp;form=skydnc</v>
    <v>Learn more on Bing</v>
  </rv>
  <rv s="1">
    <v>es-ES</v>
    <v>a1ygoc</v>
    <v>268435456</v>
    <v>1</v>
    <v>Con tecnología de Refinitiv</v>
    <v>0</v>
    <v>1</v>
    <v>NETFLIX, INC. (XNAS:NFLX)</v>
    <v>3</v>
    <v>4</v>
    <v>Finance</v>
    <v>5</v>
    <v>XNAS</v>
    <v>4163939000</v>
    <v>1997</v>
    <v>77.599999999999994</v>
    <v>1.5983000000000001</v>
    <v>-1.5249999999999999</v>
    <v>-1.9488999999999999E-2</v>
    <v>319478219775</v>
    <v>78.25</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46273.80153290469</v>
    <v>Nasdaq Stock Market</v>
    <v>140</v>
    <v>77.73</v>
    <v>126.7</v>
    <v>75.92</v>
    <v>65.08</v>
    <v>USD</v>
    <v>NETFLIX, INC.</v>
    <v>NETFLIX, INC.</v>
    <v>24.171399999999998</v>
    <v>76.724999999999994</v>
    <v>Software &amp; IT Services</v>
    <v>121 Albright Way, LOS GATOS, CA, 95032 US</v>
    <v>NFLX</v>
    <v>Acciones</v>
    <v>NETFLIX, INC. (XNAS:NFLX)</v>
    <v>23176226</v>
    <v>28815447</v>
  </rv>
  <rv s="2">
    <v>141</v>
  </rv>
  <rv s="0">
    <v>https://www.bing.com/financeapi/forcetrigger?t=a1yjxm&amp;q=XNYS%3aNKE&amp;form=skydnc</v>
    <v>Learn more on Bing</v>
  </rv>
  <rv s="1">
    <v>es-ES</v>
    <v>a1yjxm</v>
    <v>268435456</v>
    <v>1</v>
    <v>Con tecnología de Refinitiv</v>
    <v>0</v>
    <v>1</v>
    <v>NIKE, INC. (XNYS:NKE)</v>
    <v>3</v>
    <v>4</v>
    <v>Finance</v>
    <v>5</v>
    <v>XNYS</v>
    <v>1483499000</v>
    <v>1969</v>
    <v>38.6</v>
    <v>1.0918000000000001</v>
    <v>-0.375</v>
    <v>-9.7660000000000004E-3</v>
    <v>56410049475</v>
    <v>38.4</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46273.801506053125</v>
    <v>New York Stock Exchange</v>
    <v>143</v>
    <v>38.74</v>
    <v>76.97</v>
    <v>37.9</v>
    <v>37.9</v>
    <v>USD</v>
    <v>NIKE, INC.</v>
    <v>NIKE, INC.</v>
    <v>18.122699999999998</v>
    <v>38.024999999999999</v>
    <v>Textiles &amp; Apparel</v>
    <v>One Bowerman Dr, BEAVERTON, OR, 97005-6453 US</v>
    <v>NKE</v>
    <v>Acciones</v>
    <v>NIKE, INC. (XNYS:NKE)</v>
    <v>23195517</v>
    <v>26679968</v>
  </rv>
  <rv s="2">
    <v>144</v>
  </rv>
  <rv s="0">
    <v>https://www.bing.com/financeapi/forcetrigger?t=amwwgh&amp;q=XSTO%3aMIPS&amp;form=skydnc</v>
    <v>Learn more on Bing</v>
  </rv>
  <rv s="11">
    <v>es-ES</v>
    <v>amwwgh</v>
    <v>268435456</v>
    <v>1</v>
    <v>Con tecnología de Refinitiv</v>
    <v>41</v>
    <v>42</v>
    <v>MIPS (XSTO:MIPS)</v>
    <v>3</v>
    <v>43</v>
    <v>Finance</v>
    <v>21</v>
    <v>XSTO</v>
    <v>26491120</v>
    <v>2001</v>
    <v>382</v>
    <v>2.0356999999999998</v>
    <v>-3.6</v>
    <v>0</v>
    <v>-9.3650000000000001E-3</v>
    <v>0</v>
    <v>10183190000</v>
    <v>384.4</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46273.666666666664</v>
    <v>NASDAQ Stockholm</v>
    <v>146</v>
    <v>389</v>
    <v>380.8</v>
    <v>SEK</v>
    <v>MIPS</v>
    <v>MIPS</v>
    <v>60.927999999999997</v>
    <v>380.8</v>
    <v>380.8</v>
    <v>Leisure Products</v>
    <v>Kemistvagen 1 B, TABY, STOCKHOLM, 183 79 SE</v>
    <v>MIPS</v>
    <v>Acciones</v>
    <v>MIPS (XSTO:MIPS)</v>
    <v>75617</v>
    <v>93620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228.07</v>
    <v>1.1201000000000001</v>
    <v>-2.5000000000000001E-2</v>
    <v>-1.0949999999999999E-4</v>
    <v>44181694889</v>
    <v>228.41</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46273.801445902347</v>
    <v>New York Stock Exchange</v>
    <v>149</v>
    <v>230.44</v>
    <v>271.64</v>
    <v>227.14500000000001</v>
    <v>207.64</v>
    <v>USD</v>
    <v>FERGUSON ENTERPRISES INC.</v>
    <v>FERGUSON ENTERPRISES INC.</v>
    <v>22.4742</v>
    <v>228.38499999999999</v>
    <v>Homebuilding &amp; Construction Supplies</v>
    <v>751 Lakefront Commons, NEWPORT NEWS, VA, 23606 US</v>
    <v>FERG</v>
    <v>Acciones</v>
    <v>FERGUSON ENTERPRISES INC. (XNYS:FERG)</v>
    <v>503065</v>
    <v>3822074</v>
  </rv>
  <rv s="2">
    <v>150</v>
  </rv>
  <rv s="0">
    <v>https://www.bing.com/financeapi/forcetrigger?t=c2kadm&amp;q=XNYS%3aS&amp;form=skydnc</v>
    <v>Learn more on Bing</v>
  </rv>
  <rv s="8">
    <v>es-ES</v>
    <v>c2kadm</v>
    <v>268435456</v>
    <v>1</v>
    <v>Con tecnología de Refinitiv</v>
    <v>29</v>
    <v>30</v>
    <v>SENTINELONE, INC. (XNYS:S)</v>
    <v>3</v>
    <v>31</v>
    <v>Finance</v>
    <v>5</v>
    <v>XNYS</v>
    <v>348049100</v>
    <v>2013</v>
    <v>19.760000000000002</v>
    <v>0.72289999999999999</v>
    <v>-0.255</v>
    <v>-1.2827E-2</v>
    <v>6830463587</v>
    <v>19.88</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2800</v>
    <v>XNYS</v>
    <v>46273.801455370311</v>
    <v>New York Stock Exchange</v>
    <v>152</v>
    <v>19.8</v>
    <v>23.95</v>
    <v>19.07</v>
    <v>11.81</v>
    <v>USD</v>
    <v>SENTINELONE, INC.</v>
    <v>SENTINELONE, INC.</v>
    <v>19.625</v>
    <v>Software &amp; IT Services</v>
    <v>444 Castro Street, Suite 400, MOUNTAIN VIEW, CA, 94041 US</v>
    <v>S</v>
    <v>Acciones</v>
    <v>SENTINELONE, INC. (XNYS:S)</v>
    <v>3683880</v>
    <v>8156838</v>
  </rv>
  <rv s="2">
    <v>153</v>
  </rv>
  <rv s="0">
    <v>https://www.bing.com/financeapi/forcetrigger?t=a24grw&amp;q=XNYS%3aTREX&amp;form=skydnc</v>
    <v>Learn more on Bing</v>
  </rv>
  <rv s="1">
    <v>es-ES</v>
    <v>a24grw</v>
    <v>268435456</v>
    <v>1</v>
    <v>Con tecnología de Refinitiv</v>
    <v>0</v>
    <v>1</v>
    <v>TREX COMPANY, INC. (XNYS:TREX)</v>
    <v>3</v>
    <v>4</v>
    <v>Finance</v>
    <v>5</v>
    <v>XNYS</v>
    <v>101865200</v>
    <v>1998</v>
    <v>46.04</v>
    <v>1.4779</v>
    <v>0.57999999999999996</v>
    <v>1.2710999999999998E-2</v>
    <v>4707190892</v>
    <v>45.63</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46273.801463124997</v>
    <v>New York Stock Exchange</v>
    <v>155</v>
    <v>46.38</v>
    <v>64.69</v>
    <v>45.52</v>
    <v>29.77</v>
    <v>USD</v>
    <v>TREX COMPANY, INC.</v>
    <v>TREX COMPANY, INC.</v>
    <v>27.272200000000002</v>
    <v>46.21</v>
    <v>Homebuilding &amp; Construction Supplies</v>
    <v>2500 TREX WAY, WINCHESTER, VA, 22601 US</v>
    <v>TREX</v>
    <v>Acciones</v>
    <v>TREX COMPANY, INC. (XNYS:TREX)</v>
    <v>1344296</v>
    <v>1711000</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73.98</v>
    <v>1.4047000000000001</v>
    <v>-0.22</v>
    <v>-2.9480000000000001E-3</v>
    <v>36924520000</v>
    <v>74.62</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46273.666666666664</v>
    <v>Euronext Paris</v>
    <v>158</v>
    <v>74.599999999999994</v>
    <v>95.86</v>
    <v>73.28</v>
    <v>65.88</v>
    <v>EUR</v>
    <v>Compagnie de Saint Gobain SA</v>
    <v>Compagnie de Saint Gobain SA</v>
    <v>13.686999999999999</v>
    <v>74.400000000000006</v>
    <v>Homebuilding &amp; Construction Supplies</v>
    <v>Tour Saint-Gobain, 12 place de l'Iris, La Defense Cedex, 92096 FR</v>
    <v>SGO</v>
    <v>Acciones</v>
    <v>Compagnie de Saint Gobain SA (XPAR:SGO)</v>
    <v>904201</v>
    <v>926800</v>
  </rv>
  <rv s="2">
    <v>159</v>
  </rv>
  <rv s="0">
    <v>https://www.bing.com/financeapi/forcetrigger?t=aea7cw&amp;q=XPAR%3aTFF&amp;form=skydnc</v>
    <v>Learn more on Bing</v>
  </rv>
  <rv s="1">
    <v>es-ES</v>
    <v>aea7cw</v>
    <v>268435456</v>
    <v>1</v>
    <v>Con tecnología de Refinitiv</v>
    <v>0</v>
    <v>1</v>
    <v>Tonnellerie FF (XPAR:TFF)</v>
    <v>3</v>
    <v>12</v>
    <v>Finance</v>
    <v>13</v>
    <v>XPAR</v>
    <v>21680000</v>
    <v>1956</v>
    <v>16.54</v>
    <v>0.52170000000000005</v>
    <v>0</v>
    <v>0</v>
    <v>357720000</v>
    <v>16.5</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1288</v>
    <v>XPAR</v>
    <v>46273.666666666664</v>
    <v>Euronext Paris</v>
    <v>161</v>
    <v>16.899999999999999</v>
    <v>20</v>
    <v>16.399999999999999</v>
    <v>14.65</v>
    <v>EUR</v>
    <v>Tonnellerie FF</v>
    <v>Tonnellerie FF</v>
    <v>40.038800000000002</v>
    <v>16.5</v>
    <v>Containers &amp; Packaging</v>
    <v>Route departementale 17, Saint-Romain, SAINT-ROMAIN-AU-MONT-D OR, AUVERGNE-RHONE-ALPES, 21190 FR</v>
    <v>TFF</v>
    <v>Acciones</v>
    <v>Tonnellerie FF (XPAR:TFF)</v>
    <v>1007</v>
    <v>1140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30.49</v>
    <v>0.98899999999999999</v>
    <v>-0.97</v>
    <v>-3.1636999999999998E-2</v>
    <v>7512609150</v>
    <v>30.66</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46273.801500185153</v>
    <v>Nasdaq Stock Market</v>
    <v>164</v>
    <v>30.6</v>
    <v>66.739999999999995</v>
    <v>29.5</v>
    <v>23.555</v>
    <v>USD</v>
    <v>CELSIUS HOLDINGS, INC.</v>
    <v>CELSIUS HOLDINGS, INC.</v>
    <v>127.64400000000001</v>
    <v>29.69</v>
    <v>Beverages</v>
    <v>2424 N. Federal Hwy, Suite 208, BOCA RATON, FL, 33431 US</v>
    <v>CELH</v>
    <v>Acciones</v>
    <v>CELSIUS HOLDINGS, INC. (XNAS:CELH)</v>
    <v>5487062</v>
    <v>12085671</v>
  </rv>
  <rv s="2">
    <v>165</v>
  </rv>
  <rv s="0">
    <v>https://www.bing.com/financeapi/forcetrigger?t=alo1ar&amp;q=XAMS%3aBFIT&amp;form=skydnc</v>
    <v>Learn more on Bing</v>
  </rv>
  <rv s="1">
    <v>es-ES</v>
    <v>alo1ar</v>
    <v>268435456</v>
    <v>1</v>
    <v>Con tecnología de Refinitiv</v>
    <v>0</v>
    <v>1</v>
    <v>Basic-Fit N.V. (XAMS:BFIT)</v>
    <v>3</v>
    <v>12</v>
    <v>Finance</v>
    <v>13</v>
    <v>XAMS</v>
    <v>66000000</v>
    <v>2016</v>
    <v>34.54</v>
    <v>0.87150000000000005</v>
    <v>-0.4</v>
    <v>-1.1533999999999999E-2</v>
    <v>2288880000</v>
    <v>34.68</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46273.666666666664</v>
    <v>Euronext Amsterdam</v>
    <v>167</v>
    <v>34.6</v>
    <v>36.700000000000003</v>
    <v>34.24</v>
    <v>22.84</v>
    <v>EUR</v>
    <v>Basic-Fit N.V.</v>
    <v>Basic-Fit N.V.</v>
    <v>48.336199999999998</v>
    <v>34.28</v>
    <v>Hotels &amp; Entertainment Services</v>
    <v>Wegalaan 60, HOOFDDORP, NOORD-HOLLAND, 2132JC NL</v>
    <v>BFIT</v>
    <v>Acciones</v>
    <v>Basic-Fit N.V. (XAMS:BFIT)</v>
    <v>75032</v>
    <v>114090</v>
  </rv>
  <rv s="2">
    <v>168</v>
  </rv>
  <rv s="0">
    <v>https://www.bing.com/financeapi/forcetrigger?t=bscvur&amp;q=XWBO%3aVRLA&amp;form=skydnc</v>
    <v>Learn more on Bing</v>
  </rv>
  <rv s="12">
    <v>es-ES</v>
    <v>bscvur</v>
    <v>268435456</v>
    <v>1</v>
    <v>Con tecnología de Refinitiv</v>
    <v>44</v>
    <v>45</v>
    <v>Verallia SA (XWBO:VRLA)</v>
    <v>3</v>
    <v>46</v>
    <v>Finance</v>
    <v>13</v>
    <v>XWBO</v>
    <v>127587300</v>
    <v>2015</v>
    <v>18.45</v>
    <v>1.0914999999999999</v>
    <v>-0.96</v>
    <v>-4.9611999999999996E-2</v>
    <v>2462435000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47.14</v>
    <v>18.39</v>
    <v>Containers &amp; Packaging</v>
    <v>TOUR CARPE DIEM - ESPLANADE NORD, 31 PLACE DES COROLLES, COURBEVOIE, ILE-DE-FRANCE, 92400 FR</v>
    <v>VRLA</v>
    <v>Acciones</v>
    <v>Verallia SA (XWBO:VRLA)</v>
    <v>798</v>
    <v>18100</v>
  </rv>
  <rv s="2">
    <v>171</v>
  </rv>
  <rv s="7">
    <v>es-ES</v>
    <v>c8f4a2</v>
    <v>268435456</v>
    <v>1</v>
    <v>Con tecnología de Refinitiv</v>
    <v>24</v>
    <v>25</v>
    <v>Kistos Holdings (XLON:KIST)</v>
    <v>26</v>
    <v>16</v>
    <v>Finance</v>
    <v>17</v>
    <v>XLON</v>
    <v>83117650</v>
    <v>2022</v>
    <v>310</v>
    <v>1.3269</v>
    <v>1</v>
    <v>3.2049999999999999E-3</v>
    <v>259001000</v>
    <v>312</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46273.614278645313</v>
    <v>London Stock Exchange</v>
    <v>315</v>
    <v>335</v>
    <v>310</v>
    <v>145</v>
    <v>GBp</v>
    <v>Kistos Holdings</v>
    <v>Kistos Holdings</v>
    <v>0</v>
    <v>313</v>
    <v>Oil &amp; Gas</v>
    <v>2nd Floor, 3 St James Square, NaN, LONDON, ENGLAND, SW1Y 4JU GB</v>
    <v>KIST</v>
    <v>Acciones</v>
    <v>Kistos Holdings (XLON:KIST)</v>
    <v>669954</v>
    <v>155810</v>
  </rv>
  <rv s="2">
    <v>173</v>
  </rv>
  <rv s="0">
    <v>https://www.bing.com/financeapi/forcetrigger?t=bq9y7w&amp;q=XLON%3aWOSG&amp;form=skydnc</v>
    <v>Learn more on Bing</v>
  </rv>
  <rv s="6">
    <v>es-ES</v>
    <v>bq9y7w</v>
    <v>268435456</v>
    <v>1</v>
    <v>Con tecnología de Refinitiv</v>
    <v>18</v>
    <v>19</v>
    <v>Watches of CH (XLON:WOSG)</v>
    <v>3</v>
    <v>47</v>
    <v>Finance</v>
    <v>48</v>
    <v>XLON</v>
    <v>233301600</v>
    <v>2019</v>
    <v>673</v>
    <v>2.4093</v>
    <v>-22</v>
    <v>4.5495000000000001E-2</v>
    <v>-3.2117E-2</v>
    <v>30.163</v>
    <v>1598116000</v>
    <v>685</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46273.650350358592</v>
    <v>London Stock Exchange</v>
    <v>175</v>
    <v>680.5</v>
    <v>801.5</v>
    <v>663</v>
    <v>340</v>
    <v>GBp</v>
    <v>Watches of CH</v>
    <v>Watches of CH</v>
    <v>15.5634</v>
    <v>663</v>
    <v>693.16300000000001</v>
    <v>Specialty Retailers</v>
    <v>Aurum House, 2 Elland Road, LEICESTER, LEICESTERSHIRE, LE3 1TT GB</v>
    <v>WOSG</v>
    <v>Acciones</v>
    <v>Watches of CH (XLON:WOSG)</v>
    <v>663618</v>
    <v>712080</v>
  </rv>
  <rv s="2">
    <v>176</v>
  </rv>
  <rv s="0">
    <v>https://www.bing.com/financeapi/forcetrigger?t=aayx5r&amp;q=XTSE%3aIPCO&amp;form=skydnc</v>
    <v>Learn more on Bing</v>
  </rv>
  <rv s="1">
    <v>es-ES</v>
    <v>aayx5r</v>
    <v>268435456</v>
    <v>1</v>
    <v>Con tecnología de Refinitiv</v>
    <v>0</v>
    <v>1</v>
    <v>INTERNATIONAL PETROLEUM CORPORATION (XTSE:IPCO)</v>
    <v>3</v>
    <v>49</v>
    <v>Finance</v>
    <v>40</v>
    <v>XTSE</v>
    <v>112174300</v>
    <v>2017</v>
    <v>35.07</v>
    <v>0.42399999999999999</v>
    <v>1.51</v>
    <v>4.3692000000000002E-2</v>
    <v>26990230000</v>
    <v>34.56</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46273.787222222221</v>
    <v>Toronto Stock Exchange</v>
    <v>178</v>
    <v>36.14</v>
    <v>39.47</v>
    <v>35.07</v>
    <v>20.74</v>
    <v>CAD</v>
    <v>INTERNATIONAL PETROLEUM CORPORATION</v>
    <v>INTERNATIONAL PETROLEUM CORPORATION</v>
    <v>137.935</v>
    <v>36.07</v>
    <v>Oil &amp; Gas</v>
    <v>Suite 2800, 1055 Dunsmuir Street, VANCOUVER, BC, V7X 1L2 CA</v>
    <v>IPCO</v>
    <v>Acciones</v>
    <v>INTERNATIONAL PETROLEUM CORPORATION (XTSE:IPCO)</v>
    <v>204899</v>
    <v>182680</v>
  </rv>
  <rv s="2">
    <v>179</v>
  </rv>
  <rv s="0">
    <v>https://www.bing.com/financeapi/forcetrigger?t=c1w41h&amp;q=XNAS%3aOTLY&amp;form=skydnc</v>
    <v>Learn more on Bing</v>
  </rv>
  <rv s="1">
    <v>es-ES</v>
    <v>c1w41h</v>
    <v>268435456</v>
    <v>1</v>
    <v>Con tecnología de Refinitiv</v>
    <v>0</v>
    <v>1</v>
    <v>Oatly Group (XNAS:OTLY)</v>
    <v>3</v>
    <v>4</v>
    <v>Finance</v>
    <v>5</v>
    <v>XNAS</v>
    <v>31912260</v>
    <v>2016</v>
    <v>14</v>
    <v>1.7875000000000001</v>
    <v>-0.42</v>
    <v>-2.9830000000000002E-2</v>
    <v>435921471</v>
    <v>14.08</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46273.801159941409</v>
    <v>Nasdaq Stock Market</v>
    <v>181</v>
    <v>14</v>
    <v>18.22</v>
    <v>13.58</v>
    <v>8.01</v>
    <v>USD</v>
    <v>Oatly Group</v>
    <v>Oatly Group</v>
    <v>0</v>
    <v>13.66</v>
    <v>Food &amp; Tobacco</v>
    <v>Angfarjekajen 8, MALMO, SKANE, 211 36 SE</v>
    <v>OTLY</v>
    <v>Acciones</v>
    <v>Oatly Group (XNAS:OTLY)</v>
    <v>36001</v>
    <v>82217</v>
  </rv>
  <rv s="2">
    <v>182</v>
  </rv>
  <rv s="0">
    <v>https://www.bing.com/financeapi/forcetrigger?t=aaxn6h&amp;q=XTSE%3aCSU&amp;form=skydnc</v>
    <v>Learn more on Bing</v>
  </rv>
  <rv s="1">
    <v>es-ES</v>
    <v>aaxn6h</v>
    <v>268435456</v>
    <v>1</v>
    <v>Con tecnología de Refinitiv</v>
    <v>0</v>
    <v>1</v>
    <v>Constellation Software Inc. (XTSE:CSU)</v>
    <v>3</v>
    <v>39</v>
    <v>Finance</v>
    <v>40</v>
    <v>XTSE</v>
    <v>21191530</v>
    <v>2002</v>
    <v>3022.44</v>
    <v>0.69410000000000005</v>
    <v>-144.96</v>
    <v>-4.7937E-2</v>
    <v>61010414870</v>
    <v>3023.96</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46273.789270833331</v>
    <v>Toronto Stock Exchange</v>
    <v>184</v>
    <v>3022.44</v>
    <v>4634.9799999999996</v>
    <v>2865</v>
    <v>2196</v>
    <v>CAD</v>
    <v>Constellation Software Inc.</v>
    <v>Constellation Software Inc.</v>
    <v>44.724499999999999</v>
    <v>2879</v>
    <v>Software &amp; IT Services</v>
    <v>#66 Wellington Street West, Suite 5300, TD Bank Tower, TORONTO, ON, M5K 1E6 CA</v>
    <v>CSU</v>
    <v>Acciones</v>
    <v>Constellation Software Inc. (XTSE:CSU)</v>
    <v>34070</v>
    <v>54780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75.599999999999994</v>
    <v>1.2536</v>
    <v>-2.73</v>
    <v>-3.6034999999999998E-2</v>
    <v>149168156800</v>
    <v>75.760000000000005</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46273.801515370309</v>
    <v>New York Stock Exchange</v>
    <v>187</v>
    <v>75.599999999999994</v>
    <v>101.99</v>
    <v>72.715000000000003</v>
    <v>65.41</v>
    <v>USD</v>
    <v>UBER TECHNOLOGIES, INC.</v>
    <v>UBER TECHNOLOGIES, INC.</v>
    <v>16.030799999999999</v>
    <v>73.03</v>
    <v>Software &amp; IT Services</v>
    <v>1725 3Rd Street, SAN FRANCISCO, CA, 94158 US</v>
    <v>UBER</v>
    <v>Acciones</v>
    <v>UBER TECHNOLOGIES, INC. (XNYS:UBER)</v>
    <v>15962087</v>
    <v>18286802</v>
  </rv>
  <rv s="2">
    <v>188</v>
  </rv>
  <rv s="0">
    <v>https://www.bing.com/financeapi/forcetrigger?t=aodtkr&amp;q=XLON%3aSOM&amp;form=skydnc</v>
    <v>Learn more on Bing</v>
  </rv>
  <rv s="1">
    <v>es-ES</v>
    <v>aodtkr</v>
    <v>268435456</v>
    <v>1</v>
    <v>Con tecnología de Refinitiv</v>
    <v>0</v>
    <v>1</v>
    <v>Somero (XLON:SOM)</v>
    <v>3</v>
    <v>16</v>
    <v>Finance</v>
    <v>17</v>
    <v>XLON</v>
    <v>51776020</v>
    <v>2002</v>
    <v>245</v>
    <v>0.90380000000000005</v>
    <v>15</v>
    <v>6.25E-2</v>
    <v>124106200</v>
    <v>240</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46273.653749628909</v>
    <v>London Stock Exchange</v>
    <v>190</v>
    <v>258</v>
    <v>258</v>
    <v>250</v>
    <v>170</v>
    <v>GBp</v>
    <v>Somero</v>
    <v>Somero</v>
    <v>18.0595</v>
    <v>255</v>
    <v>Machinery, Equipment &amp; Components</v>
    <v>14530 Global Pkwy, FORT MYERS, FL, 33913 US</v>
    <v>SOM</v>
    <v>Acciones</v>
    <v>Somero (XLON:SOM)</v>
    <v>382790</v>
    <v>47460</v>
  </rv>
  <rv s="2">
    <v>191</v>
  </rv>
  <rv s="0">
    <v>https://www.bing.com/financeapi/forcetrigger?t=ajflbh&amp;q=XMIL%3aIP&amp;form=skydnc</v>
    <v>Learn more on Bing</v>
  </rv>
  <rv s="10">
    <v>es-ES</v>
    <v>ajflbh</v>
    <v>268435456</v>
    <v>1</v>
    <v>Con tecnología de Refinitiv</v>
    <v>35</v>
    <v>36</v>
    <v>Interpump Group S.p.A. (XMIL:IP)</v>
    <v>3</v>
    <v>37</v>
    <v>Finance</v>
    <v>38</v>
    <v>XMIL</v>
    <v>108879300</v>
    <v>36.56</v>
    <v>1.2536</v>
    <v>0.24</v>
    <v>6.5180000000000004E-3</v>
    <v>4008936000</v>
    <v>36.82</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46273.666666666664</v>
    <v>Borsa Italiana</v>
    <v>193</v>
    <v>37.26</v>
    <v>51.3</v>
    <v>36.479999999999997</v>
    <v>30.1</v>
    <v>EUR</v>
    <v>Interpump Group S.p.A.</v>
    <v>Interpump Group S.p.A.</v>
    <v>18.471800000000002</v>
    <v>37.06</v>
    <v>Machinery, Equipment &amp; Components</v>
    <v>Via E. Fermi, 25, SANT'ILARIO D'ENZA, REGGIO EMILIA, 42049 IT</v>
    <v>IP</v>
    <v>Acciones</v>
    <v>Interpump Group S.p.A. (XMIL:IP)</v>
    <v>94801</v>
    <v>126450</v>
  </rv>
  <rv s="2">
    <v>194</v>
  </rv>
  <rv s="0">
    <v>https://www.bing.com/financeapi/forcetrigger?t=ae9vtc&amp;q=XPAR%3aRBT&amp;form=skydnc</v>
    <v>Learn more on Bing</v>
  </rv>
  <rv s="1">
    <v>es-ES</v>
    <v>ae9vtc</v>
    <v>268435456</v>
    <v>1</v>
    <v>Con tecnología de Refinitiv</v>
    <v>0</v>
    <v>1</v>
    <v>Robertet (XPAR:RBT)</v>
    <v>3</v>
    <v>12</v>
    <v>Finance</v>
    <v>13</v>
    <v>XPAR</v>
    <v>2169300</v>
    <v>1957</v>
    <v>792</v>
    <v>0.4098</v>
    <v>-10</v>
    <v>-1.2642E-2</v>
    <v>1701793000</v>
    <v>791</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46273.666666666664</v>
    <v>Euronext Paris</v>
    <v>196</v>
    <v>797</v>
    <v>922</v>
    <v>775</v>
    <v>743</v>
    <v>EUR</v>
    <v>Robertet</v>
    <v>Robertet</v>
    <v>16.314</v>
    <v>781</v>
    <v>Chemicals</v>
    <v>37 Avenue Sidi Brahim, Bp 52100, GRASSE, PACA, 06130 FR</v>
    <v>RBT</v>
    <v>Acciones</v>
    <v>Robertet (XPAR:RBT)</v>
    <v>1081</v>
    <v>1070</v>
  </rv>
  <rv s="2">
    <v>197</v>
  </rv>
  <rv s="13">
    <v>es-ES</v>
    <v>cg32pr</v>
    <v>268435456</v>
    <v>1</v>
    <v>Con tecnología de Refinitiv</v>
    <v>50</v>
    <v>51</v>
    <v>Roko (XSTO:ROKO B)</v>
    <v>26</v>
    <v>43</v>
    <v>Finance</v>
    <v>21</v>
    <v>XSTO</v>
    <v>12136500</v>
    <v>2019</v>
    <v>1898</v>
    <v>0.748</v>
    <v>-34</v>
    <v>0</v>
    <v>-1.7819999999999999E-2</v>
    <v>0</v>
    <v>23156440000</v>
    <v>1908</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46273.666666666664</v>
    <v>NASDAQ Stockholm</v>
    <v>1942</v>
    <v>1874</v>
    <v>SEK</v>
    <v>Roko</v>
    <v>Roko</v>
    <v>34.969200000000001</v>
    <v>1874</v>
    <v>1874</v>
    <v>Investment Banking &amp; Investment Services</v>
    <v>Ostermalmsgatan 33, STOCKSUND, STOCKHOLM, 114 26 SE</v>
    <v>ROKO B</v>
    <v>Acciones</v>
    <v>Roko (XSTO:ROKO B)</v>
    <v>11733</v>
    <v>5810</v>
  </rv>
  <rv s="2">
    <v>199</v>
  </rv>
  <rv s="0">
    <v>https://www.bing.com/financeapi/forcetrigger?t=a253tc&amp;q=XNYS%3aUSPH&amp;form=skydnc</v>
    <v>Learn more on Bing</v>
  </rv>
  <rv s="1">
    <v>es-ES</v>
    <v>a253tc</v>
    <v>268435456</v>
    <v>1</v>
    <v>Con tecnología de Refinitiv</v>
    <v>0</v>
    <v>1</v>
    <v>US Physical (XNYS:USPH)</v>
    <v>3</v>
    <v>4</v>
    <v>Finance</v>
    <v>5</v>
    <v>XNYS</v>
    <v>14922700</v>
    <v>1992</v>
    <v>78.844999999999999</v>
    <v>1.1274999999999999</v>
    <v>-0.19500000000000001</v>
    <v>-2.457E-3</v>
    <v>1181206318</v>
    <v>79.349999999999994</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46273.801383749997</v>
    <v>New York Stock Exchange</v>
    <v>201</v>
    <v>79.569999999999993</v>
    <v>93.5</v>
    <v>77.92</v>
    <v>58.19</v>
    <v>USD</v>
    <v>US Physical</v>
    <v>US Physical</v>
    <v>450.51220000000001</v>
    <v>79.155000000000001</v>
    <v>Healthcare Providers &amp; Services</v>
    <v>1300 West Sam Houston Parkway South, Suite 300, HOUSTON, TX, 77043 US</v>
    <v>USPH</v>
    <v>Acciones</v>
    <v>US Physical (XNYS:USPH)</v>
    <v>87595</v>
    <v>190932</v>
  </rv>
  <rv s="2">
    <v>202</v>
  </rv>
  <rv s="0">
    <v>https://www.bing.com/financeapi/forcetrigger?t=aftlr7&amp;q=XETR%3aSAP&amp;form=skydnc</v>
    <v>Learn more on Bing</v>
  </rv>
  <rv s="1">
    <v>es-ES</v>
    <v>aftlr7</v>
    <v>268435456</v>
    <v>1</v>
    <v>Con tecnología de Refinitiv</v>
    <v>0</v>
    <v>1</v>
    <v>SAP SE (XETR:SAP)</v>
    <v>3</v>
    <v>12</v>
    <v>Finance</v>
    <v>13</v>
    <v>XETR</v>
    <v>1228504000</v>
    <v>2014</v>
    <v>182.32</v>
    <v>1.1626000000000001</v>
    <v>-1.1000000000000001</v>
    <v>-6.0179999999999999E-3</v>
    <v>224570600000</v>
    <v>182.8</v>
    <v>SAP SE (SAP) es una empresa alemana de software de aplicaciones. La compañía opera a través de dos segmentos: el segmento de Aplicaciones, Tecnología y Soporte (ATS) y su segmento de Servicios Centrales. El segmento ATS abarca el portafolio integrado de productos de la compañía e incluye ofertas de suscripción en la nube, servicios de soporte y soluciones de capacitación. También comprende actividades relacionadas con la operación de tecnologías en la nube y la prestación de soporte al cliente asociado con sus productos de software. El segmento de Servicios Centrales complementa el portafolio de productos de la compañía mediante la entrega de servicios de consultoría y soporte premium para ayudar a los clientes a adoptar sus innovaciones. Los ingresos de este segmento provienen principalmente de servicios profesionales y ofertas de soporte mejoradas, mientras que los costos surgen de la ejecución de estas actividades de servicio.</v>
    <v>112019</v>
    <v>XETR</v>
    <v>46273.790972222225</v>
    <v>Xetra</v>
    <v>204</v>
    <v>183.76</v>
    <v>244.3</v>
    <v>180.02</v>
    <v>127.5</v>
    <v>EUR</v>
    <v>SAP SE</v>
    <v>SAP SE</v>
    <v>27.080200000000001</v>
    <v>181.7</v>
    <v>Software &amp; IT Services</v>
    <v>Dietmar-Hopp-Allee 16, WALLDORF, BADEN-WUERTTEMBERG, 69190 DE</v>
    <v>SAP</v>
    <v>Acciones</v>
    <v>SAP SE (XETR:SAP)</v>
    <v>2099508</v>
    <v>2462670</v>
  </rv>
  <rv s="2">
    <v>205</v>
  </rv>
  <rv s="0">
    <v>https://www.bing.com/financeapi/forcetrigger?t=bq89dm&amp;q=XNYS%3aCTVA&amp;form=skydnc</v>
    <v>Learn more on Bing</v>
  </rv>
  <rv s="1">
    <v>es-ES</v>
    <v>bq89dm</v>
    <v>268435456</v>
    <v>1</v>
    <v>Con tecnología de Refinitiv</v>
    <v>0</v>
    <v>1</v>
    <v>CORTEVA, INC. (XNYS:CTVA)</v>
    <v>3</v>
    <v>4</v>
    <v>Finance</v>
    <v>5</v>
    <v>XNYS</v>
    <v>667196000</v>
    <v>2018</v>
    <v>88.23</v>
    <v>0.56389999999999996</v>
    <v>-1.63</v>
    <v>-1.8551999999999999E-2</v>
    <v>57532311080</v>
    <v>87.86</v>
    <v>Corteva, Inc. Es una compañía global de agricultura de juego puro. Es un proveedor global de soluciones de protección de semillas y cultivos enfocadas en la industria agrícola y contribuyendo a un suministro de alimentos más saludable, seguro y sostenible. El segmento de semillas se dedica al desarrollo y suministro de semillas comerciales que combinan germoplasma avanzado y rasgos que producen un rendimiento óptimo para las granjas de todo el mundo. Opera en varios mercados clave de semillas, incluyendo maíz y soja de América del Norte, maíz y girasol europeos, así como maíz de Brasil, India, Sudáfrica y Argentina. El segmento de protección de cultivos sirve a la industria mundial de insumos agrícolas con productos que protegen contra malezas, insectos y otras plagas, y enfermedades, y que apoyan la salud general de los cultivos tanto en el suelo como en el subsuelo a través de la gestión del nitrógeno y las tecnologías aplicadas a las semillas. Sus soluciones de protección de cultivos y soluciones digitales proporcionan a los agricultores herramientas para mejorar la productividad y ayudar a mantener los campos libres de malezas, insectos y enfermedades.</v>
    <v>21500</v>
    <v>XNYS</v>
    <v>46273.801517916407</v>
    <v>New York Stock Exchange</v>
    <v>207</v>
    <v>89.13</v>
    <v>90.97</v>
    <v>84.98</v>
    <v>60.534999999999997</v>
    <v>USD</v>
    <v>CORTEVA, INC.</v>
    <v>CORTEVA, INC.</v>
    <v>53.031999999999996</v>
    <v>86.23</v>
    <v>Chemicals</v>
    <v>9330 ZIONSVILLE ROAD, INDIANAPOLIS, IN, 46268 US</v>
    <v>CTVA</v>
    <v>Acciones</v>
    <v>CORTEVA, INC. (XNYS:CTVA)</v>
    <v>2420662</v>
    <v>4923444</v>
  </rv>
  <rv s="2">
    <v>208</v>
  </rv>
  <rv s="0">
    <v>https://www.bing.com/financeapi/forcetrigger?t=a21rw7&amp;q=XNYS%3aRCL&amp;form=skydnc</v>
    <v>Learn more on Bing</v>
  </rv>
  <rv s="1">
    <v>es-ES</v>
    <v>a21rw7</v>
    <v>268435456</v>
    <v>1</v>
    <v>Con tecnología de Refinitiv</v>
    <v>0</v>
    <v>1</v>
    <v>ROYAL CARIBBEAN CRUISES LTD. (XNYS:RCL)</v>
    <v>3</v>
    <v>4</v>
    <v>Finance</v>
    <v>5</v>
    <v>XNYS</v>
    <v>267452100</v>
    <v>1985</v>
    <v>263</v>
    <v>1.8223</v>
    <v>1.98</v>
    <v>7.4660000000000004E-3</v>
    <v>71455177557</v>
    <v>265.19</v>
    <v>Royal Caribbean Cruises Ltd. Es una compañía de cruceros, que posee y opera tres marcas de cruceros globales: Royal Caribbean International, Celebrity Cruises y Silversea Cruises. También tiene interés en TUI Cruises GmbH, que opera las marcas alemanas TUI Cruises y Hapag-Lloyd Cruises. Sus barcos ofrecen una selección de itinerarios mundiales que hacen escala en aproximadamente 1.000 destinos en los siete continentes. Royal Caribbean International ofrece cruceros y destinos terrestres que generalmente ofrecen un ambiente informal, así como una variedad de actividades y lugares de entretenimiento. Celebrity Cruises ofrece una amplia gama de itinerarios a destinos, incluyendo Alaska, Asia, Australia, Bermudas, Canadá, el Caribe, Europa, las Islas Galápagos, Hawái, nueva Zelanda, el Canal de Panamá y América del Sur, con cruceros de tres a 14 noches. También ofrece una variedad de destinos privados de tierra a través de Perfect Day at CocoCay, incluye parque acuático completo, tirolesa y otros.</v>
    <v>107950</v>
    <v>XNYS</v>
    <v>46273.801630046095</v>
    <v>New York Stock Exchange</v>
    <v>210</v>
    <v>270.83</v>
    <v>360.09</v>
    <v>263</v>
    <v>232.1</v>
    <v>USD</v>
    <v>ROYAL CARIBBEAN CRUISES LTD.</v>
    <v>ROYAL CARIBBEAN CRUISES LTD.</v>
    <v>16.48</v>
    <v>267.17</v>
    <v>Hotels &amp; Entertainment Services</v>
    <v>1050 Caribbean Way, MIAMI, FL, 33132 US</v>
    <v>RCL</v>
    <v>Acciones</v>
    <v>ROYAL CARIBBEAN CRUISES LTD. (XNYS:RCL)</v>
    <v>1721164</v>
    <v>1603134</v>
  </rv>
  <rv s="2">
    <v>211</v>
  </rv>
  <rv s="14">
    <v>es-ES</v>
    <v>av8wim</v>
    <v>268435456</v>
    <v>1</v>
    <v>Con tecnología de Refinitiv</v>
    <v>52</v>
    <v>53</v>
    <v>EUR/JPY</v>
    <v>54</v>
    <v>55</v>
    <v>Finance</v>
    <v>56</v>
    <v>179.46</v>
    <v>-0.49</v>
    <v>-2.7320000000000001E-3</v>
    <v>179.37</v>
    <v>EUR</v>
    <v>46273.801527777781</v>
    <v>179.46</v>
    <v>187.93</v>
    <v>177.87</v>
    <v>172.08</v>
    <v>JPY</v>
    <v>Euro/Japanese Yen FX Cross Rate</v>
    <v>178.88</v>
    <v>EURJPY</v>
    <v>Par de divisa</v>
    <v>EUR/JPY</v>
  </rv>
  <rv s="2">
    <v>213</v>
  </rv>
  <rv s="14">
    <v>es-ES</v>
    <v>avv7r7</v>
    <v>268435456</v>
    <v>1</v>
    <v>Con tecnología de Refinitiv</v>
    <v>52</v>
    <v>53</v>
    <v>CHF/USD</v>
    <v>54</v>
    <v>57</v>
    <v>Finance</v>
    <v>56</v>
    <v>1.2355</v>
    <v>5.9999999999999995E-4</v>
    <v>4.8589999999999999E-4</v>
    <v>1.2346999999999999</v>
    <v>CHF</v>
    <v>46273.801446759258</v>
    <v>1.2379</v>
    <v>1.3149</v>
    <v>1.2315</v>
    <v>1.2181999999999999</v>
    <v>USD</v>
    <v>Swiss Franc/US Dollar FX Cross Rate</v>
    <v>1.2353000000000001</v>
    <v>CHFUSD</v>
    <v>Par de divisa</v>
    <v>CHF/USD</v>
  </rv>
  <rv s="2">
    <v>215</v>
  </rv>
  <rv s="14">
    <v>es-ES</v>
    <v>avyosm</v>
    <v>268435456</v>
    <v>1</v>
    <v>Con tecnología de Refinitiv</v>
    <v>52</v>
    <v>53</v>
    <v>USD/KZT</v>
    <v>54</v>
    <v>58</v>
    <v>Finance</v>
    <v>56</v>
    <v>453.95</v>
    <v>0.03</v>
    <v>6.6089999999999999E-5</v>
    <v>453.96</v>
    <v>USD</v>
    <v>46273.775243055556</v>
    <v>455.44</v>
    <v>549.66</v>
    <v>453.76</v>
    <v>452.48</v>
    <v>KZT</v>
    <v>US Dollar/Kazakhstan Tenge FX Spot Rate</v>
    <v>453.99</v>
    <v>USDKZT</v>
    <v>Par de divisa</v>
    <v>USD/KZT</v>
  </rv>
  <rv s="2">
    <v>217</v>
  </rv>
  <rv s="14">
    <v>es-ES</v>
    <v>av3wnm</v>
    <v>268435456</v>
    <v>1</v>
    <v>Con tecnología de Refinitiv</v>
    <v>52</v>
    <v>53</v>
    <v>CAD/USD</v>
    <v>54</v>
    <v>57</v>
    <v>Finance</v>
    <v>56</v>
    <v>0.72389999999999999</v>
    <v>1.6000000000000001E-3</v>
    <v>2.2100000000000002E-3</v>
    <v>0.72389999999999999</v>
    <v>CAD</v>
    <v>46273.801481481481</v>
    <v>0.72670000000000001</v>
    <v>0.74170000000000003</v>
    <v>0.72360000000000002</v>
    <v>0.70169999999999999</v>
    <v>USD</v>
    <v>Canadian Dollar/US Dollar FX Cross Rate</v>
    <v>0.72550000000000003</v>
    <v>CADUSD</v>
    <v>Par de divisa</v>
    <v>CAD/USD</v>
  </rv>
  <rv s="2">
    <v>219</v>
  </rv>
  <rv s="14">
    <v>es-ES</v>
    <v>avyn9c</v>
    <v>268435456</v>
    <v>1</v>
    <v>Con tecnología de Refinitiv</v>
    <v>52</v>
    <v>53</v>
    <v>USD/EUR</v>
    <v>54</v>
    <v>59</v>
    <v>Finance</v>
    <v>56</v>
    <v>0.8599</v>
    <v>-1E-4</v>
    <v>-1.1629999999999999E-4</v>
    <v>0.86019999999999996</v>
    <v>USD</v>
    <v>46273.801493055558</v>
    <v>0.86140000000000005</v>
    <v>0.88300000000000001</v>
    <v>0.85940000000000005</v>
    <v>0.82779999999999998</v>
    <v>EUR</v>
    <v>US Dollar/Euro FX Cross Rate</v>
    <v>0.86009999999999998</v>
    <v>USDEUR</v>
    <v>Par de divisa</v>
    <v>USD/EUR</v>
  </rv>
  <rv s="2">
    <v>221</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1">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0">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4</v>
      <v>Name</v>
      <v>LearnMoreOnLink</v>
    </spb>
    <spb s="20">
      <v>1</v>
      <v>2</v>
      <v>2</v>
      <v>2</v>
      <v>3</v>
      <v>2</v>
      <v>4</v>
      <v>2</v>
      <v>4</v>
      <v>5</v>
      <v>2</v>
      <v>4</v>
      <v>6</v>
      <v>7</v>
      <v>2</v>
      <v>2</v>
      <v>4</v>
      <v>8</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13">
      <v>1</v>
      <v>1</v>
      <v>15</v>
      <v>15</v>
      <v>15</v>
      <v>3</v>
      <v>15</v>
      <v>4</v>
      <v>15</v>
      <v>4</v>
      <v>5</v>
      <v>15</v>
      <v>4</v>
      <v>6</v>
      <v>7</v>
      <v>15</v>
      <v>15</v>
      <v>4</v>
      <v>15</v>
      <v>16</v>
      <v>15</v>
      <v>5</v>
      <v>9</v>
    </spb>
    <spb s="14">
      <v xml:space="preserve">desde el cierre anterior </v>
      <v xml:space="preserve">al cierre </v>
      <v xml:space="preserve">desde el cierre anterior </v>
      <v>LSE</v>
      <v xml:space="preserve">desde el cierre </v>
      <v>Retrasado 15 minutos</v>
      <v xml:space="preserve">desde el cierre </v>
      <v>GMT</v>
    </spb>
    <spb s="4">
      <v>1</v>
      <v>1</v>
      <v>23</v>
      <v>23</v>
      <v>23</v>
      <v>3</v>
      <v>23</v>
      <v>4</v>
      <v>23</v>
      <v>4</v>
      <v>5</v>
      <v>23</v>
      <v>4</v>
      <v>6</v>
      <v>7</v>
      <v>23</v>
      <v>23</v>
      <v>4</v>
      <v>18</v>
      <v>9</v>
    </spb>
    <spb s="29">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9</v>
      <v>Name</v>
    </spb>
    <spb s="30">
      <v>Change</v>
      <v>Currency</v>
      <v>High</v>
      <v>Low</v>
      <v>Name</v>
      <v>Price</v>
      <v>Open</v>
      <v>Change (%)</v>
      <v>UniqueName</v>
      <v>From currency</v>
      <v>%ProviderInfo</v>
      <v>Previous close</v>
      <v>Ticker symbol</v>
      <v>Instrument type</v>
      <v>52 week high</v>
      <v>52 week low</v>
      <v>Last trade time</v>
    </spb>
    <spb s="16">
      <v>10</v>
      <v>Name</v>
    </spb>
    <spb s="31">
      <v>2</v>
      <v>2</v>
    </spb>
    <spb s="32">
      <v>25</v>
      <v>25</v>
      <v>25</v>
      <v>3</v>
      <v>25</v>
      <v>25</v>
      <v>5</v>
      <v>25</v>
      <v>6</v>
      <v>25</v>
      <v>25</v>
      <v>9</v>
    </spb>
    <spb s="33">
      <v>GMT</v>
    </spb>
    <spb s="32">
      <v>2</v>
      <v>2</v>
      <v>2</v>
      <v>3</v>
      <v>2</v>
      <v>2</v>
      <v>5</v>
      <v>2</v>
      <v>6</v>
      <v>2</v>
      <v>2</v>
      <v>9</v>
    </spb>
    <spb s="32">
      <v>26</v>
      <v>26</v>
      <v>26</v>
      <v>3</v>
      <v>26</v>
      <v>26</v>
      <v>5</v>
      <v>26</v>
      <v>6</v>
      <v>26</v>
      <v>26</v>
      <v>9</v>
    </spb>
    <spb s="32">
      <v>11</v>
      <v>11</v>
      <v>11</v>
      <v>3</v>
      <v>11</v>
      <v>11</v>
      <v>5</v>
      <v>11</v>
      <v>6</v>
      <v>11</v>
      <v>11</v>
      <v>9</v>
    </spb>
  </spbData>
</supportingPropertyBags>
</file>

<file path=xl/richData/rdsupportingpropertybagstructure.xml><?xml version="1.0" encoding="utf-8"?>
<spbStructures xmlns="http://schemas.microsoft.com/office/spreadsheetml/2017/richdata2" count="34">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74"/>
  <sheetViews>
    <sheetView tabSelected="1" zoomScaleNormal="100" workbookViewId="0">
      <pane xSplit="2" ySplit="3" topLeftCell="AV55" activePane="bottomRight" state="frozen"/>
      <selection pane="topRight" activeCell="C1" sqref="C1"/>
      <selection pane="bottomLeft" activeCell="A4" sqref="A4"/>
      <selection pane="bottomRight" activeCell="BJ74" sqref="BJ74:BK74"/>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710937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8.85546875" bestFit="1"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72" ht="27.75" customHeight="1" x14ac:dyDescent="0.25">
      <c r="A1" s="109" t="s">
        <v>0</v>
      </c>
      <c r="B1" s="105"/>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row>
    <row r="2" spans="1:72" ht="21.75" customHeight="1" x14ac:dyDescent="0.25">
      <c r="A2" s="112" t="s">
        <v>1</v>
      </c>
      <c r="B2" s="105"/>
      <c r="C2" s="105"/>
      <c r="D2" s="105"/>
      <c r="E2" s="105"/>
      <c r="F2" s="105"/>
      <c r="G2" s="105"/>
      <c r="H2" s="105"/>
      <c r="I2" s="105"/>
      <c r="J2" s="107" t="s">
        <v>2</v>
      </c>
      <c r="K2" s="105"/>
      <c r="L2" s="105"/>
      <c r="M2" s="105"/>
      <c r="N2" s="105"/>
      <c r="O2" s="105"/>
      <c r="P2" s="105"/>
      <c r="Q2" s="105"/>
      <c r="R2" s="105"/>
      <c r="S2" s="105"/>
      <c r="T2" s="106" t="s">
        <v>3</v>
      </c>
      <c r="U2" s="105"/>
      <c r="V2" s="105"/>
      <c r="W2" s="105"/>
      <c r="X2" s="105"/>
      <c r="Y2" s="105"/>
      <c r="Z2" s="105"/>
      <c r="AA2" s="105"/>
      <c r="AB2" s="105"/>
      <c r="AC2" s="105"/>
      <c r="AD2" s="110" t="s">
        <v>4</v>
      </c>
      <c r="AE2" s="105"/>
      <c r="AF2" s="105"/>
      <c r="AG2" s="105"/>
      <c r="AH2" s="105"/>
      <c r="AI2" s="105"/>
      <c r="AJ2" s="105"/>
      <c r="AK2" s="105"/>
      <c r="AL2" s="105"/>
      <c r="AM2" s="105"/>
      <c r="AN2" s="108" t="s">
        <v>5</v>
      </c>
      <c r="AO2" s="113" t="s">
        <v>6</v>
      </c>
      <c r="AP2" s="105"/>
      <c r="AQ2" s="105"/>
      <c r="AR2" s="105"/>
      <c r="AS2" s="105"/>
      <c r="AT2" s="105"/>
      <c r="AU2" s="105"/>
      <c r="AV2" s="105"/>
      <c r="AW2" s="105"/>
      <c r="AX2" s="105"/>
      <c r="AY2" s="105"/>
      <c r="AZ2" s="105"/>
      <c r="BA2" s="105"/>
      <c r="BB2" s="105"/>
      <c r="BC2" s="105"/>
      <c r="BD2" s="105"/>
      <c r="BE2" s="105"/>
      <c r="BF2" s="105"/>
      <c r="BG2" s="1"/>
      <c r="BH2" s="1"/>
      <c r="BI2" s="1"/>
      <c r="BJ2" s="111" t="s">
        <v>7</v>
      </c>
      <c r="BK2" s="105"/>
      <c r="BL2" s="105"/>
      <c r="BM2" s="105"/>
      <c r="BN2" s="104" t="s">
        <v>8</v>
      </c>
      <c r="BO2" s="105"/>
      <c r="BP2" s="105"/>
    </row>
    <row r="3" spans="1:72"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5"/>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c r="BQ3" t="s">
        <v>874</v>
      </c>
      <c r="BR3" t="s">
        <v>875</v>
      </c>
      <c r="BS3" t="s">
        <v>876</v>
      </c>
      <c r="BT3" t="s">
        <v>877</v>
      </c>
    </row>
    <row r="4" spans="1:72"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265.33</v>
      </c>
      <c r="H4" s="13" cm="1">
        <f t="array" aca="1" ref="H4" ca="1">_FV(A4,"Acciones en circulación",TRUE)/1000000</f>
        <v>161.90880000000001</v>
      </c>
      <c r="I4" s="14">
        <f t="shared" ref="I4:I16" ca="1" si="0">G4*H4</f>
        <v>42959.261903999999</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35746.261903999999</v>
      </c>
      <c r="AS4" s="103">
        <v>1170.9000000000001</v>
      </c>
      <c r="AT4" s="19">
        <v>810</v>
      </c>
      <c r="AU4" s="19">
        <v>1050</v>
      </c>
      <c r="AV4" s="19">
        <v>3319</v>
      </c>
      <c r="AW4" s="20">
        <f t="shared" ref="AW4:AW35" ca="1" si="9">AR4/AS4</f>
        <v>30.528876850286103</v>
      </c>
      <c r="AX4" s="20">
        <f t="shared" ref="AX4:AX35" ca="1" si="10">AR4/AU4</f>
        <v>34.044058956190476</v>
      </c>
      <c r="AY4" s="20">
        <f t="shared" ref="AY4:AY35" ca="1" si="11">AR4/AV4</f>
        <v>10.770190389876468</v>
      </c>
      <c r="AZ4" s="21">
        <v>1500</v>
      </c>
      <c r="BA4" s="22">
        <f t="shared" ref="BA4:BA35" si="12">AT4/AV4</f>
        <v>0.24404941247363665</v>
      </c>
      <c r="BB4" s="22">
        <f t="shared" ref="BB4:BB35" si="13">AV4/AZ4</f>
        <v>2.2126666666666668</v>
      </c>
      <c r="BC4" s="23">
        <f t="shared" ref="BC4:BC35" si="14">BA4*BB4</f>
        <v>0.54</v>
      </c>
      <c r="BD4" s="98">
        <v>1068.8</v>
      </c>
      <c r="BE4" s="23">
        <f t="shared" ref="BE4:BE35" si="15">(BD4/AS4)^(1/5)-1</f>
        <v>-1.8081759278083531E-2</v>
      </c>
      <c r="BF4">
        <v>2347.5</v>
      </c>
      <c r="BG4" s="23">
        <f t="shared" ref="BG4:BG35" si="16">(BF4/AS4)^(1/5)-1</f>
        <v>0.14925700348343307</v>
      </c>
      <c r="BH4" s="24">
        <v>18</v>
      </c>
      <c r="BI4" s="24">
        <v>30</v>
      </c>
      <c r="BJ4" s="25">
        <f ca="1">(BD4*BH4+$AP4-$AQ4)/$H4</f>
        <v>163.37221942229203</v>
      </c>
      <c r="BK4" s="25">
        <f t="shared" ref="BK4:BK11" ca="1" si="17">(BF4*BI4+$AP4-$AQ4)/$H4</f>
        <v>479.51686381469068</v>
      </c>
      <c r="BL4" s="23">
        <f t="shared" ref="BL4:BL35" ca="1" si="18">IF($BJ4&lt;=0,-0.99,MAX(-0.99,($BJ4/G4)^(1/5)-1))</f>
        <v>-9.2433680720518496E-2</v>
      </c>
      <c r="BM4" s="23">
        <f t="shared" ref="BM4:BM35" ca="1" si="19">IF(BK4&lt;=0,-0.99,MAX(-0.99,(BK4/G4)^(1/5)-1))</f>
        <v>0.12565033681249416</v>
      </c>
      <c r="BN4" t="s">
        <v>79</v>
      </c>
      <c r="BO4" t="s">
        <v>80</v>
      </c>
      <c r="BP4" t="s">
        <v>81</v>
      </c>
      <c r="BQ4" s="98">
        <v>494.6</v>
      </c>
      <c r="BR4" s="98">
        <v>0</v>
      </c>
      <c r="BS4" s="98">
        <v>1170.9000000000001</v>
      </c>
      <c r="BT4" t="s">
        <v>871</v>
      </c>
    </row>
    <row r="5" spans="1:72" ht="15" customHeight="1" x14ac:dyDescent="0.2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492.09539999999998</v>
      </c>
      <c r="H5" s="13">
        <f t="array" aca="1" ref="H5" ca="1">_FV(A5,"Acciones en circulación",TRUE())/1000000</f>
        <v>7425.5450000000001</v>
      </c>
      <c r="I5" s="14">
        <f t="shared" ca="1" si="0"/>
        <v>3654076.5369929997</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3617527.5369929997</v>
      </c>
      <c r="AS5" s="103">
        <v>54582</v>
      </c>
      <c r="AT5" s="19">
        <v>125127</v>
      </c>
      <c r="AU5" s="19">
        <v>193771</v>
      </c>
      <c r="AV5" s="19">
        <v>331839</v>
      </c>
      <c r="AW5" s="20">
        <f t="shared" ca="1" si="9"/>
        <v>66.27693263334065</v>
      </c>
      <c r="AX5" s="20">
        <f t="shared" ca="1" si="10"/>
        <v>18.669086380278781</v>
      </c>
      <c r="AY5" s="20">
        <f t="shared" ca="1" si="11"/>
        <v>10.90145382849213</v>
      </c>
      <c r="AZ5" s="21">
        <v>589551</v>
      </c>
      <c r="BA5" s="22">
        <f t="shared" si="12"/>
        <v>0.37707141113612325</v>
      </c>
      <c r="BB5" s="22">
        <f t="shared" si="13"/>
        <v>0.56286733463262717</v>
      </c>
      <c r="BC5" s="23">
        <f t="shared" si="14"/>
        <v>0.21224118015235321</v>
      </c>
      <c r="BD5" s="98">
        <v>63334.9</v>
      </c>
      <c r="BE5" s="23">
        <f t="shared" si="15"/>
        <v>3.0193318394561519E-2</v>
      </c>
      <c r="BF5">
        <v>96094.3</v>
      </c>
      <c r="BG5" s="23">
        <f t="shared" si="16"/>
        <v>0.11977208446641807</v>
      </c>
      <c r="BH5" s="24">
        <v>20</v>
      </c>
      <c r="BI5" s="24">
        <v>30</v>
      </c>
      <c r="BJ5" s="25">
        <f t="shared" ref="BJ5:BJ11" ca="1" si="20">(BD5*BH5+$AP5-$AQ5)/$H5</f>
        <v>175.50859903212492</v>
      </c>
      <c r="BK5" s="25">
        <f t="shared" ca="1" si="17"/>
        <v>393.15336450051814</v>
      </c>
      <c r="BL5" s="23">
        <f t="shared" ca="1" si="18"/>
        <v>-0.18632716161711571</v>
      </c>
      <c r="BM5" s="23">
        <f t="shared" ca="1" si="19"/>
        <v>-4.3901717053937417E-2</v>
      </c>
      <c r="BN5" s="99">
        <v>46256</v>
      </c>
      <c r="BO5" s="93" t="s">
        <v>84</v>
      </c>
      <c r="BP5" s="93" t="s">
        <v>85</v>
      </c>
      <c r="BQ5" s="98">
        <v>12405</v>
      </c>
      <c r="BR5" s="98">
        <v>72500</v>
      </c>
      <c r="BS5" s="98">
        <v>127082</v>
      </c>
      <c r="BT5" t="s">
        <v>871</v>
      </c>
    </row>
    <row r="6" spans="1:72" ht="15" customHeight="1" x14ac:dyDescent="0.2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989.6</v>
      </c>
      <c r="H6" s="13">
        <f t="array" aca="1" ref="H6" ca="1">_FV(A6,"Acciones en circulación",TRUE())/1000000</f>
        <v>31.68355</v>
      </c>
      <c r="I6" s="14">
        <f t="shared" ca="1" si="0"/>
        <v>31354.041080000003</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87</v>
      </c>
      <c r="AP6" s="19">
        <v>3000</v>
      </c>
      <c r="AQ6" s="19">
        <v>0</v>
      </c>
      <c r="AR6" s="19">
        <f t="shared" ca="1" si="8"/>
        <v>28354.041080000003</v>
      </c>
      <c r="AS6" s="103">
        <v>864</v>
      </c>
      <c r="AT6" s="19">
        <v>600</v>
      </c>
      <c r="AU6" s="19">
        <v>1144</v>
      </c>
      <c r="AV6" s="19">
        <v>2258</v>
      </c>
      <c r="AW6" s="20">
        <f t="shared" ca="1" si="9"/>
        <v>32.817177175925927</v>
      </c>
      <c r="AX6" s="20">
        <f t="shared" ca="1" si="10"/>
        <v>24.785000944055945</v>
      </c>
      <c r="AY6" s="20">
        <f t="shared" ca="1" si="11"/>
        <v>12.557148396811339</v>
      </c>
      <c r="AZ6" s="21">
        <v>2500</v>
      </c>
      <c r="BA6" s="22">
        <f t="shared" si="12"/>
        <v>0.26572187776793621</v>
      </c>
      <c r="BB6" s="22">
        <f t="shared" si="13"/>
        <v>0.9032</v>
      </c>
      <c r="BC6" s="23">
        <f t="shared" si="14"/>
        <v>0.24</v>
      </c>
      <c r="BD6" s="98">
        <v>959.1</v>
      </c>
      <c r="BE6" s="23">
        <f t="shared" si="15"/>
        <v>2.1104122808437431E-2</v>
      </c>
      <c r="BF6">
        <v>2581.1999999999998</v>
      </c>
      <c r="BG6" s="23">
        <f t="shared" si="16"/>
        <v>0.24469109597919991</v>
      </c>
      <c r="BH6" s="24">
        <v>17.5</v>
      </c>
      <c r="BI6" s="24">
        <v>28</v>
      </c>
      <c r="BJ6" s="25">
        <f t="shared" ca="1" si="20"/>
        <v>624.43286816029138</v>
      </c>
      <c r="BK6" s="25">
        <f t="shared" ca="1" si="17"/>
        <v>2375.7943791020889</v>
      </c>
      <c r="BL6" s="23">
        <f t="shared" ca="1" si="18"/>
        <v>-8.7978212003730349E-2</v>
      </c>
      <c r="BM6" s="23">
        <f t="shared" ca="1" si="19"/>
        <v>0.19143357026843155</v>
      </c>
      <c r="BN6" s="93" t="s">
        <v>79</v>
      </c>
      <c r="BO6" s="93" t="s">
        <v>88</v>
      </c>
      <c r="BP6" s="93" t="s">
        <v>85</v>
      </c>
      <c r="BQ6" s="98">
        <v>40.6</v>
      </c>
      <c r="BR6" s="98">
        <v>0</v>
      </c>
      <c r="BS6" s="98">
        <v>864</v>
      </c>
      <c r="BT6" t="s">
        <v>872</v>
      </c>
    </row>
    <row r="7" spans="1:72" ht="15" customHeight="1" x14ac:dyDescent="0.25">
      <c r="A7" s="86" t="e" vm="4">
        <v>#VALUE!</v>
      </c>
      <c r="B7" s="10" t="str">
        <f t="array" aca="1" ref="B7" ca="1">_FV(A7,"Símbolo bursátil",TRUE())</f>
        <v>BN</v>
      </c>
      <c r="C7" s="88" t="s">
        <v>89</v>
      </c>
      <c r="D7" s="88" t="s">
        <v>77</v>
      </c>
      <c r="E7" s="11" t="str">
        <f t="array" aca="1" ref="E7" ca="1">_FV(A7,"Abreviatura de intercambio",TRUE())</f>
        <v>XNYS</v>
      </c>
      <c r="F7" s="11" t="str">
        <f t="array" aca="1" ref="F7" ca="1">_FV(A7,"Moneda")</f>
        <v>USD</v>
      </c>
      <c r="G7" s="12">
        <f t="array" aca="1" ref="G7" ca="1">_FV(A7,"Precio")</f>
        <v>39.424999999999997</v>
      </c>
      <c r="H7" s="13">
        <f t="array" aca="1" ref="H7" ca="1">_FV(A7,"Acciones en circulación",TRUE())/1000000</f>
        <v>2451.915</v>
      </c>
      <c r="I7" s="14">
        <f t="shared" ca="1" si="0"/>
        <v>96666.74887499999</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104481.74887499999</v>
      </c>
      <c r="AS7" s="103">
        <v>6080</v>
      </c>
      <c r="AT7" s="19">
        <v>5700</v>
      </c>
      <c r="AU7" s="19">
        <v>5700</v>
      </c>
      <c r="AV7" s="19">
        <v>80690</v>
      </c>
      <c r="AW7" s="20">
        <f t="shared" ca="1" si="9"/>
        <v>17.184498170230263</v>
      </c>
      <c r="AX7" s="20">
        <f t="shared" ca="1" si="10"/>
        <v>18.330131381578944</v>
      </c>
      <c r="AY7" s="20">
        <f t="shared" ca="1" si="11"/>
        <v>1.2948537473664641</v>
      </c>
      <c r="AZ7" s="21">
        <v>42483</v>
      </c>
      <c r="BA7" s="22">
        <f t="shared" si="12"/>
        <v>7.0640723757590784E-2</v>
      </c>
      <c r="BB7" s="22">
        <f t="shared" si="13"/>
        <v>1.8993479744839112</v>
      </c>
      <c r="BC7" s="23">
        <f t="shared" si="14"/>
        <v>0.13417131558505757</v>
      </c>
      <c r="BD7" s="98">
        <v>6712.5</v>
      </c>
      <c r="BE7" s="23">
        <f t="shared" si="15"/>
        <v>1.9990540028574255E-2</v>
      </c>
      <c r="BF7">
        <v>11199</v>
      </c>
      <c r="BG7" s="23">
        <f t="shared" si="16"/>
        <v>0.12993934978196964</v>
      </c>
      <c r="BH7" s="24">
        <v>17.5</v>
      </c>
      <c r="BI7" s="24">
        <v>25</v>
      </c>
      <c r="BJ7" s="25">
        <f t="shared" ca="1" si="20"/>
        <v>44.721676730229227</v>
      </c>
      <c r="BK7" s="25">
        <f t="shared" ca="1" si="17"/>
        <v>110.9989538789069</v>
      </c>
      <c r="BL7" s="23">
        <f t="shared" ca="1" si="18"/>
        <v>2.5532138978505481E-2</v>
      </c>
      <c r="BM7" s="23">
        <f t="shared" ca="1" si="19"/>
        <v>0.23001225011878002</v>
      </c>
      <c r="BN7" s="96" t="s">
        <v>824</v>
      </c>
      <c r="BO7" t="s">
        <v>88</v>
      </c>
      <c r="BP7" s="96" t="s">
        <v>664</v>
      </c>
      <c r="BQ7" s="98">
        <v>120</v>
      </c>
      <c r="BR7" s="98">
        <v>0</v>
      </c>
      <c r="BS7" s="98">
        <v>6080</v>
      </c>
      <c r="BT7" s="96" t="s">
        <v>878</v>
      </c>
    </row>
    <row r="8" spans="1:72" ht="15" customHeight="1" x14ac:dyDescent="0.25">
      <c r="A8" s="86" t="e" vm="5">
        <v>#VALUE!</v>
      </c>
      <c r="B8" s="10" t="str">
        <f t="array" aca="1" ref="B8" ca="1">_FV(A8,"Símbolo bursátil",TRUE())</f>
        <v>COST</v>
      </c>
      <c r="C8" s="88" t="s">
        <v>90</v>
      </c>
      <c r="D8" s="88" t="s">
        <v>90</v>
      </c>
      <c r="E8" s="11" t="str">
        <f t="array" aca="1" ref="E8" ca="1">_FV(A8,"Abreviatura de intercambio",TRUE())</f>
        <v>XNAS</v>
      </c>
      <c r="F8" s="11" t="str">
        <f t="array" aca="1" ref="F8" ca="1">_FV(A8,"Moneda")</f>
        <v>USD</v>
      </c>
      <c r="G8" s="12">
        <f t="array" aca="1" ref="G8" ca="1">_FV(A8,"Precio")</f>
        <v>910.41</v>
      </c>
      <c r="H8" s="13">
        <f t="array" aca="1" ref="H8" ca="1">_FV(A8,"Acciones en circulación",TRUE())/1000000</f>
        <v>443.47879999999998</v>
      </c>
      <c r="I8" s="14">
        <f t="shared" ca="1" si="0"/>
        <v>403747.53430799994</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20000</v>
      </c>
      <c r="AQ8" s="19">
        <v>8230</v>
      </c>
      <c r="AR8" s="19">
        <f t="shared" ca="1" si="8"/>
        <v>391977.53430799994</v>
      </c>
      <c r="AS8" s="103">
        <v>7895</v>
      </c>
      <c r="AT8" s="19">
        <v>8445</v>
      </c>
      <c r="AU8" s="19">
        <v>13790</v>
      </c>
      <c r="AV8" s="19">
        <v>293590</v>
      </c>
      <c r="AW8" s="20">
        <f t="shared" ca="1" si="9"/>
        <v>49.64883271792273</v>
      </c>
      <c r="AX8" s="20">
        <f t="shared" ca="1" si="10"/>
        <v>28.424766809862216</v>
      </c>
      <c r="AY8" s="20">
        <f t="shared" ca="1" si="11"/>
        <v>1.3351188198099389</v>
      </c>
      <c r="AZ8" s="21">
        <v>44305</v>
      </c>
      <c r="BA8" s="22">
        <f t="shared" si="12"/>
        <v>2.8764603699036072E-2</v>
      </c>
      <c r="BB8" s="22">
        <f t="shared" si="13"/>
        <v>6.6265658503554903</v>
      </c>
      <c r="BC8" s="23">
        <f t="shared" si="14"/>
        <v>0.19061054057104165</v>
      </c>
      <c r="BD8" s="98">
        <v>10565.4</v>
      </c>
      <c r="BE8" s="23">
        <f t="shared" si="15"/>
        <v>6.0002188453914362E-2</v>
      </c>
      <c r="BF8">
        <v>13913.8</v>
      </c>
      <c r="BG8" s="23">
        <f t="shared" si="16"/>
        <v>0.12000180972965868</v>
      </c>
      <c r="BH8" s="24">
        <v>20</v>
      </c>
      <c r="BI8" s="24">
        <v>30</v>
      </c>
      <c r="BJ8" s="25">
        <f t="shared" ca="1" si="20"/>
        <v>503.01840809526863</v>
      </c>
      <c r="BK8" s="25">
        <f t="shared" ca="1" si="17"/>
        <v>967.76666663660137</v>
      </c>
      <c r="BL8" s="23">
        <f t="shared" ca="1" si="18"/>
        <v>-0.11188465933701586</v>
      </c>
      <c r="BM8" s="23">
        <f t="shared" ca="1" si="19"/>
        <v>1.2294152111582468E-2</v>
      </c>
      <c r="BN8" s="96" t="s">
        <v>665</v>
      </c>
      <c r="BO8" t="s">
        <v>92</v>
      </c>
      <c r="BP8" t="s">
        <v>93</v>
      </c>
      <c r="BQ8" s="98">
        <v>911</v>
      </c>
      <c r="BR8" s="98">
        <v>3629</v>
      </c>
      <c r="BS8" s="98">
        <v>11524</v>
      </c>
      <c r="BT8" t="s">
        <v>871</v>
      </c>
    </row>
    <row r="9" spans="1:72"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75.652500000000003</v>
      </c>
      <c r="H9" s="13">
        <f t="array" aca="1" ref="H9" ca="1">_FV(A9,"Acciones en circulación",TRUE())/1000000</f>
        <v>85.548550000000006</v>
      </c>
      <c r="I9" s="14">
        <f t="shared" ca="1" si="0"/>
        <v>6471.9616788750009</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182</v>
      </c>
      <c r="AQ9" s="19">
        <v>8.1</v>
      </c>
      <c r="AR9" s="19">
        <f t="shared" ca="1" si="8"/>
        <v>6298.0616788750012</v>
      </c>
      <c r="AS9" s="103">
        <v>271.39999999999998</v>
      </c>
      <c r="AT9" s="19">
        <v>178</v>
      </c>
      <c r="AU9" s="19">
        <v>357</v>
      </c>
      <c r="AV9" s="19">
        <v>775.1</v>
      </c>
      <c r="AW9" s="20">
        <f t="shared" ca="1" si="9"/>
        <v>23.205827851418576</v>
      </c>
      <c r="AX9" s="20">
        <f t="shared" ca="1" si="10"/>
        <v>17.641629352591039</v>
      </c>
      <c r="AY9" s="20">
        <f t="shared" ca="1" si="11"/>
        <v>8.1254827491613995</v>
      </c>
      <c r="AZ9" s="21">
        <v>1676</v>
      </c>
      <c r="BA9" s="22">
        <f t="shared" si="12"/>
        <v>0.22964778738227326</v>
      </c>
      <c r="BB9" s="22">
        <f t="shared" si="13"/>
        <v>0.46247016706443916</v>
      </c>
      <c r="BC9" s="23">
        <f t="shared" si="14"/>
        <v>0.10620525059665872</v>
      </c>
      <c r="BD9" s="98">
        <v>282.8</v>
      </c>
      <c r="BE9" s="23">
        <f t="shared" si="15"/>
        <v>8.2631905703345332E-3</v>
      </c>
      <c r="BF9">
        <v>570</v>
      </c>
      <c r="BG9" s="23">
        <f t="shared" si="16"/>
        <v>0.15998668045452935</v>
      </c>
      <c r="BH9" s="24">
        <v>17.5</v>
      </c>
      <c r="BI9" s="24">
        <v>27</v>
      </c>
      <c r="BJ9" s="25">
        <f t="shared" ca="1" si="20"/>
        <v>59.882955351084256</v>
      </c>
      <c r="BK9" s="25">
        <f t="shared" ca="1" si="17"/>
        <v>181.93061133122652</v>
      </c>
      <c r="BL9" s="23">
        <f t="shared" ca="1" si="18"/>
        <v>-4.5675687165980805E-2</v>
      </c>
      <c r="BM9" s="23">
        <f t="shared" ca="1" si="19"/>
        <v>0.1918359987886773</v>
      </c>
      <c r="BN9" s="96" t="s">
        <v>885</v>
      </c>
      <c r="BO9" s="96" t="s">
        <v>666</v>
      </c>
      <c r="BP9" s="96" t="s">
        <v>153</v>
      </c>
      <c r="BQ9" s="98">
        <v>27.1</v>
      </c>
      <c r="BR9" s="98">
        <v>0</v>
      </c>
      <c r="BS9" s="98">
        <v>271.39999999999998</v>
      </c>
      <c r="BT9" s="96" t="s">
        <v>886</v>
      </c>
    </row>
    <row r="10" spans="1:72" ht="15" customHeight="1" x14ac:dyDescent="0.25">
      <c r="A10" s="86" t="e" vm="7">
        <v>#VALUE!</v>
      </c>
      <c r="B10" s="10" t="str">
        <f t="array" aca="1" ref="B10" ca="1">_FV(A10,"Símbolo bursátil",TRUE())</f>
        <v>RAA</v>
      </c>
      <c r="C10" s="88" t="s">
        <v>95</v>
      </c>
      <c r="D10" s="88" t="s">
        <v>77</v>
      </c>
      <c r="E10" s="11" t="str">
        <f t="array" aca="1" ref="E10" ca="1">_FV(A10,"Abreviatura de intercambio",TRUE())</f>
        <v>XFRA</v>
      </c>
      <c r="F10" s="11" t="str">
        <f t="array" aca="1" ref="F10" ca="1">_FV(A10,"Moneda")</f>
        <v>EUR</v>
      </c>
      <c r="G10" s="12">
        <f t="array" aca="1" ref="G10" ca="1">_FV(A10,"Precio")</f>
        <v>611</v>
      </c>
      <c r="H10" s="13">
        <f t="array" aca="1" ref="H10" ca="1">_FV(A10,"Acciones en circulación",TRUE())/1000000</f>
        <v>11.37</v>
      </c>
      <c r="I10" s="14">
        <f t="shared" ca="1" si="0"/>
        <v>6947.07</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87</v>
      </c>
      <c r="AP10" s="19">
        <v>280</v>
      </c>
      <c r="AQ10" s="19">
        <v>20</v>
      </c>
      <c r="AR10" s="19">
        <f t="shared" ca="1" si="8"/>
        <v>6687.07</v>
      </c>
      <c r="AS10" s="103">
        <v>235.5</v>
      </c>
      <c r="AT10" s="19">
        <v>230</v>
      </c>
      <c r="AU10" s="19">
        <v>350</v>
      </c>
      <c r="AV10" s="19">
        <v>1296</v>
      </c>
      <c r="AW10" s="20">
        <f t="shared" ca="1" si="9"/>
        <v>28.395201698513798</v>
      </c>
      <c r="AX10" s="20">
        <f t="shared" ca="1" si="10"/>
        <v>19.105914285714285</v>
      </c>
      <c r="AY10" s="20">
        <f t="shared" ca="1" si="11"/>
        <v>5.159776234567901</v>
      </c>
      <c r="AZ10" s="21">
        <v>600</v>
      </c>
      <c r="BA10" s="22">
        <f t="shared" si="12"/>
        <v>0.17746913580246915</v>
      </c>
      <c r="BB10" s="22">
        <f t="shared" si="13"/>
        <v>2.16</v>
      </c>
      <c r="BC10" s="23">
        <f t="shared" si="14"/>
        <v>0.38333333333333336</v>
      </c>
      <c r="BD10" s="98">
        <v>300.7</v>
      </c>
      <c r="BE10" s="23">
        <f t="shared" si="15"/>
        <v>5.0094788973368498E-2</v>
      </c>
      <c r="BF10">
        <v>433.9</v>
      </c>
      <c r="BG10" s="23">
        <f t="shared" si="16"/>
        <v>0.13000339355930413</v>
      </c>
      <c r="BH10" s="24">
        <v>15</v>
      </c>
      <c r="BI10" s="24">
        <v>27</v>
      </c>
      <c r="BJ10" s="25">
        <f t="shared" ca="1" si="20"/>
        <v>419.5690413368514</v>
      </c>
      <c r="BK10" s="25">
        <f t="shared" ca="1" si="17"/>
        <v>1053.2365875109938</v>
      </c>
      <c r="BL10" s="23">
        <f t="shared" ca="1" si="18"/>
        <v>-7.2417716756742911E-2</v>
      </c>
      <c r="BM10" s="23">
        <f t="shared" ca="1" si="19"/>
        <v>0.11505668417463499</v>
      </c>
      <c r="BN10" s="95" t="s">
        <v>665</v>
      </c>
      <c r="BO10" s="95" t="s">
        <v>121</v>
      </c>
      <c r="BP10" s="95" t="s">
        <v>138</v>
      </c>
      <c r="BQ10" s="98">
        <v>0</v>
      </c>
      <c r="BR10" s="98">
        <v>3.2</v>
      </c>
      <c r="BS10" s="98">
        <v>238.7</v>
      </c>
      <c r="BT10" t="s">
        <v>873</v>
      </c>
    </row>
    <row r="11" spans="1:72" ht="15" customHeight="1" x14ac:dyDescent="0.25">
      <c r="A11" s="86" t="e" vm="8">
        <v>#VALUE!</v>
      </c>
      <c r="B11" s="10" t="str">
        <f t="array" aca="1" ref="B11" ca="1">_FV(A11,"Símbolo bursátil",TRUE())</f>
        <v>ZS</v>
      </c>
      <c r="C11" s="88" t="s">
        <v>98</v>
      </c>
      <c r="D11" s="88" t="s">
        <v>99</v>
      </c>
      <c r="E11" s="11" t="str">
        <f t="array" aca="1" ref="E11" ca="1">_FV(A11,"Abreviatura de intercambio",TRUE())</f>
        <v>XNAS</v>
      </c>
      <c r="F11" s="11" t="str">
        <f t="array" aca="1" ref="F11" ca="1">_FV(A11,"Moneda")</f>
        <v>USD</v>
      </c>
      <c r="G11" s="12">
        <f t="array" aca="1" ref="G11" ca="1">_FV(A11,"Precio")</f>
        <v>163.51</v>
      </c>
      <c r="H11" s="13">
        <f t="array" aca="1" ref="H11" ca="1">_FV(A11,"Acciones en circulación",TRUE())/1000000</f>
        <v>163.0547</v>
      </c>
      <c r="I11" s="14">
        <f t="shared" ca="1" si="0"/>
        <v>26661.073997</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3540</v>
      </c>
      <c r="AQ11" s="19">
        <v>1870</v>
      </c>
      <c r="AR11" s="19">
        <f t="shared" ca="1" si="8"/>
        <v>24991.073997</v>
      </c>
      <c r="AS11" s="103">
        <v>107.3</v>
      </c>
      <c r="AT11" s="19">
        <v>-135</v>
      </c>
      <c r="AU11" s="19">
        <v>-61</v>
      </c>
      <c r="AV11" s="19">
        <v>3170</v>
      </c>
      <c r="AW11" s="20">
        <f t="shared" ca="1" si="9"/>
        <v>232.90842494874184</v>
      </c>
      <c r="AX11" s="20">
        <f t="shared" ca="1" si="10"/>
        <v>-409.6897376557377</v>
      </c>
      <c r="AY11" s="20">
        <f t="shared" ca="1" si="11"/>
        <v>7.8836195574132493</v>
      </c>
      <c r="AZ11" s="21">
        <v>4597</v>
      </c>
      <c r="BA11" s="22">
        <f t="shared" si="12"/>
        <v>-4.2586750788643532E-2</v>
      </c>
      <c r="BB11" s="22">
        <f t="shared" si="13"/>
        <v>0.68958016097454866</v>
      </c>
      <c r="BC11" s="23">
        <f t="shared" si="14"/>
        <v>-2.9366978464215793E-2</v>
      </c>
      <c r="BD11" s="98">
        <v>125</v>
      </c>
      <c r="BE11" s="23">
        <f t="shared" si="15"/>
        <v>3.1008054717218014E-2</v>
      </c>
      <c r="BF11">
        <v>314.5</v>
      </c>
      <c r="BG11" s="23">
        <f t="shared" si="16"/>
        <v>0.23995003605457876</v>
      </c>
      <c r="BH11" s="24">
        <v>20</v>
      </c>
      <c r="BI11" s="24">
        <v>30</v>
      </c>
      <c r="BJ11" s="25">
        <f t="shared" ca="1" si="20"/>
        <v>25.574239810321323</v>
      </c>
      <c r="BK11" s="25">
        <f t="shared" ca="1" si="17"/>
        <v>68.105979159141071</v>
      </c>
      <c r="BL11" s="23">
        <f t="shared" ca="1" si="18"/>
        <v>-0.30999588153406499</v>
      </c>
      <c r="BM11" s="23">
        <f t="shared" ca="1" si="19"/>
        <v>-0.1606788161506062</v>
      </c>
      <c r="BN11" s="96" t="s">
        <v>665</v>
      </c>
      <c r="BO11" t="s">
        <v>92</v>
      </c>
      <c r="BP11" t="s">
        <v>100</v>
      </c>
      <c r="BQ11" s="98">
        <v>783</v>
      </c>
      <c r="BR11" s="98">
        <v>39.6</v>
      </c>
      <c r="BS11" s="98">
        <v>146.9</v>
      </c>
      <c r="BT11" t="s">
        <v>871</v>
      </c>
    </row>
    <row r="12" spans="1:72" ht="15" customHeight="1" x14ac:dyDescent="0.25">
      <c r="A12" s="86" t="e" vm="9">
        <v>#VALUE!</v>
      </c>
      <c r="B12" s="10" t="str">
        <f t="array" aca="1" ref="B12" ca="1">_FV(A12,"Símbolo bursátil",TRUE())</f>
        <v>NTO</v>
      </c>
      <c r="C12" s="88" t="s">
        <v>101</v>
      </c>
      <c r="D12" s="88" t="s">
        <v>77</v>
      </c>
      <c r="E12" s="11" t="str">
        <f t="array" aca="1" ref="E12" ca="1">_FV(A12,"Abreviatura de intercambio",TRUE())</f>
        <v>XFRA</v>
      </c>
      <c r="F12" s="11" t="str">
        <f t="array" aca="1" ref="F12" ca="1">_FV(A12,"Moneda")</f>
        <v>EUR</v>
      </c>
      <c r="G12" s="12">
        <f t="array" aca="1" ref="G12" ca="1">_FV(A12,"Precio")</f>
        <v>49.49</v>
      </c>
      <c r="H12" s="13">
        <f t="array" aca="1" ref="H12" ca="1">_FV(A12,"Acciones en circulación",TRUE())/1000000</f>
        <v>1287.26</v>
      </c>
      <c r="I12" s="14">
        <f t="shared" ca="1" si="0"/>
        <v>63706.4974</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102</v>
      </c>
      <c r="AP12" s="19">
        <v>1967908</v>
      </c>
      <c r="AQ12" s="19">
        <v>0</v>
      </c>
      <c r="AR12" s="19">
        <f ca="1">I12*'Framework Notes'!E4-AP12+AQ12</f>
        <v>9427910.2549120001</v>
      </c>
      <c r="AS12" s="103">
        <v>262620</v>
      </c>
      <c r="AT12" s="19">
        <v>325400</v>
      </c>
      <c r="AU12" s="19">
        <v>461600</v>
      </c>
      <c r="AV12" s="19">
        <v>2258501</v>
      </c>
      <c r="AW12" s="20">
        <f t="shared" ca="1" si="9"/>
        <v>35.899437418749521</v>
      </c>
      <c r="AX12" s="20">
        <f t="shared" ca="1" si="10"/>
        <v>20.424415630225305</v>
      </c>
      <c r="AY12" s="20">
        <f t="shared" ca="1" si="11"/>
        <v>4.1744104850571242</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25.653947560456029</v>
      </c>
      <c r="BK12" s="25">
        <f ca="1">((BF12*BI12+$AP12-$AQ12)/$H12)/'Framework Notes'!E4</f>
        <v>55.826012026015128</v>
      </c>
      <c r="BL12" s="23">
        <f t="shared" ca="1" si="18"/>
        <v>-0.12314587421146272</v>
      </c>
      <c r="BM12" s="23">
        <f t="shared" ca="1" si="19"/>
        <v>2.4386461706497498E-2</v>
      </c>
      <c r="BN12" s="95" t="s">
        <v>665</v>
      </c>
      <c r="BO12" s="100" t="s">
        <v>121</v>
      </c>
      <c r="BP12" s="95" t="s">
        <v>138</v>
      </c>
      <c r="BQ12" s="98">
        <v>0</v>
      </c>
      <c r="BR12" s="98">
        <v>11315</v>
      </c>
      <c r="BS12" s="98">
        <v>273935</v>
      </c>
      <c r="BT12" t="s">
        <v>873</v>
      </c>
    </row>
    <row r="13" spans="1:72" ht="15" customHeight="1" x14ac:dyDescent="0.2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257.01</v>
      </c>
      <c r="H13" s="13">
        <f t="array" aca="1" ref="H13" ca="1">_FV(A13,"Acciones en circulación",TRUE())/1000000</f>
        <v>10786.31</v>
      </c>
      <c r="I13" s="14">
        <f t="shared" ca="1" si="0"/>
        <v>2772189.5330999997</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2822870.5330999997</v>
      </c>
      <c r="AS13" s="103">
        <v>58282</v>
      </c>
      <c r="AT13" s="19">
        <v>55000</v>
      </c>
      <c r="AU13" s="19">
        <v>138000</v>
      </c>
      <c r="AV13" s="19">
        <v>775656</v>
      </c>
      <c r="AW13" s="20">
        <f t="shared" ca="1" si="9"/>
        <v>48.4346888078652</v>
      </c>
      <c r="AX13" s="20">
        <f t="shared" ca="1" si="10"/>
        <v>20.455583573188402</v>
      </c>
      <c r="AY13" s="20">
        <f t="shared" ca="1" si="11"/>
        <v>3.6393330717483003</v>
      </c>
      <c r="AZ13" s="21">
        <v>300000</v>
      </c>
      <c r="BA13" s="22">
        <f t="shared" si="12"/>
        <v>7.0907721979846738E-2</v>
      </c>
      <c r="BB13" s="22">
        <f t="shared" si="13"/>
        <v>2.5855199999999998</v>
      </c>
      <c r="BC13" s="23">
        <f t="shared" si="14"/>
        <v>0.18333333333333332</v>
      </c>
      <c r="BD13" s="98">
        <v>70864</v>
      </c>
      <c r="BE13" s="23">
        <f t="shared" si="15"/>
        <v>3.9868070554636814E-2</v>
      </c>
      <c r="BF13">
        <v>122401.4</v>
      </c>
      <c r="BG13" s="23">
        <f t="shared" si="16"/>
        <v>0.15997969658211542</v>
      </c>
      <c r="BH13" s="24">
        <v>22.5</v>
      </c>
      <c r="BI13" s="24">
        <v>30</v>
      </c>
      <c r="BJ13" s="25">
        <f ca="1">(BD13*BH13+$AP13-$AQ13)/$H13</f>
        <v>143.12206862217013</v>
      </c>
      <c r="BK13" s="25">
        <f ca="1">(BF13*BI13+$AP13-$AQ13)/$H13</f>
        <v>335.73678116056374</v>
      </c>
      <c r="BL13" s="23">
        <f t="shared" ca="1" si="18"/>
        <v>-0.11048901325627303</v>
      </c>
      <c r="BM13" s="23">
        <f t="shared" ca="1" si="19"/>
        <v>5.4896326924366301E-2</v>
      </c>
      <c r="BN13" s="95" t="s">
        <v>665</v>
      </c>
      <c r="BO13" s="93" t="s">
        <v>105</v>
      </c>
      <c r="BP13" s="95" t="s">
        <v>107</v>
      </c>
      <c r="BQ13" s="98">
        <v>19810</v>
      </c>
      <c r="BR13" s="98">
        <v>80564</v>
      </c>
      <c r="BS13" s="98">
        <v>58282</v>
      </c>
      <c r="BT13" s="96" t="s">
        <v>879</v>
      </c>
    </row>
    <row r="14" spans="1:72" ht="15" customHeight="1" x14ac:dyDescent="0.25">
      <c r="A14" s="86" t="e" vm="11">
        <v>#VALUE!</v>
      </c>
      <c r="B14" s="10" t="str">
        <f t="array" aca="1" ref="B14" ca="1">_FV(A14,"Símbolo bursátil",TRUE())</f>
        <v>SU</v>
      </c>
      <c r="C14" s="88" t="s">
        <v>106</v>
      </c>
      <c r="D14" s="88" t="s">
        <v>77</v>
      </c>
      <c r="E14" s="11" t="str">
        <f t="array" aca="1" ref="E14" ca="1">_FV(A14,"Abreviatura de intercambio",TRUE())</f>
        <v>XPAR</v>
      </c>
      <c r="F14" s="11" t="str">
        <f t="array" aca="1" ref="F14" ca="1">_FV(A14,"Moneda")</f>
        <v>EUR</v>
      </c>
      <c r="G14" s="12">
        <f t="array" aca="1" ref="G14" ca="1">_FV(A14,"Precio")</f>
        <v>299.60000000000002</v>
      </c>
      <c r="H14" s="13">
        <f t="array" aca="1" ref="H14" ca="1">_FV(A14,"Acciones en circulación",TRUE())/1000000</f>
        <v>578.60530000000006</v>
      </c>
      <c r="I14" s="14">
        <f t="shared" ca="1" si="0"/>
        <v>173350.14788000003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3</v>
      </c>
      <c r="AI14" s="90">
        <v>8</v>
      </c>
      <c r="AJ14" s="90">
        <v>13</v>
      </c>
      <c r="AK14" s="90">
        <v>-3</v>
      </c>
      <c r="AL14" s="15">
        <f t="shared" si="5"/>
        <v>53</v>
      </c>
      <c r="AM14" s="16">
        <f t="shared" si="6"/>
        <v>7.57</v>
      </c>
      <c r="AN14" s="17">
        <f t="shared" si="7"/>
        <v>7.73</v>
      </c>
      <c r="AO14" s="18" t="s">
        <v>87</v>
      </c>
      <c r="AP14" s="19">
        <v>4520</v>
      </c>
      <c r="AQ14" s="19">
        <v>20810</v>
      </c>
      <c r="AR14" s="19">
        <f t="shared" ca="1" si="21"/>
        <v>189640.14788000003</v>
      </c>
      <c r="AS14" s="103">
        <v>4588</v>
      </c>
      <c r="AT14" s="19">
        <v>5727</v>
      </c>
      <c r="AU14" s="19">
        <v>8520</v>
      </c>
      <c r="AV14" s="19">
        <v>42040</v>
      </c>
      <c r="AW14" s="20">
        <f t="shared" ca="1" si="9"/>
        <v>41.333946791630346</v>
      </c>
      <c r="AX14" s="20">
        <f t="shared" ca="1" si="10"/>
        <v>22.258233319248831</v>
      </c>
      <c r="AY14" s="20">
        <f t="shared" ca="1" si="11"/>
        <v>4.5109454776403437</v>
      </c>
      <c r="AZ14" s="21">
        <v>43259</v>
      </c>
      <c r="BA14" s="22">
        <f t="shared" si="12"/>
        <v>0.13622740247383444</v>
      </c>
      <c r="BB14" s="22">
        <f t="shared" si="13"/>
        <v>0.97182089276219974</v>
      </c>
      <c r="BC14" s="23">
        <f t="shared" si="14"/>
        <v>0.13238863589079727</v>
      </c>
      <c r="BD14" s="98">
        <v>5855.3</v>
      </c>
      <c r="BE14" s="23">
        <f t="shared" si="15"/>
        <v>4.9989964962892319E-2</v>
      </c>
      <c r="BF14">
        <v>8453.1</v>
      </c>
      <c r="BG14" s="23">
        <f t="shared" si="16"/>
        <v>0.13000019777440941</v>
      </c>
      <c r="BH14" s="24">
        <v>17.5</v>
      </c>
      <c r="BI14" s="24">
        <v>25</v>
      </c>
      <c r="BJ14" s="25">
        <f ca="1">(BD14*BH14+$AP14-$AQ14)/$H14</f>
        <v>148.94047807719699</v>
      </c>
      <c r="BK14" s="25">
        <f ca="1">(BF14*BI14+$AP14-$AQ14)/$H14</f>
        <v>337.08211798267314</v>
      </c>
      <c r="BL14" s="23">
        <f t="shared" ca="1" si="18"/>
        <v>-0.13045074587531136</v>
      </c>
      <c r="BM14" s="23">
        <f t="shared" ca="1" si="19"/>
        <v>2.3855767363836655E-2</v>
      </c>
      <c r="BN14" s="95" t="s">
        <v>824</v>
      </c>
      <c r="BO14" s="93" t="s">
        <v>105</v>
      </c>
      <c r="BP14" s="93" t="s">
        <v>107</v>
      </c>
      <c r="BQ14" s="98">
        <v>0</v>
      </c>
      <c r="BR14" s="98">
        <v>0</v>
      </c>
      <c r="BS14" s="98">
        <v>4588</v>
      </c>
      <c r="BT14" t="s">
        <v>873</v>
      </c>
    </row>
    <row r="15" spans="1:72" ht="15" customHeight="1" x14ac:dyDescent="0.25">
      <c r="A15" s="86" t="e" vm="12">
        <v>#VALUE!</v>
      </c>
      <c r="B15" s="10" t="str">
        <f t="array" aca="1" ref="B15" ca="1">_FV(A15,"Símbolo bursátil",TRUE())</f>
        <v>ITX</v>
      </c>
      <c r="C15" s="88" t="s">
        <v>108</v>
      </c>
      <c r="D15" s="88" t="s">
        <v>77</v>
      </c>
      <c r="E15" s="11" t="str">
        <f t="array" aca="1" ref="E15" ca="1">_FV(A15,"Abreviatura de intercambio",TRUE())</f>
        <v>BMEX</v>
      </c>
      <c r="F15" s="11" t="str">
        <f t="array" aca="1" ref="F15" ca="1">_FV(A15,"Moneda")</f>
        <v>EUR</v>
      </c>
      <c r="G15" s="12">
        <f t="array" aca="1" ref="G15" ca="1">_FV(A15,"Precio")</f>
        <v>56.52</v>
      </c>
      <c r="H15" s="13">
        <f t="array" aca="1" ref="H15" ca="1">_FV(A15,"Acciones en circulación",TRUE())/1000000</f>
        <v>3116.652</v>
      </c>
      <c r="I15" s="14">
        <f t="shared" ca="1" si="0"/>
        <v>176153.17104000002</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87</v>
      </c>
      <c r="AP15" s="19">
        <v>10800</v>
      </c>
      <c r="AQ15" s="19">
        <v>6040</v>
      </c>
      <c r="AR15" s="19">
        <f t="shared" ca="1" si="21"/>
        <v>171393.17104000002</v>
      </c>
      <c r="AS15" s="103">
        <v>6520</v>
      </c>
      <c r="AT15" s="19">
        <v>6327</v>
      </c>
      <c r="AU15" s="19">
        <v>9510</v>
      </c>
      <c r="AV15" s="19">
        <v>40340</v>
      </c>
      <c r="AW15" s="20">
        <f t="shared" ca="1" si="9"/>
        <v>26.287296171779143</v>
      </c>
      <c r="AX15" s="20">
        <f t="shared" ca="1" si="10"/>
        <v>18.022415461619349</v>
      </c>
      <c r="AY15" s="20">
        <f t="shared" ca="1" si="11"/>
        <v>4.2487151968269714</v>
      </c>
      <c r="AZ15" s="21">
        <v>24023</v>
      </c>
      <c r="BA15" s="22">
        <f t="shared" si="12"/>
        <v>0.15684184432325235</v>
      </c>
      <c r="BB15" s="22">
        <f t="shared" si="13"/>
        <v>1.679224076926279</v>
      </c>
      <c r="BC15" s="23">
        <f t="shared" si="14"/>
        <v>0.26337260125712858</v>
      </c>
      <c r="BD15" s="98">
        <v>7932.4</v>
      </c>
      <c r="BE15" s="23">
        <f t="shared" si="15"/>
        <v>3.9995360845857419E-2</v>
      </c>
      <c r="BF15">
        <v>10031.9</v>
      </c>
      <c r="BG15" s="23">
        <f t="shared" si="16"/>
        <v>9.0001560574824113E-2</v>
      </c>
      <c r="BH15" s="24">
        <v>16</v>
      </c>
      <c r="BI15" s="24">
        <v>24</v>
      </c>
      <c r="BJ15" s="25">
        <f ca="1">(BD15*BH15+$AP15-$AQ15)/$H15</f>
        <v>42.249952834002642</v>
      </c>
      <c r="BK15" s="25">
        <f ca="1">(BF15*BI15+$AP15-$AQ15)/$H15</f>
        <v>78.778638102681967</v>
      </c>
      <c r="BL15" s="23">
        <f t="shared" ca="1" si="18"/>
        <v>-5.65371259003975E-2</v>
      </c>
      <c r="BM15" s="23">
        <f t="shared" ca="1" si="19"/>
        <v>6.8664205451557825E-2</v>
      </c>
      <c r="BN15" s="96" t="s">
        <v>665</v>
      </c>
      <c r="BO15" t="s">
        <v>109</v>
      </c>
      <c r="BP15" t="s">
        <v>94</v>
      </c>
      <c r="BQ15" s="98">
        <v>0</v>
      </c>
      <c r="BR15" s="98">
        <v>0</v>
      </c>
      <c r="BS15" s="98">
        <v>6520</v>
      </c>
      <c r="BT15" t="s">
        <v>873</v>
      </c>
    </row>
    <row r="16" spans="1:72" ht="15" customHeight="1" x14ac:dyDescent="0.25">
      <c r="A16" s="86" t="e" vm="13">
        <v>#VALUE!</v>
      </c>
      <c r="B16" s="10" t="str">
        <f t="array" aca="1" ref="B16" ca="1">_FV(A16,"Símbolo bursátil",TRUE())</f>
        <v>LOTB</v>
      </c>
      <c r="C16" s="88" t="s">
        <v>108</v>
      </c>
      <c r="D16" s="88" t="s">
        <v>77</v>
      </c>
      <c r="E16" s="11" t="str">
        <f t="array" aca="1" ref="E16" ca="1">_FV(A16,"Abreviatura de intercambio",TRUE())</f>
        <v>XBRU</v>
      </c>
      <c r="F16" s="11" t="str">
        <f t="array" aca="1" ref="F16" ca="1">_FV(A16,"Moneda")</f>
        <v>EUR</v>
      </c>
      <c r="G16" s="12">
        <f t="array" aca="1" ref="G16" ca="1">_FV(A16,"Precio")</f>
        <v>12220</v>
      </c>
      <c r="H16" s="13">
        <f t="array" aca="1" ref="H16" ca="1">_FV(A16,"Acciones en circulación",TRUE())/1000000</f>
        <v>0.81601000000000001</v>
      </c>
      <c r="I16" s="14">
        <f t="shared" ca="1" si="0"/>
        <v>9971.6422000000002</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87</v>
      </c>
      <c r="AP16" s="19">
        <v>274</v>
      </c>
      <c r="AQ16" s="19">
        <v>409</v>
      </c>
      <c r="AR16" s="19">
        <f t="shared" ca="1" si="21"/>
        <v>10106.6422</v>
      </c>
      <c r="AS16" s="103">
        <v>90.8</v>
      </c>
      <c r="AT16" s="19">
        <v>190</v>
      </c>
      <c r="AU16" s="19">
        <v>291</v>
      </c>
      <c r="AV16" s="19">
        <v>1450</v>
      </c>
      <c r="AW16" s="20">
        <f t="shared" ca="1" si="9"/>
        <v>111.30663215859032</v>
      </c>
      <c r="AX16" s="20">
        <f t="shared" ca="1" si="10"/>
        <v>34.730729209621991</v>
      </c>
      <c r="AY16" s="20">
        <f t="shared" ca="1" si="11"/>
        <v>6.970098068965517</v>
      </c>
      <c r="AZ16" s="21">
        <v>1309</v>
      </c>
      <c r="BA16" s="22">
        <f t="shared" si="12"/>
        <v>0.1310344827586207</v>
      </c>
      <c r="BB16" s="22">
        <f t="shared" si="13"/>
        <v>1.1077158135981666</v>
      </c>
      <c r="BC16" s="23">
        <f t="shared" si="14"/>
        <v>0.14514896867838048</v>
      </c>
      <c r="BD16" s="98">
        <v>127.5</v>
      </c>
      <c r="BE16" s="23">
        <f t="shared" si="15"/>
        <v>7.0249090026026861E-2</v>
      </c>
      <c r="BF16">
        <v>167.5</v>
      </c>
      <c r="BG16" s="23">
        <f t="shared" si="16"/>
        <v>0.13027934838357913</v>
      </c>
      <c r="BH16" s="24">
        <v>15</v>
      </c>
      <c r="BI16" s="24">
        <v>25</v>
      </c>
      <c r="BJ16" s="25">
        <f ca="1">(BD16*BH16+$AP16-$AQ16)/$H16</f>
        <v>2178.2821288954792</v>
      </c>
      <c r="BK16" s="25">
        <f ca="1">(BF16*BI16+$AP16-$AQ16)/$H16</f>
        <v>4966.2381588460921</v>
      </c>
      <c r="BL16" s="23">
        <f t="shared" ca="1" si="18"/>
        <v>-0.29171411921689983</v>
      </c>
      <c r="BM16" s="23">
        <f t="shared" ca="1" si="19"/>
        <v>-0.16479849674818892</v>
      </c>
      <c r="BN16" s="95" t="s">
        <v>665</v>
      </c>
      <c r="BO16" s="95" t="s">
        <v>103</v>
      </c>
      <c r="BP16" s="95" t="s">
        <v>667</v>
      </c>
      <c r="BQ16" s="98">
        <v>2.1</v>
      </c>
      <c r="BR16" s="98">
        <v>72.8</v>
      </c>
      <c r="BS16" s="98">
        <v>163.6</v>
      </c>
      <c r="BT16" t="s">
        <v>872</v>
      </c>
    </row>
    <row r="17" spans="1:72" ht="15" customHeight="1" x14ac:dyDescent="0.25">
      <c r="A17" s="86" t="e" vm="14">
        <v>#VALUE!</v>
      </c>
      <c r="B17" s="10" t="str">
        <f t="array" aca="1" ref="B17" ca="1">_FV(A17,"Símbolo bursátil",TRUE())</f>
        <v>HLMA</v>
      </c>
      <c r="C17" s="88" t="s">
        <v>111</v>
      </c>
      <c r="D17" s="88" t="s">
        <v>77</v>
      </c>
      <c r="E17" s="11" t="str">
        <f t="array" aca="1" ref="E17" ca="1">_FV(A17,"Abreviatura de intercambio",TRUE())</f>
        <v>XLON</v>
      </c>
      <c r="F17" s="11" t="str">
        <f t="array" aca="1" ref="F17" ca="1">_FV(A17,"Moneda")</f>
        <v>GBp</v>
      </c>
      <c r="G17" s="12">
        <f t="array" aca="1" ref="G17" ca="1">_FV(A17,"Precio")</f>
        <v>3750</v>
      </c>
      <c r="H17" s="13">
        <f t="array" aca="1" ref="H17" ca="1">_FV(A17,"Acciones en circulación",TRUE())/1000000</f>
        <v>379.64530000000002</v>
      </c>
      <c r="I17" s="14">
        <f ca="1">G17/100*H17</f>
        <v>14236.698750000001</v>
      </c>
      <c r="J17" s="91">
        <v>2</v>
      </c>
      <c r="K17" s="91">
        <v>6</v>
      </c>
      <c r="L17" s="91">
        <v>3</v>
      </c>
      <c r="M17" s="91">
        <v>1</v>
      </c>
      <c r="N17" s="91">
        <v>0</v>
      </c>
      <c r="O17" s="91">
        <v>0.86</v>
      </c>
      <c r="P17" s="91">
        <v>1</v>
      </c>
      <c r="Q17" s="91">
        <v>0</v>
      </c>
      <c r="R17" s="26">
        <f t="shared" si="1"/>
        <v>13</v>
      </c>
      <c r="S17" s="16">
        <f t="shared" si="2"/>
        <v>8.1300000000000008</v>
      </c>
      <c r="T17" s="91">
        <v>13</v>
      </c>
      <c r="U17" s="91">
        <v>15</v>
      </c>
      <c r="V17" s="91">
        <v>12</v>
      </c>
      <c r="W17" s="91">
        <v>10</v>
      </c>
      <c r="X17" s="91">
        <v>10</v>
      </c>
      <c r="Y17" s="91">
        <v>12</v>
      </c>
      <c r="Z17" s="91">
        <v>6</v>
      </c>
      <c r="AA17" s="91">
        <v>-7</v>
      </c>
      <c r="AB17" s="26">
        <f t="shared" si="3"/>
        <v>71</v>
      </c>
      <c r="AC17" s="16">
        <f t="shared" si="4"/>
        <v>7.1</v>
      </c>
      <c r="AD17" s="91">
        <v>15</v>
      </c>
      <c r="AE17" s="91">
        <v>-1</v>
      </c>
      <c r="AF17" s="91">
        <v>8</v>
      </c>
      <c r="AG17" s="91">
        <v>14</v>
      </c>
      <c r="AH17" s="91">
        <v>4</v>
      </c>
      <c r="AI17" s="91">
        <v>8</v>
      </c>
      <c r="AJ17" s="91">
        <v>13</v>
      </c>
      <c r="AK17" s="91">
        <v>-3</v>
      </c>
      <c r="AL17" s="26">
        <f t="shared" si="5"/>
        <v>58</v>
      </c>
      <c r="AM17" s="16">
        <f t="shared" si="6"/>
        <v>8.2899999999999991</v>
      </c>
      <c r="AN17" s="17">
        <f t="shared" si="7"/>
        <v>7.78</v>
      </c>
      <c r="AO17" s="18" t="s">
        <v>112</v>
      </c>
      <c r="AP17" s="19">
        <v>143.4</v>
      </c>
      <c r="AQ17" s="19">
        <v>913.4</v>
      </c>
      <c r="AR17" s="19">
        <f t="shared" ca="1" si="21"/>
        <v>15006.698750000001</v>
      </c>
      <c r="AS17" s="103">
        <v>392.4</v>
      </c>
      <c r="AT17" s="19">
        <v>403</v>
      </c>
      <c r="AU17" s="19">
        <v>622.79999999999995</v>
      </c>
      <c r="AV17" s="19">
        <v>2580</v>
      </c>
      <c r="AW17" s="20">
        <f t="shared" ca="1" si="9"/>
        <v>38.243370922528037</v>
      </c>
      <c r="AX17" s="20">
        <f t="shared" ca="1" si="10"/>
        <v>24.095534280667955</v>
      </c>
      <c r="AY17" s="20">
        <f t="shared" ca="1" si="11"/>
        <v>5.8165499031007757</v>
      </c>
      <c r="AZ17" s="21">
        <v>3191</v>
      </c>
      <c r="BA17" s="22">
        <f t="shared" si="12"/>
        <v>0.15620155038759689</v>
      </c>
      <c r="BB17" s="22">
        <f t="shared" si="13"/>
        <v>0.80852397367596363</v>
      </c>
      <c r="BC17" s="23">
        <f t="shared" si="14"/>
        <v>0.1262926982137261</v>
      </c>
      <c r="BD17" s="98">
        <v>500.8</v>
      </c>
      <c r="BE17" s="23">
        <f t="shared" si="15"/>
        <v>4.9994596975880601E-2</v>
      </c>
      <c r="BF17">
        <v>722.9</v>
      </c>
      <c r="BG17" s="23">
        <f t="shared" si="16"/>
        <v>0.12997762818626035</v>
      </c>
      <c r="BH17" s="24">
        <v>18</v>
      </c>
      <c r="BI17" s="24">
        <v>28</v>
      </c>
      <c r="BJ17" s="25">
        <f ca="1">(BD17*BH17+$AP17-$AQ17)/$H17*100</f>
        <v>2171.6059700989317</v>
      </c>
      <c r="BK17" s="25">
        <f ca="1">(BF17*BI17+$AP17-$AQ17)/$H17*100</f>
        <v>5128.7873180571441</v>
      </c>
      <c r="BL17" s="23">
        <f t="shared" ca="1" si="18"/>
        <v>-0.10350070609774675</v>
      </c>
      <c r="BM17" s="23">
        <f t="shared" ca="1" si="19"/>
        <v>6.4625059324732836E-2</v>
      </c>
      <c r="BN17" s="95" t="s">
        <v>824</v>
      </c>
      <c r="BO17" s="94" t="s">
        <v>113</v>
      </c>
      <c r="BP17" s="93" t="s">
        <v>114</v>
      </c>
      <c r="BQ17" s="98">
        <v>17.2</v>
      </c>
      <c r="BR17" s="98">
        <v>0</v>
      </c>
      <c r="BS17" s="98">
        <v>392.4</v>
      </c>
      <c r="BT17" t="s">
        <v>872</v>
      </c>
    </row>
    <row r="18" spans="1:72"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924</v>
      </c>
      <c r="H18" s="13">
        <f t="array" aca="1" ref="H18" ca="1">_FV(A18,"Acciones en circulación",TRUE())/1000000</f>
        <v>21.597639999999998</v>
      </c>
      <c r="I18" s="14">
        <f t="shared" ref="I18:I25" ca="1" si="22">G18*H18</f>
        <v>19956.219359999999</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-7</v>
      </c>
      <c r="AL18" s="15">
        <f t="shared" si="5"/>
        <v>56</v>
      </c>
      <c r="AM18" s="16">
        <f t="shared" si="6"/>
        <v>8</v>
      </c>
      <c r="AN18" s="17">
        <f t="shared" si="7"/>
        <v>7.14</v>
      </c>
      <c r="AO18" s="18" t="s">
        <v>78</v>
      </c>
      <c r="AP18" s="19">
        <v>200</v>
      </c>
      <c r="AQ18" s="19">
        <v>2400</v>
      </c>
      <c r="AR18" s="19">
        <f t="shared" ca="1" si="21"/>
        <v>22156.219359999999</v>
      </c>
      <c r="AS18" s="103">
        <v>730</v>
      </c>
      <c r="AT18" s="19">
        <v>640</v>
      </c>
      <c r="AU18" s="19">
        <v>875</v>
      </c>
      <c r="AV18" s="19">
        <v>1720</v>
      </c>
      <c r="AW18" s="20">
        <f t="shared" ca="1" si="9"/>
        <v>30.350985424657534</v>
      </c>
      <c r="AX18" s="20">
        <f t="shared" ca="1" si="10"/>
        <v>25.321393554285713</v>
      </c>
      <c r="AY18" s="20">
        <f t="shared" ca="1" si="11"/>
        <v>12.88152288372093</v>
      </c>
      <c r="AZ18" s="21">
        <v>2200</v>
      </c>
      <c r="BA18" s="22">
        <f t="shared" si="12"/>
        <v>0.37209302325581395</v>
      </c>
      <c r="BB18" s="22">
        <f t="shared" si="13"/>
        <v>0.78181818181818186</v>
      </c>
      <c r="BC18" s="23">
        <f t="shared" si="14"/>
        <v>0.29090909090909089</v>
      </c>
      <c r="BD18" s="98">
        <v>730</v>
      </c>
      <c r="BE18" s="23">
        <f t="shared" si="15"/>
        <v>0</v>
      </c>
      <c r="BF18" s="98">
        <v>1670</v>
      </c>
      <c r="BG18" s="23">
        <f t="shared" si="16"/>
        <v>0.17999107424955563</v>
      </c>
      <c r="BH18" s="24">
        <v>18</v>
      </c>
      <c r="BI18" s="24">
        <v>26</v>
      </c>
      <c r="BJ18" s="25">
        <f t="shared" ref="BJ18:BJ25" ca="1" si="23">(BD18*BH18+$AP18-$AQ18)/$H18</f>
        <v>506.53682531980348</v>
      </c>
      <c r="BK18" s="25">
        <f t="shared" ref="BK18:BK25" ca="1" si="24">(BF18*BI18+$AP18-$AQ18)/$H18</f>
        <v>1908.5418592031353</v>
      </c>
      <c r="BL18" s="23">
        <f t="shared" ca="1" si="18"/>
        <v>-0.11327733249212424</v>
      </c>
      <c r="BM18" s="23">
        <f t="shared" ca="1" si="19"/>
        <v>0.15612806463239504</v>
      </c>
      <c r="BN18" s="95" t="s">
        <v>824</v>
      </c>
      <c r="BO18" s="93" t="s">
        <v>84</v>
      </c>
      <c r="BP18" s="93" t="s">
        <v>115</v>
      </c>
      <c r="BQ18" s="98"/>
      <c r="BR18" s="98"/>
      <c r="BS18" s="98"/>
    </row>
    <row r="19" spans="1:72" ht="15" customHeight="1" x14ac:dyDescent="0.25">
      <c r="A19" s="86" t="e" vm="16">
        <v>#VALUE!</v>
      </c>
      <c r="B19" s="10" t="str">
        <f t="array" aca="1" ref="B19" ca="1">_FV(A19,"Símbolo bursátil",TRUE())</f>
        <v>LIFCO B</v>
      </c>
      <c r="C19" s="88" t="s">
        <v>116</v>
      </c>
      <c r="D19" s="88" t="s">
        <v>77</v>
      </c>
      <c r="E19" s="11" t="str">
        <f t="array" aca="1" ref="E19" ca="1">_FV(A19,"Abreviatura de intercambio",TRUE())</f>
        <v>XSTO</v>
      </c>
      <c r="F19" s="11" t="str">
        <f t="array" aca="1" ref="F19" ca="1">_FV(A19,"Moneda")</f>
        <v>SEK</v>
      </c>
      <c r="G19" s="12">
        <f t="array" aca="1" ref="G19" ca="1">_FV(A19,"Precio")</f>
        <v>313</v>
      </c>
      <c r="H19" s="13">
        <f t="array" aca="1" ref="H19" ca="1">_FV(A19,"Acciones en circulación",TRUE())/1000000</f>
        <v>423.8365</v>
      </c>
      <c r="I19" s="14">
        <f t="shared" ca="1" si="22"/>
        <v>132660.82449999999</v>
      </c>
      <c r="J19" s="91">
        <v>0</v>
      </c>
      <c r="K19" s="91">
        <v>7</v>
      </c>
      <c r="L19" s="91">
        <v>3</v>
      </c>
      <c r="M19" s="91">
        <v>1</v>
      </c>
      <c r="N19" s="91">
        <v>0</v>
      </c>
      <c r="O19" s="91">
        <v>0.7</v>
      </c>
      <c r="P19" s="91">
        <v>0.5</v>
      </c>
      <c r="Q19" s="91">
        <v>1</v>
      </c>
      <c r="R19" s="26">
        <f t="shared" si="1"/>
        <v>12.5</v>
      </c>
      <c r="S19" s="16">
        <f t="shared" si="2"/>
        <v>7.81</v>
      </c>
      <c r="T19" s="91">
        <v>15</v>
      </c>
      <c r="U19" s="91">
        <v>15</v>
      </c>
      <c r="V19" s="91">
        <v>12</v>
      </c>
      <c r="W19" s="91">
        <v>10</v>
      </c>
      <c r="X19" s="91">
        <v>9</v>
      </c>
      <c r="Y19" s="91">
        <v>13</v>
      </c>
      <c r="Z19" s="91">
        <v>10</v>
      </c>
      <c r="AA19" s="91">
        <v>-7</v>
      </c>
      <c r="AB19" s="26">
        <f t="shared" si="3"/>
        <v>77</v>
      </c>
      <c r="AC19" s="16">
        <f t="shared" si="4"/>
        <v>7.7</v>
      </c>
      <c r="AD19" s="91">
        <v>14</v>
      </c>
      <c r="AE19" s="91">
        <v>-1</v>
      </c>
      <c r="AF19" s="91">
        <v>7</v>
      </c>
      <c r="AG19" s="91">
        <v>14</v>
      </c>
      <c r="AH19" s="91">
        <v>4</v>
      </c>
      <c r="AI19" s="91">
        <v>9</v>
      </c>
      <c r="AJ19" s="91">
        <v>13</v>
      </c>
      <c r="AK19" s="91">
        <v>-3</v>
      </c>
      <c r="AL19" s="26">
        <f t="shared" si="5"/>
        <v>57</v>
      </c>
      <c r="AM19" s="16">
        <f t="shared" si="6"/>
        <v>8.14</v>
      </c>
      <c r="AN19" s="17">
        <f t="shared" si="7"/>
        <v>7.9</v>
      </c>
      <c r="AO19" s="18" t="s">
        <v>117</v>
      </c>
      <c r="AP19" s="19">
        <v>3000</v>
      </c>
      <c r="AQ19" s="19">
        <v>12500</v>
      </c>
      <c r="AR19" s="19">
        <f t="shared" ca="1" si="21"/>
        <v>142160.82449999999</v>
      </c>
      <c r="AS19" s="103">
        <v>4373</v>
      </c>
      <c r="AT19" s="19">
        <v>3400</v>
      </c>
      <c r="AU19" s="19">
        <v>6627</v>
      </c>
      <c r="AV19" s="19">
        <v>29251</v>
      </c>
      <c r="AW19" s="20">
        <f t="shared" ca="1" si="9"/>
        <v>32.508763892064941</v>
      </c>
      <c r="AX19" s="20">
        <f t="shared" ca="1" si="10"/>
        <v>21.451761656858306</v>
      </c>
      <c r="AY19" s="20">
        <f t="shared" ca="1" si="11"/>
        <v>4.860032973231684</v>
      </c>
      <c r="AZ19" s="21">
        <v>22000</v>
      </c>
      <c r="BA19" s="22">
        <f t="shared" si="12"/>
        <v>0.11623534238145704</v>
      </c>
      <c r="BB19" s="22">
        <f t="shared" si="13"/>
        <v>1.329590909090909</v>
      </c>
      <c r="BC19" s="23">
        <f t="shared" si="14"/>
        <v>0.15454545454545454</v>
      </c>
      <c r="BD19" s="98">
        <v>5069.2</v>
      </c>
      <c r="BE19" s="23">
        <f t="shared" si="15"/>
        <v>2.9987584575804194E-2</v>
      </c>
      <c r="BF19" s="98">
        <v>8331</v>
      </c>
      <c r="BG19" s="23">
        <f t="shared" si="16"/>
        <v>0.13758414747876113</v>
      </c>
      <c r="BH19" s="24">
        <v>16</v>
      </c>
      <c r="BI19" s="24">
        <v>26</v>
      </c>
      <c r="BJ19" s="25">
        <f t="shared" ca="1" si="23"/>
        <v>168.95005503301391</v>
      </c>
      <c r="BK19" s="25">
        <f t="shared" ca="1" si="24"/>
        <v>488.64597551178343</v>
      </c>
      <c r="BL19" s="23">
        <f t="shared" ca="1" si="18"/>
        <v>-0.11601926567225895</v>
      </c>
      <c r="BM19" s="23">
        <f t="shared" ca="1" si="19"/>
        <v>9.3175771659353757E-2</v>
      </c>
      <c r="BN19" s="95" t="s">
        <v>824</v>
      </c>
      <c r="BO19" s="93" t="s">
        <v>118</v>
      </c>
      <c r="BP19" s="93" t="s">
        <v>119</v>
      </c>
      <c r="BQ19" s="98">
        <v>0</v>
      </c>
      <c r="BR19" s="98">
        <v>0</v>
      </c>
      <c r="BS19" s="98">
        <v>4373</v>
      </c>
      <c r="BT19" t="s">
        <v>873</v>
      </c>
    </row>
    <row r="20" spans="1:72" ht="15" customHeight="1" x14ac:dyDescent="0.25">
      <c r="A20" s="86" t="e" vm="17">
        <v>#VALUE!</v>
      </c>
      <c r="B20" s="10" t="str">
        <f t="array" aca="1" ref="B20" ca="1">_FV(A20,"Símbolo bursátil",TRUE())</f>
        <v>EVD</v>
      </c>
      <c r="C20" s="88" t="s">
        <v>108</v>
      </c>
      <c r="D20" s="88" t="s">
        <v>77</v>
      </c>
      <c r="E20" s="11" t="str">
        <f t="array" aca="1" ref="E20" ca="1">_FV(A20,"Abreviatura de intercambio",TRUE())</f>
        <v>XFRA</v>
      </c>
      <c r="F20" s="11" t="str">
        <f t="array" aca="1" ref="F20" ca="1">_FV(A20,"Moneda")</f>
        <v>EUR</v>
      </c>
      <c r="G20" s="12">
        <f t="array" aca="1" ref="G20" ca="1">_FV(A20,"Precio")</f>
        <v>56.9</v>
      </c>
      <c r="H20" s="13">
        <f t="array" aca="1" ref="H20" ca="1">_FV(A20,"Acciones en circulación",TRUE())/1000000</f>
        <v>96</v>
      </c>
      <c r="I20" s="14">
        <f t="shared" ca="1" si="22"/>
        <v>5462.4</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87</v>
      </c>
      <c r="AP20" s="19">
        <v>1360</v>
      </c>
      <c r="AQ20" s="19">
        <v>120</v>
      </c>
      <c r="AR20" s="19">
        <f t="shared" ca="1" si="21"/>
        <v>4222.3999999999996</v>
      </c>
      <c r="AS20" s="103">
        <v>231.3</v>
      </c>
      <c r="AT20" s="19">
        <v>332</v>
      </c>
      <c r="AU20" s="19">
        <v>529</v>
      </c>
      <c r="AV20" s="19">
        <v>3300</v>
      </c>
      <c r="AW20" s="20">
        <f t="shared" ca="1" si="9"/>
        <v>18.255079982706441</v>
      </c>
      <c r="AX20" s="20">
        <f t="shared" ca="1" si="10"/>
        <v>7.9818525519848764</v>
      </c>
      <c r="AY20" s="20">
        <f t="shared" ca="1" si="11"/>
        <v>1.2795151515151515</v>
      </c>
      <c r="AZ20" s="21">
        <v>1573</v>
      </c>
      <c r="BA20" s="22">
        <f t="shared" si="12"/>
        <v>0.1006060606060606</v>
      </c>
      <c r="BB20" s="22">
        <f t="shared" si="13"/>
        <v>2.0979020979020979</v>
      </c>
      <c r="BC20" s="23">
        <f t="shared" si="14"/>
        <v>0.21106166560712014</v>
      </c>
      <c r="BD20" s="98">
        <v>242.3</v>
      </c>
      <c r="BE20" s="23">
        <f t="shared" si="15"/>
        <v>9.3355183505157147E-3</v>
      </c>
      <c r="BF20">
        <v>445.1</v>
      </c>
      <c r="BG20" s="23">
        <f t="shared" si="16"/>
        <v>0.13987280469997043</v>
      </c>
      <c r="BH20" s="24">
        <v>12</v>
      </c>
      <c r="BI20" s="24">
        <v>20</v>
      </c>
      <c r="BJ20" s="25">
        <f t="shared" ca="1" si="23"/>
        <v>43.204166666666673</v>
      </c>
      <c r="BK20" s="25">
        <f t="shared" ca="1" si="24"/>
        <v>105.64583333333333</v>
      </c>
      <c r="BL20" s="23">
        <f t="shared" ca="1" si="18"/>
        <v>-5.3582693654548486E-2</v>
      </c>
      <c r="BM20" s="23">
        <f t="shared" ca="1" si="19"/>
        <v>0.13174353253921178</v>
      </c>
      <c r="BN20" s="96" t="s">
        <v>665</v>
      </c>
      <c r="BO20" t="s">
        <v>92</v>
      </c>
      <c r="BP20" t="s">
        <v>120</v>
      </c>
      <c r="BQ20" s="98">
        <v>0</v>
      </c>
      <c r="BR20" s="98">
        <v>175.6</v>
      </c>
      <c r="BS20" s="98">
        <v>406.9</v>
      </c>
      <c r="BT20" t="s">
        <v>873</v>
      </c>
    </row>
    <row r="21" spans="1:72" ht="15" customHeight="1" x14ac:dyDescent="0.25">
      <c r="A21" s="86" t="e" vm="18">
        <v>#VALUE!</v>
      </c>
      <c r="B21" s="10" t="str">
        <f t="array" aca="1" ref="B21" ca="1">_FV(A21,"Símbolo bursátil",TRUE())</f>
        <v>MNST</v>
      </c>
      <c r="C21" s="88" t="s">
        <v>108</v>
      </c>
      <c r="D21" s="88" t="s">
        <v>77</v>
      </c>
      <c r="E21" s="11" t="str">
        <f t="array" aca="1" ref="E21" ca="1">_FV(A21,"Abreviatura de intercambio",TRUE())</f>
        <v>XNAS</v>
      </c>
      <c r="F21" s="11" t="str">
        <f t="array" aca="1" ref="F21" ca="1">_FV(A21,"Moneda")</f>
        <v>USD</v>
      </c>
      <c r="G21" s="12">
        <f t="array" aca="1" ref="G21" ca="1">_FV(A21,"Precio")</f>
        <v>43.204999999999998</v>
      </c>
      <c r="H21" s="13">
        <f t="array" aca="1" ref="H21" ca="1">_FV(A21,"Acciones en circulación",TRUE())/1000000</f>
        <v>1956.0160000000001</v>
      </c>
      <c r="I21" s="14">
        <f t="shared" ca="1" si="22"/>
        <v>84509.671279999995</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81183.671279999995</v>
      </c>
      <c r="AS21" s="103">
        <v>1945.7</v>
      </c>
      <c r="AT21" s="19">
        <v>2154</v>
      </c>
      <c r="AU21" s="19">
        <v>2930</v>
      </c>
      <c r="AV21" s="19">
        <v>9220</v>
      </c>
      <c r="AW21" s="20">
        <f t="shared" ca="1" si="9"/>
        <v>41.724660163437321</v>
      </c>
      <c r="AX21" s="20">
        <f t="shared" ca="1" si="10"/>
        <v>27.707737638225254</v>
      </c>
      <c r="AY21" s="20">
        <f t="shared" ca="1" si="11"/>
        <v>8.8051704208242949</v>
      </c>
      <c r="AZ21" s="21">
        <v>9665</v>
      </c>
      <c r="BA21" s="22">
        <f t="shared" si="12"/>
        <v>0.23362255965292841</v>
      </c>
      <c r="BB21" s="22">
        <f t="shared" si="13"/>
        <v>0.95395757889291255</v>
      </c>
      <c r="BC21" s="23">
        <f t="shared" si="14"/>
        <v>0.22286601138127263</v>
      </c>
      <c r="BD21" s="98">
        <v>2367.3000000000002</v>
      </c>
      <c r="BE21" s="23">
        <f t="shared" si="15"/>
        <v>4.0005135522562796E-2</v>
      </c>
      <c r="BF21">
        <v>3745.9</v>
      </c>
      <c r="BG21" s="23">
        <f t="shared" si="16"/>
        <v>0.13997692366885128</v>
      </c>
      <c r="BH21" s="24">
        <v>18</v>
      </c>
      <c r="BI21" s="24">
        <v>24</v>
      </c>
      <c r="BJ21" s="25">
        <f t="shared" ca="1" si="23"/>
        <v>23.485186215245683</v>
      </c>
      <c r="BK21" s="25">
        <f t="shared" ca="1" si="24"/>
        <v>47.661982315073089</v>
      </c>
      <c r="BL21" s="23">
        <f t="shared" ca="1" si="18"/>
        <v>-0.11477840558454555</v>
      </c>
      <c r="BM21" s="23">
        <f t="shared" ca="1" si="19"/>
        <v>1.982961260001681E-2</v>
      </c>
      <c r="BN21" s="95" t="s">
        <v>665</v>
      </c>
      <c r="BO21" s="93" t="s">
        <v>121</v>
      </c>
      <c r="BP21" s="95" t="s">
        <v>138</v>
      </c>
      <c r="BQ21" s="98">
        <v>135.80000000000001</v>
      </c>
      <c r="BR21" s="98">
        <v>37.1</v>
      </c>
      <c r="BS21" s="98">
        <v>1982.8</v>
      </c>
      <c r="BT21" t="s">
        <v>871</v>
      </c>
    </row>
    <row r="22" spans="1:72" ht="15" customHeight="1" x14ac:dyDescent="0.25">
      <c r="A22" s="86" t="e" vm="19">
        <v>#VALUE!</v>
      </c>
      <c r="B22" s="10" t="str">
        <f t="array" aca="1" ref="B22" ca="1">_FV(A22,"Símbolo bursátil",TRUE())</f>
        <v>ABNB</v>
      </c>
      <c r="C22" s="88" t="s">
        <v>108</v>
      </c>
      <c r="D22" s="88" t="s">
        <v>99</v>
      </c>
      <c r="E22" s="11" t="str">
        <f t="array" aca="1" ref="E22" ca="1">_FV(A22,"Abreviatura de intercambio",TRUE())</f>
        <v>XNAS</v>
      </c>
      <c r="F22" s="11" t="str">
        <f t="array" aca="1" ref="F22" ca="1">_FV(A22,"Moneda")</f>
        <v>USD</v>
      </c>
      <c r="G22" s="12">
        <f t="array" aca="1" ref="G22" ca="1">_FV(A22,"Precio")</f>
        <v>174.465</v>
      </c>
      <c r="H22" s="13">
        <f t="array" aca="1" ref="H22" ca="1">_FV(A22,"Acciones en circulación",TRUE())/1000000</f>
        <v>589.58569999999997</v>
      </c>
      <c r="I22" s="14">
        <f t="shared" ca="1" si="22"/>
        <v>102862.0691505</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93289.0691505</v>
      </c>
      <c r="AS22" s="103">
        <v>3153</v>
      </c>
      <c r="AT22" s="19">
        <v>2081</v>
      </c>
      <c r="AU22" s="19">
        <v>2874</v>
      </c>
      <c r="AV22" s="19">
        <v>13159</v>
      </c>
      <c r="AW22" s="20">
        <f t="shared" ca="1" si="9"/>
        <v>29.587399032825878</v>
      </c>
      <c r="AX22" s="20">
        <f t="shared" ca="1" si="10"/>
        <v>32.459662195720249</v>
      </c>
      <c r="AY22" s="20">
        <f t="shared" ca="1" si="11"/>
        <v>7.0893737480431644</v>
      </c>
      <c r="AZ22" s="21">
        <v>10662</v>
      </c>
      <c r="BA22" s="22">
        <f t="shared" si="12"/>
        <v>0.15814271601185501</v>
      </c>
      <c r="BB22" s="22">
        <f t="shared" si="13"/>
        <v>1.2341962108422435</v>
      </c>
      <c r="BC22" s="23">
        <f t="shared" si="14"/>
        <v>0.19517914087413243</v>
      </c>
      <c r="BD22" s="98">
        <v>3350.1</v>
      </c>
      <c r="BE22" s="23">
        <f t="shared" si="15"/>
        <v>1.2200995314076701E-2</v>
      </c>
      <c r="BF22">
        <v>6342.1</v>
      </c>
      <c r="BG22" s="23">
        <f t="shared" si="16"/>
        <v>0.15001054588178286</v>
      </c>
      <c r="BH22" s="24">
        <v>16</v>
      </c>
      <c r="BI22" s="24">
        <v>24</v>
      </c>
      <c r="BJ22" s="25">
        <f t="shared" ca="1" si="23"/>
        <v>107.15083489982882</v>
      </c>
      <c r="BK22" s="25">
        <f t="shared" ca="1" si="24"/>
        <v>274.40183844350366</v>
      </c>
      <c r="BL22" s="23">
        <f t="shared" ca="1" si="18"/>
        <v>-9.2895233700328483E-2</v>
      </c>
      <c r="BM22" s="23">
        <f t="shared" ca="1" si="19"/>
        <v>9.4802398997412274E-2</v>
      </c>
      <c r="BN22" s="95" t="s">
        <v>665</v>
      </c>
      <c r="BO22" s="95" t="s">
        <v>121</v>
      </c>
      <c r="BP22" s="95" t="s">
        <v>138</v>
      </c>
      <c r="BQ22" s="98">
        <v>1707</v>
      </c>
      <c r="BR22" s="98">
        <v>0</v>
      </c>
      <c r="BS22" s="98">
        <v>3153</v>
      </c>
      <c r="BT22" t="s">
        <v>871</v>
      </c>
    </row>
    <row r="23" spans="1:72" ht="15" customHeight="1" x14ac:dyDescent="0.25">
      <c r="A23" s="86" t="e" vm="20">
        <v>#VALUE!</v>
      </c>
      <c r="B23" s="10" t="str">
        <f t="array" aca="1" ref="B23" ca="1">_FV(A23,"Símbolo bursátil",TRUE())</f>
        <v>DNP</v>
      </c>
      <c r="C23" s="88" t="s">
        <v>90</v>
      </c>
      <c r="D23" s="88" t="s">
        <v>90</v>
      </c>
      <c r="E23" s="11" t="str">
        <f t="array" aca="1" ref="E23" ca="1">_FV(A23,"Abreviatura de intercambio",TRUE())</f>
        <v>XWAR</v>
      </c>
      <c r="F23" s="11" t="str">
        <f t="array" aca="1" ref="F23" ca="1">_FV(A23,"Moneda")</f>
        <v>PLN</v>
      </c>
      <c r="G23" s="12">
        <f t="array" aca="1" ref="G23" ca="1">_FV(A23,"Precio")</f>
        <v>37.369999999999997</v>
      </c>
      <c r="H23" s="13">
        <f t="array" aca="1" ref="H23" ca="1">_FV(A23,"Acciones en circulación",TRUE())/1000000</f>
        <v>980.4</v>
      </c>
      <c r="I23" s="14">
        <f t="shared" ca="1" si="22"/>
        <v>36637.547999999995</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122</v>
      </c>
      <c r="AP23" s="19">
        <v>771</v>
      </c>
      <c r="AQ23" s="19">
        <v>852</v>
      </c>
      <c r="AR23" s="19">
        <f t="shared" ca="1" si="21"/>
        <v>36718.547999999995</v>
      </c>
      <c r="AS23" s="103">
        <v>669.1</v>
      </c>
      <c r="AT23" s="19">
        <v>1656</v>
      </c>
      <c r="AU23" s="19">
        <v>2609</v>
      </c>
      <c r="AV23" s="19">
        <v>35628</v>
      </c>
      <c r="AW23" s="20">
        <f t="shared" ca="1" si="9"/>
        <v>54.877519055447607</v>
      </c>
      <c r="AX23" s="20">
        <f t="shared" ca="1" si="10"/>
        <v>14.07380145649674</v>
      </c>
      <c r="AY23" s="20">
        <f t="shared" ca="1" si="11"/>
        <v>1.030609296059279</v>
      </c>
      <c r="AZ23" s="21">
        <v>9909</v>
      </c>
      <c r="BA23" s="22">
        <f t="shared" si="12"/>
        <v>4.6480296396092961E-2</v>
      </c>
      <c r="BB23" s="22">
        <f t="shared" si="13"/>
        <v>3.5955192249470178</v>
      </c>
      <c r="BC23" s="23">
        <f t="shared" si="14"/>
        <v>0.16712079927338783</v>
      </c>
      <c r="BD23" s="98">
        <v>756.3</v>
      </c>
      <c r="BE23" s="23">
        <f t="shared" si="15"/>
        <v>2.4803533326139604E-2</v>
      </c>
      <c r="BF23">
        <v>1345.8</v>
      </c>
      <c r="BG23" s="23">
        <f t="shared" si="16"/>
        <v>0.15000015481063067</v>
      </c>
      <c r="BH23" s="24">
        <v>15</v>
      </c>
      <c r="BI23" s="24">
        <v>20</v>
      </c>
      <c r="BJ23" s="25">
        <f t="shared" ca="1" si="23"/>
        <v>11.488678090575275</v>
      </c>
      <c r="BK23" s="25">
        <f t="shared" ca="1" si="24"/>
        <v>27.371481028151777</v>
      </c>
      <c r="BL23" s="23">
        <f t="shared" ca="1" si="18"/>
        <v>-0.21014132457298051</v>
      </c>
      <c r="BM23" s="23">
        <f t="shared" ca="1" si="19"/>
        <v>-6.0373968877115658E-2</v>
      </c>
      <c r="BN23" s="96" t="s">
        <v>665</v>
      </c>
      <c r="BO23" s="96" t="s">
        <v>88</v>
      </c>
      <c r="BP23" s="96" t="s">
        <v>664</v>
      </c>
      <c r="BQ23" s="98">
        <v>0</v>
      </c>
      <c r="BR23" s="98">
        <v>1460.2</v>
      </c>
      <c r="BS23" s="98">
        <v>2129.3000000000002</v>
      </c>
      <c r="BT23" t="s">
        <v>873</v>
      </c>
    </row>
    <row r="24" spans="1:72" ht="15" customHeight="1" x14ac:dyDescent="0.25">
      <c r="A24" s="86" t="e" vm="21">
        <v>#VALUE!</v>
      </c>
      <c r="B24" s="10" t="str">
        <f t="array" aca="1" ref="B24" ca="1">_FV(A24,"Símbolo bursátil",TRUE())</f>
        <v>VLTO</v>
      </c>
      <c r="C24" s="88" t="s">
        <v>116</v>
      </c>
      <c r="D24" s="88" t="s">
        <v>77</v>
      </c>
      <c r="E24" s="11" t="str">
        <f t="array" aca="1" ref="E24" ca="1">_FV(A24,"Abreviatura de intercambio",TRUE())</f>
        <v>XNYS</v>
      </c>
      <c r="F24" s="11" t="str">
        <f t="array" aca="1" ref="F24" ca="1">_FV(A24,"Moneda")</f>
        <v>USD</v>
      </c>
      <c r="G24" s="12">
        <f t="array" aca="1" ref="G24" ca="1">_FV(A24,"Precio")</f>
        <v>95.61</v>
      </c>
      <c r="H24" s="13">
        <f t="array" aca="1" ref="H24" ca="1">_FV(A24,"Acciones en circulación",TRUE())/1000000</f>
        <v>243.79329999999999</v>
      </c>
      <c r="I24" s="14">
        <f t="shared" ca="1" si="22"/>
        <v>23309.077412999999</v>
      </c>
      <c r="J24" s="90">
        <v>2</v>
      </c>
      <c r="K24" s="90">
        <v>6.5</v>
      </c>
      <c r="L24" s="90">
        <v>1</v>
      </c>
      <c r="M24" s="90">
        <v>1</v>
      </c>
      <c r="N24" s="90">
        <v>0</v>
      </c>
      <c r="O24" s="90">
        <v>0</v>
      </c>
      <c r="P24" s="90">
        <v>0</v>
      </c>
      <c r="Q24" s="90">
        <v>0</v>
      </c>
      <c r="R24" s="15">
        <f t="shared" si="1"/>
        <v>10.5</v>
      </c>
      <c r="S24" s="16">
        <f t="shared" si="2"/>
        <v>6.56</v>
      </c>
      <c r="T24" s="90">
        <v>14</v>
      </c>
      <c r="U24" s="90">
        <v>17</v>
      </c>
      <c r="V24" s="90">
        <v>11</v>
      </c>
      <c r="W24" s="90">
        <v>10</v>
      </c>
      <c r="X24" s="90">
        <v>10</v>
      </c>
      <c r="Y24" s="90">
        <v>12</v>
      </c>
      <c r="Z24" s="90">
        <v>5</v>
      </c>
      <c r="AA24" s="90">
        <v>-7</v>
      </c>
      <c r="AB24" s="15">
        <f t="shared" si="3"/>
        <v>72</v>
      </c>
      <c r="AC24" s="16">
        <f t="shared" si="4"/>
        <v>7.2</v>
      </c>
      <c r="AD24" s="90">
        <v>14</v>
      </c>
      <c r="AE24" s="90">
        <v>-1</v>
      </c>
      <c r="AF24" s="90">
        <v>7</v>
      </c>
      <c r="AG24" s="90">
        <v>13</v>
      </c>
      <c r="AH24" s="90">
        <v>4</v>
      </c>
      <c r="AI24" s="90">
        <v>8</v>
      </c>
      <c r="AJ24" s="90">
        <v>13</v>
      </c>
      <c r="AK24" s="90">
        <v>-3</v>
      </c>
      <c r="AL24" s="15">
        <f t="shared" si="5"/>
        <v>55</v>
      </c>
      <c r="AM24" s="16">
        <f t="shared" si="6"/>
        <v>7.86</v>
      </c>
      <c r="AN24" s="17">
        <f t="shared" si="7"/>
        <v>7.34</v>
      </c>
      <c r="AO24" s="18" t="s">
        <v>78</v>
      </c>
      <c r="AP24" s="19">
        <v>2120</v>
      </c>
      <c r="AQ24" s="19">
        <v>3590</v>
      </c>
      <c r="AR24" s="19">
        <f t="shared" ca="1" si="21"/>
        <v>24779.077412999999</v>
      </c>
      <c r="AS24" s="103">
        <v>973</v>
      </c>
      <c r="AT24" s="19">
        <v>1062</v>
      </c>
      <c r="AU24" s="19">
        <v>1390</v>
      </c>
      <c r="AV24" s="19">
        <v>5700</v>
      </c>
      <c r="AW24" s="20">
        <f t="shared" ca="1" si="9"/>
        <v>25.466677711202465</v>
      </c>
      <c r="AX24" s="20">
        <f t="shared" ca="1" si="10"/>
        <v>17.826674397841725</v>
      </c>
      <c r="AY24" s="20">
        <f t="shared" ca="1" si="11"/>
        <v>4.3472065636842103</v>
      </c>
      <c r="AZ24" s="21">
        <v>6501</v>
      </c>
      <c r="BA24" s="22">
        <f t="shared" si="12"/>
        <v>0.18631578947368421</v>
      </c>
      <c r="BB24" s="22">
        <f t="shared" si="13"/>
        <v>0.8767881864328565</v>
      </c>
      <c r="BC24" s="23">
        <f t="shared" si="14"/>
        <v>0.16335948315643747</v>
      </c>
      <c r="BD24" s="98">
        <v>1183.5</v>
      </c>
      <c r="BE24" s="23">
        <f t="shared" si="15"/>
        <v>3.9946707813797167E-2</v>
      </c>
      <c r="BF24">
        <v>1715.2</v>
      </c>
      <c r="BG24" s="23">
        <f t="shared" si="16"/>
        <v>0.12005767300767234</v>
      </c>
      <c r="BH24" s="24">
        <v>12.5</v>
      </c>
      <c r="BI24" s="24">
        <v>20</v>
      </c>
      <c r="BJ24" s="25">
        <f t="shared" ca="1" si="23"/>
        <v>54.651830054394445</v>
      </c>
      <c r="BK24" s="25">
        <f t="shared" ca="1" si="24"/>
        <v>134.67966510974665</v>
      </c>
      <c r="BL24" s="23">
        <f t="shared" ca="1" si="18"/>
        <v>-0.10582962262237183</v>
      </c>
      <c r="BM24" s="23">
        <f t="shared" ca="1" si="19"/>
        <v>7.0926688982455799E-2</v>
      </c>
      <c r="BN24" s="95" t="s">
        <v>824</v>
      </c>
      <c r="BO24" s="93" t="s">
        <v>124</v>
      </c>
      <c r="BP24" s="93" t="s">
        <v>125</v>
      </c>
      <c r="BQ24" s="98">
        <v>74</v>
      </c>
      <c r="BR24" s="98">
        <v>0</v>
      </c>
      <c r="BS24" s="98">
        <v>973</v>
      </c>
      <c r="BT24" t="s">
        <v>871</v>
      </c>
    </row>
    <row r="25" spans="1:72" ht="15" customHeight="1" x14ac:dyDescent="0.25">
      <c r="A25" s="86" t="e" vm="22">
        <v>#VALUE!</v>
      </c>
      <c r="B25" s="10" t="str">
        <f t="array" aca="1" ref="B25" ca="1">_FV(A25,"Símbolo bursátil",TRUE())</f>
        <v>LR</v>
      </c>
      <c r="C25" s="88" t="s">
        <v>106</v>
      </c>
      <c r="D25" s="88" t="s">
        <v>77</v>
      </c>
      <c r="E25" s="11" t="str">
        <f t="array" aca="1" ref="E25" ca="1">_FV(A25,"Abreviatura de intercambio",TRUE())</f>
        <v>XPAR</v>
      </c>
      <c r="F25" s="11" t="str">
        <f t="array" aca="1" ref="F25" ca="1">_FV(A25,"Moneda")</f>
        <v>EUR</v>
      </c>
      <c r="G25" s="12">
        <f t="array" aca="1" ref="G25" ca="1">_FV(A25,"Precio")</f>
        <v>146.15</v>
      </c>
      <c r="H25" s="13">
        <f t="array" aca="1" ref="H25" ca="1">_FV(A25,"Acciones en circulación",TRUE())/1000000</f>
        <v>262.2457</v>
      </c>
      <c r="I25" s="14">
        <f t="shared" ca="1" si="22"/>
        <v>38327.209054999999</v>
      </c>
      <c r="J25" s="91">
        <v>1</v>
      </c>
      <c r="K25" s="91">
        <v>6</v>
      </c>
      <c r="L25" s="91">
        <v>2</v>
      </c>
      <c r="M25" s="91">
        <v>1</v>
      </c>
      <c r="N25" s="91">
        <v>0</v>
      </c>
      <c r="O25" s="91">
        <v>1</v>
      </c>
      <c r="P25" s="91">
        <v>0</v>
      </c>
      <c r="Q25" s="91">
        <v>0</v>
      </c>
      <c r="R25" s="26">
        <f t="shared" si="1"/>
        <v>10</v>
      </c>
      <c r="S25" s="16">
        <f t="shared" si="2"/>
        <v>6.25</v>
      </c>
      <c r="T25" s="91">
        <v>14</v>
      </c>
      <c r="U25" s="91">
        <v>14</v>
      </c>
      <c r="V25" s="91">
        <v>15</v>
      </c>
      <c r="W25" s="91">
        <v>10</v>
      </c>
      <c r="X25" s="91">
        <v>9</v>
      </c>
      <c r="Y25" s="91">
        <v>11</v>
      </c>
      <c r="Z25" s="91">
        <v>5</v>
      </c>
      <c r="AA25" s="91">
        <v>-8</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7.02</v>
      </c>
      <c r="AO25" s="18" t="s">
        <v>87</v>
      </c>
      <c r="AP25" s="19">
        <v>1971</v>
      </c>
      <c r="AQ25" s="19">
        <v>7724</v>
      </c>
      <c r="AR25" s="19">
        <f t="shared" ca="1" si="21"/>
        <v>44080.209054999999</v>
      </c>
      <c r="AS25" s="103">
        <v>1256.4000000000001</v>
      </c>
      <c r="AT25" s="19">
        <v>1409</v>
      </c>
      <c r="AU25" s="19">
        <v>2319</v>
      </c>
      <c r="AV25" s="19">
        <v>10107</v>
      </c>
      <c r="AW25" s="20">
        <f t="shared" ca="1" si="9"/>
        <v>35.08453442773002</v>
      </c>
      <c r="AX25" s="20">
        <f t="shared" ca="1" si="10"/>
        <v>19.008283335489434</v>
      </c>
      <c r="AY25" s="20">
        <f t="shared" ca="1" si="11"/>
        <v>4.3613544132779261</v>
      </c>
      <c r="AZ25" s="21">
        <v>15683</v>
      </c>
      <c r="BA25" s="22">
        <f t="shared" si="12"/>
        <v>0.13940833085980014</v>
      </c>
      <c r="BB25" s="22">
        <f t="shared" si="13"/>
        <v>0.64445578014410509</v>
      </c>
      <c r="BC25" s="23">
        <f t="shared" si="14"/>
        <v>8.9842504622840019E-2</v>
      </c>
      <c r="BD25" s="98">
        <v>1682.1</v>
      </c>
      <c r="BE25" s="23">
        <f t="shared" si="15"/>
        <v>6.0094976759572205E-2</v>
      </c>
      <c r="BF25">
        <v>2527.8000000000002</v>
      </c>
      <c r="BG25" s="23">
        <f t="shared" si="16"/>
        <v>0.15006650841786051</v>
      </c>
      <c r="BH25" s="24">
        <v>13</v>
      </c>
      <c r="BI25" s="24">
        <v>24</v>
      </c>
      <c r="BJ25" s="25">
        <f t="shared" ca="1" si="23"/>
        <v>61.44733736339623</v>
      </c>
      <c r="BK25" s="25">
        <f t="shared" ca="1" si="24"/>
        <v>209.39981094065604</v>
      </c>
      <c r="BL25" s="23">
        <f t="shared" ca="1" si="18"/>
        <v>-0.1591067819824189</v>
      </c>
      <c r="BM25" s="23">
        <f t="shared" ca="1" si="19"/>
        <v>7.4571933416470282E-2</v>
      </c>
      <c r="BN25" s="95" t="s">
        <v>824</v>
      </c>
      <c r="BO25" s="95" t="s">
        <v>121</v>
      </c>
      <c r="BP25" s="95" t="s">
        <v>138</v>
      </c>
      <c r="BQ25" s="98">
        <v>0</v>
      </c>
      <c r="BR25" s="98">
        <v>0</v>
      </c>
      <c r="BS25" s="98">
        <v>1256.4000000000001</v>
      </c>
      <c r="BT25" t="s">
        <v>873</v>
      </c>
    </row>
    <row r="26" spans="1:72" ht="15" customHeight="1" x14ac:dyDescent="0.25">
      <c r="A26" s="86" t="e" vm="23">
        <v>#VALUE!</v>
      </c>
      <c r="B26" s="10" t="str">
        <f t="array" aca="1" ref="B26" ca="1">_FV(A26,"Símbolo bursátil",TRUE())</f>
        <v>JDG</v>
      </c>
      <c r="C26" s="88" t="s">
        <v>111</v>
      </c>
      <c r="D26" s="88" t="s">
        <v>77</v>
      </c>
      <c r="E26" s="11" t="str">
        <f t="array" aca="1" ref="E26" ca="1">_FV(A26,"Abreviatura de intercambio",TRUE())</f>
        <v>XLON</v>
      </c>
      <c r="F26" s="11" t="str">
        <f t="array" aca="1" ref="F26" ca="1">_FV(A26,"Moneda")</f>
        <v>GBp</v>
      </c>
      <c r="G26" s="12">
        <f t="array" aca="1" ref="G26" ca="1">_FV(A26,"Precio")</f>
        <v>4000</v>
      </c>
      <c r="H26" s="13">
        <f t="array" aca="1" ref="H26" ca="1">_FV(A26,"Acciones en circulación",TRUE())/1000000</f>
        <v>6.6606899999999998</v>
      </c>
      <c r="I26" s="14">
        <f ca="1">G26/100*H26</f>
        <v>266.42759999999998</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112</v>
      </c>
      <c r="AP26" s="19">
        <v>19.399999999999999</v>
      </c>
      <c r="AQ26" s="19">
        <v>65.2</v>
      </c>
      <c r="AR26" s="19">
        <f t="shared" ca="1" si="21"/>
        <v>312.2276</v>
      </c>
      <c r="AS26" s="103">
        <v>21</v>
      </c>
      <c r="AT26" s="19">
        <v>8.4</v>
      </c>
      <c r="AU26" s="19">
        <v>29.2</v>
      </c>
      <c r="AV26" s="19">
        <v>145.80000000000001</v>
      </c>
      <c r="AW26" s="20">
        <f t="shared" ca="1" si="9"/>
        <v>14.867980952380952</v>
      </c>
      <c r="AX26" s="20">
        <f t="shared" ca="1" si="10"/>
        <v>10.69272602739726</v>
      </c>
      <c r="AY26" s="20">
        <f t="shared" ca="1" si="11"/>
        <v>2.1414787379972564</v>
      </c>
      <c r="AZ26" s="21">
        <v>158</v>
      </c>
      <c r="BA26" s="22">
        <f t="shared" si="12"/>
        <v>5.761316872427983E-2</v>
      </c>
      <c r="BB26" s="22">
        <f t="shared" si="13"/>
        <v>0.92278481012658231</v>
      </c>
      <c r="BC26" s="23">
        <f t="shared" si="14"/>
        <v>5.3164556962025315E-2</v>
      </c>
      <c r="BD26" s="98">
        <v>22.5</v>
      </c>
      <c r="BE26" s="23">
        <f t="shared" si="15"/>
        <v>1.3894214014664508E-2</v>
      </c>
      <c r="BF26">
        <v>48.3</v>
      </c>
      <c r="BG26" s="23">
        <f t="shared" si="16"/>
        <v>0.18126018804310839</v>
      </c>
      <c r="BH26" s="24">
        <v>10</v>
      </c>
      <c r="BI26" s="24">
        <v>20</v>
      </c>
      <c r="BJ26" s="25">
        <f ca="1">(BD26*BH26+$AP26-$AQ26)/$H26*100</f>
        <v>2690.4119543170455</v>
      </c>
      <c r="BK26" s="25">
        <f ca="1">(BF26*BI26+$AP26-$AQ26)/$H26*100</f>
        <v>13815.385493094558</v>
      </c>
      <c r="BL26" s="23">
        <f t="shared" ca="1" si="18"/>
        <v>-7.625572774287237E-2</v>
      </c>
      <c r="BM26" s="23">
        <f t="shared" ca="1" si="19"/>
        <v>0.28132884575778272</v>
      </c>
      <c r="BN26" s="95" t="s">
        <v>665</v>
      </c>
      <c r="BO26" s="95" t="s">
        <v>140</v>
      </c>
      <c r="BP26" s="95" t="s">
        <v>668</v>
      </c>
      <c r="BQ26" s="98">
        <v>1.4</v>
      </c>
      <c r="BR26" s="98">
        <v>0</v>
      </c>
      <c r="BS26" s="98">
        <v>21</v>
      </c>
      <c r="BT26" t="s">
        <v>872</v>
      </c>
    </row>
    <row r="27" spans="1:72" ht="15" customHeight="1" x14ac:dyDescent="0.25">
      <c r="A27" s="86" t="e" vm="24">
        <v>#VALUE!</v>
      </c>
      <c r="B27" s="10" t="str">
        <f t="array" aca="1" ref="B27" ca="1">_FV(A27,"Símbolo bursátil",TRUE())</f>
        <v>STMN</v>
      </c>
      <c r="C27" s="88" t="s">
        <v>111</v>
      </c>
      <c r="D27" s="88" t="s">
        <v>77</v>
      </c>
      <c r="E27" s="11" t="str">
        <f t="array" aca="1" ref="E27" ca="1">_FV(A27,"Abreviatura de intercambio",TRUE())</f>
        <v>XSWX</v>
      </c>
      <c r="F27" s="11" t="str">
        <f t="array" aca="1" ref="F27" ca="1">_FV(A27,"Moneda")</f>
        <v>CHF</v>
      </c>
      <c r="G27" s="12">
        <f t="array" aca="1" ref="G27" ca="1">_FV(A27,"Precio")</f>
        <v>93.58</v>
      </c>
      <c r="H27" s="13">
        <f t="array" aca="1" ref="H27" ca="1">_FV(A27,"Acciones en circulación",TRUE())/1000000</f>
        <v>159.45519999999999</v>
      </c>
      <c r="I27" s="14">
        <f t="shared" ref="I27:I60" ca="1" si="25">G27*H27</f>
        <v>14921.817615999998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126</v>
      </c>
      <c r="AP27" s="19">
        <v>415</v>
      </c>
      <c r="AQ27" s="19">
        <v>475</v>
      </c>
      <c r="AR27" s="19">
        <f t="shared" ca="1" si="21"/>
        <v>14981.817615999998</v>
      </c>
      <c r="AS27" s="103">
        <v>261.60000000000002</v>
      </c>
      <c r="AT27" s="19">
        <v>528</v>
      </c>
      <c r="AU27" s="19">
        <v>779</v>
      </c>
      <c r="AV27" s="19">
        <v>2637</v>
      </c>
      <c r="AW27" s="20">
        <f t="shared" ca="1" si="9"/>
        <v>57.26994501529051</v>
      </c>
      <c r="AX27" s="20">
        <f t="shared" ca="1" si="10"/>
        <v>19.232115039794607</v>
      </c>
      <c r="AY27" s="20">
        <f t="shared" ca="1" si="11"/>
        <v>5.6813870367842236</v>
      </c>
      <c r="AZ27" s="21">
        <v>3139</v>
      </c>
      <c r="BA27" s="22">
        <f t="shared" si="12"/>
        <v>0.20022753128555176</v>
      </c>
      <c r="BB27" s="22">
        <f t="shared" si="13"/>
        <v>0.84007645747053206</v>
      </c>
      <c r="BC27" s="23">
        <f t="shared" si="14"/>
        <v>0.16820643517043646</v>
      </c>
      <c r="BD27" s="98">
        <v>350.2</v>
      </c>
      <c r="BE27" s="23">
        <f t="shared" si="15"/>
        <v>6.0072773543545122E-2</v>
      </c>
      <c r="BF27">
        <v>549.79999999999995</v>
      </c>
      <c r="BG27" s="23">
        <f t="shared" si="16"/>
        <v>0.16014800933092932</v>
      </c>
      <c r="BH27" s="24">
        <v>18</v>
      </c>
      <c r="BI27" s="24">
        <v>25</v>
      </c>
      <c r="BJ27" s="25">
        <f t="shared" ref="BJ27:BJ32" ca="1" si="26">(BD27*BH27+$AP27-$AQ27)/$H27</f>
        <v>39.155825586120741</v>
      </c>
      <c r="BK27" s="25">
        <f t="shared" ref="BK27:BK32" ca="1" si="27">(BF27*BI27+$AP27-$AQ27)/$H27</f>
        <v>85.823478945810479</v>
      </c>
      <c r="BL27" s="23">
        <f t="shared" ca="1" si="18"/>
        <v>-0.15991608596747164</v>
      </c>
      <c r="BM27" s="23">
        <f t="shared" ca="1" si="19"/>
        <v>-1.7155945457905108E-2</v>
      </c>
      <c r="BN27" s="95" t="s">
        <v>665</v>
      </c>
      <c r="BO27" s="100" t="s">
        <v>127</v>
      </c>
      <c r="BP27" s="95" t="s">
        <v>107</v>
      </c>
      <c r="BQ27" s="98">
        <v>18.899999999999999</v>
      </c>
      <c r="BR27" s="98">
        <v>65.400000000000006</v>
      </c>
      <c r="BS27" s="98">
        <v>327</v>
      </c>
      <c r="BT27" t="s">
        <v>872</v>
      </c>
    </row>
    <row r="28" spans="1:72" ht="15" customHeight="1" x14ac:dyDescent="0.2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611.77</v>
      </c>
      <c r="H28" s="13">
        <f t="array" aca="1" ref="H28" ca="1">_FV(A28,"Acciones en circulación",TRUE())/1000000</f>
        <v>2547.5059999999999</v>
      </c>
      <c r="I28" s="14">
        <f t="shared" ca="1" si="25"/>
        <v>1558487.7456199999</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5</v>
      </c>
      <c r="AG28" s="90">
        <v>12</v>
      </c>
      <c r="AH28" s="90">
        <v>3</v>
      </c>
      <c r="AI28" s="90">
        <v>8</v>
      </c>
      <c r="AJ28" s="90">
        <v>13</v>
      </c>
      <c r="AK28" s="90">
        <v>-6</v>
      </c>
      <c r="AL28" s="15">
        <f t="shared" si="5"/>
        <v>44</v>
      </c>
      <c r="AM28" s="16">
        <f t="shared" si="6"/>
        <v>6.29</v>
      </c>
      <c r="AN28" s="17">
        <f t="shared" si="7"/>
        <v>6.43</v>
      </c>
      <c r="AO28" s="18" t="s">
        <v>78</v>
      </c>
      <c r="AP28" s="19">
        <v>90260</v>
      </c>
      <c r="AQ28" s="19">
        <v>112320</v>
      </c>
      <c r="AR28" s="19">
        <f t="shared" ca="1" si="21"/>
        <v>1580547.7456199999</v>
      </c>
      <c r="AS28" s="103">
        <v>15840</v>
      </c>
      <c r="AT28" s="19">
        <v>67631</v>
      </c>
      <c r="AU28" s="19">
        <v>109660</v>
      </c>
      <c r="AV28" s="19">
        <v>228250</v>
      </c>
      <c r="AW28" s="20">
        <f t="shared" ca="1" si="9"/>
        <v>99.782054647727264</v>
      </c>
      <c r="AX28" s="20">
        <f t="shared" ca="1" si="10"/>
        <v>14.413165654021521</v>
      </c>
      <c r="AY28" s="20">
        <f t="shared" ca="1" si="11"/>
        <v>6.924634153866374</v>
      </c>
      <c r="AZ28" s="21">
        <v>393577</v>
      </c>
      <c r="BA28" s="22">
        <f t="shared" si="12"/>
        <v>0.29630230010952902</v>
      </c>
      <c r="BB28" s="22">
        <f t="shared" si="13"/>
        <v>0.57993734389966889</v>
      </c>
      <c r="BC28" s="23">
        <f t="shared" si="14"/>
        <v>0.17183676891688282</v>
      </c>
      <c r="BD28" s="98">
        <v>12030.4</v>
      </c>
      <c r="BE28" s="23">
        <f t="shared" si="15"/>
        <v>-5.3534085706038015E-2</v>
      </c>
      <c r="BF28">
        <v>33269.4</v>
      </c>
      <c r="BG28" s="23">
        <f t="shared" si="16"/>
        <v>0.15999991732100671</v>
      </c>
      <c r="BH28" s="24">
        <v>18</v>
      </c>
      <c r="BI28" s="24">
        <v>26</v>
      </c>
      <c r="BJ28" s="25">
        <f t="shared" ca="1" si="26"/>
        <v>76.344157776272155</v>
      </c>
      <c r="BK28" s="25">
        <f t="shared" ca="1" si="27"/>
        <v>330.89005482224576</v>
      </c>
      <c r="BL28" s="23">
        <f t="shared" ca="1" si="18"/>
        <v>-0.34046548759337025</v>
      </c>
      <c r="BM28" s="23">
        <f t="shared" ca="1" si="19"/>
        <v>-0.11566032911825752</v>
      </c>
      <c r="BN28" s="95" t="s">
        <v>824</v>
      </c>
      <c r="BO28" s="93" t="s">
        <v>84</v>
      </c>
      <c r="BP28" s="93" t="s">
        <v>85</v>
      </c>
      <c r="BQ28" s="98">
        <v>25136</v>
      </c>
      <c r="BR28" s="98">
        <v>66596</v>
      </c>
      <c r="BS28" s="98">
        <v>82436</v>
      </c>
      <c r="BT28" t="s">
        <v>871</v>
      </c>
    </row>
    <row r="29" spans="1:72" ht="15" customHeight="1" x14ac:dyDescent="0.25">
      <c r="A29" s="86" t="e" vm="26">
        <v>#VALUE!</v>
      </c>
      <c r="B29" s="10" t="str">
        <f t="array" aca="1" ref="B29" ca="1">_FV(A29,"Símbolo bursátil",TRUE())</f>
        <v>KKR</v>
      </c>
      <c r="C29" s="88" t="s">
        <v>89</v>
      </c>
      <c r="D29" s="88" t="s">
        <v>77</v>
      </c>
      <c r="E29" s="11" t="str">
        <f t="array" aca="1" ref="E29" ca="1">_FV(A29,"Abreviatura de intercambio",TRUE())</f>
        <v>XNYS</v>
      </c>
      <c r="F29" s="11" t="str">
        <f t="array" aca="1" ref="F29" ca="1">_FV(A29,"Moneda")</f>
        <v>USD</v>
      </c>
      <c r="G29" s="12">
        <f t="array" aca="1" ref="G29" ca="1">_FV(A29,"Precio")</f>
        <v>106.27</v>
      </c>
      <c r="H29" s="13">
        <f t="array" aca="1" ref="H29" ca="1">_FV(A29,"Acciones en circulación",TRUE())/1000000</f>
        <v>897.63559999999995</v>
      </c>
      <c r="I29" s="14">
        <f t="shared" ca="1" si="25"/>
        <v>95391.735211999985</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9</v>
      </c>
      <c r="Y29" s="91">
        <v>13</v>
      </c>
      <c r="Z29" s="91">
        <v>9</v>
      </c>
      <c r="AA29" s="91">
        <v>-10</v>
      </c>
      <c r="AB29" s="26">
        <f t="shared" si="3"/>
        <v>72</v>
      </c>
      <c r="AC29" s="16">
        <f t="shared" si="4"/>
        <v>7.2</v>
      </c>
      <c r="AD29" s="91">
        <v>13</v>
      </c>
      <c r="AE29" s="91">
        <v>-3</v>
      </c>
      <c r="AF29" s="91">
        <v>7</v>
      </c>
      <c r="AG29" s="91">
        <v>13</v>
      </c>
      <c r="AH29" s="91">
        <v>2</v>
      </c>
      <c r="AI29" s="91">
        <v>9</v>
      </c>
      <c r="AJ29" s="91">
        <v>12</v>
      </c>
      <c r="AK29" s="91">
        <v>-5</v>
      </c>
      <c r="AL29" s="26">
        <f t="shared" si="5"/>
        <v>48</v>
      </c>
      <c r="AM29" s="16">
        <f t="shared" si="6"/>
        <v>6.86</v>
      </c>
      <c r="AN29" s="17">
        <f t="shared" si="7"/>
        <v>6.87</v>
      </c>
      <c r="AO29" s="18" t="s">
        <v>78</v>
      </c>
      <c r="AP29" s="19">
        <v>21080</v>
      </c>
      <c r="AQ29" s="19">
        <v>56164</v>
      </c>
      <c r="AR29" s="19">
        <f t="shared" ca="1" si="21"/>
        <v>130475.73521199999</v>
      </c>
      <c r="AS29" s="103">
        <v>5000</v>
      </c>
      <c r="AT29" s="19">
        <v>5176</v>
      </c>
      <c r="AU29" s="19">
        <v>6752</v>
      </c>
      <c r="AV29" s="19">
        <v>25833</v>
      </c>
      <c r="AW29" s="20">
        <f t="shared" ca="1" si="9"/>
        <v>26.095147042399997</v>
      </c>
      <c r="AX29" s="20">
        <f t="shared" ca="1" si="10"/>
        <v>19.324012916469194</v>
      </c>
      <c r="AY29" s="20">
        <f t="shared" ca="1" si="11"/>
        <v>5.0507387919327984</v>
      </c>
      <c r="AZ29" s="21">
        <v>34500</v>
      </c>
      <c r="BA29" s="22">
        <f t="shared" si="12"/>
        <v>0.20036387566291178</v>
      </c>
      <c r="BB29" s="22">
        <f t="shared" si="13"/>
        <v>0.74878260869565216</v>
      </c>
      <c r="BC29" s="23">
        <f t="shared" si="14"/>
        <v>0.15002898550724636</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-5.9724581526024556E-2</v>
      </c>
      <c r="BM29" s="23">
        <f t="shared" ca="1" si="19"/>
        <v>0.23671311383602855</v>
      </c>
      <c r="BN29" s="95" t="s">
        <v>824</v>
      </c>
      <c r="BO29" s="95" t="s">
        <v>105</v>
      </c>
      <c r="BP29" s="95" t="s">
        <v>154</v>
      </c>
      <c r="BQ29" s="98"/>
      <c r="BR29" s="98"/>
      <c r="BS29" s="98"/>
    </row>
    <row r="30" spans="1:72" ht="15" customHeight="1" x14ac:dyDescent="0.25">
      <c r="A30" s="86" t="e" vm="27">
        <v>#VALUE!</v>
      </c>
      <c r="B30" s="10" t="str">
        <f t="array" aca="1" ref="B30" ca="1">_FV(A30,"Símbolo bursátil",TRUE())</f>
        <v>NET</v>
      </c>
      <c r="C30" s="88" t="s">
        <v>98</v>
      </c>
      <c r="D30" s="88" t="s">
        <v>99</v>
      </c>
      <c r="E30" s="11" t="str">
        <f t="array" aca="1" ref="E30" ca="1">_FV(A30,"Abreviatura de intercambio",TRUE())</f>
        <v>XNYS</v>
      </c>
      <c r="F30" s="11" t="str">
        <f t="array" aca="1" ref="F30" ca="1">_FV(A30,"Moneda")</f>
        <v>USD</v>
      </c>
      <c r="G30" s="12">
        <f t="array" aca="1" ref="G30" ca="1">_FV(A30,"Precio")</f>
        <v>286.6499</v>
      </c>
      <c r="H30" s="13">
        <f t="array" aca="1" ref="H30" ca="1">_FV(A30,"Acciones en circulación",TRUE())/1000000</f>
        <v>356.0797</v>
      </c>
      <c r="I30" s="14">
        <f t="shared" ca="1" si="25"/>
        <v>102070.21039703001</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101436.21039703001</v>
      </c>
      <c r="AS30" s="103">
        <v>-192.8</v>
      </c>
      <c r="AT30" s="19">
        <v>-195</v>
      </c>
      <c r="AU30" s="19">
        <v>-2</v>
      </c>
      <c r="AV30" s="19">
        <v>2512</v>
      </c>
      <c r="AW30" s="20">
        <f t="shared" ca="1" si="9"/>
        <v>-526.12142322110992</v>
      </c>
      <c r="AX30" s="20">
        <f t="shared" ca="1" si="10"/>
        <v>-50718.105198515004</v>
      </c>
      <c r="AY30" s="20">
        <f t="shared" ca="1" si="11"/>
        <v>40.380657005187103</v>
      </c>
      <c r="AZ30" s="21">
        <v>3846</v>
      </c>
      <c r="BA30" s="22">
        <f t="shared" si="12"/>
        <v>-7.7627388535031844E-2</v>
      </c>
      <c r="BB30" s="22">
        <f t="shared" si="13"/>
        <v>0.65314612584503384</v>
      </c>
      <c r="BC30" s="23">
        <f t="shared" si="14"/>
        <v>-5.0702028081123243E-2</v>
      </c>
      <c r="BD30" s="98">
        <v>-109</v>
      </c>
      <c r="BE30" s="23">
        <f t="shared" si="15"/>
        <v>-0.10779655940383326</v>
      </c>
      <c r="BF30">
        <v>408</v>
      </c>
      <c r="BG30" s="23">
        <f t="shared" si="16"/>
        <v>-2.1617445043111658</v>
      </c>
      <c r="BH30" s="24">
        <v>20</v>
      </c>
      <c r="BI30" s="24">
        <v>30</v>
      </c>
      <c r="BJ30" s="25">
        <f t="shared" ca="1" si="26"/>
        <v>-4.341724619516361</v>
      </c>
      <c r="BK30" s="25">
        <f t="shared" ca="1" si="27"/>
        <v>36.154827135610368</v>
      </c>
      <c r="BL30" s="23">
        <f t="shared" ca="1" si="18"/>
        <v>-0.99</v>
      </c>
      <c r="BM30" s="23">
        <f t="shared" ca="1" si="19"/>
        <v>-0.33905868684849749</v>
      </c>
      <c r="BN30" s="95" t="s">
        <v>665</v>
      </c>
      <c r="BO30" s="95" t="s">
        <v>121</v>
      </c>
      <c r="BP30" s="95" t="s">
        <v>138</v>
      </c>
      <c r="BQ30" s="98">
        <v>507.7</v>
      </c>
      <c r="BR30" s="98">
        <v>93.4</v>
      </c>
      <c r="BS30" s="98">
        <v>-99.4</v>
      </c>
      <c r="BT30" s="96" t="s">
        <v>882</v>
      </c>
    </row>
    <row r="31" spans="1:72" ht="15" customHeight="1" x14ac:dyDescent="0.25">
      <c r="A31" s="86" t="e" vm="28">
        <v>#VALUE!</v>
      </c>
      <c r="B31" s="10" t="str">
        <f t="array" aca="1" ref="B31" ca="1">_FV(A31,"Símbolo bursátil",TRUE())</f>
        <v>CRWD</v>
      </c>
      <c r="C31" s="88" t="s">
        <v>98</v>
      </c>
      <c r="D31" s="88" t="s">
        <v>99</v>
      </c>
      <c r="E31" s="11" t="str">
        <f t="array" aca="1" ref="E31" ca="1">_FV(A31,"Abreviatura de intercambio",TRUE())</f>
        <v>XNAS</v>
      </c>
      <c r="F31" s="11" t="str">
        <f t="array" aca="1" ref="F31" ca="1">_FV(A31,"Moneda")</f>
        <v>USD</v>
      </c>
      <c r="G31" s="12">
        <f t="array" aca="1" ref="G31" ca="1">_FV(A31,"Precio")</f>
        <v>209.96</v>
      </c>
      <c r="H31" s="13">
        <f t="array" aca="1" ref="H31" ca="1">_FV(A31,"Acciones en circulación",TRUE())/1000000</f>
        <v>1023.9349999999999</v>
      </c>
      <c r="I31" s="14">
        <f t="shared" ca="1" si="25"/>
        <v>214985.39259999999</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4550</v>
      </c>
      <c r="AQ31" s="19">
        <v>821</v>
      </c>
      <c r="AR31" s="19">
        <f t="shared" ca="1" si="21"/>
        <v>211256.39259999999</v>
      </c>
      <c r="AS31" s="103">
        <v>278.60000000000002</v>
      </c>
      <c r="AT31" s="19">
        <v>-160</v>
      </c>
      <c r="AU31" s="19">
        <v>59</v>
      </c>
      <c r="AV31" s="19">
        <v>5090</v>
      </c>
      <c r="AW31" s="20">
        <f t="shared" ca="1" si="9"/>
        <v>758.27850897343853</v>
      </c>
      <c r="AX31" s="20">
        <f t="shared" ca="1" si="10"/>
        <v>3580.6168237288134</v>
      </c>
      <c r="AY31" s="20">
        <f t="shared" ca="1" si="11"/>
        <v>41.504202868369347</v>
      </c>
      <c r="AZ31" s="21">
        <v>7154</v>
      </c>
      <c r="BA31" s="22">
        <f t="shared" si="12"/>
        <v>-3.1434184675834968E-2</v>
      </c>
      <c r="BB31" s="22">
        <f t="shared" si="13"/>
        <v>0.71149007548224774</v>
      </c>
      <c r="BC31" s="23">
        <f t="shared" si="14"/>
        <v>-2.2365110427732735E-2</v>
      </c>
      <c r="BD31" s="98">
        <v>491</v>
      </c>
      <c r="BE31" s="23">
        <f t="shared" si="15"/>
        <v>0.12000529535320914</v>
      </c>
      <c r="BF31">
        <v>884.8</v>
      </c>
      <c r="BG31" s="23">
        <f t="shared" si="16"/>
        <v>0.26000654309755777</v>
      </c>
      <c r="BH31" s="24">
        <v>20</v>
      </c>
      <c r="BI31" s="24">
        <v>30</v>
      </c>
      <c r="BJ31" s="25">
        <f t="shared" ca="1" si="26"/>
        <v>13.232285252481848</v>
      </c>
      <c r="BK31" s="25">
        <f t="shared" ca="1" si="27"/>
        <v>29.565353269494647</v>
      </c>
      <c r="BL31" s="23">
        <f t="shared" ca="1" si="18"/>
        <v>-0.42469300028179402</v>
      </c>
      <c r="BM31" s="23">
        <f t="shared" ca="1" si="19"/>
        <v>-0.32433829977351658</v>
      </c>
      <c r="BN31" s="96" t="s">
        <v>665</v>
      </c>
      <c r="BO31" t="s">
        <v>80</v>
      </c>
      <c r="BP31" t="s">
        <v>100</v>
      </c>
      <c r="BQ31" s="98">
        <v>1244</v>
      </c>
      <c r="BR31" s="98">
        <v>161.4</v>
      </c>
      <c r="BS31" s="98">
        <v>440</v>
      </c>
      <c r="BT31" t="s">
        <v>871</v>
      </c>
    </row>
    <row r="32" spans="1:72" ht="15" customHeight="1" x14ac:dyDescent="0.2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334.04</v>
      </c>
      <c r="H32" s="13">
        <f t="array" aca="1" ref="H32" ca="1">_FV(A32,"Acciones en circulación",TRUE())/1000000</f>
        <v>12230</v>
      </c>
      <c r="I32" s="14">
        <f t="shared" ca="1" si="25"/>
        <v>4085309.2</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242470</v>
      </c>
      <c r="AQ32" s="19">
        <v>120790</v>
      </c>
      <c r="AR32" s="19">
        <f t="shared" ca="1" si="21"/>
        <v>3963629.2</v>
      </c>
      <c r="AS32" s="103">
        <v>25126</v>
      </c>
      <c r="AT32" s="19">
        <v>120466</v>
      </c>
      <c r="AU32" s="19">
        <v>173160</v>
      </c>
      <c r="AV32" s="19">
        <v>445870</v>
      </c>
      <c r="AW32" s="20">
        <f t="shared" ca="1" si="9"/>
        <v>157.75010745840962</v>
      </c>
      <c r="AX32" s="20">
        <f t="shared" ca="1" si="10"/>
        <v>22.889981519981522</v>
      </c>
      <c r="AY32" s="20">
        <f t="shared" ca="1" si="11"/>
        <v>8.8896521407585176</v>
      </c>
      <c r="AZ32" s="21">
        <v>795872</v>
      </c>
      <c r="BA32" s="22">
        <f t="shared" si="12"/>
        <v>0.27018189158274836</v>
      </c>
      <c r="BB32" s="22">
        <f t="shared" si="13"/>
        <v>0.5602282779140364</v>
      </c>
      <c r="BC32" s="23">
        <f t="shared" si="14"/>
        <v>0.15136353584495998</v>
      </c>
      <c r="BD32" s="98">
        <v>32067.8</v>
      </c>
      <c r="BE32" s="23">
        <f t="shared" si="15"/>
        <v>4.9999669036893346E-2</v>
      </c>
      <c r="BF32">
        <v>50537.4</v>
      </c>
      <c r="BG32" s="23">
        <f t="shared" si="16"/>
        <v>0.1500001788890104</v>
      </c>
      <c r="BH32" s="24">
        <v>20</v>
      </c>
      <c r="BI32" s="24">
        <v>30</v>
      </c>
      <c r="BJ32" s="25">
        <f t="shared" ca="1" si="26"/>
        <v>62.390515126737533</v>
      </c>
      <c r="BK32" s="25">
        <f t="shared" ca="1" si="27"/>
        <v>133.91676206050695</v>
      </c>
      <c r="BL32" s="23">
        <f t="shared" ca="1" si="18"/>
        <v>-0.28506918036707374</v>
      </c>
      <c r="BM32" s="23">
        <f t="shared" ca="1" si="19"/>
        <v>-0.16707232357154356</v>
      </c>
      <c r="BN32" s="95" t="s">
        <v>665</v>
      </c>
      <c r="BO32" s="93" t="s">
        <v>129</v>
      </c>
      <c r="BP32" s="93" t="s">
        <v>125</v>
      </c>
      <c r="BQ32" s="98">
        <v>28147</v>
      </c>
      <c r="BR32" s="98">
        <v>107165</v>
      </c>
      <c r="BS32" s="98">
        <v>132291</v>
      </c>
      <c r="BT32" t="s">
        <v>871</v>
      </c>
    </row>
    <row r="33" spans="1:72" ht="15" customHeight="1" x14ac:dyDescent="0.25">
      <c r="A33" s="86" t="e" vm="30">
        <v>#VALUE!</v>
      </c>
      <c r="B33" s="10" t="str">
        <f t="array" aca="1" ref="B33" ca="1">_FV(A33,"Símbolo bursátil",TRUE())</f>
        <v>ABBNE</v>
      </c>
      <c r="C33" s="88" t="s">
        <v>106</v>
      </c>
      <c r="D33" s="88" t="s">
        <v>77</v>
      </c>
      <c r="E33" s="11" t="str">
        <f t="array" aca="1" ref="E33" ca="1">_FV(A33,"Abreviatura de intercambio",TRUE())</f>
        <v>XSWX</v>
      </c>
      <c r="F33" s="11" t="str">
        <f t="array" aca="1" ref="F33" ca="1">_FV(A33,"Moneda")</f>
        <v>CHF</v>
      </c>
      <c r="G33" s="12">
        <f t="array" aca="1" ref="G33" ca="1">_FV(A33,"Precio")</f>
        <v>80.819999999999993</v>
      </c>
      <c r="H33" s="13">
        <f t="array" aca="1" ref="H33" ca="1">_FV(A33,"Acciones en circulación",TRUE())/1000000</f>
        <v>1823.154</v>
      </c>
      <c r="I33" s="14">
        <f t="shared" ca="1" si="25"/>
        <v>147347.30627999999</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185308.127447684</v>
      </c>
      <c r="AS33" s="103">
        <v>4159</v>
      </c>
      <c r="AT33" s="19">
        <v>4811</v>
      </c>
      <c r="AU33" s="19">
        <v>7150</v>
      </c>
      <c r="AV33" s="19">
        <v>35750</v>
      </c>
      <c r="AW33" s="20">
        <f t="shared" ca="1" si="9"/>
        <v>44.555933505093535</v>
      </c>
      <c r="AX33" s="20">
        <f t="shared" ca="1" si="10"/>
        <v>25.917220622053708</v>
      </c>
      <c r="AY33" s="20">
        <f t="shared" ca="1" si="11"/>
        <v>5.183444124410741</v>
      </c>
      <c r="AZ33" s="21">
        <v>27296</v>
      </c>
      <c r="BA33" s="22">
        <f t="shared" si="12"/>
        <v>0.13457342657342658</v>
      </c>
      <c r="BB33" s="22">
        <f t="shared" si="13"/>
        <v>1.3097157092614302</v>
      </c>
      <c r="BC33" s="23">
        <f t="shared" si="14"/>
        <v>0.17625293083235638</v>
      </c>
      <c r="BD33" s="98">
        <v>5060.1000000000004</v>
      </c>
      <c r="BE33" s="23">
        <f t="shared" si="15"/>
        <v>4.000166804127181E-2</v>
      </c>
      <c r="BF33">
        <v>7329.7</v>
      </c>
      <c r="BG33" s="23">
        <f t="shared" si="16"/>
        <v>0.12000369602195815</v>
      </c>
      <c r="BH33" s="24">
        <v>14</v>
      </c>
      <c r="BI33" s="24">
        <v>25</v>
      </c>
      <c r="BJ33" s="25">
        <f ca="1">((BD33*BH33+$AP33-$AQ33)/$H33)/'Framework Notes'!E5</f>
        <v>29.994288066550855</v>
      </c>
      <c r="BK33" s="25">
        <f ca="1">((BF33*BI33+$AP33-$AQ33)/$H33)/'Framework Notes'!E5</f>
        <v>79.902816570729726</v>
      </c>
      <c r="BL33" s="23">
        <f t="shared" ca="1" si="18"/>
        <v>-0.17982988160162128</v>
      </c>
      <c r="BM33" s="23">
        <f t="shared" ca="1" si="19"/>
        <v>-2.2800679474289653E-3</v>
      </c>
      <c r="BN33" s="95" t="s">
        <v>665</v>
      </c>
      <c r="BO33" s="93" t="s">
        <v>130</v>
      </c>
      <c r="BP33" s="93" t="s">
        <v>119</v>
      </c>
      <c r="BQ33" s="98">
        <v>0</v>
      </c>
      <c r="BR33" s="98">
        <v>175</v>
      </c>
      <c r="BS33" s="98">
        <v>4334</v>
      </c>
      <c r="BT33" t="s">
        <v>873</v>
      </c>
    </row>
    <row r="34" spans="1:72" ht="15" customHeight="1" x14ac:dyDescent="0.25">
      <c r="A34" s="86" t="e" vm="31">
        <v>#VALUE!</v>
      </c>
      <c r="B34" s="10" t="str">
        <f t="array" aca="1" ref="B34" ca="1">_FV(A34,"Símbolo bursátil",TRUE())</f>
        <v>GRMN</v>
      </c>
      <c r="C34" s="88" t="s">
        <v>131</v>
      </c>
      <c r="D34" s="88" t="s">
        <v>77</v>
      </c>
      <c r="E34" s="11" t="str">
        <f t="array" aca="1" ref="E34" ca="1">_FV(A34,"Abreviatura de intercambio",TRUE())</f>
        <v>XNYS</v>
      </c>
      <c r="F34" s="11" t="str">
        <f t="array" aca="1" ref="F34" ca="1">_FV(A34,"Moneda")</f>
        <v>USD</v>
      </c>
      <c r="G34" s="12">
        <f t="array" aca="1" ref="G34" ca="1">_FV(A34,"Precio")</f>
        <v>276.42</v>
      </c>
      <c r="H34" s="13">
        <f t="array" aca="1" ref="H34" ca="1">_FV(A34,"Acciones en circulación",TRUE())/1000000</f>
        <v>192.85249999999999</v>
      </c>
      <c r="I34" s="14">
        <f t="shared" ca="1" si="25"/>
        <v>53308.288050000003</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50865.288050000003</v>
      </c>
      <c r="AS34" s="103">
        <v>1427.3</v>
      </c>
      <c r="AT34" s="19">
        <v>1754</v>
      </c>
      <c r="AU34" s="19">
        <v>2310</v>
      </c>
      <c r="AV34" s="19">
        <v>7670</v>
      </c>
      <c r="AW34" s="20">
        <f t="shared" ca="1" si="9"/>
        <v>35.637418937854697</v>
      </c>
      <c r="AX34" s="20">
        <f t="shared" ca="1" si="10"/>
        <v>22.019605216450216</v>
      </c>
      <c r="AY34" s="20">
        <f t="shared" ca="1" si="11"/>
        <v>6.6317194328552809</v>
      </c>
      <c r="AZ34" s="21">
        <v>9341</v>
      </c>
      <c r="BA34" s="22">
        <f t="shared" si="12"/>
        <v>0.22868318122555412</v>
      </c>
      <c r="BB34" s="22">
        <f t="shared" si="13"/>
        <v>0.82111123006102127</v>
      </c>
      <c r="BC34" s="23">
        <f t="shared" si="14"/>
        <v>0.18777432823038218</v>
      </c>
      <c r="BD34" s="98">
        <v>1736.9</v>
      </c>
      <c r="BE34" s="23">
        <f t="shared" si="15"/>
        <v>4.0044471695635631E-2</v>
      </c>
      <c r="BF34">
        <v>2629.5</v>
      </c>
      <c r="BG34" s="23">
        <f t="shared" si="16"/>
        <v>0.12998214676760522</v>
      </c>
      <c r="BH34" s="24">
        <v>18</v>
      </c>
      <c r="BI34" s="24">
        <v>26</v>
      </c>
      <c r="BJ34" s="25">
        <f ca="1">(BD34*BH34+$AP34-$AQ34)/$H34</f>
        <v>174.78228179567284</v>
      </c>
      <c r="BK34" s="25">
        <f ca="1">(BF34*BI34+$AP34-$AQ34)/$H34</f>
        <v>367.17180228412906</v>
      </c>
      <c r="BL34" s="23">
        <f t="shared" ca="1" si="18"/>
        <v>-8.7599344888801611E-2</v>
      </c>
      <c r="BM34" s="23">
        <f t="shared" ca="1" si="19"/>
        <v>5.842471337044608E-2</v>
      </c>
      <c r="BN34" s="95" t="s">
        <v>665</v>
      </c>
      <c r="BO34" s="93" t="s">
        <v>84</v>
      </c>
      <c r="BP34" s="93" t="s">
        <v>107</v>
      </c>
      <c r="BQ34" s="98">
        <v>172.5</v>
      </c>
      <c r="BR34" s="98">
        <v>185.8</v>
      </c>
      <c r="BS34" s="98">
        <v>1613.1</v>
      </c>
      <c r="BT34" t="s">
        <v>871</v>
      </c>
    </row>
    <row r="35" spans="1:72" ht="15" customHeight="1" x14ac:dyDescent="0.25">
      <c r="A35" s="86" t="e" vm="32">
        <v>#VALUE!</v>
      </c>
      <c r="B35" s="10" t="str">
        <f t="array" aca="1" ref="B35" ca="1">_FV(A35,"Símbolo bursátil",TRUE())</f>
        <v>KRX</v>
      </c>
      <c r="C35" s="88" t="s">
        <v>132</v>
      </c>
      <c r="D35" s="88" t="s">
        <v>77</v>
      </c>
      <c r="E35" s="11" t="s">
        <v>590</v>
      </c>
      <c r="F35" s="11" t="str">
        <f t="array" aca="1" ref="F35" ca="1">_FV(A35,"Moneda")</f>
        <v>EUR</v>
      </c>
      <c r="G35" s="12">
        <f t="array" aca="1" ref="G35" ca="1">_FV(A35,"Precio")</f>
        <v>100.7</v>
      </c>
      <c r="H35" s="13">
        <f t="array" aca="1" ref="H35" ca="1">_FV(A35,"Acciones en circulación",TRUE())/1000000</f>
        <v>180.4288</v>
      </c>
      <c r="I35" s="14">
        <f t="shared" ca="1" si="25"/>
        <v>18169.18016</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9</v>
      </c>
      <c r="Z35" s="91">
        <v>8</v>
      </c>
      <c r="AA35" s="91">
        <v>-9</v>
      </c>
      <c r="AB35" s="26">
        <f t="shared" si="3"/>
        <v>63</v>
      </c>
      <c r="AC35" s="16">
        <f t="shared" si="4"/>
        <v>6.3</v>
      </c>
      <c r="AD35" s="91">
        <v>12</v>
      </c>
      <c r="AE35" s="91">
        <v>-2</v>
      </c>
      <c r="AF35" s="91">
        <v>4</v>
      </c>
      <c r="AG35" s="91">
        <v>11</v>
      </c>
      <c r="AH35" s="91">
        <v>2</v>
      </c>
      <c r="AI35" s="91">
        <v>8</v>
      </c>
      <c r="AJ35" s="91">
        <v>10</v>
      </c>
      <c r="AK35" s="91">
        <v>-5</v>
      </c>
      <c r="AL35" s="26">
        <f t="shared" si="5"/>
        <v>40</v>
      </c>
      <c r="AM35" s="16">
        <f t="shared" si="6"/>
        <v>5.71</v>
      </c>
      <c r="AN35" s="17">
        <f t="shared" si="7"/>
        <v>6.05</v>
      </c>
      <c r="AO35" s="18" t="s">
        <v>87</v>
      </c>
      <c r="AP35" s="19">
        <v>590</v>
      </c>
      <c r="AQ35" s="19">
        <v>2450</v>
      </c>
      <c r="AR35" s="19">
        <f ca="1">I35-AP35+AQ35</f>
        <v>20029.18016</v>
      </c>
      <c r="AS35" s="103">
        <v>433.5</v>
      </c>
      <c r="AT35" s="19">
        <v>780</v>
      </c>
      <c r="AU35" s="19">
        <v>1277</v>
      </c>
      <c r="AV35" s="19">
        <v>9561</v>
      </c>
      <c r="AW35" s="20">
        <f t="shared" ca="1" si="9"/>
        <v>46.203414440599772</v>
      </c>
      <c r="AX35" s="20">
        <f t="shared" ca="1" si="10"/>
        <v>15.684557682067345</v>
      </c>
      <c r="AY35" s="20">
        <f t="shared" ca="1" si="11"/>
        <v>2.0948833971341911</v>
      </c>
      <c r="AZ35" s="21">
        <v>6500</v>
      </c>
      <c r="BA35" s="22">
        <f t="shared" si="12"/>
        <v>8.1581424537182298E-2</v>
      </c>
      <c r="BB35" s="22">
        <f t="shared" si="13"/>
        <v>1.470923076923077</v>
      </c>
      <c r="BC35" s="23">
        <f t="shared" si="14"/>
        <v>0.12</v>
      </c>
      <c r="BD35" s="98">
        <v>527.6</v>
      </c>
      <c r="BE35" s="23">
        <f t="shared" si="15"/>
        <v>4.0071358690075609E-2</v>
      </c>
      <c r="BF35">
        <v>872.1</v>
      </c>
      <c r="BG35" s="23">
        <f t="shared" si="16"/>
        <v>0.15004659621538408</v>
      </c>
      <c r="BH35" s="24">
        <v>14</v>
      </c>
      <c r="BI35" s="24">
        <v>22</v>
      </c>
      <c r="BJ35" s="25">
        <f ca="1">(BD35*BH35+$AP35-$AQ35)/$H35</f>
        <v>30.629256526674236</v>
      </c>
      <c r="BK35" s="25">
        <f ca="1">(BF35*BI35+$AP35-$AQ35)/$H35</f>
        <v>96.027906853007948</v>
      </c>
      <c r="BL35" s="23">
        <f t="shared" ca="1" si="18"/>
        <v>-0.21182728398277184</v>
      </c>
      <c r="BM35" s="23">
        <f t="shared" ca="1" si="19"/>
        <v>-9.4563952289229425E-3</v>
      </c>
      <c r="BN35" s="95" t="s">
        <v>824</v>
      </c>
      <c r="BO35" s="95" t="s">
        <v>103</v>
      </c>
      <c r="BP35" s="95" t="s">
        <v>669</v>
      </c>
      <c r="BQ35" s="98">
        <v>21</v>
      </c>
      <c r="BR35" s="98">
        <v>50.5</v>
      </c>
      <c r="BS35" s="98">
        <v>484</v>
      </c>
      <c r="BT35" t="s">
        <v>872</v>
      </c>
    </row>
    <row r="36" spans="1:72" ht="15" customHeight="1" x14ac:dyDescent="0.25">
      <c r="A36" s="86" t="e" vm="33">
        <v>#VALUE!</v>
      </c>
      <c r="B36" s="10" t="str">
        <f t="array" aca="1" ref="B36" ca="1">_FV(A36,"Símbolo bursátil",TRUE())</f>
        <v>KSPI</v>
      </c>
      <c r="C36" s="88" t="s">
        <v>86</v>
      </c>
      <c r="D36" s="88" t="s">
        <v>99</v>
      </c>
      <c r="E36" s="11" t="str">
        <f t="array" aca="1" ref="E36" ca="1">_FV(A36,"Abreviatura de intercambio",TRUE())</f>
        <v>XNAS</v>
      </c>
      <c r="F36" s="11" t="str">
        <f t="array" aca="1" ref="F36" ca="1">_FV(A36,"Moneda")</f>
        <v>USD</v>
      </c>
      <c r="G36" s="12">
        <f t="array" aca="1" ref="G36" ca="1">_FV(A36,"Precio")</f>
        <v>106.575</v>
      </c>
      <c r="H36" s="13">
        <f t="array" aca="1" ref="H36" ca="1">_FV(A36,"Acciones en circulación",TRUE())/1000000</f>
        <v>189.33349999999999</v>
      </c>
      <c r="I36" s="14">
        <f t="shared" ca="1" si="25"/>
        <v>20178.2177625</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133</v>
      </c>
      <c r="AP36" s="19">
        <v>900000</v>
      </c>
      <c r="AQ36" s="19">
        <v>100000</v>
      </c>
      <c r="AR36" s="19">
        <f ca="1">I36*'Framework Notes'!E6-AP36+AQ36</f>
        <v>8360709.0819973759</v>
      </c>
      <c r="AS36" s="103">
        <v>952971</v>
      </c>
      <c r="AT36" s="19">
        <v>1065825</v>
      </c>
      <c r="AU36" s="19">
        <v>1606052</v>
      </c>
      <c r="AV36" s="19">
        <v>4449504</v>
      </c>
      <c r="AW36" s="20">
        <f t="shared" ref="AW36:AW66" ca="1" si="35">AR36/AS36</f>
        <v>8.7733090324861678</v>
      </c>
      <c r="AX36" s="20">
        <f t="shared" ref="AX36:AX66" ca="1" si="36">AR36/AU36</f>
        <v>5.205752417728303</v>
      </c>
      <c r="AY36" s="20">
        <f t="shared" ref="AY36:AY66" ca="1" si="37">AR36/AV36</f>
        <v>1.8790204665502888</v>
      </c>
      <c r="AZ36" s="21">
        <v>2601577</v>
      </c>
      <c r="BA36" s="22">
        <f t="shared" ref="BA36:BA66" si="38">AT36/AV36</f>
        <v>0.23953793501477919</v>
      </c>
      <c r="BB36" s="22">
        <f t="shared" ref="BB36:BB66" si="39">AV36/AZ36</f>
        <v>1.7103103233154353</v>
      </c>
      <c r="BC36" s="23">
        <f t="shared" ref="BC36:BC67" si="40">BA36*BB36</f>
        <v>0.40968420308143871</v>
      </c>
      <c r="BD36" s="98">
        <v>795760.2</v>
      </c>
      <c r="BE36" s="23">
        <f t="shared" ref="BE36:BE67" si="41">(BD36/AS36)^(1/5)-1</f>
        <v>-3.5414995952124606E-2</v>
      </c>
      <c r="BF36">
        <v>2772489.4</v>
      </c>
      <c r="BG36" s="23">
        <f t="shared" ref="BG36:BG67" si="42">(BF36/AS36)^(1/5)-1</f>
        <v>0.23810660918354021</v>
      </c>
      <c r="BH36" s="24">
        <v>8</v>
      </c>
      <c r="BI36" s="24">
        <v>15</v>
      </c>
      <c r="BJ36" s="25">
        <f ca="1">((BD36*BH36+$AP36-$AQ36)/$H36)/'Framework Notes'!E6</f>
        <v>83.369653995548518</v>
      </c>
      <c r="BK36" s="25">
        <f ca="1">((BF36*BI36+$AP36-$AQ36)/$H36)/'Framework Notes'!E6</f>
        <v>493.13113500707664</v>
      </c>
      <c r="BL36" s="23">
        <f t="shared" ref="BL36:BL71" ca="1" si="43">IF($BJ36&lt;=0,-0.99,MAX(-0.99,($BJ36/G36)^(1/5)-1))</f>
        <v>-4.7926380804481306E-2</v>
      </c>
      <c r="BM36" s="23">
        <f t="shared" ref="BM36:BM71" ca="1" si="44">IF(BK36&lt;=0,-0.99,MAX(-0.99,(BK36/G36)^(1/5)-1))</f>
        <v>0.35850554826909642</v>
      </c>
      <c r="BN36" s="96" t="s">
        <v>665</v>
      </c>
      <c r="BO36" t="s">
        <v>134</v>
      </c>
      <c r="BP36" s="96" t="s">
        <v>670</v>
      </c>
      <c r="BQ36" s="98">
        <v>0</v>
      </c>
      <c r="BR36" s="98">
        <v>0</v>
      </c>
      <c r="BS36" s="98">
        <v>952971</v>
      </c>
      <c r="BT36" t="s">
        <v>873</v>
      </c>
    </row>
    <row r="37" spans="1:72" ht="15" customHeight="1" x14ac:dyDescent="0.25">
      <c r="A37" s="86" t="e" vm="34">
        <v>#VALUE!</v>
      </c>
      <c r="B37" s="10" t="str">
        <f t="array" aca="1" ref="B37" ca="1">_FV(A37,"Símbolo bursátil",TRUE())</f>
        <v>CBAV</v>
      </c>
      <c r="C37" s="88" t="s">
        <v>111</v>
      </c>
      <c r="D37" s="88" t="s">
        <v>77</v>
      </c>
      <c r="E37" s="11" t="str">
        <f t="array" aca="1" ref="E37" ca="1">_FV(A37,"Abreviatura de intercambio",TRUE())</f>
        <v>BMEX</v>
      </c>
      <c r="F37" s="11" t="str">
        <f t="array" aca="1" ref="F37" ca="1">_FV(A37,"Moneda")</f>
        <v>EUR</v>
      </c>
      <c r="G37" s="12">
        <f t="array" aca="1" ref="G37" ca="1">_FV(A37,"Precio")</f>
        <v>56.8</v>
      </c>
      <c r="H37" s="13">
        <f t="array" aca="1" ref="H37" ca="1">_FV(A37,"Acciones en circulación",TRUE())/1000000</f>
        <v>16.307580000000002</v>
      </c>
      <c r="I37" s="14">
        <f t="shared" ca="1" si="25"/>
        <v>926.27054400000009</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87</v>
      </c>
      <c r="AP37" s="19">
        <v>51.6</v>
      </c>
      <c r="AQ37" s="19">
        <v>70</v>
      </c>
      <c r="AR37" s="19">
        <f ca="1">I37-AP37+AQ37</f>
        <v>944.67054400000006</v>
      </c>
      <c r="AS37" s="103">
        <v>46.3</v>
      </c>
      <c r="AT37" s="19">
        <v>50</v>
      </c>
      <c r="AU37" s="19">
        <v>95</v>
      </c>
      <c r="AV37" s="19">
        <v>320</v>
      </c>
      <c r="AW37" s="20">
        <f t="shared" ca="1" si="35"/>
        <v>20.40325149028078</v>
      </c>
      <c r="AX37" s="20">
        <f t="shared" ca="1" si="36"/>
        <v>9.9439004631578953</v>
      </c>
      <c r="AY37" s="20">
        <f t="shared" ca="1" si="37"/>
        <v>2.9520954500000003</v>
      </c>
      <c r="AZ37" s="21">
        <v>220</v>
      </c>
      <c r="BA37" s="22">
        <f t="shared" si="38"/>
        <v>0.15625</v>
      </c>
      <c r="BB37" s="22">
        <f t="shared" si="39"/>
        <v>1.4545454545454546</v>
      </c>
      <c r="BC37" s="23">
        <f t="shared" si="40"/>
        <v>0.22727272727272729</v>
      </c>
      <c r="BD37" s="98">
        <v>61.7</v>
      </c>
      <c r="BE37" s="23">
        <f t="shared" si="41"/>
        <v>5.9109429311313244E-2</v>
      </c>
      <c r="BF37">
        <v>101.4</v>
      </c>
      <c r="BG37" s="23">
        <f t="shared" si="42"/>
        <v>0.16974552600582848</v>
      </c>
      <c r="BH37" s="24">
        <v>12</v>
      </c>
      <c r="BI37" s="24">
        <v>16.5</v>
      </c>
      <c r="BJ37" s="25">
        <f ca="1">(BD37*BH37+$AP37-$AQ37)/$H37</f>
        <v>44.273889810750589</v>
      </c>
      <c r="BK37" s="25">
        <f ca="1">(BF37*BI37+$AP37-$AQ37)/$H37</f>
        <v>101.46815162028945</v>
      </c>
      <c r="BL37" s="23">
        <f t="shared" ca="1" si="43"/>
        <v>-4.8607181579415126E-2</v>
      </c>
      <c r="BM37" s="23">
        <f t="shared" ca="1" si="44"/>
        <v>0.12304273491490592</v>
      </c>
      <c r="BN37" s="95" t="s">
        <v>665</v>
      </c>
      <c r="BO37" s="100" t="s">
        <v>84</v>
      </c>
      <c r="BP37" s="95" t="s">
        <v>667</v>
      </c>
      <c r="BQ37" s="98">
        <v>0</v>
      </c>
      <c r="BR37" s="98">
        <v>4.8</v>
      </c>
      <c r="BS37" s="98">
        <v>51.1</v>
      </c>
      <c r="BT37" t="s">
        <v>873</v>
      </c>
    </row>
    <row r="38" spans="1:72" ht="15" customHeight="1" x14ac:dyDescent="0.25">
      <c r="A38" s="86" t="e" vm="35">
        <v>#VALUE!</v>
      </c>
      <c r="B38" s="10" t="str">
        <f t="array" aca="1" ref="B38" ca="1">_FV(A38,"Símbolo bursátil",TRUE())</f>
        <v>NVDA</v>
      </c>
      <c r="C38" s="88" t="s">
        <v>135</v>
      </c>
      <c r="D38" s="88" t="s">
        <v>99</v>
      </c>
      <c r="E38" s="11" t="str">
        <f t="array" aca="1" ref="E38" ca="1">_FV(A38,"Abreviatura de intercambio",TRUE())</f>
        <v>XNAS</v>
      </c>
      <c r="F38" s="11" t="str">
        <f t="array" aca="1" ref="F38" ca="1">_FV(A38,"Moneda")</f>
        <v>USD</v>
      </c>
      <c r="G38" s="12">
        <f t="array" aca="1" ref="G38" ca="1">_FV(A38,"Precio")</f>
        <v>225.51</v>
      </c>
      <c r="H38" s="13">
        <f t="array" aca="1" ref="H38" ca="1">_FV(A38,"Acciones en circulación",TRUE())/1000000</f>
        <v>24100</v>
      </c>
      <c r="I38" s="14">
        <f t="shared" ca="1" si="25"/>
        <v>5434791</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53170</v>
      </c>
      <c r="AQ38" s="19">
        <v>12810</v>
      </c>
      <c r="AR38" s="19">
        <f ca="1">I38-AP38+AQ38</f>
        <v>5394431</v>
      </c>
      <c r="AS38" s="103">
        <v>122365</v>
      </c>
      <c r="AT38" s="19">
        <v>136729</v>
      </c>
      <c r="AU38" s="19">
        <v>165510</v>
      </c>
      <c r="AV38" s="19">
        <v>253490</v>
      </c>
      <c r="AW38" s="20">
        <f t="shared" ca="1" si="35"/>
        <v>44.084754627548726</v>
      </c>
      <c r="AX38" s="20">
        <f t="shared" ca="1" si="36"/>
        <v>32.592779892453628</v>
      </c>
      <c r="AY38" s="20">
        <f t="shared" ca="1" si="37"/>
        <v>21.280646179336465</v>
      </c>
      <c r="AZ38" s="21">
        <v>215590</v>
      </c>
      <c r="BA38" s="22">
        <f t="shared" si="38"/>
        <v>0.53938616907964809</v>
      </c>
      <c r="BB38" s="22">
        <f t="shared" si="39"/>
        <v>1.1757966510506053</v>
      </c>
      <c r="BC38" s="23">
        <f t="shared" si="40"/>
        <v>0.63420845122686575</v>
      </c>
      <c r="BD38" s="98">
        <v>179795</v>
      </c>
      <c r="BE38" s="23">
        <f t="shared" si="41"/>
        <v>8.0000804777190515E-2</v>
      </c>
      <c r="BF38">
        <v>279941.5</v>
      </c>
      <c r="BG38" s="23">
        <f t="shared" si="42"/>
        <v>0.18000001862190462</v>
      </c>
      <c r="BH38" s="24">
        <v>20</v>
      </c>
      <c r="BI38" s="24">
        <v>30</v>
      </c>
      <c r="BJ38" s="25">
        <f ca="1">(BD38*BH38+$AP38-$AQ38)/$H38</f>
        <v>150.88215767634856</v>
      </c>
      <c r="BK38" s="25">
        <f ca="1">(BF38*BI38+$AP38-$AQ38)/$H38</f>
        <v>350.14958506224065</v>
      </c>
      <c r="BL38" s="23">
        <f t="shared" ca="1" si="43"/>
        <v>-7.7227982756677749E-2</v>
      </c>
      <c r="BM38" s="23">
        <f t="shared" ca="1" si="44"/>
        <v>9.1987236473090706E-2</v>
      </c>
      <c r="BN38" s="96" t="s">
        <v>665</v>
      </c>
      <c r="BO38" t="s">
        <v>136</v>
      </c>
      <c r="BP38" t="s">
        <v>81</v>
      </c>
      <c r="BQ38" s="98"/>
      <c r="BR38" s="98"/>
      <c r="BS38" s="98"/>
    </row>
    <row r="39" spans="1:72" ht="15" customHeight="1" x14ac:dyDescent="0.25">
      <c r="A39" s="86" t="e" vm="36">
        <v>#VALUE!</v>
      </c>
      <c r="B39" s="10" t="str">
        <f t="array" aca="1" ref="B39" ca="1">_FV(A39,"Símbolo bursátil",TRUE())</f>
        <v>COR</v>
      </c>
      <c r="C39" s="88" t="s">
        <v>137</v>
      </c>
      <c r="D39" s="88" t="s">
        <v>90</v>
      </c>
      <c r="E39" s="11" t="str">
        <f t="array" aca="1" ref="E39" ca="1">_FV(A39,"Abreviatura de intercambio",TRUE())</f>
        <v>XLIS</v>
      </c>
      <c r="F39" s="11" t="str">
        <f t="array" aca="1" ref="F39" ca="1">_FV(A39,"Moneda")</f>
        <v>EUR</v>
      </c>
      <c r="G39" s="12">
        <f t="array" aca="1" ref="G39" ca="1">_FV(A39,"Precio")</f>
        <v>6.98</v>
      </c>
      <c r="H39" s="13">
        <f t="array" aca="1" ref="H39" ca="1">_FV(A39,"Acciones en circulación",TRUE())/1000000</f>
        <v>133</v>
      </c>
      <c r="I39" s="14">
        <f t="shared" ca="1" si="25"/>
        <v>928.34</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87</v>
      </c>
      <c r="AP39" s="19">
        <v>40</v>
      </c>
      <c r="AQ39" s="19">
        <v>140</v>
      </c>
      <c r="AR39" s="19">
        <f ca="1">I39-AP39+AQ39</f>
        <v>1028.3400000000001</v>
      </c>
      <c r="AS39" s="103">
        <v>175.3</v>
      </c>
      <c r="AT39" s="19">
        <v>100</v>
      </c>
      <c r="AU39" s="19">
        <v>170</v>
      </c>
      <c r="AV39" s="19">
        <v>900</v>
      </c>
      <c r="AW39" s="20">
        <f t="shared" ca="1" si="35"/>
        <v>5.8661722760981183</v>
      </c>
      <c r="AX39" s="20">
        <f t="shared" ca="1" si="36"/>
        <v>6.0490588235294123</v>
      </c>
      <c r="AY39" s="20">
        <f t="shared" ca="1" si="37"/>
        <v>1.1426000000000001</v>
      </c>
      <c r="AZ39" s="21">
        <v>750</v>
      </c>
      <c r="BA39" s="22">
        <f t="shared" si="38"/>
        <v>0.1111111111111111</v>
      </c>
      <c r="BB39" s="22">
        <f t="shared" si="39"/>
        <v>1.2</v>
      </c>
      <c r="BC39" s="23">
        <f t="shared" si="40"/>
        <v>0.13333333333333333</v>
      </c>
      <c r="BD39" s="98">
        <v>175.3</v>
      </c>
      <c r="BE39" s="23">
        <f t="shared" si="41"/>
        <v>0</v>
      </c>
      <c r="BF39">
        <v>269.5</v>
      </c>
      <c r="BG39" s="23">
        <f t="shared" si="42"/>
        <v>8.9821498170825631E-2</v>
      </c>
      <c r="BH39" s="24">
        <v>8.5</v>
      </c>
      <c r="BI39" s="24">
        <v>12</v>
      </c>
      <c r="BJ39" s="25">
        <f ca="1">(BD39*BH39+$AP39-$AQ39)/$H39</f>
        <v>10.451503759398497</v>
      </c>
      <c r="BK39" s="25">
        <f ca="1">(BF39*BI39+$AP39-$AQ39)/$H39</f>
        <v>23.563909774436091</v>
      </c>
      <c r="BL39" s="23">
        <f t="shared" ca="1" si="43"/>
        <v>8.4088335857751995E-2</v>
      </c>
      <c r="BM39" s="23">
        <f t="shared" ca="1" si="44"/>
        <v>0.27549389927801005</v>
      </c>
      <c r="BN39" s="93" t="s">
        <v>123</v>
      </c>
      <c r="BO39" s="94" t="s">
        <v>84</v>
      </c>
      <c r="BP39" s="93" t="s">
        <v>138</v>
      </c>
      <c r="BQ39" s="98">
        <v>0</v>
      </c>
      <c r="BR39" s="98">
        <v>0</v>
      </c>
      <c r="BS39" s="98">
        <v>175.3</v>
      </c>
      <c r="BT39" t="s">
        <v>873</v>
      </c>
    </row>
    <row r="40" spans="1:72" ht="15" customHeight="1" x14ac:dyDescent="0.25">
      <c r="A40" s="86" t="e" vm="37">
        <v>#VALUE!</v>
      </c>
      <c r="B40" s="10" t="str">
        <f t="array" aca="1" ref="B40" ca="1">_FV(A40,"Símbolo bursátil",TRUE())</f>
        <v>TSM</v>
      </c>
      <c r="C40" s="88" t="s">
        <v>135</v>
      </c>
      <c r="D40" s="88" t="s">
        <v>77</v>
      </c>
      <c r="E40" s="11" t="str">
        <f t="array" aca="1" ref="E40" ca="1">_FV(A40,"Abreviatura de intercambio",TRUE())</f>
        <v>XNYS</v>
      </c>
      <c r="F40" s="11" t="str">
        <f t="array" aca="1" ref="F40" ca="1">_FV(A40,"Moneda")</f>
        <v>USD</v>
      </c>
      <c r="G40" s="12">
        <f t="array" aca="1" ref="G40" ca="1">_FV(A40,"Precio")</f>
        <v>439.6755</v>
      </c>
      <c r="H40" s="13">
        <f t="array" aca="1" ref="H40" ca="1">_FV(A40,"Acciones en circulación",TRUE())/1000000</f>
        <v>5186.4740000000002</v>
      </c>
      <c r="I40" s="14">
        <f t="shared" ca="1" si="25"/>
        <v>2280365.5491869999</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110580</v>
      </c>
      <c r="AQ40" s="19">
        <v>33590</v>
      </c>
      <c r="AR40" s="19">
        <f ca="1">I40-AP40+AQ40</f>
        <v>2203375.5491869999</v>
      </c>
      <c r="AS40" s="103">
        <v>59255</v>
      </c>
      <c r="AT40" s="19">
        <v>65027</v>
      </c>
      <c r="AU40" s="19">
        <v>99560</v>
      </c>
      <c r="AV40" s="19">
        <v>139570</v>
      </c>
      <c r="AW40" s="20">
        <f t="shared" ca="1" si="35"/>
        <v>37.184635038173994</v>
      </c>
      <c r="AX40" s="20">
        <f t="shared" ca="1" si="36"/>
        <v>22.131132474758939</v>
      </c>
      <c r="AY40" s="20">
        <f t="shared" ca="1" si="37"/>
        <v>15.786885069764276</v>
      </c>
      <c r="AZ40" s="21">
        <v>244100</v>
      </c>
      <c r="BA40" s="22">
        <f t="shared" si="38"/>
        <v>0.46590957942251199</v>
      </c>
      <c r="BB40" s="22">
        <f t="shared" si="39"/>
        <v>0.57177386317083168</v>
      </c>
      <c r="BC40" s="23">
        <f t="shared" si="40"/>
        <v>0.26639492011470711</v>
      </c>
      <c r="BD40" s="98">
        <v>87064.2</v>
      </c>
      <c r="BE40" s="23">
        <f t="shared" si="41"/>
        <v>7.9997927963835647E-2</v>
      </c>
      <c r="BF40">
        <v>124455.7</v>
      </c>
      <c r="BG40" s="23">
        <f t="shared" si="42"/>
        <v>0.15999991626184928</v>
      </c>
      <c r="BH40" s="24">
        <v>14</v>
      </c>
      <c r="BI40" s="24">
        <v>22</v>
      </c>
      <c r="BJ40" s="25">
        <f ca="1">(BD40*BH40+$AP40-$AQ40)/$H40</f>
        <v>249.85930711307913</v>
      </c>
      <c r="BK40" s="25">
        <f ca="1">(BF40*BI40+$AP40-$AQ40)/$H40</f>
        <v>542.76092003931763</v>
      </c>
      <c r="BL40" s="23">
        <f t="shared" ca="1" si="43"/>
        <v>-0.10687416321939092</v>
      </c>
      <c r="BM40" s="23">
        <f t="shared" ca="1" si="44"/>
        <v>4.3026303429581914E-2</v>
      </c>
      <c r="BN40" s="95" t="s">
        <v>665</v>
      </c>
      <c r="BO40" s="93" t="s">
        <v>130</v>
      </c>
      <c r="BP40" s="93" t="s">
        <v>139</v>
      </c>
      <c r="BQ40" s="98"/>
      <c r="BR40" s="98"/>
      <c r="BS40" s="98"/>
    </row>
    <row r="41" spans="1:72" ht="15" customHeight="1" x14ac:dyDescent="0.25">
      <c r="A41" s="86" t="e" vm="38">
        <v>#VALUE!</v>
      </c>
      <c r="B41" s="10" t="str">
        <f t="array" aca="1" ref="B41" ca="1">_FV(A41,"Símbolo bursátil",TRUE())</f>
        <v>SPOT</v>
      </c>
      <c r="C41" s="88" t="s">
        <v>108</v>
      </c>
      <c r="D41" s="88" t="s">
        <v>99</v>
      </c>
      <c r="E41" s="11" t="str">
        <f t="array" aca="1" ref="E41" ca="1">_FV(A41,"Abreviatura de intercambio",TRUE())</f>
        <v>XNYS</v>
      </c>
      <c r="F41" s="11" t="str">
        <f t="array" aca="1" ref="F41" ca="1">_FV(A41,"Moneda")</f>
        <v>USD</v>
      </c>
      <c r="G41" s="12">
        <f t="array" aca="1" ref="G41" ca="1">_FV(A41,"Precio")</f>
        <v>529.13499999999999</v>
      </c>
      <c r="H41" s="13">
        <f t="array" aca="1" ref="H41" ca="1">_FV(A41,"Acciones en circulación",TRUE())/1000000</f>
        <v>205.5342</v>
      </c>
      <c r="I41" s="14">
        <f t="shared" ca="1" si="25"/>
        <v>108755.338917</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87</v>
      </c>
      <c r="AP41" s="19">
        <v>6985</v>
      </c>
      <c r="AQ41" s="19">
        <v>466</v>
      </c>
      <c r="AR41" s="19">
        <f ca="1">I41*'Framework Notes'!E8-AP41+AQ41</f>
        <v>87021.467002511694</v>
      </c>
      <c r="AS41" s="103">
        <v>2993</v>
      </c>
      <c r="AT41" s="19">
        <v>2122</v>
      </c>
      <c r="AU41" s="19">
        <v>2750</v>
      </c>
      <c r="AV41" s="19">
        <v>18113</v>
      </c>
      <c r="AW41" s="20">
        <f t="shared" ca="1" si="35"/>
        <v>29.074997327935748</v>
      </c>
      <c r="AX41" s="20">
        <f t="shared" ca="1" si="36"/>
        <v>31.644169819095161</v>
      </c>
      <c r="AY41" s="20">
        <f t="shared" ca="1" si="37"/>
        <v>4.8043652074483347</v>
      </c>
      <c r="AZ41" s="21">
        <v>8834</v>
      </c>
      <c r="BA41" s="22">
        <f t="shared" si="38"/>
        <v>0.11715342571633633</v>
      </c>
      <c r="BB41" s="22">
        <f t="shared" si="39"/>
        <v>2.0503735567127008</v>
      </c>
      <c r="BC41" s="23">
        <f t="shared" si="40"/>
        <v>0.2402082861670817</v>
      </c>
      <c r="BD41" s="98">
        <v>3469.4</v>
      </c>
      <c r="BE41" s="23">
        <f t="shared" si="41"/>
        <v>2.9981754384583947E-2</v>
      </c>
      <c r="BF41">
        <v>4820.7</v>
      </c>
      <c r="BG41" s="23">
        <f t="shared" si="42"/>
        <v>0.10002024411140997</v>
      </c>
      <c r="BH41" s="24">
        <v>18</v>
      </c>
      <c r="BI41" s="24">
        <v>25</v>
      </c>
      <c r="BJ41" s="25">
        <f ca="1">((BD41*BH41+$AP41-$AQ41)/$H41)/'Framework Notes'!E8</f>
        <v>390.13583827863613</v>
      </c>
      <c r="BK41" s="25">
        <f ca="1">((BF41*BI41+$AP41-$AQ41)/$H41)/'Framework Notes'!E8</f>
        <v>718.61367151069567</v>
      </c>
      <c r="BL41" s="23">
        <f t="shared" ca="1" si="43"/>
        <v>-5.9129457458606982E-2</v>
      </c>
      <c r="BM41" s="23">
        <f t="shared" ca="1" si="44"/>
        <v>6.3128589344169317E-2</v>
      </c>
      <c r="BN41" s="95" t="s">
        <v>665</v>
      </c>
      <c r="BO41" s="95" t="s">
        <v>84</v>
      </c>
      <c r="BP41" s="95" t="s">
        <v>85</v>
      </c>
      <c r="BQ41" s="98">
        <v>274</v>
      </c>
      <c r="BR41" s="98">
        <v>0</v>
      </c>
      <c r="BS41" s="98">
        <v>2993</v>
      </c>
      <c r="BT41" t="s">
        <v>871</v>
      </c>
    </row>
    <row r="42" spans="1:72" ht="15" customHeight="1" x14ac:dyDescent="0.25">
      <c r="A42" s="86" t="e" vm="39">
        <v>#VALUE!</v>
      </c>
      <c r="B42" s="10" t="str">
        <f t="array" aca="1" ref="B42" ca="1">_FV(A42,"Símbolo bursátil",TRUE())</f>
        <v>PRY</v>
      </c>
      <c r="C42" s="88" t="s">
        <v>106</v>
      </c>
      <c r="D42" s="88" t="s">
        <v>77</v>
      </c>
      <c r="E42" s="11" t="str">
        <f t="array" aca="1" ref="E42" ca="1">_FV(A42,"Abreviatura de intercambio",TRUE())</f>
        <v>XMIL</v>
      </c>
      <c r="F42" s="11" t="str">
        <f t="array" aca="1" ref="F42" ca="1">_FV(A42,"Moneda")</f>
        <v>EUR</v>
      </c>
      <c r="G42" s="12">
        <f t="array" aca="1" ref="G42" ca="1">_FV(A42,"Precio")</f>
        <v>128.5</v>
      </c>
      <c r="H42" s="13">
        <f t="array" aca="1" ref="H42" ca="1">_FV(A42,"Acciones en circulación",TRUE())/1000000</f>
        <v>301.83679999999998</v>
      </c>
      <c r="I42" s="14">
        <f t="shared" ca="1" si="25"/>
        <v>38786.0288</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87</v>
      </c>
      <c r="AP42" s="19">
        <v>2600</v>
      </c>
      <c r="AQ42" s="19">
        <v>4917</v>
      </c>
      <c r="AR42" s="19">
        <f t="shared" ref="AR42:AR48" ca="1" si="45">I42-AP42+AQ42</f>
        <v>41103.0288</v>
      </c>
      <c r="AS42" s="103">
        <v>1418</v>
      </c>
      <c r="AT42" s="19">
        <v>1419</v>
      </c>
      <c r="AU42" s="19">
        <v>2398</v>
      </c>
      <c r="AV42" s="19">
        <v>19650</v>
      </c>
      <c r="AW42" s="20">
        <f t="shared" ca="1" si="35"/>
        <v>28.986621156558535</v>
      </c>
      <c r="AX42" s="20">
        <f t="shared" ca="1" si="36"/>
        <v>17.140545788156796</v>
      </c>
      <c r="AY42" s="20">
        <f t="shared" ca="1" si="37"/>
        <v>2.0917571908396946</v>
      </c>
      <c r="AZ42" s="21">
        <v>13130</v>
      </c>
      <c r="BA42" s="22">
        <f t="shared" si="38"/>
        <v>7.2213740458015263E-2</v>
      </c>
      <c r="BB42" s="22">
        <f t="shared" si="39"/>
        <v>1.4965727341964965</v>
      </c>
      <c r="BC42" s="23">
        <f t="shared" si="40"/>
        <v>0.10807311500380806</v>
      </c>
      <c r="BD42" s="98">
        <v>2059.8000000000002</v>
      </c>
      <c r="BE42" s="23">
        <f t="shared" si="41"/>
        <v>7.7530978057582356E-2</v>
      </c>
      <c r="BF42">
        <v>4233.3999999999996</v>
      </c>
      <c r="BG42" s="23">
        <f t="shared" si="42"/>
        <v>0.24452210512141526</v>
      </c>
      <c r="BH42" s="24">
        <v>18</v>
      </c>
      <c r="BI42" s="24">
        <v>22.5</v>
      </c>
      <c r="BJ42" s="25">
        <f t="shared" ref="BJ42:BJ48" ca="1" si="46">(BD42*BH42+$AP42-$AQ42)/$H42</f>
        <v>115.15958292693271</v>
      </c>
      <c r="BK42" s="25">
        <f t="shared" ref="BK42:BK48" ca="1" si="47">(BF42*BI42+$AP42-$AQ42)/$H42</f>
        <v>307.89651891353208</v>
      </c>
      <c r="BL42" s="23">
        <f t="shared" ca="1" si="43"/>
        <v>-2.1683471029413814E-2</v>
      </c>
      <c r="BM42" s="23">
        <f t="shared" ca="1" si="44"/>
        <v>0.19096865156941067</v>
      </c>
      <c r="BN42" s="95" t="s">
        <v>512</v>
      </c>
      <c r="BO42" s="93" t="s">
        <v>105</v>
      </c>
      <c r="BP42" s="93" t="s">
        <v>138</v>
      </c>
      <c r="BQ42" s="98">
        <v>86</v>
      </c>
      <c r="BR42" s="98">
        <v>89</v>
      </c>
      <c r="BS42" s="98">
        <v>1507</v>
      </c>
      <c r="BT42" t="s">
        <v>871</v>
      </c>
    </row>
    <row r="43" spans="1:72" ht="15" customHeight="1" x14ac:dyDescent="0.25">
      <c r="A43" s="86" t="e" vm="40">
        <v>#VALUE!</v>
      </c>
      <c r="B43" s="10" t="str">
        <f t="array" aca="1" ref="B43" ca="1">_FV(A43,"Símbolo bursátil",TRUE())</f>
        <v>JFN</v>
      </c>
      <c r="C43" s="88" t="s">
        <v>131</v>
      </c>
      <c r="D43" s="88" t="s">
        <v>90</v>
      </c>
      <c r="E43" s="11" t="str">
        <f t="array" aca="1" ref="E43" ca="1">_FV(A43,"Abreviatura de intercambio",TRUE())</f>
        <v>XSWX</v>
      </c>
      <c r="F43" s="11" t="str">
        <f t="array" aca="1" ref="F43" ca="1">_FV(A43,"Moneda")</f>
        <v>CHF</v>
      </c>
      <c r="G43" s="12">
        <f t="array" aca="1" ref="G43" ca="1">_FV(A43,"Precio")</f>
        <v>255.5</v>
      </c>
      <c r="H43" s="13">
        <f t="array" aca="1" ref="H43" ca="1">_FV(A43,"Acciones en circulación",TRUE())/1000000</f>
        <v>5.835</v>
      </c>
      <c r="I43" s="14">
        <f t="shared" ca="1" si="25"/>
        <v>1490.8425</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126</v>
      </c>
      <c r="AP43" s="19">
        <v>75</v>
      </c>
      <c r="AQ43" s="19">
        <v>0</v>
      </c>
      <c r="AR43" s="19">
        <f t="shared" ca="1" si="45"/>
        <v>1415.8425</v>
      </c>
      <c r="AS43" s="103">
        <v>74.400000000000006</v>
      </c>
      <c r="AT43" s="19">
        <v>78</v>
      </c>
      <c r="AU43" s="19">
        <v>138</v>
      </c>
      <c r="AV43" s="19">
        <v>306</v>
      </c>
      <c r="AW43" s="20">
        <f t="shared" ca="1" si="35"/>
        <v>19.030141129032256</v>
      </c>
      <c r="AX43" s="20">
        <f t="shared" ca="1" si="36"/>
        <v>10.259728260869565</v>
      </c>
      <c r="AY43" s="20">
        <f t="shared" ca="1" si="37"/>
        <v>4.6269362745098039</v>
      </c>
      <c r="AZ43" s="21">
        <v>450</v>
      </c>
      <c r="BA43" s="22">
        <f t="shared" si="38"/>
        <v>0.25490196078431371</v>
      </c>
      <c r="BB43" s="22">
        <f t="shared" si="39"/>
        <v>0.68</v>
      </c>
      <c r="BC43" s="23">
        <f t="shared" si="40"/>
        <v>0.17333333333333334</v>
      </c>
      <c r="BD43" s="98">
        <v>54.6</v>
      </c>
      <c r="BE43" s="23">
        <f t="shared" si="41"/>
        <v>-6.0008467575438429E-2</v>
      </c>
      <c r="BF43">
        <v>76.400000000000006</v>
      </c>
      <c r="BG43" s="23">
        <f t="shared" si="42"/>
        <v>5.3194491617021278E-3</v>
      </c>
      <c r="BH43" s="24">
        <v>15</v>
      </c>
      <c r="BI43" s="24">
        <v>22</v>
      </c>
      <c r="BJ43" s="25">
        <f t="shared" ca="1" si="46"/>
        <v>153.2133676092545</v>
      </c>
      <c r="BK43" s="25">
        <f t="shared" ca="1" si="47"/>
        <v>300.90831191088262</v>
      </c>
      <c r="BL43" s="23">
        <f t="shared" ca="1" si="43"/>
        <v>-9.7221618192669501E-2</v>
      </c>
      <c r="BM43" s="23">
        <f t="shared" ca="1" si="44"/>
        <v>3.3257713252708765E-2</v>
      </c>
      <c r="BN43" s="93" t="s">
        <v>104</v>
      </c>
      <c r="BO43" s="93" t="s">
        <v>140</v>
      </c>
      <c r="BP43" s="93" t="s">
        <v>141</v>
      </c>
      <c r="BQ43" s="98">
        <v>0</v>
      </c>
      <c r="BR43" s="98">
        <v>0</v>
      </c>
      <c r="BS43" s="98">
        <v>74.400000000000006</v>
      </c>
      <c r="BT43" t="s">
        <v>873</v>
      </c>
    </row>
    <row r="44" spans="1:72" ht="15" customHeight="1" x14ac:dyDescent="0.25">
      <c r="A44" s="86" t="e" vm="41">
        <v>#VALUE!</v>
      </c>
      <c r="B44" s="10" t="str">
        <f t="array" aca="1" ref="B44" ca="1">_FV(A44,"Símbolo bursátil",TRUE())</f>
        <v>CPR</v>
      </c>
      <c r="C44" s="88" t="s">
        <v>137</v>
      </c>
      <c r="D44" s="88" t="s">
        <v>90</v>
      </c>
      <c r="E44" s="11" t="str">
        <f t="array" aca="1" ref="E44" ca="1">_FV(A44,"Abreviatura de intercambio",TRUE())</f>
        <v>XMIL</v>
      </c>
      <c r="F44" s="11" t="str">
        <f t="array" aca="1" ref="F44" ca="1">_FV(A44,"Moneda")</f>
        <v>EUR</v>
      </c>
      <c r="G44" s="12">
        <f t="array" aca="1" ref="G44" ca="1">_FV(A44,"Precio")</f>
        <v>5.7679999999999998</v>
      </c>
      <c r="H44" s="13">
        <f t="array" aca="1" ref="H44" ca="1">_FV(A44,"Acciones en circulación",TRUE())/1000000</f>
        <v>1231.268</v>
      </c>
      <c r="I44" s="14">
        <f t="shared" ca="1" si="25"/>
        <v>7101.9538240000002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8</v>
      </c>
      <c r="AH44" s="90">
        <v>0</v>
      </c>
      <c r="AI44" s="90">
        <v>8</v>
      </c>
      <c r="AJ44" s="90">
        <v>12</v>
      </c>
      <c r="AK44" s="90">
        <v>-5</v>
      </c>
      <c r="AL44" s="15">
        <f t="shared" si="32"/>
        <v>40</v>
      </c>
      <c r="AM44" s="16">
        <f t="shared" si="33"/>
        <v>5.71</v>
      </c>
      <c r="AN44" s="17">
        <f t="shared" si="34"/>
        <v>5.44</v>
      </c>
      <c r="AO44" s="18" t="s">
        <v>87</v>
      </c>
      <c r="AP44" s="19">
        <v>711</v>
      </c>
      <c r="AQ44" s="19">
        <v>2806</v>
      </c>
      <c r="AR44" s="19">
        <f t="shared" ca="1" si="45"/>
        <v>9196.9538240000002</v>
      </c>
      <c r="AS44" s="103">
        <v>365.1</v>
      </c>
      <c r="AT44" s="19">
        <v>412</v>
      </c>
      <c r="AU44" s="19">
        <v>664</v>
      </c>
      <c r="AV44" s="19">
        <v>3035</v>
      </c>
      <c r="AW44" s="20">
        <f t="shared" ca="1" si="35"/>
        <v>25.190232330868255</v>
      </c>
      <c r="AX44" s="20">
        <f t="shared" ca="1" si="36"/>
        <v>13.850834072289157</v>
      </c>
      <c r="AY44" s="20">
        <f t="shared" ca="1" si="37"/>
        <v>3.0302978003294894</v>
      </c>
      <c r="AZ44" s="21">
        <v>7090</v>
      </c>
      <c r="BA44" s="22">
        <f t="shared" si="38"/>
        <v>0.1357495881383855</v>
      </c>
      <c r="BB44" s="22">
        <f t="shared" si="39"/>
        <v>0.42806770098730607</v>
      </c>
      <c r="BC44" s="23">
        <f t="shared" si="40"/>
        <v>5.8110014104372353E-2</v>
      </c>
      <c r="BD44" s="98">
        <v>423.1</v>
      </c>
      <c r="BE44" s="23">
        <f t="shared" si="41"/>
        <v>2.9926513740077709E-2</v>
      </c>
      <c r="BF44">
        <v>614.9</v>
      </c>
      <c r="BG44" s="23">
        <f t="shared" si="42"/>
        <v>0.10988640567707009</v>
      </c>
      <c r="BH44" s="24">
        <v>15</v>
      </c>
      <c r="BI44" s="24">
        <v>20</v>
      </c>
      <c r="BJ44" s="25">
        <f t="shared" ca="1" si="46"/>
        <v>3.4529444442639621</v>
      </c>
      <c r="BK44" s="25">
        <f t="shared" ca="1" si="47"/>
        <v>8.2865793637128551</v>
      </c>
      <c r="BL44" s="23">
        <f t="shared" ca="1" si="43"/>
        <v>-9.7529804922325991E-2</v>
      </c>
      <c r="BM44" s="23">
        <f t="shared" ca="1" si="44"/>
        <v>7.515234993159825E-2</v>
      </c>
      <c r="BN44" s="95" t="s">
        <v>824</v>
      </c>
      <c r="BO44" s="95" t="s">
        <v>84</v>
      </c>
      <c r="BP44" s="95" t="s">
        <v>85</v>
      </c>
      <c r="BQ44" s="98">
        <v>23.2</v>
      </c>
      <c r="BR44" s="98">
        <v>151</v>
      </c>
      <c r="BS44" s="98">
        <v>516.1</v>
      </c>
      <c r="BT44" t="s">
        <v>872</v>
      </c>
    </row>
    <row r="45" spans="1:72" ht="15" customHeight="1" x14ac:dyDescent="0.25">
      <c r="A45" s="86" t="e" vm="42">
        <v>#VALUE!</v>
      </c>
      <c r="B45" s="10" t="str">
        <f t="array" aca="1" ref="B45" ca="1">_FV(A45,"Símbolo bursátil",TRUE())</f>
        <v>SIKA</v>
      </c>
      <c r="C45" s="88" t="s">
        <v>132</v>
      </c>
      <c r="D45" s="88" t="s">
        <v>77</v>
      </c>
      <c r="E45" s="11" t="str">
        <f t="array" aca="1" ref="E45" ca="1">_FV(A45,"Abreviatura de intercambio",TRUE())</f>
        <v>XSWX</v>
      </c>
      <c r="F45" s="11" t="str">
        <f t="array" aca="1" ref="F45" ca="1">_FV(A45,"Moneda")</f>
        <v>CHF</v>
      </c>
      <c r="G45" s="12">
        <f t="array" aca="1" ref="G45" ca="1">_FV(A45,"Precio")</f>
        <v>193.95</v>
      </c>
      <c r="H45" s="13">
        <f t="array" aca="1" ref="H45" ca="1">_FV(A45,"Acciones en circulación",TRUE())/1000000</f>
        <v>160.47929999999999</v>
      </c>
      <c r="I45" s="14">
        <f t="shared" ca="1" si="25"/>
        <v>31124.960234999999</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126</v>
      </c>
      <c r="AP45" s="19">
        <v>625</v>
      </c>
      <c r="AQ45" s="19">
        <v>6080</v>
      </c>
      <c r="AR45" s="19">
        <f t="shared" ca="1" si="45"/>
        <v>36579.960234999999</v>
      </c>
      <c r="AS45" s="103">
        <v>1332.5</v>
      </c>
      <c r="AT45" s="19">
        <v>1173</v>
      </c>
      <c r="AU45" s="19">
        <v>1940</v>
      </c>
      <c r="AV45" s="19">
        <v>11110</v>
      </c>
      <c r="AW45" s="20">
        <f t="shared" ca="1" si="35"/>
        <v>27.452127756097561</v>
      </c>
      <c r="AX45" s="20">
        <f t="shared" ca="1" si="36"/>
        <v>18.855649605670102</v>
      </c>
      <c r="AY45" s="20">
        <f t="shared" ca="1" si="37"/>
        <v>3.2925256737173716</v>
      </c>
      <c r="AZ45" s="21">
        <v>12207</v>
      </c>
      <c r="BA45" s="22">
        <f t="shared" si="38"/>
        <v>0.10558055805580559</v>
      </c>
      <c r="BB45" s="22">
        <f t="shared" si="39"/>
        <v>0.91013352994183661</v>
      </c>
      <c r="BC45" s="23">
        <f t="shared" si="40"/>
        <v>9.6092405996559355E-2</v>
      </c>
      <c r="BD45" s="98">
        <v>1544.5</v>
      </c>
      <c r="BE45" s="23">
        <f t="shared" si="41"/>
        <v>2.9968965560399852E-2</v>
      </c>
      <c r="BF45">
        <v>2245.9</v>
      </c>
      <c r="BG45" s="23">
        <f t="shared" si="42"/>
        <v>0.11005536330738686</v>
      </c>
      <c r="BH45" s="24">
        <v>18</v>
      </c>
      <c r="BI45" s="24">
        <v>22.5</v>
      </c>
      <c r="BJ45" s="25">
        <f t="shared" ca="1" si="46"/>
        <v>139.24537307926943</v>
      </c>
      <c r="BK45" s="25">
        <f t="shared" ca="1" si="47"/>
        <v>280.89448296446955</v>
      </c>
      <c r="BL45" s="23">
        <f t="shared" ca="1" si="43"/>
        <v>-6.4124242111667118E-2</v>
      </c>
      <c r="BM45" s="23">
        <f t="shared" ca="1" si="44"/>
        <v>7.6888365816754956E-2</v>
      </c>
      <c r="BN45" s="95" t="s">
        <v>665</v>
      </c>
      <c r="BO45" s="93" t="s">
        <v>124</v>
      </c>
      <c r="BP45" s="93" t="s">
        <v>119</v>
      </c>
      <c r="BQ45" s="98">
        <v>0</v>
      </c>
      <c r="BR45" s="98">
        <v>0</v>
      </c>
      <c r="BS45" s="98">
        <v>1332.5</v>
      </c>
      <c r="BT45" t="s">
        <v>873</v>
      </c>
    </row>
    <row r="46" spans="1:72" ht="15" customHeight="1" x14ac:dyDescent="0.25">
      <c r="A46" s="86" t="e" vm="43">
        <v>#VALUE!</v>
      </c>
      <c r="B46" s="10" t="str">
        <f t="array" aca="1" ref="B46" ca="1">_FV(A46,"Símbolo bursátil",TRUE())</f>
        <v>CHKP</v>
      </c>
      <c r="C46" s="88" t="s">
        <v>98</v>
      </c>
      <c r="D46" s="88" t="s">
        <v>142</v>
      </c>
      <c r="E46" s="11" t="str">
        <f t="array" aca="1" ref="E46" ca="1">_FV(A46,"Abreviatura de intercambio",TRUE())</f>
        <v>XNAS</v>
      </c>
      <c r="F46" s="11" t="str">
        <f t="array" aca="1" ref="F46" ca="1">_FV(A46,"Moneda")</f>
        <v>USD</v>
      </c>
      <c r="G46" s="12">
        <f t="array" aca="1" ref="G46" ca="1">_FV(A46,"Precio")</f>
        <v>133.68</v>
      </c>
      <c r="H46" s="13">
        <f t="array" aca="1" ref="H46" ca="1">_FV(A46,"Acciones en circulación",TRUE())/1000000</f>
        <v>102.1006</v>
      </c>
      <c r="I46" s="14">
        <f t="shared" ca="1" si="25"/>
        <v>13648.808208</v>
      </c>
      <c r="J46" s="90">
        <v>1</v>
      </c>
      <c r="K46" s="90">
        <v>5</v>
      </c>
      <c r="L46" s="90">
        <v>1</v>
      </c>
      <c r="M46" s="90">
        <v>1</v>
      </c>
      <c r="N46" s="90">
        <v>0</v>
      </c>
      <c r="O46" s="90">
        <v>0</v>
      </c>
      <c r="P46" s="90">
        <v>0</v>
      </c>
      <c r="Q46" s="90">
        <v>0</v>
      </c>
      <c r="R46" s="15">
        <f t="shared" si="28"/>
        <v>8</v>
      </c>
      <c r="S46" s="16">
        <f t="shared" si="29"/>
        <v>5</v>
      </c>
      <c r="T46" s="90">
        <v>15</v>
      </c>
      <c r="U46" s="90">
        <v>11</v>
      </c>
      <c r="V46" s="90">
        <v>9</v>
      </c>
      <c r="W46" s="90">
        <v>7</v>
      </c>
      <c r="X46" s="90">
        <v>8</v>
      </c>
      <c r="Y46" s="90">
        <v>9</v>
      </c>
      <c r="Z46" s="90">
        <v>6</v>
      </c>
      <c r="AA46" s="90">
        <v>-12</v>
      </c>
      <c r="AB46" s="15">
        <f t="shared" si="30"/>
        <v>53</v>
      </c>
      <c r="AC46" s="16">
        <f t="shared" si="31"/>
        <v>5.3</v>
      </c>
      <c r="AD46" s="90">
        <v>11</v>
      </c>
      <c r="AE46" s="90">
        <v>-5</v>
      </c>
      <c r="AF46" s="90">
        <v>10</v>
      </c>
      <c r="AG46" s="90">
        <v>11</v>
      </c>
      <c r="AH46" s="90">
        <v>4</v>
      </c>
      <c r="AI46" s="90">
        <v>6</v>
      </c>
      <c r="AJ46" s="90">
        <v>9</v>
      </c>
      <c r="AK46" s="90">
        <v>-8</v>
      </c>
      <c r="AL46" s="15">
        <f t="shared" si="32"/>
        <v>38</v>
      </c>
      <c r="AM46" s="16">
        <f t="shared" si="33"/>
        <v>5.43</v>
      </c>
      <c r="AN46" s="17">
        <f t="shared" si="34"/>
        <v>5.29</v>
      </c>
      <c r="AO46" s="18" t="s">
        <v>78</v>
      </c>
      <c r="AP46" s="19">
        <v>2280</v>
      </c>
      <c r="AQ46" s="19">
        <v>1970</v>
      </c>
      <c r="AR46" s="19">
        <f t="shared" ca="1" si="45"/>
        <v>13338.808208</v>
      </c>
      <c r="AS46" s="103">
        <v>865.5</v>
      </c>
      <c r="AT46" s="19">
        <v>682</v>
      </c>
      <c r="AU46" s="19">
        <v>846</v>
      </c>
      <c r="AV46" s="19">
        <v>2760</v>
      </c>
      <c r="AW46" s="20">
        <f t="shared" ca="1" si="35"/>
        <v>15.41167903870595</v>
      </c>
      <c r="AX46" s="20">
        <f t="shared" ca="1" si="36"/>
        <v>15.766912775413712</v>
      </c>
      <c r="AY46" s="20">
        <f t="shared" ca="1" si="37"/>
        <v>4.8329015246376814</v>
      </c>
      <c r="AZ46" s="21">
        <v>5759</v>
      </c>
      <c r="BA46" s="22">
        <f t="shared" si="38"/>
        <v>0.24710144927536232</v>
      </c>
      <c r="BB46" s="22">
        <f t="shared" si="39"/>
        <v>0.47924986976905715</v>
      </c>
      <c r="BC46" s="23">
        <f t="shared" si="40"/>
        <v>0.11842333738496268</v>
      </c>
      <c r="BD46" s="98">
        <v>955.4</v>
      </c>
      <c r="BE46" s="23">
        <f t="shared" si="41"/>
        <v>1.9961157070788049E-2</v>
      </c>
      <c r="BF46">
        <v>1394.1</v>
      </c>
      <c r="BG46" s="23">
        <f t="shared" si="42"/>
        <v>0.10003213171593894</v>
      </c>
      <c r="BH46" s="24">
        <v>6</v>
      </c>
      <c r="BI46" s="24">
        <v>15</v>
      </c>
      <c r="BJ46" s="25">
        <f t="shared" ca="1" si="46"/>
        <v>59.180847125286235</v>
      </c>
      <c r="BK46" s="25">
        <f t="shared" ca="1" si="47"/>
        <v>207.84892547154473</v>
      </c>
      <c r="BL46" s="23">
        <f t="shared" ca="1" si="43"/>
        <v>-0.15038348031224003</v>
      </c>
      <c r="BM46" s="23">
        <f t="shared" ca="1" si="44"/>
        <v>9.2285753733230447E-2</v>
      </c>
      <c r="BN46" s="95" t="s">
        <v>824</v>
      </c>
      <c r="BO46" s="93" t="s">
        <v>105</v>
      </c>
      <c r="BP46" s="93" t="s">
        <v>85</v>
      </c>
      <c r="BQ46" s="98">
        <v>234.2</v>
      </c>
      <c r="BR46" s="98">
        <v>0</v>
      </c>
      <c r="BS46" s="98">
        <v>865.5</v>
      </c>
      <c r="BT46" t="s">
        <v>871</v>
      </c>
    </row>
    <row r="47" spans="1:72" ht="15" customHeight="1" x14ac:dyDescent="0.25">
      <c r="A47" s="86" t="e" vm="44">
        <v>#VALUE!</v>
      </c>
      <c r="B47" s="10" t="str">
        <f t="array" aca="1" ref="B47" ca="1">_FV(A47,"Símbolo bursátil",TRUE())</f>
        <v>TGYM</v>
      </c>
      <c r="C47" s="88" t="s">
        <v>131</v>
      </c>
      <c r="D47" s="88" t="s">
        <v>77</v>
      </c>
      <c r="E47" s="11" t="str">
        <f t="array" aca="1" ref="E47" ca="1">_FV(A47,"Abreviatura de intercambio",TRUE())</f>
        <v>XMIL</v>
      </c>
      <c r="F47" s="11" t="str">
        <f t="array" aca="1" ref="F47" ca="1">_FV(A47,"Moneda")</f>
        <v>EUR</v>
      </c>
      <c r="G47" s="12">
        <f t="array" aca="1" ref="G47" ca="1">_FV(A47,"Precio")</f>
        <v>12.87</v>
      </c>
      <c r="H47" s="13">
        <f t="array" aca="1" ref="H47" ca="1">_FV(A47,"Acciones en circulación",TRUE())/1000000</f>
        <v>201.32749999999999</v>
      </c>
      <c r="I47" s="14">
        <f t="shared" ca="1" si="25"/>
        <v>2591.0849249999997</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87</v>
      </c>
      <c r="AP47" s="19">
        <v>100</v>
      </c>
      <c r="AQ47" s="19">
        <v>50</v>
      </c>
      <c r="AR47" s="19">
        <f t="shared" ca="1" si="45"/>
        <v>2541.0849249999997</v>
      </c>
      <c r="AS47" s="103">
        <v>95</v>
      </c>
      <c r="AT47" s="19">
        <v>90</v>
      </c>
      <c r="AU47" s="19">
        <v>140</v>
      </c>
      <c r="AV47" s="19">
        <v>840</v>
      </c>
      <c r="AW47" s="20">
        <f t="shared" ca="1" si="35"/>
        <v>26.748262368421049</v>
      </c>
      <c r="AX47" s="20">
        <f t="shared" ca="1" si="36"/>
        <v>18.150606607142855</v>
      </c>
      <c r="AY47" s="20">
        <f t="shared" ca="1" si="37"/>
        <v>3.0251011011904758</v>
      </c>
      <c r="AZ47" s="21">
        <v>450</v>
      </c>
      <c r="BA47" s="22">
        <f t="shared" si="38"/>
        <v>0.10714285714285714</v>
      </c>
      <c r="BB47" s="22">
        <f t="shared" si="39"/>
        <v>1.8666666666666667</v>
      </c>
      <c r="BC47" s="23">
        <f t="shared" si="40"/>
        <v>0.19999999999999998</v>
      </c>
      <c r="BD47" s="98">
        <v>116</v>
      </c>
      <c r="BE47" s="23">
        <f t="shared" si="41"/>
        <v>4.0751095710728658E-2</v>
      </c>
      <c r="BF47">
        <v>183</v>
      </c>
      <c r="BG47" s="23">
        <f t="shared" si="42"/>
        <v>0.1401066974124392</v>
      </c>
      <c r="BH47" s="24">
        <v>15</v>
      </c>
      <c r="BI47" s="24">
        <v>22.5</v>
      </c>
      <c r="BJ47" s="25">
        <f t="shared" ca="1" si="46"/>
        <v>8.8909860798946987</v>
      </c>
      <c r="BK47" s="25">
        <f t="shared" ca="1" si="47"/>
        <v>20.700103065900091</v>
      </c>
      <c r="BL47" s="23">
        <f t="shared" ca="1" si="43"/>
        <v>-7.1302499520135121E-2</v>
      </c>
      <c r="BM47" s="23">
        <f t="shared" ca="1" si="44"/>
        <v>9.9711564727295254E-2</v>
      </c>
      <c r="BN47" s="93" t="s">
        <v>83</v>
      </c>
      <c r="BO47" s="93" t="s">
        <v>105</v>
      </c>
      <c r="BP47" s="93" t="s">
        <v>138</v>
      </c>
      <c r="BQ47" s="98"/>
      <c r="BR47" s="98"/>
      <c r="BS47" s="98"/>
    </row>
    <row r="48" spans="1:72" ht="15" customHeight="1" x14ac:dyDescent="0.25">
      <c r="A48" s="86" t="e" vm="45">
        <v>#VALUE!</v>
      </c>
      <c r="B48" s="10" t="str">
        <f t="array" aca="1" ref="B48" ca="1">_FV(A48,"Símbolo bursátil",TRUE())</f>
        <v>VID</v>
      </c>
      <c r="C48" s="88" t="s">
        <v>137</v>
      </c>
      <c r="D48" s="88" t="s">
        <v>90</v>
      </c>
      <c r="E48" s="11" t="str">
        <f t="array" aca="1" ref="E48" ca="1">_FV(A48,"Abreviatura de intercambio",TRUE())</f>
        <v>BMEX</v>
      </c>
      <c r="F48" s="11" t="str">
        <f t="array" aca="1" ref="F48" ca="1">_FV(A48,"Moneda")</f>
        <v>EUR</v>
      </c>
      <c r="G48" s="12">
        <f t="array" aca="1" ref="G48" ca="1">_FV(A48,"Precio")</f>
        <v>88.1</v>
      </c>
      <c r="H48" s="13">
        <f t="array" aca="1" ref="H48" ca="1">_FV(A48,"Acciones en circulación",TRUE())/1000000</f>
        <v>35.20626</v>
      </c>
      <c r="I48" s="14">
        <f t="shared" ca="1" si="25"/>
        <v>3101.6715059999997</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87</v>
      </c>
      <c r="AP48" s="19">
        <v>130</v>
      </c>
      <c r="AQ48" s="19">
        <v>235</v>
      </c>
      <c r="AR48" s="19">
        <f t="shared" ca="1" si="45"/>
        <v>3206.6715059999997</v>
      </c>
      <c r="AS48" s="103">
        <v>191.8</v>
      </c>
      <c r="AT48" s="19">
        <v>210</v>
      </c>
      <c r="AU48" s="19">
        <v>385</v>
      </c>
      <c r="AV48" s="19">
        <v>1465</v>
      </c>
      <c r="AW48" s="20">
        <f t="shared" ca="1" si="35"/>
        <v>16.718829541188736</v>
      </c>
      <c r="AX48" s="20">
        <f t="shared" ca="1" si="36"/>
        <v>8.3290168987012976</v>
      </c>
      <c r="AY48" s="20">
        <f t="shared" ca="1" si="37"/>
        <v>2.1888542703071669</v>
      </c>
      <c r="AZ48" s="21">
        <v>1200</v>
      </c>
      <c r="BA48" s="22">
        <f t="shared" si="38"/>
        <v>0.14334470989761092</v>
      </c>
      <c r="BB48" s="22">
        <f t="shared" si="39"/>
        <v>1.2208333333333334</v>
      </c>
      <c r="BC48" s="23">
        <f t="shared" si="40"/>
        <v>0.17500000000000002</v>
      </c>
      <c r="BD48" s="98">
        <v>201.4</v>
      </c>
      <c r="BE48" s="23">
        <f t="shared" si="41"/>
        <v>9.8158258351770389E-3</v>
      </c>
      <c r="BF48">
        <v>295.39999999999998</v>
      </c>
      <c r="BG48" s="23">
        <f t="shared" si="42"/>
        <v>9.0215563677152444E-2</v>
      </c>
      <c r="BH48" s="24">
        <v>10</v>
      </c>
      <c r="BI48" s="24">
        <v>18</v>
      </c>
      <c r="BJ48" s="25">
        <f t="shared" ca="1" si="46"/>
        <v>54.223311422457257</v>
      </c>
      <c r="BK48" s="25">
        <f t="shared" ca="1" si="47"/>
        <v>148.04753472819891</v>
      </c>
      <c r="BL48" s="23">
        <f t="shared" ca="1" si="43"/>
        <v>-9.2509629014337902E-2</v>
      </c>
      <c r="BM48" s="23">
        <f t="shared" ca="1" si="44"/>
        <v>0.10939206263871437</v>
      </c>
      <c r="BN48" s="93" t="s">
        <v>123</v>
      </c>
      <c r="BO48" s="94" t="s">
        <v>143</v>
      </c>
      <c r="BP48" s="93" t="s">
        <v>119</v>
      </c>
      <c r="BQ48" s="98">
        <v>0</v>
      </c>
      <c r="BR48" s="98">
        <v>55.6</v>
      </c>
      <c r="BS48" s="98">
        <v>247.4</v>
      </c>
      <c r="BT48" t="s">
        <v>873</v>
      </c>
    </row>
    <row r="49" spans="1:72" ht="15" customHeight="1" x14ac:dyDescent="0.25">
      <c r="A49" s="86" t="e" vm="46">
        <v>#VALUE!</v>
      </c>
      <c r="B49" s="10" t="str">
        <f t="array" aca="1" ref="B49" ca="1">_FV(A49,"Símbolo bursátil",TRUE())</f>
        <v>TFPM</v>
      </c>
      <c r="C49" s="88" t="s">
        <v>144</v>
      </c>
      <c r="D49" s="88" t="s">
        <v>145</v>
      </c>
      <c r="E49" s="11" t="str">
        <f t="array" aca="1" ref="E49" ca="1">_FV(A49,"Abreviatura de intercambio",TRUE())</f>
        <v>XTSE</v>
      </c>
      <c r="F49" s="11" t="str">
        <f t="array" aca="1" ref="F49" ca="1">_FV(A49,"Moneda")</f>
        <v>CAD</v>
      </c>
      <c r="G49" s="12">
        <f t="array" aca="1" ref="G49" ca="1">_FV(A49,"Precio")</f>
        <v>46.69</v>
      </c>
      <c r="H49" s="13">
        <f t="array" aca="1" ref="H49" ca="1">_FV(A49,"Acciones en circulación",TRUE())/1000000</f>
        <v>206.00299999999999</v>
      </c>
      <c r="I49" s="14">
        <f t="shared" ca="1" si="25"/>
        <v>9618.2800699999989</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-10</v>
      </c>
      <c r="AB49" s="26">
        <f t="shared" si="30"/>
        <v>57</v>
      </c>
      <c r="AC49" s="16">
        <f t="shared" si="31"/>
        <v>5.7</v>
      </c>
      <c r="AD49" s="91">
        <v>11</v>
      </c>
      <c r="AE49" s="91">
        <v>-4</v>
      </c>
      <c r="AF49" s="91">
        <v>10</v>
      </c>
      <c r="AG49" s="91">
        <v>11</v>
      </c>
      <c r="AH49" s="91">
        <v>4</v>
      </c>
      <c r="AI49" s="91">
        <v>7</v>
      </c>
      <c r="AJ49" s="91">
        <v>9</v>
      </c>
      <c r="AK49" s="91">
        <v>-6</v>
      </c>
      <c r="AL49" s="26">
        <f t="shared" si="32"/>
        <v>42</v>
      </c>
      <c r="AM49" s="16">
        <f t="shared" si="33"/>
        <v>6</v>
      </c>
      <c r="AN49" s="17">
        <f t="shared" si="34"/>
        <v>5.56</v>
      </c>
      <c r="AO49" s="18" t="s">
        <v>78</v>
      </c>
      <c r="AP49" s="19">
        <v>35</v>
      </c>
      <c r="AQ49" s="19">
        <v>236</v>
      </c>
      <c r="AR49" s="19">
        <f ca="1">I49*'Framework Notes'!E7-AP49+AQ49</f>
        <v>7179.0621907849991</v>
      </c>
      <c r="AS49" s="103">
        <v>209</v>
      </c>
      <c r="AT49" s="19">
        <v>257</v>
      </c>
      <c r="AU49" s="19">
        <v>377</v>
      </c>
      <c r="AV49" s="19">
        <v>489</v>
      </c>
      <c r="AW49" s="20">
        <f t="shared" ca="1" si="35"/>
        <v>34.349579860215307</v>
      </c>
      <c r="AX49" s="20">
        <f t="shared" ca="1" si="36"/>
        <v>19.042605280596813</v>
      </c>
      <c r="AY49" s="20">
        <f t="shared" ca="1" si="37"/>
        <v>14.681108774611451</v>
      </c>
      <c r="AZ49" s="21">
        <v>2539</v>
      </c>
      <c r="BA49" s="22">
        <f t="shared" si="38"/>
        <v>0.52556237218813906</v>
      </c>
      <c r="BB49" s="22">
        <f t="shared" si="39"/>
        <v>0.19259551004332415</v>
      </c>
      <c r="BC49" s="23">
        <f t="shared" si="40"/>
        <v>0.10122095313115401</v>
      </c>
      <c r="BD49" s="98">
        <v>174.6</v>
      </c>
      <c r="BE49" s="23">
        <f t="shared" si="41"/>
        <v>-3.5328183208355735E-2</v>
      </c>
      <c r="BF49">
        <v>321.7</v>
      </c>
      <c r="BG49" s="23">
        <f t="shared" si="42"/>
        <v>9.0086484265124778E-2</v>
      </c>
      <c r="BH49" s="24">
        <v>18</v>
      </c>
      <c r="BI49" s="24">
        <v>22</v>
      </c>
      <c r="BJ49" s="25">
        <f ca="1">((BD49*BH49+$AP49-$AQ49)/$H49)/'Framework Notes'!E7</f>
        <v>19.683493532256474</v>
      </c>
      <c r="BK49" s="25">
        <f ca="1">((BF49*BI49+$AP49-$AQ49)/$H49)/'Framework Notes'!E7</f>
        <v>46.009781400913873</v>
      </c>
      <c r="BL49" s="23">
        <f t="shared" ca="1" si="43"/>
        <v>-0.15865200988711092</v>
      </c>
      <c r="BM49" s="23">
        <f t="shared" ca="1" si="44"/>
        <v>-2.9308957040072858E-3</v>
      </c>
      <c r="BN49" s="95" t="s">
        <v>824</v>
      </c>
      <c r="BO49" s="95" t="s">
        <v>97</v>
      </c>
      <c r="BP49" s="95" t="s">
        <v>154</v>
      </c>
      <c r="BQ49" s="98">
        <v>5.6</v>
      </c>
      <c r="BR49" s="98">
        <v>244</v>
      </c>
      <c r="BS49" s="98">
        <v>453</v>
      </c>
      <c r="BT49" t="s">
        <v>871</v>
      </c>
    </row>
    <row r="50" spans="1:72" ht="15" customHeight="1" x14ac:dyDescent="0.25">
      <c r="A50" s="86" t="e" vm="47">
        <v>#VALUE!</v>
      </c>
      <c r="B50" s="10" t="str">
        <f t="array" aca="1" ref="B50" ca="1">_FV(A50,"Símbolo bursátil",TRUE())</f>
        <v>NFLX</v>
      </c>
      <c r="C50" s="88" t="s">
        <v>108</v>
      </c>
      <c r="D50" s="88" t="s">
        <v>99</v>
      </c>
      <c r="E50" s="11" t="str">
        <f t="array" aca="1" ref="E50" ca="1">_FV(A50,"Abreviatura de intercambio",TRUE())</f>
        <v>XNAS</v>
      </c>
      <c r="F50" s="11" t="str">
        <f t="array" aca="1" ref="F50" ca="1">_FV(A50,"Moneda")</f>
        <v>USD</v>
      </c>
      <c r="G50" s="12">
        <f t="array" aca="1" ref="G50" ca="1">_FV(A50,"Precio")</f>
        <v>76.724999999999994</v>
      </c>
      <c r="H50" s="13">
        <f t="array" aca="1" ref="H50" ca="1">_FV(A50,"Acciones en circulación",TRUE())/1000000</f>
        <v>4163.9390000000003</v>
      </c>
      <c r="I50" s="14">
        <f t="shared" ca="1" si="25"/>
        <v>319478.21977500001</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324708.21977500001</v>
      </c>
      <c r="AS50" s="103">
        <v>10664.7</v>
      </c>
      <c r="AT50" s="19">
        <v>11876</v>
      </c>
      <c r="AU50" s="19">
        <v>14730</v>
      </c>
      <c r="AV50" s="19">
        <v>48370</v>
      </c>
      <c r="AW50" s="20">
        <f t="shared" ca="1" si="35"/>
        <v>30.447009271240635</v>
      </c>
      <c r="AX50" s="20">
        <f t="shared" ca="1" si="36"/>
        <v>22.04400677359131</v>
      </c>
      <c r="AY50" s="20">
        <f t="shared" ca="1" si="37"/>
        <v>6.7130084716766589</v>
      </c>
      <c r="AZ50" s="21">
        <v>46315</v>
      </c>
      <c r="BA50" s="22">
        <f t="shared" si="38"/>
        <v>0.24552408517676247</v>
      </c>
      <c r="BB50" s="22">
        <f t="shared" si="39"/>
        <v>1.044370074489906</v>
      </c>
      <c r="BC50" s="23">
        <f t="shared" si="40"/>
        <v>0.25641800712512147</v>
      </c>
      <c r="BD50" s="98">
        <v>12994.8</v>
      </c>
      <c r="BE50" s="23">
        <f t="shared" si="41"/>
        <v>4.0313397035162124E-2</v>
      </c>
      <c r="BF50">
        <v>17923.900000000001</v>
      </c>
      <c r="BG50" s="23">
        <f t="shared" si="42"/>
        <v>0.1094220001679771</v>
      </c>
      <c r="BH50" s="24">
        <v>17</v>
      </c>
      <c r="BI50" s="24">
        <v>25</v>
      </c>
      <c r="BJ50" s="25">
        <f t="shared" ref="BJ50:BJ60" ca="1" si="49">(BD50*BH50+$AP50-$AQ50)/$H50</f>
        <v>51.797492710628077</v>
      </c>
      <c r="BK50" s="25">
        <f t="shared" ref="BK50:BK60" ca="1" si="50">(BF50*BI50+$AP50-$AQ50)/$H50</f>
        <v>106.35782608726977</v>
      </c>
      <c r="BL50" s="23">
        <f t="shared" ca="1" si="43"/>
        <v>-7.5569282190124154E-2</v>
      </c>
      <c r="BM50" s="23">
        <f t="shared" ca="1" si="44"/>
        <v>6.7496625821953593E-2</v>
      </c>
      <c r="BN50" s="95" t="s">
        <v>665</v>
      </c>
      <c r="BO50" s="93" t="s">
        <v>130</v>
      </c>
      <c r="BP50" s="93" t="s">
        <v>146</v>
      </c>
      <c r="BQ50" s="98">
        <v>487.3</v>
      </c>
      <c r="BR50" s="98">
        <v>0</v>
      </c>
      <c r="BS50" s="98">
        <v>10664.7</v>
      </c>
      <c r="BT50" t="s">
        <v>871</v>
      </c>
    </row>
    <row r="51" spans="1:72" ht="15" customHeight="1" x14ac:dyDescent="0.25">
      <c r="A51" s="86" t="e" vm="48">
        <v>#VALUE!</v>
      </c>
      <c r="B51" s="10" t="str">
        <f t="array" aca="1" ref="B51" ca="1">_FV(A51,"Símbolo bursátil",TRUE())</f>
        <v>NKE</v>
      </c>
      <c r="C51" s="88" t="s">
        <v>108</v>
      </c>
      <c r="D51" s="88" t="s">
        <v>142</v>
      </c>
      <c r="E51" s="11" t="str">
        <f t="array" aca="1" ref="E51" ca="1">_FV(A51,"Abreviatura de intercambio",TRUE())</f>
        <v>XNYS</v>
      </c>
      <c r="F51" s="11" t="str">
        <f t="array" aca="1" ref="F51" ca="1">_FV(A51,"Moneda")</f>
        <v>USD</v>
      </c>
      <c r="G51" s="12">
        <f t="array" aca="1" ref="G51" ca="1">_FV(A51,"Precio")</f>
        <v>38.024999999999999</v>
      </c>
      <c r="H51" s="13">
        <f t="array" aca="1" ref="H51" ca="1">_FV(A51,"Acciones en circulación",TRUE())/1000000</f>
        <v>1483.499</v>
      </c>
      <c r="I51" s="14">
        <f t="shared" ca="1" si="25"/>
        <v>56410.049475</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9030</v>
      </c>
      <c r="AQ51" s="19">
        <v>11040</v>
      </c>
      <c r="AR51" s="19">
        <f t="shared" ca="1" si="48"/>
        <v>58420.049475</v>
      </c>
      <c r="AS51" s="103">
        <v>1469</v>
      </c>
      <c r="AT51" s="19">
        <v>3331</v>
      </c>
      <c r="AU51" s="19">
        <v>4930</v>
      </c>
      <c r="AV51" s="19">
        <v>46400</v>
      </c>
      <c r="AW51" s="20">
        <f t="shared" ca="1" si="35"/>
        <v>39.768583713410486</v>
      </c>
      <c r="AX51" s="20">
        <f t="shared" ca="1" si="36"/>
        <v>11.849908615618661</v>
      </c>
      <c r="AY51" s="20">
        <f t="shared" ca="1" si="37"/>
        <v>1.2590527904094828</v>
      </c>
      <c r="AZ51" s="21">
        <v>25863</v>
      </c>
      <c r="BA51" s="22">
        <f t="shared" si="38"/>
        <v>7.1788793103448281E-2</v>
      </c>
      <c r="BB51" s="22">
        <f t="shared" si="39"/>
        <v>1.7940687468584464</v>
      </c>
      <c r="BC51" s="23">
        <f t="shared" si="40"/>
        <v>0.12879403008158374</v>
      </c>
      <c r="BD51" s="98">
        <v>1469</v>
      </c>
      <c r="BE51" s="23">
        <f t="shared" si="41"/>
        <v>0</v>
      </c>
      <c r="BF51">
        <v>2260.1999999999998</v>
      </c>
      <c r="BG51" s="23">
        <f t="shared" si="42"/>
        <v>8.9996277993581453E-2</v>
      </c>
      <c r="BH51" s="24">
        <v>14</v>
      </c>
      <c r="BI51" s="24">
        <v>21</v>
      </c>
      <c r="BJ51" s="25">
        <f t="shared" ca="1" si="49"/>
        <v>12.508265930748857</v>
      </c>
      <c r="BK51" s="25">
        <f t="shared" ca="1" si="50"/>
        <v>30.639858874188654</v>
      </c>
      <c r="BL51" s="23">
        <f t="shared" ca="1" si="43"/>
        <v>-0.19938158211396528</v>
      </c>
      <c r="BM51" s="23">
        <f t="shared" ca="1" si="44"/>
        <v>-4.226908244431149E-2</v>
      </c>
      <c r="BN51" s="95" t="s">
        <v>665</v>
      </c>
      <c r="BO51" s="93" t="s">
        <v>147</v>
      </c>
      <c r="BP51" s="93" t="s">
        <v>148</v>
      </c>
      <c r="BQ51" s="98">
        <v>715</v>
      </c>
      <c r="BR51" s="98">
        <v>0</v>
      </c>
      <c r="BS51" s="98">
        <v>1469</v>
      </c>
      <c r="BT51" t="s">
        <v>871</v>
      </c>
    </row>
    <row r="52" spans="1:72" ht="15" customHeight="1" x14ac:dyDescent="0.25">
      <c r="A52" s="86" t="e" vm="49">
        <v>#VALUE!</v>
      </c>
      <c r="B52" s="10" t="str">
        <f t="array" aca="1" ref="B52" ca="1">_FV(A52,"Símbolo bursátil",TRUE())</f>
        <v>MIPS</v>
      </c>
      <c r="C52" s="88" t="s">
        <v>101</v>
      </c>
      <c r="D52" s="88" t="s">
        <v>77</v>
      </c>
      <c r="E52" s="11" t="str">
        <f t="array" aca="1" ref="E52" ca="1">_FV(A52,"Abreviatura de intercambio",TRUE())</f>
        <v>XSTO</v>
      </c>
      <c r="F52" s="11" t="str">
        <f t="array" aca="1" ref="F52" ca="1">_FV(A52,"Moneda")</f>
        <v>SEK</v>
      </c>
      <c r="G52" s="12">
        <f t="array" aca="1" ref="G52" ca="1">_FV(A52,"Precio")</f>
        <v>380.8</v>
      </c>
      <c r="H52" s="13">
        <f t="array" aca="1" ref="H52" ca="1">_FV(A52,"Acciones en circulación",TRUE())/1000000</f>
        <v>26.491119999999999</v>
      </c>
      <c r="I52" s="14">
        <f t="shared" ca="1" si="25"/>
        <v>10087.818496</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117</v>
      </c>
      <c r="AP52" s="19">
        <v>187</v>
      </c>
      <c r="AQ52" s="19">
        <v>331</v>
      </c>
      <c r="AR52" s="19">
        <f t="shared" ca="1" si="48"/>
        <v>10231.818496</v>
      </c>
      <c r="AS52" s="103">
        <v>133</v>
      </c>
      <c r="AT52" s="19">
        <v>191</v>
      </c>
      <c r="AU52" s="19">
        <v>259</v>
      </c>
      <c r="AV52" s="19">
        <v>664</v>
      </c>
      <c r="AW52" s="20">
        <f t="shared" ca="1" si="35"/>
        <v>76.930966135338352</v>
      </c>
      <c r="AX52" s="20">
        <f t="shared" ca="1" si="36"/>
        <v>39.505090718146718</v>
      </c>
      <c r="AY52" s="20">
        <f t="shared" ca="1" si="37"/>
        <v>15.409365204819277</v>
      </c>
      <c r="AZ52" s="21">
        <v>1185</v>
      </c>
      <c r="BA52" s="22">
        <f t="shared" si="38"/>
        <v>0.28765060240963858</v>
      </c>
      <c r="BB52" s="22">
        <f t="shared" si="39"/>
        <v>0.56033755274261599</v>
      </c>
      <c r="BC52" s="23">
        <f t="shared" si="40"/>
        <v>0.16118143459915613</v>
      </c>
      <c r="BD52" s="98">
        <v>71.2</v>
      </c>
      <c r="BE52" s="23">
        <f t="shared" si="41"/>
        <v>-0.11747773582037357</v>
      </c>
      <c r="BF52">
        <v>213.8</v>
      </c>
      <c r="BG52" s="23">
        <f t="shared" si="42"/>
        <v>9.9591089718768178E-2</v>
      </c>
      <c r="BH52" s="24">
        <v>17.5</v>
      </c>
      <c r="BI52" s="24">
        <v>22.5</v>
      </c>
      <c r="BJ52" s="25">
        <f t="shared" ca="1" si="49"/>
        <v>41.598845197938026</v>
      </c>
      <c r="BK52" s="25">
        <f t="shared" ca="1" si="50"/>
        <v>176.15336761903612</v>
      </c>
      <c r="BL52" s="23">
        <f t="shared" ca="1" si="43"/>
        <v>-0.35779029102712756</v>
      </c>
      <c r="BM52" s="23">
        <f t="shared" ca="1" si="44"/>
        <v>-0.14288557917475231</v>
      </c>
      <c r="BN52" s="95" t="s">
        <v>665</v>
      </c>
      <c r="BO52" s="93" t="s">
        <v>130</v>
      </c>
      <c r="BP52" s="93" t="s">
        <v>149</v>
      </c>
      <c r="BQ52" s="98">
        <v>0</v>
      </c>
      <c r="BR52" s="98">
        <v>0</v>
      </c>
      <c r="BS52" s="98">
        <v>133</v>
      </c>
      <c r="BT52" t="s">
        <v>873</v>
      </c>
    </row>
    <row r="53" spans="1:72" ht="15" customHeight="1" x14ac:dyDescent="0.25">
      <c r="A53" s="86" t="e" vm="50">
        <v>#VALUE!</v>
      </c>
      <c r="B53" s="10" t="str">
        <f t="array" aca="1" ref="B53" ca="1">_FV(A53,"Símbolo bursátil",TRUE())</f>
        <v>FERG</v>
      </c>
      <c r="C53" s="88" t="s">
        <v>132</v>
      </c>
      <c r="D53" s="88" t="s">
        <v>90</v>
      </c>
      <c r="E53" s="11" t="str">
        <f t="array" aca="1" ref="E53" ca="1">_FV(A53,"Abreviatura de intercambio",TRUE())</f>
        <v>XNYS</v>
      </c>
      <c r="F53" s="11" t="str">
        <f t="array" aca="1" ref="F53" ca="1">_FV(A53,"Moneda")</f>
        <v>USD</v>
      </c>
      <c r="G53" s="12">
        <f t="array" aca="1" ref="G53" ca="1">_FV(A53,"Precio")</f>
        <v>228.38499999999999</v>
      </c>
      <c r="H53" s="13">
        <f t="array" aca="1" ref="H53" ca="1">_FV(A53,"Acciones en circulación",TRUE())/1000000</f>
        <v>193.45269999999999</v>
      </c>
      <c r="I53" s="14">
        <f t="shared" ca="1" si="25"/>
        <v>44181.694889499995</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50631.694889499995</v>
      </c>
      <c r="AS53" s="103">
        <v>1160</v>
      </c>
      <c r="AT53" s="19">
        <v>2015</v>
      </c>
      <c r="AU53" s="19">
        <v>3071</v>
      </c>
      <c r="AV53" s="19">
        <v>31446</v>
      </c>
      <c r="AW53" s="20">
        <f t="shared" ca="1" si="35"/>
        <v>43.648012835775859</v>
      </c>
      <c r="AX53" s="20">
        <f t="shared" ca="1" si="36"/>
        <v>16.48703838798437</v>
      </c>
      <c r="AY53" s="20">
        <f t="shared" ca="1" si="37"/>
        <v>1.6101155914742733</v>
      </c>
      <c r="AZ53" s="21">
        <v>12926</v>
      </c>
      <c r="BA53" s="22">
        <f t="shared" si="38"/>
        <v>6.4078102143356866E-2</v>
      </c>
      <c r="BB53" s="22">
        <f t="shared" si="39"/>
        <v>2.4327711589045333</v>
      </c>
      <c r="BC53" s="23">
        <f t="shared" si="40"/>
        <v>0.15588735881169735</v>
      </c>
      <c r="BD53" s="98">
        <v>2616.6999999999998</v>
      </c>
      <c r="BE53" s="23">
        <f t="shared" si="41"/>
        <v>0.17668221415896257</v>
      </c>
      <c r="BF53" s="98">
        <v>4044</v>
      </c>
      <c r="BG53" s="23">
        <f t="shared" si="42"/>
        <v>0.28372095798468333</v>
      </c>
      <c r="BH53" s="24">
        <v>12</v>
      </c>
      <c r="BI53" s="24">
        <v>18</v>
      </c>
      <c r="BJ53" s="25">
        <f t="shared" ca="1" si="49"/>
        <v>128.97416267645787</v>
      </c>
      <c r="BK53" s="25">
        <f t="shared" ca="1" si="50"/>
        <v>342.93654211081054</v>
      </c>
      <c r="BL53" s="23">
        <f t="shared" ca="1" si="43"/>
        <v>-0.10799553541957052</v>
      </c>
      <c r="BM53" s="23">
        <f t="shared" ca="1" si="44"/>
        <v>8.4698994469853073E-2</v>
      </c>
      <c r="BN53" s="95" t="s">
        <v>665</v>
      </c>
      <c r="BO53" s="95" t="s">
        <v>128</v>
      </c>
      <c r="BP53" s="95" t="s">
        <v>671</v>
      </c>
      <c r="BQ53" s="98">
        <v>105</v>
      </c>
      <c r="BR53" s="98">
        <v>35</v>
      </c>
      <c r="BS53" s="98">
        <v>1195</v>
      </c>
      <c r="BT53" t="s">
        <v>871</v>
      </c>
    </row>
    <row r="54" spans="1:72" ht="15" customHeight="1" x14ac:dyDescent="0.25">
      <c r="A54" s="86" t="e" vm="51">
        <v>#VALUE!</v>
      </c>
      <c r="B54" s="10" t="str">
        <f t="array" aca="1" ref="B54" ca="1">_FV(A54,"Símbolo bursátil",TRUE())</f>
        <v>S</v>
      </c>
      <c r="C54" s="88" t="s">
        <v>98</v>
      </c>
      <c r="D54" s="88" t="s">
        <v>99</v>
      </c>
      <c r="E54" s="11" t="str">
        <f t="array" aca="1" ref="E54" ca="1">_FV(A54,"Abreviatura de intercambio",TRUE())</f>
        <v>XNYS</v>
      </c>
      <c r="F54" s="11" t="str">
        <f t="array" aca="1" ref="F54" ca="1">_FV(A54,"Moneda")</f>
        <v>USD</v>
      </c>
      <c r="G54" s="12">
        <f t="array" aca="1" ref="G54" ca="1">_FV(A54,"Precio")</f>
        <v>19.625</v>
      </c>
      <c r="H54" s="13">
        <f t="array" aca="1" ref="H54" ca="1">_FV(A54,"Acciones en circulación",TRUE())/1000000</f>
        <v>348.04910000000001</v>
      </c>
      <c r="I54" s="14">
        <f t="shared" ca="1" si="25"/>
        <v>6830.4635875000004</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657</v>
      </c>
      <c r="AQ54" s="19">
        <v>0</v>
      </c>
      <c r="AR54" s="19">
        <f t="shared" ca="1" si="48"/>
        <v>6173.4635875000004</v>
      </c>
      <c r="AS54" s="103">
        <v>-291.2</v>
      </c>
      <c r="AT54" s="19">
        <v>-301</v>
      </c>
      <c r="AU54" s="19">
        <v>-259</v>
      </c>
      <c r="AV54" s="19">
        <v>1050</v>
      </c>
      <c r="AW54" s="20">
        <f t="shared" ca="1" si="35"/>
        <v>-21.20008100103022</v>
      </c>
      <c r="AX54" s="20">
        <f t="shared" ca="1" si="36"/>
        <v>-23.835766747104248</v>
      </c>
      <c r="AY54" s="20">
        <f t="shared" ca="1" si="37"/>
        <v>5.8794891309523809</v>
      </c>
      <c r="AZ54" s="21">
        <v>1684</v>
      </c>
      <c r="BA54" s="22">
        <f t="shared" si="38"/>
        <v>-0.28666666666666668</v>
      </c>
      <c r="BB54" s="22">
        <f t="shared" si="39"/>
        <v>0.62351543942992871</v>
      </c>
      <c r="BC54" s="23">
        <f t="shared" si="40"/>
        <v>-0.17874109263657958</v>
      </c>
      <c r="BD54" s="98">
        <v>-286.5</v>
      </c>
      <c r="BE54" s="23">
        <f t="shared" si="41"/>
        <v>-3.2490663566705491E-3</v>
      </c>
      <c r="BF54">
        <v>-146.4</v>
      </c>
      <c r="BG54" s="23">
        <f t="shared" si="42"/>
        <v>-0.12849488335357762</v>
      </c>
      <c r="BH54" s="24">
        <v>18</v>
      </c>
      <c r="BI54" s="24">
        <v>26</v>
      </c>
      <c r="BJ54" s="25">
        <f t="shared" ca="1" si="49"/>
        <v>-12.929210275216915</v>
      </c>
      <c r="BK54" s="25">
        <f t="shared" ca="1" si="50"/>
        <v>-9.0487232979484791</v>
      </c>
      <c r="BL54" s="23">
        <f t="shared" ca="1" si="43"/>
        <v>-0.99</v>
      </c>
      <c r="BM54" s="23">
        <f t="shared" ca="1" si="44"/>
        <v>-0.99</v>
      </c>
      <c r="BN54" s="96" t="s">
        <v>665</v>
      </c>
      <c r="BO54" t="s">
        <v>92</v>
      </c>
      <c r="BP54" t="s">
        <v>120</v>
      </c>
      <c r="BQ54" s="98">
        <v>322.10000000000002</v>
      </c>
      <c r="BR54" s="98">
        <v>0</v>
      </c>
      <c r="BS54" s="98">
        <v>-291.2</v>
      </c>
      <c r="BT54" s="96" t="s">
        <v>883</v>
      </c>
    </row>
    <row r="55" spans="1:72" ht="15" customHeight="1" x14ac:dyDescent="0.25">
      <c r="A55" s="86" t="e" vm="52">
        <v>#VALUE!</v>
      </c>
      <c r="B55" s="10" t="str">
        <f t="array" aca="1" ref="B55" ca="1">_FV(A55,"Símbolo bursátil",TRUE())</f>
        <v>TREX</v>
      </c>
      <c r="C55" s="88" t="s">
        <v>132</v>
      </c>
      <c r="D55" s="88" t="s">
        <v>77</v>
      </c>
      <c r="E55" s="11" t="str">
        <f t="array" aca="1" ref="E55" ca="1">_FV(A55,"Abreviatura de intercambio",TRUE())</f>
        <v>XNYS</v>
      </c>
      <c r="F55" s="11" t="str">
        <f t="array" aca="1" ref="F55" ca="1">_FV(A55,"Moneda")</f>
        <v>USD</v>
      </c>
      <c r="G55" s="12">
        <f t="array" aca="1" ref="G55" ca="1">_FV(A55,"Precio")</f>
        <v>46.21</v>
      </c>
      <c r="H55" s="13">
        <f t="array" aca="1" ref="H55" ca="1">_FV(A55,"Acciones en circulación",TRUE())/1000000</f>
        <v>101.8652</v>
      </c>
      <c r="I55" s="14">
        <f t="shared" ca="1" si="25"/>
        <v>4707.1908920000005</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5003.6908920000005</v>
      </c>
      <c r="AS55" s="103">
        <v>189.1</v>
      </c>
      <c r="AT55" s="19">
        <v>183</v>
      </c>
      <c r="AU55" s="19">
        <v>313</v>
      </c>
      <c r="AV55" s="19">
        <v>1208</v>
      </c>
      <c r="AW55" s="20">
        <f t="shared" ca="1" si="35"/>
        <v>26.460554690639878</v>
      </c>
      <c r="AX55" s="20">
        <f t="shared" ca="1" si="36"/>
        <v>15.986232881789139</v>
      </c>
      <c r="AY55" s="20">
        <f t="shared" ca="1" si="37"/>
        <v>4.1421282218543052</v>
      </c>
      <c r="AZ55" s="21">
        <v>1176</v>
      </c>
      <c r="BA55" s="22">
        <f t="shared" si="38"/>
        <v>0.15149006622516556</v>
      </c>
      <c r="BB55" s="22">
        <f t="shared" si="39"/>
        <v>1.0272108843537415</v>
      </c>
      <c r="BC55" s="23">
        <f t="shared" si="40"/>
        <v>0.15561224489795919</v>
      </c>
      <c r="BD55" s="98">
        <v>189.1</v>
      </c>
      <c r="BE55" s="23">
        <f t="shared" si="41"/>
        <v>0</v>
      </c>
      <c r="BF55">
        <v>364.2</v>
      </c>
      <c r="BG55" s="23">
        <f t="shared" si="42"/>
        <v>0.14006518241154753</v>
      </c>
      <c r="BH55" s="24">
        <v>12</v>
      </c>
      <c r="BI55" s="24">
        <v>18</v>
      </c>
      <c r="BJ55" s="25">
        <f t="shared" ca="1" si="49"/>
        <v>19.36578929801345</v>
      </c>
      <c r="BK55" s="25">
        <f t="shared" ca="1" si="50"/>
        <v>61.444929180917519</v>
      </c>
      <c r="BL55" s="23">
        <f t="shared" ca="1" si="43"/>
        <v>-0.15965069201943405</v>
      </c>
      <c r="BM55" s="23">
        <f t="shared" ca="1" si="44"/>
        <v>5.8644183939846162E-2</v>
      </c>
      <c r="BN55" s="95" t="s">
        <v>665</v>
      </c>
      <c r="BO55" s="95" t="s">
        <v>128</v>
      </c>
      <c r="BP55" s="95" t="s">
        <v>671</v>
      </c>
      <c r="BQ55" s="98">
        <v>9.3000000000000007</v>
      </c>
      <c r="BR55" s="98">
        <v>89.1</v>
      </c>
      <c r="BS55" s="98">
        <v>278.2</v>
      </c>
      <c r="BT55" t="s">
        <v>871</v>
      </c>
    </row>
    <row r="56" spans="1:72" ht="15" customHeight="1" x14ac:dyDescent="0.25">
      <c r="A56" s="86" t="e" vm="53">
        <v>#VALUE!</v>
      </c>
      <c r="B56" s="10" t="str">
        <f t="array" aca="1" ref="B56" ca="1">_FV(A56,"Símbolo bursátil",TRUE())</f>
        <v>SGO</v>
      </c>
      <c r="C56" s="88" t="s">
        <v>132</v>
      </c>
      <c r="D56" s="88" t="s">
        <v>142</v>
      </c>
      <c r="E56" s="11" t="str">
        <f t="array" aca="1" ref="E56" ca="1">_FV(A56,"Abreviatura de intercambio",TRUE())</f>
        <v>XPAR</v>
      </c>
      <c r="F56" s="11" t="str">
        <f t="array" aca="1" ref="F56" ca="1">_FV(A56,"Moneda")</f>
        <v>EUR</v>
      </c>
      <c r="G56" s="12">
        <f t="array" aca="1" ref="G56" ca="1">_FV(A56,"Precio")</f>
        <v>74.400000000000006</v>
      </c>
      <c r="H56" s="13">
        <f t="array" aca="1" ref="H56" ca="1">_FV(A56,"Acciones en circulación",TRUE())/1000000</f>
        <v>494.834</v>
      </c>
      <c r="I56" s="14">
        <f t="shared" ca="1" si="25"/>
        <v>36815.649600000004</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87</v>
      </c>
      <c r="AP56" s="19">
        <v>5751</v>
      </c>
      <c r="AQ56" s="19">
        <v>17270</v>
      </c>
      <c r="AR56" s="19">
        <f t="shared" ca="1" si="48"/>
        <v>48334.649600000004</v>
      </c>
      <c r="AS56" s="103">
        <v>3312</v>
      </c>
      <c r="AT56" s="19">
        <v>3632</v>
      </c>
      <c r="AU56" s="19">
        <v>7337</v>
      </c>
      <c r="AV56" s="19">
        <v>46226</v>
      </c>
      <c r="AW56" s="20">
        <f t="shared" ca="1" si="35"/>
        <v>14.593795169082126</v>
      </c>
      <c r="AX56" s="20">
        <f t="shared" ca="1" si="36"/>
        <v>6.5877946844759441</v>
      </c>
      <c r="AY56" s="20">
        <f t="shared" ca="1" si="37"/>
        <v>1.0456160948384028</v>
      </c>
      <c r="AZ56" s="21">
        <v>43914</v>
      </c>
      <c r="BA56" s="22">
        <f t="shared" si="38"/>
        <v>7.8570501449400768E-2</v>
      </c>
      <c r="BB56" s="22">
        <f t="shared" si="39"/>
        <v>1.0526483581545749</v>
      </c>
      <c r="BC56" s="23">
        <f t="shared" si="40"/>
        <v>8.2707109350093372E-2</v>
      </c>
      <c r="BD56" s="98">
        <v>3480.6</v>
      </c>
      <c r="BE56" s="23">
        <f t="shared" si="41"/>
        <v>9.9799621884466561E-3</v>
      </c>
      <c r="BF56">
        <v>5096.3999999999996</v>
      </c>
      <c r="BG56" s="23">
        <f t="shared" si="42"/>
        <v>9.0020424697864643E-2</v>
      </c>
      <c r="BH56" s="24">
        <v>12</v>
      </c>
      <c r="BI56" s="24">
        <v>16</v>
      </c>
      <c r="BJ56" s="25">
        <f t="shared" ca="1" si="49"/>
        <v>61.127974229741682</v>
      </c>
      <c r="BK56" s="25">
        <f t="shared" ca="1" si="50"/>
        <v>141.50886964113218</v>
      </c>
      <c r="BL56" s="23">
        <f t="shared" ca="1" si="43"/>
        <v>-3.8535145510591673E-2</v>
      </c>
      <c r="BM56" s="23">
        <f t="shared" ca="1" si="44"/>
        <v>0.13721386307160999</v>
      </c>
      <c r="BN56" s="95" t="s">
        <v>665</v>
      </c>
      <c r="BO56" s="95" t="s">
        <v>105</v>
      </c>
      <c r="BP56" s="95" t="s">
        <v>107</v>
      </c>
      <c r="BQ56" s="98">
        <v>136</v>
      </c>
      <c r="BR56" s="98">
        <v>0</v>
      </c>
      <c r="BS56" s="98">
        <v>3312</v>
      </c>
      <c r="BT56" t="s">
        <v>872</v>
      </c>
    </row>
    <row r="57" spans="1:72" ht="15" customHeight="1" x14ac:dyDescent="0.25">
      <c r="A57" s="86" t="e" vm="54">
        <v>#VALUE!</v>
      </c>
      <c r="B57" s="10" t="str">
        <f t="array" aca="1" ref="B57" ca="1">_FV(A57,"Símbolo bursátil",TRUE())</f>
        <v>TFF</v>
      </c>
      <c r="C57" s="88" t="s">
        <v>137</v>
      </c>
      <c r="D57" s="88" t="s">
        <v>142</v>
      </c>
      <c r="E57" s="11" t="str">
        <f t="array" aca="1" ref="E57" ca="1">_FV(A57,"Abreviatura de intercambio",TRUE())</f>
        <v>XPAR</v>
      </c>
      <c r="F57" s="11" t="str">
        <f t="array" aca="1" ref="F57" ca="1">_FV(A57,"Moneda")</f>
        <v>EUR</v>
      </c>
      <c r="G57" s="12">
        <f t="array" aca="1" ref="G57" ca="1">_FV(A57,"Precio")</f>
        <v>16.5</v>
      </c>
      <c r="H57" s="13">
        <f t="array" aca="1" ref="H57" ca="1">_FV(A57,"Acciones en circulación",TRUE())/1000000</f>
        <v>21.68</v>
      </c>
      <c r="I57" s="14">
        <f t="shared" ca="1" si="25"/>
        <v>357.71999999999997</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87</v>
      </c>
      <c r="AP57" s="19">
        <v>97</v>
      </c>
      <c r="AQ57" s="19">
        <v>382</v>
      </c>
      <c r="AR57" s="19">
        <f t="shared" ca="1" si="48"/>
        <v>642.72</v>
      </c>
      <c r="AS57" s="103">
        <v>59</v>
      </c>
      <c r="AT57" s="19">
        <v>21</v>
      </c>
      <c r="AU57" s="19">
        <v>48</v>
      </c>
      <c r="AV57" s="19">
        <v>313</v>
      </c>
      <c r="AW57" s="20">
        <f t="shared" ca="1" si="35"/>
        <v>10.893559322033898</v>
      </c>
      <c r="AX57" s="20">
        <f t="shared" ca="1" si="36"/>
        <v>13.39</v>
      </c>
      <c r="AY57" s="20">
        <f t="shared" ca="1" si="37"/>
        <v>2.0534185303514376</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-7.6719626032017318E-2</v>
      </c>
      <c r="BN57" s="95" t="s">
        <v>665</v>
      </c>
      <c r="BO57" s="93" t="s">
        <v>150</v>
      </c>
      <c r="BP57" s="93" t="s">
        <v>151</v>
      </c>
      <c r="BQ57" s="98"/>
      <c r="BR57" s="98"/>
      <c r="BS57" s="98"/>
    </row>
    <row r="58" spans="1:72" ht="15" customHeight="1" x14ac:dyDescent="0.25">
      <c r="A58" s="86" t="e" vm="55">
        <v>#VALUE!</v>
      </c>
      <c r="B58" s="10" t="str">
        <f t="array" aca="1" ref="B58" ca="1">_FV(A58,"Símbolo bursátil",TRUE)</f>
        <v>CELH</v>
      </c>
      <c r="C58" s="88" t="s">
        <v>108</v>
      </c>
      <c r="D58" s="88" t="s">
        <v>99</v>
      </c>
      <c r="E58" s="11" t="str">
        <f t="array" aca="1" ref="E58" ca="1">_FV(A58,"Abreviatura de intercambio",TRUE())</f>
        <v>XNAS</v>
      </c>
      <c r="F58" s="11" t="str">
        <f t="array" aca="1" ref="F58" ca="1">_FV(A58,"Moneda")</f>
        <v>USD</v>
      </c>
      <c r="G58" s="12">
        <f t="array" aca="1" ref="G58" ca="1">_FV(A58,"Precio")</f>
        <v>29.69</v>
      </c>
      <c r="H58" s="13">
        <f t="array" aca="1" ref="H58" ca="1">_FV(A58,"Acciones en circulación",TRUE())/1000000</f>
        <v>253.035</v>
      </c>
      <c r="I58" s="14">
        <f t="shared" ca="1" si="25"/>
        <v>7512.6091500000002</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7549.6091500000002</v>
      </c>
      <c r="AS58" s="103">
        <v>428</v>
      </c>
      <c r="AT58" s="19">
        <v>430</v>
      </c>
      <c r="AU58" s="19">
        <v>719</v>
      </c>
      <c r="AV58" s="19">
        <v>3047</v>
      </c>
      <c r="AW58" s="20">
        <f t="shared" ca="1" si="35"/>
        <v>17.639273714953273</v>
      </c>
      <c r="AX58" s="20">
        <f t="shared" ca="1" si="36"/>
        <v>10.500151808066759</v>
      </c>
      <c r="AY58" s="20">
        <f t="shared" ca="1" si="37"/>
        <v>2.4777187889727603</v>
      </c>
      <c r="AZ58" s="21">
        <v>3400</v>
      </c>
      <c r="BA58" s="22">
        <f t="shared" si="38"/>
        <v>0.14112241549064652</v>
      </c>
      <c r="BB58" s="22">
        <f t="shared" si="39"/>
        <v>0.89617647058823524</v>
      </c>
      <c r="BC58" s="23">
        <f t="shared" si="40"/>
        <v>0.12647058823529408</v>
      </c>
      <c r="BD58" s="98">
        <v>408.9</v>
      </c>
      <c r="BE58" s="23">
        <f t="shared" si="41"/>
        <v>-9.0889570763269534E-3</v>
      </c>
      <c r="BF58">
        <v>1404.6</v>
      </c>
      <c r="BG58" s="23">
        <f t="shared" si="42"/>
        <v>0.26829937667810944</v>
      </c>
      <c r="BH58" s="24">
        <v>16</v>
      </c>
      <c r="BI58" s="24">
        <v>22.5</v>
      </c>
      <c r="BJ58" s="25">
        <f t="shared" ca="1" si="49"/>
        <v>25.709486829885194</v>
      </c>
      <c r="BK58" s="25">
        <f t="shared" ca="1" si="50"/>
        <v>124.75151658861421</v>
      </c>
      <c r="BL58" s="23">
        <f t="shared" ca="1" si="43"/>
        <v>-2.8379560890426037E-2</v>
      </c>
      <c r="BM58" s="23">
        <f t="shared" ca="1" si="44"/>
        <v>0.33256108786816707</v>
      </c>
      <c r="BN58" s="96" t="s">
        <v>665</v>
      </c>
      <c r="BO58" t="s">
        <v>121</v>
      </c>
      <c r="BP58" s="96" t="s">
        <v>138</v>
      </c>
      <c r="BQ58" s="98">
        <v>34.799999999999997</v>
      </c>
      <c r="BR58" s="98">
        <v>8.9</v>
      </c>
      <c r="BS58" s="98">
        <v>436.9</v>
      </c>
      <c r="BT58" t="s">
        <v>871</v>
      </c>
    </row>
    <row r="59" spans="1:72" ht="15" customHeight="1" x14ac:dyDescent="0.25">
      <c r="A59" s="86" t="e" vm="56">
        <v>#VALUE!</v>
      </c>
      <c r="B59" s="10" t="str">
        <f t="array" aca="1" ref="B59" ca="1">_FV(A59,"Símbolo bursátil",TRUE())</f>
        <v>BFIT</v>
      </c>
      <c r="C59" s="88" t="s">
        <v>131</v>
      </c>
      <c r="D59" s="88" t="s">
        <v>99</v>
      </c>
      <c r="E59" s="11" t="str">
        <f t="array" aca="1" ref="E59" ca="1">_FV(A59,"Abreviatura de intercambio",TRUE())</f>
        <v>XAMS</v>
      </c>
      <c r="F59" s="11" t="str">
        <f t="array" aca="1" ref="F59" ca="1">_FV(A59,"Moneda")</f>
        <v>EUR</v>
      </c>
      <c r="G59" s="12">
        <f t="array" aca="1" ref="G59" ca="1">_FV(A59,"Precio")</f>
        <v>34.28</v>
      </c>
      <c r="H59" s="13">
        <f t="array" aca="1" ref="H59" ca="1">_FV(A59,"Acciones en circulación",TRUE())/1000000</f>
        <v>66</v>
      </c>
      <c r="I59" s="14">
        <f t="shared" ca="1" si="25"/>
        <v>2262.48</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87</v>
      </c>
      <c r="AP59" s="19">
        <v>40</v>
      </c>
      <c r="AQ59" s="19">
        <v>740</v>
      </c>
      <c r="AR59" s="19">
        <f t="shared" ca="1" si="48"/>
        <v>2962.48</v>
      </c>
      <c r="AS59" s="103">
        <v>367.1</v>
      </c>
      <c r="AT59" s="19">
        <v>50</v>
      </c>
      <c r="AU59" s="19">
        <v>260</v>
      </c>
      <c r="AV59" s="19">
        <v>1250</v>
      </c>
      <c r="AW59" s="20">
        <f t="shared" ca="1" si="35"/>
        <v>8.0699536910923442</v>
      </c>
      <c r="AX59" s="20">
        <f t="shared" ca="1" si="36"/>
        <v>11.394153846153847</v>
      </c>
      <c r="AY59" s="20">
        <f t="shared" ca="1" si="37"/>
        <v>2.3699840000000001</v>
      </c>
      <c r="AZ59" s="21">
        <v>1500</v>
      </c>
      <c r="BA59" s="22">
        <f t="shared" si="38"/>
        <v>0.04</v>
      </c>
      <c r="BB59" s="22">
        <f t="shared" si="39"/>
        <v>0.83333333333333337</v>
      </c>
      <c r="BC59" s="23">
        <f t="shared" si="40"/>
        <v>3.3333333333333333E-2</v>
      </c>
      <c r="BD59" s="98">
        <v>403.8</v>
      </c>
      <c r="BE59" s="23">
        <f t="shared" si="41"/>
        <v>1.9239828300609885E-2</v>
      </c>
      <c r="BF59">
        <v>770.9</v>
      </c>
      <c r="BG59" s="23">
        <f t="shared" si="42"/>
        <v>0.15995924930588701</v>
      </c>
      <c r="BH59" s="24">
        <v>12</v>
      </c>
      <c r="BI59" s="24">
        <v>18</v>
      </c>
      <c r="BJ59" s="25">
        <f t="shared" ca="1" si="49"/>
        <v>62.81212121212122</v>
      </c>
      <c r="BK59" s="25">
        <f t="shared" ca="1" si="50"/>
        <v>199.63939393939393</v>
      </c>
      <c r="BL59" s="23">
        <f t="shared" ca="1" si="43"/>
        <v>0.12875718910084766</v>
      </c>
      <c r="BM59" s="23">
        <f t="shared" ca="1" si="44"/>
        <v>0.4224633511844067</v>
      </c>
      <c r="BN59" s="93" t="s">
        <v>123</v>
      </c>
      <c r="BO59" s="93" t="s">
        <v>124</v>
      </c>
      <c r="BP59" s="93" t="s">
        <v>125</v>
      </c>
      <c r="BQ59" s="98">
        <v>2.2999999999999998</v>
      </c>
      <c r="BR59" s="98">
        <v>0</v>
      </c>
      <c r="BS59" s="98">
        <v>367.1</v>
      </c>
      <c r="BT59" t="s">
        <v>872</v>
      </c>
    </row>
    <row r="60" spans="1:72" ht="15" customHeight="1" x14ac:dyDescent="0.25">
      <c r="A60" s="86" t="e" vm="57">
        <v>#VALUE!</v>
      </c>
      <c r="B60" s="10" t="str">
        <f t="array" aca="1" ref="B60" ca="1">_FV(A60,"Símbolo bursátil",TRUE())</f>
        <v>VRLA</v>
      </c>
      <c r="C60" s="88" t="s">
        <v>137</v>
      </c>
      <c r="D60" s="88" t="s">
        <v>142</v>
      </c>
      <c r="E60" s="11" t="s">
        <v>589</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87</v>
      </c>
      <c r="AP60" s="19">
        <v>365</v>
      </c>
      <c r="AQ60" s="19">
        <v>2261</v>
      </c>
      <c r="AR60" s="19">
        <f t="shared" ca="1" si="48"/>
        <v>4242.3304470000003</v>
      </c>
      <c r="AS60" s="103">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0.18376417218175689</v>
      </c>
      <c r="BN60" s="93" t="s">
        <v>123</v>
      </c>
      <c r="BO60" s="93" t="s">
        <v>124</v>
      </c>
      <c r="BP60" s="93" t="s">
        <v>85</v>
      </c>
      <c r="BQ60" s="98"/>
      <c r="BR60" s="98"/>
      <c r="BS60" s="98"/>
    </row>
    <row r="61" spans="1:72" ht="15" customHeight="1" x14ac:dyDescent="0.25">
      <c r="A61" s="86" t="e" vm="58">
        <v>#VALUE!</v>
      </c>
      <c r="B61" s="10" t="str">
        <f t="array" aca="1" ref="B61" ca="1">_FV(A61,"Símbolo bursátil",TRUE())</f>
        <v>KIST</v>
      </c>
      <c r="C61" s="88" t="s">
        <v>144</v>
      </c>
      <c r="D61" s="88" t="s">
        <v>145</v>
      </c>
      <c r="E61" s="11" t="str">
        <f t="array" aca="1" ref="E61" ca="1">_FV(A61,"Abreviatura de intercambio",TRUE())</f>
        <v>XLON</v>
      </c>
      <c r="F61" s="11" t="str">
        <f t="array" aca="1" ref="F61" ca="1">_FV(A61,"Moneda")</f>
        <v>GBp</v>
      </c>
      <c r="G61" s="12">
        <f t="array" aca="1" ref="G61" ca="1">_FV(A61,"Precio")</f>
        <v>313</v>
      </c>
      <c r="H61" s="13">
        <f t="array" aca="1" ref="H61" ca="1">_FV(A61,"Acciones en circulación",TRUE())/1000000</f>
        <v>83.117649999999998</v>
      </c>
      <c r="I61" s="14">
        <f ca="1">G61/100*H61</f>
        <v>260.15824449999997</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587.88186132245005</v>
      </c>
      <c r="AS61" s="103">
        <v>55</v>
      </c>
      <c r="AT61" s="19">
        <f>390-230</f>
        <v>160</v>
      </c>
      <c r="AU61" s="19">
        <v>400</v>
      </c>
      <c r="AV61" s="19">
        <v>480</v>
      </c>
      <c r="AW61" s="20">
        <f t="shared" ca="1" si="35"/>
        <v>10.688761114953637</v>
      </c>
      <c r="AX61" s="20">
        <f t="shared" ca="1" si="36"/>
        <v>1.4697046533061251</v>
      </c>
      <c r="AY61" s="20">
        <f t="shared" ca="1" si="37"/>
        <v>1.2247538777551044</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-0.22849705821629063</v>
      </c>
      <c r="BM61" s="23">
        <f t="shared" ca="1" si="44"/>
        <v>0.14123369815999798</v>
      </c>
      <c r="BN61" s="93" t="s">
        <v>104</v>
      </c>
      <c r="BO61" s="93" t="s">
        <v>152</v>
      </c>
      <c r="BP61" s="93" t="s">
        <v>148</v>
      </c>
      <c r="BQ61" s="98"/>
      <c r="BR61" s="98"/>
      <c r="BS61" s="98"/>
    </row>
    <row r="62" spans="1:72" ht="15" customHeight="1" x14ac:dyDescent="0.25">
      <c r="A62" s="86" t="e" vm="59">
        <v>#VALUE!</v>
      </c>
      <c r="B62" s="10" t="str">
        <f t="array" aca="1" ref="B62" ca="1">_FV(A62,"Símbolo bursátil",TRUE())</f>
        <v>WOSG</v>
      </c>
      <c r="C62" s="88" t="s">
        <v>108</v>
      </c>
      <c r="D62" s="88" t="s">
        <v>142</v>
      </c>
      <c r="E62" s="11" t="str">
        <f t="array" aca="1" ref="E62" ca="1">_FV(A62,"Abreviatura de intercambio",TRUE())</f>
        <v>XLON</v>
      </c>
      <c r="F62" s="11" t="str">
        <f t="array" aca="1" ref="F62" ca="1">_FV(A62,"Moneda")</f>
        <v>GBp</v>
      </c>
      <c r="G62" s="12">
        <f t="array" aca="1" ref="G62" ca="1">_FV(A62,"Precio")</f>
        <v>663</v>
      </c>
      <c r="H62" s="13">
        <f t="array" aca="1" ref="H62" ca="1">_FV(A62,"Acciones en circulación",TRUE())/1000000</f>
        <v>233.30160000000001</v>
      </c>
      <c r="I62" s="14">
        <f ca="1">G62/100*H62</f>
        <v>1546.789608</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112</v>
      </c>
      <c r="AP62" s="19">
        <v>70</v>
      </c>
      <c r="AQ62" s="19">
        <v>270</v>
      </c>
      <c r="AR62" s="19">
        <f t="shared" ca="1" si="48"/>
        <v>1746.789608</v>
      </c>
      <c r="AS62" s="103">
        <v>183.9</v>
      </c>
      <c r="AT62" s="19">
        <v>80</v>
      </c>
      <c r="AU62" s="19">
        <v>170</v>
      </c>
      <c r="AV62" s="19">
        <v>1700</v>
      </c>
      <c r="AW62" s="20">
        <f t="shared" ca="1" si="35"/>
        <v>9.498584056552474</v>
      </c>
      <c r="AX62" s="20">
        <f t="shared" ca="1" si="36"/>
        <v>10.275232988235294</v>
      </c>
      <c r="AY62" s="20">
        <f t="shared" ca="1" si="37"/>
        <v>1.0275232988235294</v>
      </c>
      <c r="AZ62" s="21">
        <v>900</v>
      </c>
      <c r="BA62" s="22">
        <f t="shared" si="38"/>
        <v>4.7058823529411764E-2</v>
      </c>
      <c r="BB62" s="22">
        <f t="shared" si="39"/>
        <v>1.8888888888888888</v>
      </c>
      <c r="BC62" s="23">
        <f t="shared" si="40"/>
        <v>8.8888888888888878E-2</v>
      </c>
      <c r="BD62" s="98">
        <v>183.9</v>
      </c>
      <c r="BE62" s="23">
        <f t="shared" si="41"/>
        <v>0</v>
      </c>
      <c r="BF62">
        <v>353.5</v>
      </c>
      <c r="BG62" s="23">
        <f t="shared" si="42"/>
        <v>0.13962387156934364</v>
      </c>
      <c r="BH62" s="24">
        <v>8</v>
      </c>
      <c r="BI62" s="24">
        <v>14</v>
      </c>
      <c r="BJ62" s="25">
        <f ca="1">(BD62*BH62+$AP62-$AQ62)/$H62*100</f>
        <v>544.8741028779915</v>
      </c>
      <c r="BK62" s="25">
        <f ca="1">(BF62*BI62+$AP62-$AQ62)/$H62*100</f>
        <v>2035.562550792622</v>
      </c>
      <c r="BL62" s="23">
        <f t="shared" ca="1" si="43"/>
        <v>-3.8483972879684969E-2</v>
      </c>
      <c r="BM62" s="23">
        <f t="shared" ca="1" si="44"/>
        <v>0.25150959848524956</v>
      </c>
      <c r="BN62" t="s">
        <v>104</v>
      </c>
      <c r="BO62" t="s">
        <v>118</v>
      </c>
      <c r="BP62" t="s">
        <v>153</v>
      </c>
      <c r="BQ62" s="98">
        <v>1.8</v>
      </c>
      <c r="BR62" s="98">
        <v>0</v>
      </c>
      <c r="BS62" s="98">
        <v>183.9</v>
      </c>
      <c r="BT62" t="s">
        <v>872</v>
      </c>
    </row>
    <row r="63" spans="1:72" ht="15" customHeight="1" x14ac:dyDescent="0.25">
      <c r="A63" s="86" t="e" vm="60">
        <v>#VALUE!</v>
      </c>
      <c r="B63" s="10" t="str">
        <f t="array" aca="1" ref="B63" ca="1">_FV(A63,"Símbolo bursátil",TRUE())</f>
        <v>IPCO</v>
      </c>
      <c r="C63" s="88" t="s">
        <v>144</v>
      </c>
      <c r="D63" s="88" t="s">
        <v>145</v>
      </c>
      <c r="E63" s="11" t="str">
        <f t="array" aca="1" ref="E63" ca="1">_FV(A63,"Abreviatura de intercambio",TRUE())</f>
        <v>XTSE</v>
      </c>
      <c r="F63" s="11" t="str">
        <f t="array" aca="1" ref="F63" ca="1">_FV(A63,"Moneda")</f>
        <v>CAD</v>
      </c>
      <c r="G63" s="12">
        <f t="array" aca="1" ref="G63" ca="1">_FV(A63,"Precio")</f>
        <v>36.07</v>
      </c>
      <c r="H63" s="13">
        <f t="array" aca="1" ref="H63" ca="1">_FV(A63,"Acciones en circulación",TRUE())/1000000</f>
        <v>112.1743</v>
      </c>
      <c r="I63" s="14">
        <f ca="1">G63*H63</f>
        <v>4046.1270010000003</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3441.1651392255003</v>
      </c>
      <c r="AS63" s="103">
        <v>50.7</v>
      </c>
      <c r="AT63" s="19">
        <v>76</v>
      </c>
      <c r="AU63" s="19">
        <v>253</v>
      </c>
      <c r="AV63" s="19">
        <v>707</v>
      </c>
      <c r="AW63" s="20">
        <f t="shared" ca="1" si="35"/>
        <v>67.873079669142015</v>
      </c>
      <c r="AX63" s="20">
        <f t="shared" ca="1" si="36"/>
        <v>13.601443238045455</v>
      </c>
      <c r="AY63" s="20">
        <f t="shared" ca="1" si="37"/>
        <v>4.8672774246471011</v>
      </c>
      <c r="AZ63" s="21">
        <v>1833</v>
      </c>
      <c r="BA63" s="22">
        <f t="shared" si="38"/>
        <v>0.1074964639321075</v>
      </c>
      <c r="BB63" s="22">
        <f t="shared" si="39"/>
        <v>0.38570649208947083</v>
      </c>
      <c r="BC63" s="23">
        <f t="shared" si="40"/>
        <v>4.1462084015275506E-2</v>
      </c>
      <c r="BD63" s="98">
        <v>178</v>
      </c>
      <c r="BE63" s="23">
        <f t="shared" si="41"/>
        <v>0.28553056983009406</v>
      </c>
      <c r="BF63">
        <v>405</v>
      </c>
      <c r="BG63" s="23">
        <f t="shared" si="42"/>
        <v>0.51526786407339054</v>
      </c>
      <c r="BH63" s="24">
        <v>10</v>
      </c>
      <c r="BI63" s="24">
        <v>15</v>
      </c>
      <c r="BJ63" s="25">
        <f ca="1">((BD63*BH63+$AP63-$AQ63)/$H63)/'Framework Notes'!$E$7</f>
        <v>15.658166191722257</v>
      </c>
      <c r="BK63" s="25">
        <f ca="1">((BF63*BI63+$AP63-$AQ63)/$H63)/'Framework Notes'!$E$7</f>
        <v>68.433669443269849</v>
      </c>
      <c r="BL63" s="23">
        <f t="shared" ca="1" si="43"/>
        <v>-0.1537105027043375</v>
      </c>
      <c r="BM63" s="23">
        <f t="shared" ca="1" si="44"/>
        <v>0.13664471529624134</v>
      </c>
      <c r="BN63" s="95" t="s">
        <v>665</v>
      </c>
      <c r="BO63" s="95" t="s">
        <v>128</v>
      </c>
      <c r="BP63" s="95" t="s">
        <v>671</v>
      </c>
      <c r="BQ63" s="98">
        <v>10.5</v>
      </c>
      <c r="BR63" s="98">
        <v>155.30000000000001</v>
      </c>
      <c r="BS63" s="98">
        <v>50.7</v>
      </c>
      <c r="BT63" s="96" t="s">
        <v>881</v>
      </c>
    </row>
    <row r="64" spans="1:72" ht="15" customHeight="1" x14ac:dyDescent="0.25">
      <c r="A64" s="86" t="e" vm="61">
        <v>#VALUE!</v>
      </c>
      <c r="B64" s="10" t="str">
        <f t="array" aca="1" ref="B64" ca="1">_FV(A64,"Símbolo bursátil",TRUE())</f>
        <v>OTLY</v>
      </c>
      <c r="C64" s="88" t="s">
        <v>108</v>
      </c>
      <c r="D64" s="88" t="s">
        <v>142</v>
      </c>
      <c r="E64" s="11" t="str">
        <f t="array" aca="1" ref="E64" ca="1">_FV(A64,"Abreviatura de intercambio",TRUE())</f>
        <v>XNAS</v>
      </c>
      <c r="F64" s="11" t="str">
        <f t="array" aca="1" ref="F64" ca="1">_FV(A64,"Moneda")</f>
        <v>USD</v>
      </c>
      <c r="G64" s="12">
        <f t="array" aca="1" ref="G64" ca="1">_FV(A64,"Precio")</f>
        <v>13.66</v>
      </c>
      <c r="H64" s="13">
        <f t="array" aca="1" ref="H64" ca="1">_FV(A64,"Acciones en circulación",TRUE())/1000000</f>
        <v>31.91226</v>
      </c>
      <c r="I64" s="14">
        <f ca="1">G64*H64</f>
        <v>435.92147160000002</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940.3214716</v>
      </c>
      <c r="AS64" s="103">
        <v>-38.200000000000003</v>
      </c>
      <c r="AT64" s="19">
        <v>-49</v>
      </c>
      <c r="AU64" s="19">
        <v>-14</v>
      </c>
      <c r="AV64" s="19">
        <v>925</v>
      </c>
      <c r="AW64" s="20">
        <f t="shared" ca="1" si="35"/>
        <v>-24.61574532984293</v>
      </c>
      <c r="AX64" s="20">
        <f t="shared" ca="1" si="36"/>
        <v>-67.165819400000004</v>
      </c>
      <c r="AY64" s="20">
        <f t="shared" ca="1" si="37"/>
        <v>1.0165637530810812</v>
      </c>
      <c r="AZ64" s="21">
        <v>169</v>
      </c>
      <c r="BA64" s="22">
        <f t="shared" si="38"/>
        <v>-5.2972972972972973E-2</v>
      </c>
      <c r="BB64" s="22">
        <f t="shared" si="39"/>
        <v>5.4733727810650885</v>
      </c>
      <c r="BC64" s="23">
        <f t="shared" si="40"/>
        <v>-0.28994082840236685</v>
      </c>
      <c r="BD64" s="98">
        <v>-15</v>
      </c>
      <c r="BE64" s="23">
        <f t="shared" si="41"/>
        <v>-0.17052064894306462</v>
      </c>
      <c r="BF64">
        <v>99</v>
      </c>
      <c r="BG64" s="23">
        <f t="shared" si="42"/>
        <v>-2.2098021899985589</v>
      </c>
      <c r="BH64" s="24">
        <v>12</v>
      </c>
      <c r="BI64" s="24">
        <v>16</v>
      </c>
      <c r="BJ64" s="25">
        <f ca="1">(BD64*BH64+$AP64-$AQ64)/$H64</f>
        <v>-21.446303082263682</v>
      </c>
      <c r="BK64" s="25">
        <f ca="1">(BF64*BI64+$AP64-$AQ64)/$H64</f>
        <v>33.830258339584844</v>
      </c>
      <c r="BL64" s="23">
        <f t="shared" ca="1" si="43"/>
        <v>-0.99</v>
      </c>
      <c r="BM64" s="23">
        <f t="shared" ca="1" si="44"/>
        <v>0.19886677087735927</v>
      </c>
      <c r="BN64" s="95" t="s">
        <v>665</v>
      </c>
      <c r="BO64" s="93" t="s">
        <v>129</v>
      </c>
      <c r="BP64" s="93" t="s">
        <v>154</v>
      </c>
      <c r="BQ64" s="98">
        <v>12.6</v>
      </c>
      <c r="BR64" s="98">
        <v>0</v>
      </c>
      <c r="BS64" s="98">
        <v>-38.200000000000003</v>
      </c>
      <c r="BT64" s="96" t="s">
        <v>884</v>
      </c>
    </row>
    <row r="65" spans="1:72" x14ac:dyDescent="0.2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2879</v>
      </c>
      <c r="H65" s="13">
        <f t="array" aca="1" ref="H65" ca="1">_FV(A65,"Acciones en circulación",TRUE())/1000000</f>
        <v>21.19153</v>
      </c>
      <c r="I65" s="14">
        <f ca="1">G65*H65</f>
        <v>61010.414870000001</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45305.055988185006</v>
      </c>
      <c r="AS65" s="103">
        <v>2771</v>
      </c>
      <c r="AT65" s="19">
        <v>1400</v>
      </c>
      <c r="AU65" s="19">
        <v>3428</v>
      </c>
      <c r="AV65" s="19">
        <v>12641</v>
      </c>
      <c r="AW65" s="20">
        <f t="shared" ca="1" si="35"/>
        <v>16.349713456580659</v>
      </c>
      <c r="AX65" s="20">
        <f t="shared" ca="1" si="36"/>
        <v>13.216177359447201</v>
      </c>
      <c r="AY65" s="20">
        <f t="shared" ca="1" si="37"/>
        <v>3.5839772160576699</v>
      </c>
      <c r="AZ65" s="21">
        <v>5000</v>
      </c>
      <c r="BA65" s="22">
        <f t="shared" si="38"/>
        <v>0.11075073174590618</v>
      </c>
      <c r="BB65" s="22">
        <f t="shared" si="39"/>
        <v>2.5282</v>
      </c>
      <c r="BC65" s="23">
        <f t="shared" si="40"/>
        <v>0.27999999999999997</v>
      </c>
      <c r="BD65" s="98">
        <v>3181.5</v>
      </c>
      <c r="BE65" s="23">
        <f t="shared" si="41"/>
        <v>2.8014121248800539E-2</v>
      </c>
      <c r="BF65">
        <v>5336.7</v>
      </c>
      <c r="BG65" s="23">
        <f t="shared" si="42"/>
        <v>0.14005880419957384</v>
      </c>
      <c r="BH65" s="24">
        <v>12</v>
      </c>
      <c r="BI65" s="24">
        <v>22</v>
      </c>
      <c r="BJ65" s="25">
        <f ca="1">((BD65*BH65+$AP65-$AQ65)/$H65)/'Framework Notes'!$E$7</f>
        <v>2415.4352114444687</v>
      </c>
      <c r="BK65" s="25">
        <f ca="1">((BF65*BI65+$AP65-$AQ65)/$H65)/'Framework Notes'!$E$7</f>
        <v>7568.7495840645233</v>
      </c>
      <c r="BL65" s="23">
        <f t="shared" ca="1" si="43"/>
        <v>-3.4503406937542724E-2</v>
      </c>
      <c r="BM65" s="23">
        <f t="shared" ca="1" si="44"/>
        <v>0.21326730476129119</v>
      </c>
      <c r="BN65" s="95" t="s">
        <v>665</v>
      </c>
      <c r="BO65" s="95" t="s">
        <v>672</v>
      </c>
      <c r="BP65" s="95" t="s">
        <v>138</v>
      </c>
      <c r="BQ65" s="98">
        <v>0</v>
      </c>
      <c r="BR65" s="98">
        <v>0</v>
      </c>
      <c r="BS65" s="98">
        <v>2771</v>
      </c>
      <c r="BT65" t="s">
        <v>873</v>
      </c>
    </row>
    <row r="66" spans="1:72" x14ac:dyDescent="0.25">
      <c r="A66" s="86" t="e" vm="63">
        <v>#VALUE!</v>
      </c>
      <c r="B66" s="10" t="str">
        <f t="array" aca="1" ref="B66" ca="1">_FV(A66,"Símbolo bursátil",TRUE())</f>
        <v>UBER</v>
      </c>
      <c r="C66" s="88" t="s">
        <v>158</v>
      </c>
      <c r="D66" s="88" t="s">
        <v>77</v>
      </c>
      <c r="E66" s="11" t="str">
        <f t="array" aca="1" ref="E66" ca="1">_FV(A66,"Abreviatura de intercambio",TRUE())</f>
        <v>XNYS</v>
      </c>
      <c r="F66" s="11" t="str">
        <f t="array" aca="1" ref="F66" ca="1">_FV(A66,"Moneda")</f>
        <v>USD</v>
      </c>
      <c r="G66" s="12">
        <f t="array" aca="1" ref="G66" ca="1">_FV(A66,"Precio")</f>
        <v>73.03</v>
      </c>
      <c r="H66" s="13">
        <f t="array" aca="1" ref="H66" ca="1">_FV(A66,"Acciones en circulación",TRUE())/1000000</f>
        <v>2042.56</v>
      </c>
      <c r="I66" s="14">
        <f ca="1">G66*H66</f>
        <v>149168.1568</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158508.1568</v>
      </c>
      <c r="AS66" s="103">
        <v>8177</v>
      </c>
      <c r="AT66" s="19">
        <v>5025</v>
      </c>
      <c r="AU66" s="19">
        <v>7475</v>
      </c>
      <c r="AV66" s="19">
        <v>55227</v>
      </c>
      <c r="AW66" s="20">
        <f t="shared" ca="1" si="35"/>
        <v>19.384634560352207</v>
      </c>
      <c r="AX66" s="20">
        <f t="shared" ca="1" si="36"/>
        <v>21.205104588628764</v>
      </c>
      <c r="AY66" s="20">
        <f t="shared" ca="1" si="37"/>
        <v>2.8701207163162947</v>
      </c>
      <c r="AZ66" s="21">
        <v>37739</v>
      </c>
      <c r="BA66" s="22">
        <f t="shared" si="38"/>
        <v>9.098810364495627E-2</v>
      </c>
      <c r="BB66" s="22">
        <f t="shared" si="39"/>
        <v>1.463393306658894</v>
      </c>
      <c r="BC66" s="23">
        <f t="shared" si="40"/>
        <v>0.13315138185961473</v>
      </c>
      <c r="BD66" s="98">
        <v>7250.7</v>
      </c>
      <c r="BE66" s="23">
        <f t="shared" si="41"/>
        <v>-2.3758674940186575E-2</v>
      </c>
      <c r="BF66">
        <v>21743.9</v>
      </c>
      <c r="BG66" s="23">
        <f t="shared" si="42"/>
        <v>0.21604231888093905</v>
      </c>
      <c r="BH66" s="24">
        <v>14</v>
      </c>
      <c r="BI66" s="24">
        <v>24</v>
      </c>
      <c r="BJ66" s="25">
        <f ca="1">(BD66*BH66+AP66-AQ66)/H66</f>
        <v>45.124647501174998</v>
      </c>
      <c r="BK66" s="25">
        <f ca="1">(BF66*BI66+AP66-AQ66)/H66</f>
        <v>250.91728027573248</v>
      </c>
      <c r="BL66" s="23">
        <f t="shared" ca="1" si="43"/>
        <v>-9.1797894613108277E-2</v>
      </c>
      <c r="BM66" s="23">
        <f t="shared" ca="1" si="44"/>
        <v>0.27998787048835427</v>
      </c>
      <c r="BN66" s="95" t="s">
        <v>665</v>
      </c>
      <c r="BO66" s="95" t="s">
        <v>97</v>
      </c>
      <c r="BP66" s="95" t="s">
        <v>671</v>
      </c>
      <c r="BQ66" s="98">
        <v>1939</v>
      </c>
      <c r="BR66" s="98">
        <v>0</v>
      </c>
      <c r="BS66" s="98">
        <v>8177</v>
      </c>
      <c r="BT66" t="s">
        <v>871</v>
      </c>
    </row>
    <row r="67" spans="1:72" x14ac:dyDescent="0.25">
      <c r="A67" s="86" t="e" vm="64">
        <v>#VALUE!</v>
      </c>
      <c r="B67" s="10" t="str">
        <f t="array" aca="1" ref="B67" ca="1">_FV(A67,"Símbolo bursátil",TRUE())</f>
        <v>SOM</v>
      </c>
      <c r="C67" s="88" t="s">
        <v>132</v>
      </c>
      <c r="D67" s="88" t="s">
        <v>142</v>
      </c>
      <c r="E67" s="11" t="str">
        <f ca="1">_FV(A67,"Abreviatura de intercambio",TRUE)</f>
        <v>XLON</v>
      </c>
      <c r="F67" s="11" t="str">
        <f ca="1">_FV(A67,"Moneda")</f>
        <v>GBp</v>
      </c>
      <c r="G67" s="12">
        <f ca="1">_FV(A67,"Precio")</f>
        <v>255</v>
      </c>
      <c r="H67" s="13">
        <f ca="1">_FV(A67,"Acciones en circulación",TRUE)/1000000</f>
        <v>51.776020000000003</v>
      </c>
      <c r="I67" s="14">
        <f ca="1">G67/100*H67</f>
        <v>132.028851</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 t="shared" ref="AB67:AB72" si="52">SUM(T67:AA67)</f>
        <v>33</v>
      </c>
      <c r="AC67" s="16">
        <f t="shared" ref="AC67:AC73" si="53">ROUND(AB67/10,2)</f>
        <v>3.3</v>
      </c>
      <c r="AD67" s="90">
        <v>10</v>
      </c>
      <c r="AE67" s="90">
        <v>-2</v>
      </c>
      <c r="AF67" s="90">
        <v>7</v>
      </c>
      <c r="AG67" s="90">
        <v>9</v>
      </c>
      <c r="AH67" s="90">
        <v>3</v>
      </c>
      <c r="AI67" s="90">
        <v>3</v>
      </c>
      <c r="AJ67" s="90">
        <v>8</v>
      </c>
      <c r="AK67" s="90">
        <v>-7</v>
      </c>
      <c r="AL67" s="15">
        <f t="shared" ref="AL67:AL72" si="54">SUM(AD67:AK67)</f>
        <v>31</v>
      </c>
      <c r="AM67" s="16">
        <f t="shared" ref="AM67:AM73" si="55">ROUND(AL67/70*10,2)</f>
        <v>4.43</v>
      </c>
      <c r="AN67" s="17">
        <f t="shared" si="34"/>
        <v>3.84</v>
      </c>
      <c r="AO67" s="18" t="s">
        <v>78</v>
      </c>
      <c r="AP67" s="19">
        <v>24.2</v>
      </c>
      <c r="AQ67" s="19">
        <v>2.1</v>
      </c>
      <c r="AR67" s="19">
        <f ca="1">I67*'Framework Notes'!$E$9-AP67+AQ67</f>
        <v>158.00055564910002</v>
      </c>
      <c r="AS67" s="103">
        <v>11.7</v>
      </c>
      <c r="AT67" s="19">
        <v>6.8</v>
      </c>
      <c r="AU67" s="19">
        <v>12.8</v>
      </c>
      <c r="AV67" s="19">
        <v>64.900000000000006</v>
      </c>
      <c r="AW67" s="20">
        <f t="shared" ref="AW67:AW72" ca="1" si="56">AR67/AS67</f>
        <v>13.504320995649575</v>
      </c>
      <c r="AX67" s="20">
        <f t="shared" ref="AX67:AX72" ca="1" si="57">AR67/AU67</f>
        <v>12.343793410085938</v>
      </c>
      <c r="AY67" s="20">
        <f t="shared" ref="AY67:AY72" ca="1" si="58">AR67/AV67</f>
        <v>2.4345231995238832</v>
      </c>
      <c r="AZ67" s="21">
        <v>51.47</v>
      </c>
      <c r="BA67" s="22">
        <f t="shared" ref="BA67:BA72" si="59">AT67/AV67</f>
        <v>0.10477657935285052</v>
      </c>
      <c r="BB67" s="22">
        <f t="shared" ref="BB67:BB72" si="60">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t="shared" ca="1" si="43"/>
        <v>3.5190607542690211E-2</v>
      </c>
      <c r="BM67" s="23">
        <f t="shared" ca="1" si="44"/>
        <v>0.27887244852750115</v>
      </c>
      <c r="BN67" s="96" t="s">
        <v>512</v>
      </c>
      <c r="BO67" s="96" t="s">
        <v>520</v>
      </c>
      <c r="BP67" s="96" t="s">
        <v>521</v>
      </c>
      <c r="BQ67" s="98"/>
      <c r="BR67" s="98"/>
      <c r="BS67" s="98"/>
    </row>
    <row r="68" spans="1:72" x14ac:dyDescent="0.25">
      <c r="A68" s="86" t="e" vm="65">
        <v>#VALUE!</v>
      </c>
      <c r="B68" s="10" t="str">
        <f t="array" aca="1" ref="B68" ca="1">_FV(A68,"Símbolo bursátil",TRUE())</f>
        <v>IP</v>
      </c>
      <c r="C68" s="88" t="s">
        <v>116</v>
      </c>
      <c r="D68" s="88" t="s">
        <v>77</v>
      </c>
      <c r="E68" s="11" t="str">
        <f t="shared" ref="E68:E74" ca="1" si="61">_FV(A68,"Abreviatura de intercambio",TRUE)</f>
        <v>XMIL</v>
      </c>
      <c r="F68" s="11" t="str">
        <f t="shared" ref="F68:F74" ca="1" si="62">_FV(A68,"Moneda")</f>
        <v>EUR</v>
      </c>
      <c r="G68" s="12">
        <f t="shared" ref="G68:G74" ca="1" si="63">_FV(A68,"Precio")</f>
        <v>37.06</v>
      </c>
      <c r="H68" s="13">
        <f t="shared" ref="H68:H74" ca="1" si="64">_FV(A68,"Acciones en circulación",TRUE)/1000000</f>
        <v>108.8793</v>
      </c>
      <c r="I68" s="14">
        <f t="shared" ref="I68:I71" ca="1" si="65">G68*H68</f>
        <v>4035.0668580000001</v>
      </c>
      <c r="J68" s="90">
        <v>1</v>
      </c>
      <c r="K68" s="90">
        <v>5</v>
      </c>
      <c r="L68" s="90">
        <v>1</v>
      </c>
      <c r="M68" s="90">
        <v>1</v>
      </c>
      <c r="N68" s="90">
        <v>-1</v>
      </c>
      <c r="O68" s="90">
        <v>0</v>
      </c>
      <c r="P68" s="90">
        <v>1</v>
      </c>
      <c r="Q68" s="90">
        <v>1</v>
      </c>
      <c r="R68" s="15">
        <f t="shared" ref="R68:R71" si="66">SUM(J68:N68)+SUM(P68:Q68)</f>
        <v>9</v>
      </c>
      <c r="S68" s="16">
        <f t="shared" ref="S68:S71" si="67">ROUND(R68/16*10,2)</f>
        <v>5.63</v>
      </c>
      <c r="T68" s="90">
        <v>13</v>
      </c>
      <c r="U68" s="90">
        <v>13</v>
      </c>
      <c r="V68" s="90">
        <v>9</v>
      </c>
      <c r="W68" s="90">
        <v>8</v>
      </c>
      <c r="X68" s="90">
        <v>6</v>
      </c>
      <c r="Y68" s="90">
        <v>10</v>
      </c>
      <c r="Z68" s="90">
        <v>8</v>
      </c>
      <c r="AA68" s="90">
        <v>-12</v>
      </c>
      <c r="AB68" s="15">
        <f t="shared" si="52"/>
        <v>55</v>
      </c>
      <c r="AC68" s="16">
        <f t="shared" si="53"/>
        <v>5.5</v>
      </c>
      <c r="AD68" s="90">
        <v>12</v>
      </c>
      <c r="AE68" s="90">
        <v>-2</v>
      </c>
      <c r="AF68" s="90">
        <v>4</v>
      </c>
      <c r="AG68" s="90">
        <v>9</v>
      </c>
      <c r="AH68" s="90">
        <v>4</v>
      </c>
      <c r="AI68" s="90">
        <v>5</v>
      </c>
      <c r="AJ68" s="90">
        <v>10</v>
      </c>
      <c r="AK68" s="90">
        <v>-6</v>
      </c>
      <c r="AL68" s="15">
        <f t="shared" si="54"/>
        <v>36</v>
      </c>
      <c r="AM68" s="16">
        <f t="shared" si="55"/>
        <v>5.14</v>
      </c>
      <c r="AN68" s="17">
        <f t="shared" ref="AN68:AN71" si="68">ROUND(S68*0.2+AC68*0.4+AM68*0.4,2)</f>
        <v>5.38</v>
      </c>
      <c r="AO68" s="18" t="s">
        <v>87</v>
      </c>
      <c r="AP68" s="19">
        <v>370</v>
      </c>
      <c r="AQ68" s="19">
        <v>675</v>
      </c>
      <c r="AR68" s="19">
        <f t="shared" ca="1" si="51"/>
        <v>4340.0668580000001</v>
      </c>
      <c r="AS68" s="103">
        <v>246.1</v>
      </c>
      <c r="AT68" s="19">
        <v>229</v>
      </c>
      <c r="AU68" s="19">
        <v>446</v>
      </c>
      <c r="AV68" s="19">
        <v>2080</v>
      </c>
      <c r="AW68" s="20">
        <f t="shared" ca="1" si="56"/>
        <v>17.635379349857782</v>
      </c>
      <c r="AX68" s="20">
        <f t="shared" ca="1" si="57"/>
        <v>9.7310916098654712</v>
      </c>
      <c r="AY68" s="20">
        <f t="shared" ca="1" si="58"/>
        <v>2.0865706048076924</v>
      </c>
      <c r="AZ68" s="21">
        <v>2401.1</v>
      </c>
      <c r="BA68" s="22">
        <f t="shared" si="59"/>
        <v>0.11009615384615384</v>
      </c>
      <c r="BB68" s="22">
        <f t="shared" si="60"/>
        <v>0.86626962642122363</v>
      </c>
      <c r="BC68" s="23">
        <f t="shared" ref="BC68:BC73" si="69">BA68*BB68</f>
        <v>9.5372954062721255E-2</v>
      </c>
      <c r="BD68" s="98">
        <v>211</v>
      </c>
      <c r="BE68" s="23">
        <f t="shared" ref="BE68:BE73" si="70">(BD68/AS68)^(1/5)-1</f>
        <v>-3.0307205923067904E-2</v>
      </c>
      <c r="BF68">
        <v>513.6</v>
      </c>
      <c r="BG68" s="23">
        <f t="shared" ref="BG68:BG73" si="71">(BF68/AS68)^(1/5)-1</f>
        <v>0.15851771835666173</v>
      </c>
      <c r="BH68" s="24">
        <v>16</v>
      </c>
      <c r="BI68" s="24">
        <v>20.5</v>
      </c>
      <c r="BJ68" s="25">
        <f t="shared" ref="BJ68:BJ73" ca="1" si="72">(BD68*BH68+$AP68-$AQ68)/$H68</f>
        <v>28.205545039323361</v>
      </c>
      <c r="BK68" s="25">
        <f t="shared" ref="BK68:BK73" ca="1" si="73">(BF68*BI68+$AP68-$AQ68)/$H68</f>
        <v>93.900309792586853</v>
      </c>
      <c r="BL68" s="23">
        <f t="shared" ca="1" si="43"/>
        <v>-5.3139899570811333E-2</v>
      </c>
      <c r="BM68" s="23">
        <f t="shared" ca="1" si="44"/>
        <v>0.20434890475107403</v>
      </c>
      <c r="BN68" s="96" t="s">
        <v>665</v>
      </c>
      <c r="BO68" s="96" t="s">
        <v>121</v>
      </c>
      <c r="BP68" s="96" t="s">
        <v>530</v>
      </c>
      <c r="BQ68" s="98">
        <v>6.6</v>
      </c>
      <c r="BR68" s="98">
        <v>0</v>
      </c>
      <c r="BS68" s="98">
        <v>246.1</v>
      </c>
      <c r="BT68" t="s">
        <v>871</v>
      </c>
    </row>
    <row r="69" spans="1:72" x14ac:dyDescent="0.25">
      <c r="A69" s="86" t="e" vm="66">
        <v>#VALUE!</v>
      </c>
      <c r="B69" s="10" t="str">
        <f t="array" aca="1" ref="B69" ca="1">_FV(A69,"Símbolo bursátil",TRUE())</f>
        <v>RBT</v>
      </c>
      <c r="C69" s="88" t="s">
        <v>108</v>
      </c>
      <c r="D69" s="88" t="s">
        <v>77</v>
      </c>
      <c r="E69" s="11" t="str">
        <f t="shared" ca="1" si="61"/>
        <v>XPAR</v>
      </c>
      <c r="F69" s="11" t="str">
        <f t="shared" ca="1" si="62"/>
        <v>EUR</v>
      </c>
      <c r="G69" s="12">
        <f t="shared" ca="1" si="63"/>
        <v>781</v>
      </c>
      <c r="H69" s="13">
        <f t="shared" ca="1" si="64"/>
        <v>2.1692999999999998</v>
      </c>
      <c r="I69" s="14">
        <f t="shared" ca="1" si="65"/>
        <v>1694.2232999999999</v>
      </c>
      <c r="J69" s="90">
        <v>2</v>
      </c>
      <c r="K69" s="90">
        <v>6</v>
      </c>
      <c r="L69" s="90">
        <v>2</v>
      </c>
      <c r="M69" s="90">
        <v>1</v>
      </c>
      <c r="N69" s="90">
        <v>0</v>
      </c>
      <c r="O69" s="90">
        <v>0</v>
      </c>
      <c r="P69" s="90">
        <v>1</v>
      </c>
      <c r="Q69" s="90">
        <v>1</v>
      </c>
      <c r="R69" s="15">
        <f t="shared" si="66"/>
        <v>13</v>
      </c>
      <c r="S69" s="16">
        <f t="shared" si="67"/>
        <v>8.1300000000000008</v>
      </c>
      <c r="T69" s="90">
        <v>13</v>
      </c>
      <c r="U69" s="90">
        <v>15</v>
      </c>
      <c r="V69" s="90">
        <v>11</v>
      </c>
      <c r="W69" s="90">
        <v>9</v>
      </c>
      <c r="X69" s="90">
        <v>9</v>
      </c>
      <c r="Y69" s="90">
        <v>11</v>
      </c>
      <c r="Z69" s="90">
        <v>9</v>
      </c>
      <c r="AA69" s="90">
        <v>-9</v>
      </c>
      <c r="AB69" s="15">
        <f t="shared" si="52"/>
        <v>68</v>
      </c>
      <c r="AC69" s="16">
        <f t="shared" si="53"/>
        <v>6.8</v>
      </c>
      <c r="AD69" s="90">
        <v>14</v>
      </c>
      <c r="AE69" s="90">
        <v>-1</v>
      </c>
      <c r="AF69" s="90">
        <v>3</v>
      </c>
      <c r="AG69" s="90">
        <v>11</v>
      </c>
      <c r="AH69" s="90">
        <v>4</v>
      </c>
      <c r="AI69" s="90">
        <v>5</v>
      </c>
      <c r="AJ69" s="90">
        <v>13</v>
      </c>
      <c r="AK69" s="90">
        <v>-3</v>
      </c>
      <c r="AL69" s="15">
        <f t="shared" si="54"/>
        <v>46</v>
      </c>
      <c r="AM69" s="16">
        <f t="shared" si="55"/>
        <v>6.57</v>
      </c>
      <c r="AN69" s="17">
        <f t="shared" si="68"/>
        <v>6.97</v>
      </c>
      <c r="AO69" s="18" t="s">
        <v>87</v>
      </c>
      <c r="AP69" s="19">
        <v>181</v>
      </c>
      <c r="AQ69" s="19">
        <v>253</v>
      </c>
      <c r="AR69" s="19">
        <f t="shared" ca="1" si="51"/>
        <v>1766.2232999999999</v>
      </c>
      <c r="AS69" s="103">
        <v>66.7</v>
      </c>
      <c r="AT69" s="19">
        <v>108.5</v>
      </c>
      <c r="AU69" s="19">
        <v>167</v>
      </c>
      <c r="AV69" s="19">
        <v>844</v>
      </c>
      <c r="AW69" s="20">
        <f t="shared" ca="1" si="56"/>
        <v>26.480109445277357</v>
      </c>
      <c r="AX69" s="20">
        <f t="shared" ca="1" si="57"/>
        <v>10.576187425149699</v>
      </c>
      <c r="AY69" s="20">
        <f t="shared" ca="1" si="58"/>
        <v>2.0926816350710897</v>
      </c>
      <c r="AZ69" s="21">
        <v>713.6</v>
      </c>
      <c r="BA69" s="22">
        <f t="shared" si="59"/>
        <v>0.12855450236966826</v>
      </c>
      <c r="BB69" s="22">
        <f t="shared" si="60"/>
        <v>1.1827354260089686</v>
      </c>
      <c r="BC69" s="23">
        <f t="shared" si="69"/>
        <v>0.15204596412556054</v>
      </c>
      <c r="BD69" s="98">
        <v>82.1</v>
      </c>
      <c r="BE69" s="23">
        <f t="shared" si="70"/>
        <v>4.242175081905053E-2</v>
      </c>
      <c r="BF69">
        <v>145</v>
      </c>
      <c r="BG69" s="23">
        <f t="shared" si="71"/>
        <v>0.16801503633750126</v>
      </c>
      <c r="BH69" s="24">
        <v>18</v>
      </c>
      <c r="BI69" s="24">
        <v>26</v>
      </c>
      <c r="BJ69" s="25">
        <f t="shared" ca="1" si="72"/>
        <v>648.04314755912048</v>
      </c>
      <c r="BK69" s="25">
        <f t="shared" ca="1" si="73"/>
        <v>1704.6973678145025</v>
      </c>
      <c r="BL69" s="23">
        <f t="shared" ca="1" si="43"/>
        <v>-3.6635634742906986E-2</v>
      </c>
      <c r="BM69" s="23">
        <f t="shared" ca="1" si="44"/>
        <v>0.16895892551972258</v>
      </c>
      <c r="BN69" s="96" t="s">
        <v>665</v>
      </c>
      <c r="BO69" s="96" t="s">
        <v>121</v>
      </c>
      <c r="BP69" s="96" t="s">
        <v>532</v>
      </c>
      <c r="BQ69" s="98">
        <v>0</v>
      </c>
      <c r="BR69" s="98">
        <v>14.1</v>
      </c>
      <c r="BS69" s="98">
        <v>80.8</v>
      </c>
      <c r="BT69" t="s">
        <v>873</v>
      </c>
    </row>
    <row r="70" spans="1:72" x14ac:dyDescent="0.25">
      <c r="A70" s="86" t="e" vm="67">
        <v>#VALUE!</v>
      </c>
      <c r="B70" s="10" t="str">
        <f t="array" aca="1" ref="B70" ca="1">_FV(A70,"Símbolo bursátil",TRUE())</f>
        <v>ROKO B</v>
      </c>
      <c r="C70" s="88" t="s">
        <v>116</v>
      </c>
      <c r="D70" s="88" t="s">
        <v>77</v>
      </c>
      <c r="E70" s="11" t="str">
        <f t="shared" ca="1" si="61"/>
        <v>XSTO</v>
      </c>
      <c r="F70" s="11" t="str">
        <f t="shared" ca="1" si="62"/>
        <v>SEK</v>
      </c>
      <c r="G70" s="12">
        <f t="shared" ca="1" si="63"/>
        <v>1874</v>
      </c>
      <c r="H70" s="13">
        <f t="shared" ca="1" si="64"/>
        <v>12.1365</v>
      </c>
      <c r="I70" s="14">
        <f t="shared" ca="1" si="65"/>
        <v>22743.800999999999</v>
      </c>
      <c r="J70" s="90">
        <v>1</v>
      </c>
      <c r="K70" s="90">
        <v>5</v>
      </c>
      <c r="L70" s="90">
        <v>3</v>
      </c>
      <c r="M70" s="90">
        <v>0</v>
      </c>
      <c r="N70" s="90">
        <v>0</v>
      </c>
      <c r="O70" s="90">
        <v>0</v>
      </c>
      <c r="P70" s="90">
        <v>1</v>
      </c>
      <c r="Q70" s="90">
        <v>1</v>
      </c>
      <c r="R70" s="15">
        <f t="shared" si="66"/>
        <v>11</v>
      </c>
      <c r="S70" s="16">
        <f t="shared" si="67"/>
        <v>6.88</v>
      </c>
      <c r="T70" s="90">
        <v>12</v>
      </c>
      <c r="U70" s="90">
        <v>12</v>
      </c>
      <c r="V70" s="90">
        <v>15</v>
      </c>
      <c r="W70" s="90">
        <v>8</v>
      </c>
      <c r="X70" s="90">
        <v>7</v>
      </c>
      <c r="Y70" s="90">
        <v>12</v>
      </c>
      <c r="Z70" s="90">
        <v>10</v>
      </c>
      <c r="AA70" s="90">
        <v>-14</v>
      </c>
      <c r="AB70" s="15">
        <f t="shared" si="52"/>
        <v>62</v>
      </c>
      <c r="AC70" s="16">
        <f t="shared" si="53"/>
        <v>6.2</v>
      </c>
      <c r="AD70" s="90">
        <v>12</v>
      </c>
      <c r="AE70" s="90">
        <v>-3</v>
      </c>
      <c r="AF70" s="90">
        <v>8</v>
      </c>
      <c r="AG70" s="90">
        <v>12</v>
      </c>
      <c r="AH70" s="90">
        <v>1</v>
      </c>
      <c r="AI70" s="90">
        <v>9</v>
      </c>
      <c r="AJ70" s="90">
        <v>9</v>
      </c>
      <c r="AK70" s="90">
        <v>-7</v>
      </c>
      <c r="AL70" s="15">
        <f t="shared" si="54"/>
        <v>41</v>
      </c>
      <c r="AM70" s="16">
        <f t="shared" si="55"/>
        <v>5.86</v>
      </c>
      <c r="AN70" s="17">
        <f t="shared" si="68"/>
        <v>6.2</v>
      </c>
      <c r="AO70" s="18" t="s">
        <v>117</v>
      </c>
      <c r="AP70" s="19">
        <v>435</v>
      </c>
      <c r="AQ70" s="19">
        <v>3020</v>
      </c>
      <c r="AR70" s="19">
        <f t="shared" ca="1" si="51"/>
        <v>25328.800999999999</v>
      </c>
      <c r="AS70" s="103">
        <v>1196</v>
      </c>
      <c r="AT70" s="19">
        <v>893</v>
      </c>
      <c r="AU70" s="19">
        <v>1560</v>
      </c>
      <c r="AV70" s="19">
        <v>7090</v>
      </c>
      <c r="AW70" s="20">
        <f t="shared" ca="1" si="56"/>
        <v>21.177927257525084</v>
      </c>
      <c r="AX70" s="20">
        <f t="shared" ca="1" si="57"/>
        <v>16.236410897435896</v>
      </c>
      <c r="AY70" s="20">
        <f t="shared" ca="1" si="58"/>
        <v>3.5724684062059238</v>
      </c>
      <c r="AZ70" s="21">
        <v>9895</v>
      </c>
      <c r="BA70" s="22">
        <f t="shared" si="59"/>
        <v>0.12595204513399152</v>
      </c>
      <c r="BB70" s="22">
        <f t="shared" si="60"/>
        <v>0.71652349671551285</v>
      </c>
      <c r="BC70" s="23">
        <f t="shared" si="69"/>
        <v>9.0247599797877706E-2</v>
      </c>
      <c r="BD70" s="98">
        <v>1196</v>
      </c>
      <c r="BE70" s="23">
        <f t="shared" si="70"/>
        <v>0</v>
      </c>
      <c r="BF70">
        <v>1976</v>
      </c>
      <c r="BG70" s="23">
        <f t="shared" si="71"/>
        <v>0.10563340590814718</v>
      </c>
      <c r="BH70" s="24">
        <v>19</v>
      </c>
      <c r="BI70" s="24">
        <v>26</v>
      </c>
      <c r="BJ70" s="25">
        <f t="shared" ca="1" si="72"/>
        <v>1659.3746137683847</v>
      </c>
      <c r="BK70" s="25">
        <f t="shared" ca="1" si="73"/>
        <v>4020.1870390969389</v>
      </c>
      <c r="BL70" s="23">
        <f t="shared" ca="1" si="43"/>
        <v>-2.4033364629986176E-2</v>
      </c>
      <c r="BM70" s="23">
        <f t="shared" ca="1" si="44"/>
        <v>0.16491794256935477</v>
      </c>
      <c r="BN70" s="96" t="s">
        <v>665</v>
      </c>
      <c r="BO70" s="96" t="s">
        <v>534</v>
      </c>
      <c r="BP70" s="96" t="s">
        <v>119</v>
      </c>
      <c r="BQ70" s="98">
        <v>0</v>
      </c>
      <c r="BR70" s="98">
        <v>0</v>
      </c>
      <c r="BS70" s="98">
        <v>1196</v>
      </c>
      <c r="BT70" t="s">
        <v>873</v>
      </c>
    </row>
    <row r="71" spans="1:72" x14ac:dyDescent="0.25">
      <c r="A71" s="86" t="e" vm="68">
        <v>#VALUE!</v>
      </c>
      <c r="B71" s="10" t="str">
        <f t="array" aca="1" ref="B71" ca="1">_FV(A71,"Símbolo bursátil",TRUE())</f>
        <v>USPH</v>
      </c>
      <c r="C71" s="88" t="s">
        <v>111</v>
      </c>
      <c r="D71" s="88" t="s">
        <v>77</v>
      </c>
      <c r="E71" s="11" t="str">
        <f t="shared" ca="1" si="61"/>
        <v>XNYS</v>
      </c>
      <c r="F71" s="11" t="str">
        <f t="shared" ca="1" si="62"/>
        <v>USD</v>
      </c>
      <c r="G71" s="12">
        <f t="shared" ca="1" si="63"/>
        <v>79.155000000000001</v>
      </c>
      <c r="H71" s="13">
        <f t="shared" ca="1" si="64"/>
        <v>14.922700000000001</v>
      </c>
      <c r="I71" s="14">
        <f t="shared" ca="1" si="65"/>
        <v>1181.2063185000002</v>
      </c>
      <c r="J71" s="90">
        <v>2</v>
      </c>
      <c r="K71" s="90">
        <v>4</v>
      </c>
      <c r="L71" s="90">
        <v>2</v>
      </c>
      <c r="M71" s="90">
        <v>-1</v>
      </c>
      <c r="N71" s="90">
        <v>-1</v>
      </c>
      <c r="O71" s="90">
        <v>0</v>
      </c>
      <c r="P71" s="90">
        <v>0</v>
      </c>
      <c r="Q71" s="90">
        <v>-1</v>
      </c>
      <c r="R71" s="15">
        <f t="shared" si="66"/>
        <v>5</v>
      </c>
      <c r="S71" s="16">
        <f t="shared" si="67"/>
        <v>3.13</v>
      </c>
      <c r="T71" s="90">
        <v>8</v>
      </c>
      <c r="U71" s="90">
        <v>8</v>
      </c>
      <c r="V71" s="90">
        <v>13</v>
      </c>
      <c r="W71" s="90">
        <v>7</v>
      </c>
      <c r="X71" s="90">
        <v>8</v>
      </c>
      <c r="Y71" s="90">
        <v>9</v>
      </c>
      <c r="Z71" s="90">
        <v>3</v>
      </c>
      <c r="AA71" s="90">
        <v>-20</v>
      </c>
      <c r="AB71" s="15">
        <f t="shared" si="52"/>
        <v>36</v>
      </c>
      <c r="AC71" s="16">
        <f t="shared" si="53"/>
        <v>3.6</v>
      </c>
      <c r="AD71" s="90">
        <v>12</v>
      </c>
      <c r="AE71" s="90">
        <v>-4</v>
      </c>
      <c r="AF71" s="90">
        <v>8</v>
      </c>
      <c r="AG71" s="90">
        <v>6</v>
      </c>
      <c r="AH71" s="90">
        <v>-3</v>
      </c>
      <c r="AI71" s="90">
        <v>4</v>
      </c>
      <c r="AJ71" s="90">
        <v>6</v>
      </c>
      <c r="AK71" s="90">
        <v>-9</v>
      </c>
      <c r="AL71" s="15">
        <f t="shared" si="54"/>
        <v>20</v>
      </c>
      <c r="AM71" s="16">
        <f t="shared" si="55"/>
        <v>2.86</v>
      </c>
      <c r="AN71" s="17">
        <f t="shared" si="68"/>
        <v>3.21</v>
      </c>
      <c r="AO71" s="18" t="s">
        <v>78</v>
      </c>
      <c r="AP71" s="19">
        <v>24.9</v>
      </c>
      <c r="AQ71" s="19">
        <v>385.8</v>
      </c>
      <c r="AR71" s="19">
        <f t="shared" ca="1" si="51"/>
        <v>1542.1063185</v>
      </c>
      <c r="AS71" s="103">
        <v>54.2</v>
      </c>
      <c r="AT71" s="19">
        <v>57</v>
      </c>
      <c r="AU71" s="19">
        <v>96</v>
      </c>
      <c r="AV71" s="19">
        <v>804.3</v>
      </c>
      <c r="AW71" s="20">
        <f t="shared" ca="1" si="56"/>
        <v>28.452146097785977</v>
      </c>
      <c r="AX71" s="20">
        <f t="shared" ca="1" si="57"/>
        <v>16.063607484375002</v>
      </c>
      <c r="AY71" s="20">
        <f t="shared" ca="1" si="58"/>
        <v>1.9173272640805672</v>
      </c>
      <c r="AZ71" s="21">
        <v>1127.5999999999999</v>
      </c>
      <c r="BA71" s="22">
        <f t="shared" si="59"/>
        <v>7.0869078701976881E-2</v>
      </c>
      <c r="BB71" s="22">
        <f t="shared" si="60"/>
        <v>0.71328485278467546</v>
      </c>
      <c r="BC71" s="23">
        <f t="shared" si="69"/>
        <v>5.054984036892516E-2</v>
      </c>
      <c r="BD71" s="98">
        <v>52.5</v>
      </c>
      <c r="BE71" s="23">
        <f t="shared" si="70"/>
        <v>-6.3532797965107912E-3</v>
      </c>
      <c r="BF71">
        <v>91.8</v>
      </c>
      <c r="BG71" s="23">
        <f t="shared" si="71"/>
        <v>0.11113973612243377</v>
      </c>
      <c r="BH71" s="24">
        <v>19</v>
      </c>
      <c r="BI71" s="24">
        <v>26</v>
      </c>
      <c r="BJ71" s="25">
        <f t="shared" ca="1" si="72"/>
        <v>42.659840377411584</v>
      </c>
      <c r="BK71" s="25">
        <f t="shared" ca="1" si="73"/>
        <v>135.75961454696534</v>
      </c>
      <c r="BL71" s="23">
        <f t="shared" ca="1" si="43"/>
        <v>-0.11629324531385543</v>
      </c>
      <c r="BM71" s="23">
        <f t="shared" ca="1" si="44"/>
        <v>0.11393140614641739</v>
      </c>
      <c r="BN71" s="96" t="s">
        <v>529</v>
      </c>
      <c r="BO71" s="96" t="s">
        <v>97</v>
      </c>
      <c r="BP71" s="96" t="s">
        <v>138</v>
      </c>
      <c r="BQ71" s="98">
        <v>9.9</v>
      </c>
      <c r="BR71" s="98">
        <v>0</v>
      </c>
      <c r="BS71" s="98">
        <v>54.2</v>
      </c>
      <c r="BT71" t="s">
        <v>871</v>
      </c>
    </row>
    <row r="72" spans="1:72" x14ac:dyDescent="0.25">
      <c r="A72" s="101" t="e" vm="69">
        <v>#VALUE!</v>
      </c>
      <c r="B72" s="10" t="str">
        <f t="array" aca="1" ref="B72" ca="1">_FV(A72,"Símbolo bursátil",TRUE())</f>
        <v>SAP</v>
      </c>
      <c r="C72" s="88" t="s">
        <v>76</v>
      </c>
      <c r="D72" s="88" t="s">
        <v>77</v>
      </c>
      <c r="E72" s="11" t="str">
        <f t="shared" ca="1" si="61"/>
        <v>XETR</v>
      </c>
      <c r="F72" s="11" t="str">
        <f t="shared" ca="1" si="62"/>
        <v>EUR</v>
      </c>
      <c r="G72" s="12">
        <f t="shared" ca="1" si="63"/>
        <v>181.7</v>
      </c>
      <c r="H72" s="13">
        <f t="shared" ca="1" si="64"/>
        <v>1228.5039999999999</v>
      </c>
      <c r="I72" s="14">
        <f t="shared" ref="I72:I73" ca="1" si="74">G72*H72</f>
        <v>223219.17679999996</v>
      </c>
      <c r="J72" s="90">
        <v>1</v>
      </c>
      <c r="K72" s="90">
        <v>7</v>
      </c>
      <c r="L72" s="90">
        <v>2</v>
      </c>
      <c r="M72" s="90">
        <v>1</v>
      </c>
      <c r="N72" s="90">
        <v>0</v>
      </c>
      <c r="O72" s="90">
        <v>0</v>
      </c>
      <c r="P72" s="90">
        <v>0</v>
      </c>
      <c r="Q72" s="90">
        <v>0</v>
      </c>
      <c r="R72" s="15">
        <f t="shared" ref="R72" si="75">SUM(J72:N72)+SUM(P72:Q72)</f>
        <v>11</v>
      </c>
      <c r="S72" s="16">
        <f t="shared" ref="S72" si="76">ROUND(R72/16*10,2)</f>
        <v>6.88</v>
      </c>
      <c r="T72" s="90">
        <v>15</v>
      </c>
      <c r="U72" s="90">
        <v>18</v>
      </c>
      <c r="V72" s="90">
        <v>12</v>
      </c>
      <c r="W72" s="90">
        <v>10</v>
      </c>
      <c r="X72" s="90">
        <v>10</v>
      </c>
      <c r="Y72" s="90">
        <v>11</v>
      </c>
      <c r="Z72" s="90">
        <v>5</v>
      </c>
      <c r="AA72" s="90">
        <v>-9</v>
      </c>
      <c r="AB72" s="15">
        <f t="shared" si="52"/>
        <v>72</v>
      </c>
      <c r="AC72" s="16">
        <f t="shared" si="53"/>
        <v>7.2</v>
      </c>
      <c r="AD72" s="90">
        <v>14</v>
      </c>
      <c r="AE72" s="90">
        <v>-2</v>
      </c>
      <c r="AF72" s="90">
        <v>9</v>
      </c>
      <c r="AG72" s="90">
        <v>10</v>
      </c>
      <c r="AH72" s="90">
        <v>4</v>
      </c>
      <c r="AI72" s="90">
        <v>7</v>
      </c>
      <c r="AJ72" s="90">
        <v>14</v>
      </c>
      <c r="AK72" s="90">
        <v>-5</v>
      </c>
      <c r="AL72" s="15">
        <f t="shared" si="54"/>
        <v>51</v>
      </c>
      <c r="AM72" s="16">
        <f t="shared" si="55"/>
        <v>7.29</v>
      </c>
      <c r="AN72" s="17">
        <f t="shared" ref="AN72" si="77">ROUND(S72*0.2+AC72*0.4+AM72*0.4,2)</f>
        <v>7.17</v>
      </c>
      <c r="AO72" s="18" t="s">
        <v>87</v>
      </c>
      <c r="AP72" s="19">
        <v>11630</v>
      </c>
      <c r="AQ72" s="19">
        <v>9940</v>
      </c>
      <c r="AR72" s="19">
        <f t="shared" ref="AR72" ca="1" si="78">I72-AP72+AQ72</f>
        <v>221529.17679999996</v>
      </c>
      <c r="AS72" s="103">
        <v>7231</v>
      </c>
      <c r="AT72" s="19">
        <v>7892</v>
      </c>
      <c r="AU72" s="19">
        <v>11760</v>
      </c>
      <c r="AV72" s="19">
        <v>38190</v>
      </c>
      <c r="AW72" s="20">
        <f t="shared" ca="1" si="56"/>
        <v>30.636036066934029</v>
      </c>
      <c r="AX72" s="20">
        <f t="shared" ca="1" si="57"/>
        <v>18.837515034013602</v>
      </c>
      <c r="AY72" s="20">
        <f t="shared" ca="1" si="58"/>
        <v>5.8007116208431517</v>
      </c>
      <c r="AZ72" s="21">
        <v>55875</v>
      </c>
      <c r="BA72" s="22">
        <f t="shared" si="59"/>
        <v>0.20665095574757791</v>
      </c>
      <c r="BB72" s="22">
        <f t="shared" si="60"/>
        <v>0.68348993288590609</v>
      </c>
      <c r="BC72" s="23">
        <f t="shared" si="69"/>
        <v>0.14124384787472039</v>
      </c>
      <c r="BD72" s="98">
        <v>7951.6</v>
      </c>
      <c r="BE72" s="23">
        <f t="shared" si="70"/>
        <v>1.9180798026169565E-2</v>
      </c>
      <c r="BF72">
        <v>12755.7</v>
      </c>
      <c r="BG72" s="23">
        <f t="shared" si="71"/>
        <v>0.12021449265126183</v>
      </c>
      <c r="BH72" s="24">
        <v>16</v>
      </c>
      <c r="BI72" s="24">
        <v>24</v>
      </c>
      <c r="BJ72" s="25">
        <f t="shared" ca="1" si="72"/>
        <v>104.93706166198891</v>
      </c>
      <c r="BK72" s="25">
        <f t="shared" ca="1" si="73"/>
        <v>250.57044991306506</v>
      </c>
      <c r="BL72" s="23">
        <f t="shared" ref="BL72" ca="1" si="79">IF($BJ72&lt;=0,-0.99,MAX(-0.99,($BJ72/G72)^(1/5)-1))</f>
        <v>-0.1039860021613338</v>
      </c>
      <c r="BM72" s="23">
        <f t="shared" ref="BM72" ca="1" si="80">IF(BK72&lt;=0,-0.99,MAX(-0.99,(BK72/G72)^(1/5)-1))</f>
        <v>6.6387351152518148E-2</v>
      </c>
      <c r="BN72" s="96" t="s">
        <v>824</v>
      </c>
      <c r="BO72" s="96" t="s">
        <v>129</v>
      </c>
      <c r="BP72" s="96" t="s">
        <v>827</v>
      </c>
      <c r="BQ72" s="98">
        <v>1499</v>
      </c>
      <c r="BR72" s="98">
        <v>0</v>
      </c>
      <c r="BS72" s="98">
        <v>7231</v>
      </c>
      <c r="BT72" t="s">
        <v>871</v>
      </c>
    </row>
    <row r="73" spans="1:72" x14ac:dyDescent="0.25">
      <c r="A73" s="101" t="e" vm="70">
        <v>#VALUE!</v>
      </c>
      <c r="B73" s="10" t="str">
        <f t="array" aca="1" ref="B73" ca="1">_FV(A73,"Símbolo bursátil",TRUE())</f>
        <v>CTVA</v>
      </c>
      <c r="C73" s="88" t="s">
        <v>144</v>
      </c>
      <c r="D73" s="88" t="s">
        <v>77</v>
      </c>
      <c r="E73" s="11" t="str">
        <f t="shared" ca="1" si="61"/>
        <v>XNYS</v>
      </c>
      <c r="F73" s="11" t="str">
        <f t="shared" ca="1" si="62"/>
        <v>USD</v>
      </c>
      <c r="G73" s="12">
        <f t="shared" ca="1" si="63"/>
        <v>86.23</v>
      </c>
      <c r="H73" s="13">
        <f t="shared" ca="1" si="64"/>
        <v>667.19600000000003</v>
      </c>
      <c r="I73" s="14">
        <f t="shared" ca="1" si="74"/>
        <v>57532.311080000007</v>
      </c>
      <c r="J73" s="90">
        <v>1</v>
      </c>
      <c r="K73" s="90">
        <v>6</v>
      </c>
      <c r="L73" s="90">
        <v>1</v>
      </c>
      <c r="M73" s="90">
        <v>0</v>
      </c>
      <c r="N73" s="90">
        <v>-1</v>
      </c>
      <c r="O73" s="90">
        <v>0</v>
      </c>
      <c r="P73" s="90">
        <v>0</v>
      </c>
      <c r="Q73" s="90">
        <v>0</v>
      </c>
      <c r="R73" s="15">
        <f t="shared" ref="R73" si="81">SUM(J73:N73)+SUM(P73:Q73)</f>
        <v>7</v>
      </c>
      <c r="S73" s="16">
        <f t="shared" ref="S73" si="82">ROUND(R73/16*10,2)</f>
        <v>4.38</v>
      </c>
      <c r="T73" s="90">
        <v>11</v>
      </c>
      <c r="U73" s="90">
        <v>15</v>
      </c>
      <c r="V73" s="90">
        <v>11</v>
      </c>
      <c r="W73" s="90">
        <v>9</v>
      </c>
      <c r="X73" s="90">
        <v>10</v>
      </c>
      <c r="Y73" s="90">
        <v>9</v>
      </c>
      <c r="Z73" s="90">
        <v>5</v>
      </c>
      <c r="AA73" s="90">
        <v>-11</v>
      </c>
      <c r="AB73" s="15">
        <f t="shared" ref="AB73" si="83">SUM(T73:AA73)</f>
        <v>59</v>
      </c>
      <c r="AC73" s="16">
        <f t="shared" si="53"/>
        <v>5.9</v>
      </c>
      <c r="AD73" s="90">
        <v>14</v>
      </c>
      <c r="AE73" s="90">
        <v>-1</v>
      </c>
      <c r="AF73" s="90">
        <v>6</v>
      </c>
      <c r="AG73" s="90">
        <v>9</v>
      </c>
      <c r="AH73" s="90">
        <v>3</v>
      </c>
      <c r="AI73" s="90">
        <v>6</v>
      </c>
      <c r="AJ73" s="90">
        <v>12</v>
      </c>
      <c r="AK73" s="90">
        <v>-4</v>
      </c>
      <c r="AL73" s="15">
        <f t="shared" ref="AL73" si="84">SUM(AD73:AK73)</f>
        <v>45</v>
      </c>
      <c r="AM73" s="16">
        <f t="shared" si="55"/>
        <v>6.43</v>
      </c>
      <c r="AN73" s="17">
        <f t="shared" ref="AN73" si="85">ROUND(S73*0.2+AC73*0.4+AM73*0.4,2)</f>
        <v>5.81</v>
      </c>
      <c r="AO73" s="18" t="s">
        <v>78</v>
      </c>
      <c r="AP73" s="19">
        <v>2370</v>
      </c>
      <c r="AQ73" s="19">
        <v>4880</v>
      </c>
      <c r="AR73" s="19">
        <f t="shared" ref="AR73" ca="1" si="86">I73-AP73+AQ73</f>
        <v>60042.311080000007</v>
      </c>
      <c r="AS73" s="103">
        <v>2046</v>
      </c>
      <c r="AT73" s="19">
        <v>2100</v>
      </c>
      <c r="AU73" s="19">
        <v>4280</v>
      </c>
      <c r="AV73" s="19">
        <v>17810</v>
      </c>
      <c r="AW73" s="20">
        <f t="shared" ref="AW73" ca="1" si="87">AR73/AS73</f>
        <v>29.346193098729231</v>
      </c>
      <c r="AX73" s="20">
        <f t="shared" ref="AX73" ca="1" si="88">AR73/AU73</f>
        <v>14.028577355140188</v>
      </c>
      <c r="AY73" s="20">
        <f t="shared" ref="AY73" ca="1" si="89">AR73/AV73</f>
        <v>3.3712695721504775</v>
      </c>
      <c r="AZ73" s="21">
        <v>30853</v>
      </c>
      <c r="BA73" s="22">
        <f t="shared" ref="BA73" si="90">AT73/AV73</f>
        <v>0.11791128579449747</v>
      </c>
      <c r="BB73" s="22">
        <f t="shared" ref="BB73" si="91">AV73/AZ73</f>
        <v>0.57725342754351283</v>
      </c>
      <c r="BC73" s="23">
        <f t="shared" si="69"/>
        <v>6.8064693870936374E-2</v>
      </c>
      <c r="BD73" s="98">
        <v>2046</v>
      </c>
      <c r="BE73" s="23">
        <f t="shared" si="70"/>
        <v>0</v>
      </c>
      <c r="BF73">
        <v>3295</v>
      </c>
      <c r="BG73" s="23">
        <f t="shared" si="71"/>
        <v>9.9993092330439737E-2</v>
      </c>
      <c r="BH73" s="24">
        <v>14</v>
      </c>
      <c r="BI73" s="24">
        <v>22</v>
      </c>
      <c r="BJ73" s="25">
        <f t="shared" ca="1" si="72"/>
        <v>39.169899100114506</v>
      </c>
      <c r="BK73" s="25">
        <f t="shared" ca="1" si="73"/>
        <v>104.88671994436417</v>
      </c>
      <c r="BL73" s="23">
        <f t="shared" ref="BL73" ca="1" si="92">IF($BJ73&lt;=0,-0.99,MAX(-0.99,($BJ73/G73)^(1/5)-1))</f>
        <v>-0.14599814635171016</v>
      </c>
      <c r="BM73" s="23">
        <f t="shared" ref="BM73" ca="1" si="93">IF(BK73&lt;=0,-0.99,MAX(-0.99,(BK73/G73)^(1/5)-1))</f>
        <v>3.9949914674676013E-2</v>
      </c>
      <c r="BN73" s="96" t="s">
        <v>824</v>
      </c>
      <c r="BO73" s="96" t="s">
        <v>97</v>
      </c>
      <c r="BP73" s="96" t="s">
        <v>154</v>
      </c>
      <c r="BQ73" s="98">
        <v>0</v>
      </c>
      <c r="BR73" s="98">
        <v>0</v>
      </c>
      <c r="BS73" s="98">
        <v>2046</v>
      </c>
      <c r="BT73" t="s">
        <v>873</v>
      </c>
    </row>
    <row r="74" spans="1:72" x14ac:dyDescent="0.25">
      <c r="A74" s="101" t="e" vm="71">
        <v>#VALUE!</v>
      </c>
      <c r="B74" s="10" t="str">
        <f t="array" aca="1" ref="B74" ca="1">_FV(A74,"Símbolo bursátil",TRUE())</f>
        <v>RCL</v>
      </c>
      <c r="C74" s="88" t="s">
        <v>108</v>
      </c>
      <c r="D74" s="88" t="s">
        <v>142</v>
      </c>
      <c r="E74" s="11" t="str">
        <f t="shared" ca="1" si="61"/>
        <v>XNYS</v>
      </c>
      <c r="F74" s="11" t="str">
        <f t="shared" ca="1" si="62"/>
        <v>USD</v>
      </c>
      <c r="G74" s="12">
        <f t="shared" ca="1" si="63"/>
        <v>267.17</v>
      </c>
      <c r="H74" s="13">
        <f t="shared" ca="1" si="64"/>
        <v>267.45209999999997</v>
      </c>
      <c r="I74" s="14">
        <f ca="1">G74*H74</f>
        <v>71455.177557000003</v>
      </c>
      <c r="J74" s="90">
        <v>1</v>
      </c>
      <c r="K74" s="90">
        <v>4.5</v>
      </c>
      <c r="L74" s="90">
        <v>2</v>
      </c>
      <c r="M74" s="90">
        <v>-0.5</v>
      </c>
      <c r="N74" s="90">
        <v>-1</v>
      </c>
      <c r="O74" s="90"/>
      <c r="P74" s="90">
        <v>0.5</v>
      </c>
      <c r="Q74" s="90">
        <v>0</v>
      </c>
      <c r="R74" s="15">
        <f>SUM(J74:N74)+SUM(P74:Q74)</f>
        <v>6.5</v>
      </c>
      <c r="S74" s="16">
        <f>ROUND(R74/16*10,2)</f>
        <v>4.0599999999999996</v>
      </c>
      <c r="T74" s="90">
        <v>10</v>
      </c>
      <c r="U74" s="90">
        <v>11</v>
      </c>
      <c r="V74" s="90">
        <v>12</v>
      </c>
      <c r="W74" s="90">
        <v>8</v>
      </c>
      <c r="X74" s="90">
        <v>4</v>
      </c>
      <c r="Y74" s="90">
        <v>8</v>
      </c>
      <c r="Z74" s="90">
        <v>5</v>
      </c>
      <c r="AA74" s="90">
        <v>-17</v>
      </c>
      <c r="AB74" s="15">
        <f>SUM(T74:AA74)</f>
        <v>41</v>
      </c>
      <c r="AC74" s="16">
        <f>ROUND(AB74/10,2)</f>
        <v>4.0999999999999996</v>
      </c>
      <c r="AD74" s="90">
        <v>10</v>
      </c>
      <c r="AE74" s="90">
        <v>-5</v>
      </c>
      <c r="AF74" s="90">
        <v>1</v>
      </c>
      <c r="AG74" s="90">
        <v>7</v>
      </c>
      <c r="AH74" s="90">
        <v>0</v>
      </c>
      <c r="AI74" s="90">
        <v>5</v>
      </c>
      <c r="AJ74" s="90">
        <v>8</v>
      </c>
      <c r="AK74" s="90">
        <v>-8</v>
      </c>
      <c r="AL74" s="15">
        <f>SUM(AD74:AK74)</f>
        <v>18</v>
      </c>
      <c r="AM74" s="16">
        <f>ROUND(AL74/70*10,2)</f>
        <v>2.57</v>
      </c>
      <c r="AN74" s="17">
        <f>ROUND(S74*0.2+AC74*0.4+AM74*0.4,2)</f>
        <v>3.48</v>
      </c>
      <c r="AO74" s="18" t="s">
        <v>78</v>
      </c>
      <c r="AP74" s="19">
        <v>875</v>
      </c>
      <c r="AQ74" s="19">
        <v>22836</v>
      </c>
      <c r="AR74" s="19">
        <f ca="1">I74-AP74+AQ74</f>
        <v>93416.177557000003</v>
      </c>
      <c r="AS74" s="103">
        <v>4821</v>
      </c>
      <c r="AT74" s="19">
        <v>4984</v>
      </c>
      <c r="AU74" s="19">
        <v>6920</v>
      </c>
      <c r="AV74" s="19">
        <v>18682</v>
      </c>
      <c r="AW74" s="20">
        <f ca="1">AR74/AS74</f>
        <v>19.376929590748809</v>
      </c>
      <c r="AX74" s="20">
        <f ca="1">AR74/AU74</f>
        <v>13.499447623843931</v>
      </c>
      <c r="AY74" s="20">
        <f ca="1">AR74/AV74</f>
        <v>5.000330668932663</v>
      </c>
      <c r="AZ74" s="21">
        <v>32197</v>
      </c>
      <c r="BA74" s="22">
        <f>AT74/AV74</f>
        <v>0.26678085858045175</v>
      </c>
      <c r="BB74" s="22">
        <f>AV74/AZ74</f>
        <v>0.58024039506786351</v>
      </c>
      <c r="BC74" s="23">
        <f>BA74*BB74</f>
        <v>0.15479703077926515</v>
      </c>
      <c r="BD74" s="98">
        <v>5308.7</v>
      </c>
      <c r="BE74" s="23">
        <f>(BD74/AS74)^(1/5)-1</f>
        <v>1.9460047312442663E-2</v>
      </c>
      <c r="BF74">
        <v>8908.4</v>
      </c>
      <c r="BG74" s="23">
        <f>(BF74/AS74)^(1/5)-1</f>
        <v>0.13066126890251373</v>
      </c>
      <c r="BH74" s="24">
        <v>8</v>
      </c>
      <c r="BI74" s="24">
        <v>11.5</v>
      </c>
      <c r="BJ74" s="25">
        <f ca="1">((BD74*BH74+$AP74-$AQ74)/$H74)</f>
        <v>76.681394537563918</v>
      </c>
      <c r="BK74" s="25">
        <f ca="1">((BF74*BI74+$AP74-$AQ74)/$H74)</f>
        <v>300.93463465046636</v>
      </c>
      <c r="BL74" s="23">
        <f ca="1">IF($BJ74&lt;=0,-0.99,MAX(-0.99,($BJ74/G74)^(1/5)-1))</f>
        <v>-0.22092285802453138</v>
      </c>
      <c r="BM74" s="23">
        <f ca="1">IF(BK74&lt;=0,-0.99,MAX(-0.99,(BK74/G74)^(1/5)-1))</f>
        <v>2.4087102592463827E-2</v>
      </c>
      <c r="BN74" s="96" t="s">
        <v>867</v>
      </c>
      <c r="BO74" s="96"/>
      <c r="BP74" s="96"/>
      <c r="BQ74" s="98">
        <v>151</v>
      </c>
      <c r="BR74" s="98">
        <v>5388</v>
      </c>
      <c r="BS74" s="98">
        <v>4821</v>
      </c>
      <c r="BT74" s="96" t="s">
        <v>880</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09" t="s">
        <v>159</v>
      </c>
      <c r="B1" s="105"/>
      <c r="C1" s="105"/>
      <c r="D1" s="105"/>
      <c r="E1" s="105"/>
      <c r="F1" s="105"/>
    </row>
    <row r="3" spans="1:6" ht="15" customHeight="1" x14ac:dyDescent="0.25">
      <c r="A3" s="27" t="s">
        <v>160</v>
      </c>
    </row>
    <row r="4" spans="1:6" ht="15" customHeight="1" x14ac:dyDescent="0.25">
      <c r="A4" s="28" t="s">
        <v>161</v>
      </c>
      <c r="D4" t="e" vm="72">
        <v>#VALUE!</v>
      </c>
      <c r="E4" s="29">
        <f t="array" aca="1" ref="E4" ca="1">_FV(D4,"Precio")</f>
        <v>178.88</v>
      </c>
    </row>
    <row r="5" spans="1:6" ht="15" customHeight="1" x14ac:dyDescent="0.25">
      <c r="A5" s="28" t="s">
        <v>162</v>
      </c>
      <c r="D5" t="e" vm="73">
        <v>#VALUE!</v>
      </c>
      <c r="E5" s="30">
        <f t="array" aca="1" ref="E5" ca="1">_FV(D5,"Precio")</f>
        <v>1.2353000000000001</v>
      </c>
    </row>
    <row r="6" spans="1:6" ht="15" customHeight="1" x14ac:dyDescent="0.25">
      <c r="A6" s="28" t="s">
        <v>163</v>
      </c>
      <c r="D6" t="e" vm="74">
        <v>#VALUE!</v>
      </c>
      <c r="E6" s="31">
        <f t="array" aca="1" ref="E6" ca="1">_FV(D6,"Precio")</f>
        <v>453.99</v>
      </c>
    </row>
    <row r="7" spans="1:6" ht="15" customHeight="1" x14ac:dyDescent="0.25">
      <c r="D7" t="e" vm="75">
        <v>#VALUE!</v>
      </c>
      <c r="E7" s="30">
        <f t="array" aca="1" ref="E7" ca="1">_FV(D7,"Precio")</f>
        <v>0.72550000000000003</v>
      </c>
    </row>
    <row r="8" spans="1:6" ht="15" customHeight="1" x14ac:dyDescent="0.25">
      <c r="A8" s="27" t="s">
        <v>580</v>
      </c>
      <c r="D8" t="e" vm="76">
        <v>#VALUE!</v>
      </c>
      <c r="E8" s="87">
        <f t="array" aca="1" ref="E8" ca="1">_FV(D8,"Precio")</f>
        <v>0.86009999999999998</v>
      </c>
    </row>
    <row r="9" spans="1:6" ht="15" customHeight="1" x14ac:dyDescent="0.25">
      <c r="A9" s="28" t="s">
        <v>164</v>
      </c>
      <c r="C9" t="s">
        <v>588</v>
      </c>
      <c r="E9">
        <v>1.3641000000000001</v>
      </c>
    </row>
    <row r="10" spans="1:6" ht="15" customHeight="1" x14ac:dyDescent="0.25">
      <c r="A10" s="28" t="s">
        <v>165</v>
      </c>
    </row>
    <row r="11" spans="1:6" ht="15" customHeight="1" x14ac:dyDescent="0.25">
      <c r="A11" s="28" t="s">
        <v>166</v>
      </c>
    </row>
    <row r="12" spans="1:6" ht="15" customHeight="1" x14ac:dyDescent="0.25">
      <c r="A12" s="28" t="s">
        <v>167</v>
      </c>
    </row>
    <row r="13" spans="1:6" ht="15" customHeight="1" x14ac:dyDescent="0.25">
      <c r="A13" s="28" t="s">
        <v>168</v>
      </c>
    </row>
    <row r="14" spans="1:6" ht="15" customHeight="1" x14ac:dyDescent="0.25">
      <c r="A14" s="28" t="s">
        <v>581</v>
      </c>
    </row>
    <row r="15" spans="1:6" ht="15" customHeight="1" x14ac:dyDescent="0.25">
      <c r="A15" s="28" t="s">
        <v>169</v>
      </c>
    </row>
    <row r="16" spans="1:6" ht="15" customHeight="1" x14ac:dyDescent="0.25">
      <c r="A16" s="28" t="s">
        <v>170</v>
      </c>
    </row>
    <row r="18" spans="1:1" ht="15" customHeight="1" x14ac:dyDescent="0.25">
      <c r="A18" s="27" t="s">
        <v>171</v>
      </c>
    </row>
    <row r="19" spans="1:1" ht="15" customHeight="1" x14ac:dyDescent="0.25">
      <c r="A19" s="28" t="s">
        <v>172</v>
      </c>
    </row>
    <row r="20" spans="1:1" ht="15" customHeight="1" x14ac:dyDescent="0.25">
      <c r="A20" s="28" t="s">
        <v>173</v>
      </c>
    </row>
    <row r="21" spans="1:1" ht="15" customHeight="1" x14ac:dyDescent="0.25">
      <c r="A21" s="28" t="s">
        <v>174</v>
      </c>
    </row>
    <row r="22" spans="1:1" ht="15" customHeight="1" x14ac:dyDescent="0.25">
      <c r="A22" s="28" t="s">
        <v>175</v>
      </c>
    </row>
    <row r="23" spans="1:1" ht="15" customHeight="1" x14ac:dyDescent="0.25">
      <c r="A23" s="28" t="s">
        <v>176</v>
      </c>
    </row>
    <row r="24" spans="1:1" ht="15" customHeight="1" x14ac:dyDescent="0.25">
      <c r="A24" s="28" t="s">
        <v>177</v>
      </c>
    </row>
    <row r="25" spans="1:1" ht="15" customHeight="1" x14ac:dyDescent="0.25">
      <c r="A25" s="28" t="s">
        <v>178</v>
      </c>
    </row>
    <row r="26" spans="1:1" ht="15" customHeight="1" x14ac:dyDescent="0.25">
      <c r="A26" s="28" t="s">
        <v>179</v>
      </c>
    </row>
    <row r="28" spans="1:1" ht="15" customHeight="1" x14ac:dyDescent="0.25">
      <c r="A28" s="27" t="s">
        <v>180</v>
      </c>
    </row>
    <row r="29" spans="1:1" ht="15" customHeight="1" x14ac:dyDescent="0.25">
      <c r="A29" s="28" t="s">
        <v>181</v>
      </c>
    </row>
    <row r="30" spans="1:1" ht="15" customHeight="1" x14ac:dyDescent="0.25">
      <c r="A30" s="28" t="s">
        <v>182</v>
      </c>
    </row>
    <row r="31" spans="1:1" ht="15" customHeight="1" x14ac:dyDescent="0.25">
      <c r="A31" s="28" t="s">
        <v>183</v>
      </c>
    </row>
    <row r="32" spans="1:1" ht="15" customHeight="1" x14ac:dyDescent="0.25">
      <c r="A32" s="28" t="s">
        <v>184</v>
      </c>
    </row>
    <row r="33" spans="1:1" ht="15" customHeight="1" x14ac:dyDescent="0.25">
      <c r="A33" s="28" t="s">
        <v>185</v>
      </c>
    </row>
    <row r="34" spans="1:1" ht="15" customHeight="1" x14ac:dyDescent="0.25">
      <c r="A34" s="28" t="s">
        <v>186</v>
      </c>
    </row>
    <row r="35" spans="1:1" ht="15" customHeight="1" x14ac:dyDescent="0.25">
      <c r="A35" s="28" t="s">
        <v>187</v>
      </c>
    </row>
    <row r="36" spans="1:1" ht="15" customHeight="1" x14ac:dyDescent="0.25">
      <c r="A36" s="28" t="s">
        <v>188</v>
      </c>
    </row>
    <row r="38" spans="1:1" ht="15" customHeight="1" x14ac:dyDescent="0.25">
      <c r="A38" s="27" t="s">
        <v>189</v>
      </c>
    </row>
    <row r="39" spans="1:1" ht="15" customHeight="1" x14ac:dyDescent="0.25">
      <c r="A39" s="28" t="s">
        <v>582</v>
      </c>
    </row>
    <row r="40" spans="1:1" ht="15" customHeight="1" x14ac:dyDescent="0.25">
      <c r="A40" s="28" t="s">
        <v>583</v>
      </c>
    </row>
    <row r="41" spans="1:1" x14ac:dyDescent="0.25">
      <c r="A41" t="s">
        <v>584</v>
      </c>
    </row>
    <row r="42" spans="1:1" ht="15" customHeight="1" x14ac:dyDescent="0.25">
      <c r="A42" s="27" t="s">
        <v>190</v>
      </c>
    </row>
    <row r="43" spans="1:1" ht="15" customHeight="1" x14ac:dyDescent="0.25">
      <c r="A43" s="28" t="s">
        <v>191</v>
      </c>
    </row>
    <row r="44" spans="1:1" ht="15" customHeight="1" x14ac:dyDescent="0.25">
      <c r="A44" s="28" t="s">
        <v>192</v>
      </c>
    </row>
    <row r="45" spans="1:1" ht="15" customHeight="1" x14ac:dyDescent="0.25">
      <c r="A45" s="28" t="s">
        <v>193</v>
      </c>
    </row>
    <row r="46" spans="1:1" ht="15" customHeight="1" x14ac:dyDescent="0.25">
      <c r="A46" s="28" t="s">
        <v>194</v>
      </c>
    </row>
    <row r="47" spans="1:1" ht="15" customHeight="1" x14ac:dyDescent="0.25">
      <c r="A47" s="28" t="s">
        <v>195</v>
      </c>
    </row>
    <row r="49" spans="1:1" ht="15" customHeight="1" x14ac:dyDescent="0.25">
      <c r="A49" s="27"/>
    </row>
    <row r="50" spans="1:1" ht="15" customHeight="1" x14ac:dyDescent="0.25">
      <c r="A50" s="28" t="s">
        <v>618</v>
      </c>
    </row>
    <row r="51" spans="1:1" ht="15" customHeight="1" x14ac:dyDescent="0.25">
      <c r="A51" s="28" t="s">
        <v>619</v>
      </c>
    </row>
    <row r="52" spans="1:1" ht="15" customHeight="1" x14ac:dyDescent="0.25">
      <c r="A52" s="28" t="s">
        <v>620</v>
      </c>
    </row>
    <row r="53" spans="1:1" x14ac:dyDescent="0.25">
      <c r="A53" t="s">
        <v>621</v>
      </c>
    </row>
    <row r="54" spans="1:1" x14ac:dyDescent="0.25">
      <c r="A54" t="s">
        <v>622</v>
      </c>
    </row>
    <row r="55" spans="1:1" x14ac:dyDescent="0.25">
      <c r="A55" t="s">
        <v>623</v>
      </c>
    </row>
    <row r="56" spans="1:1" x14ac:dyDescent="0.25">
      <c r="A56" t="s">
        <v>624</v>
      </c>
    </row>
    <row r="57" spans="1:1" x14ac:dyDescent="0.25">
      <c r="A57" t="s">
        <v>625</v>
      </c>
    </row>
    <row r="58" spans="1:1" x14ac:dyDescent="0.25">
      <c r="A58" t="s">
        <v>785</v>
      </c>
    </row>
    <row r="59" spans="1:1" x14ac:dyDescent="0.25">
      <c r="A59" t="s">
        <v>786</v>
      </c>
    </row>
    <row r="62" spans="1:1" x14ac:dyDescent="0.25">
      <c r="A62" t="s">
        <v>640</v>
      </c>
    </row>
    <row r="63" spans="1:1" x14ac:dyDescent="0.25">
      <c r="A63" t="s">
        <v>641</v>
      </c>
    </row>
    <row r="64" spans="1:1" x14ac:dyDescent="0.25">
      <c r="A64" t="s">
        <v>642</v>
      </c>
    </row>
    <row r="65" spans="1:1" x14ac:dyDescent="0.25">
      <c r="A65" t="s">
        <v>643</v>
      </c>
    </row>
    <row r="66" spans="1:1" x14ac:dyDescent="0.25">
      <c r="A66" t="s">
        <v>644</v>
      </c>
    </row>
    <row r="67" spans="1:1" x14ac:dyDescent="0.25">
      <c r="A67" t="s">
        <v>645</v>
      </c>
    </row>
    <row r="68" spans="1:1" x14ac:dyDescent="0.25">
      <c r="A68" t="s">
        <v>646</v>
      </c>
    </row>
    <row r="69" spans="1:1" x14ac:dyDescent="0.25">
      <c r="A69" t="s">
        <v>647</v>
      </c>
    </row>
    <row r="70" spans="1:1" x14ac:dyDescent="0.25">
      <c r="A70" t="s">
        <v>648</v>
      </c>
    </row>
    <row r="71" spans="1:1" x14ac:dyDescent="0.25">
      <c r="A71" t="s">
        <v>649</v>
      </c>
    </row>
    <row r="72" spans="1:1" x14ac:dyDescent="0.25">
      <c r="A72" t="s">
        <v>764</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16" t="s">
        <v>196</v>
      </c>
      <c r="B1" s="105"/>
      <c r="C1" s="105"/>
      <c r="D1" s="105"/>
      <c r="E1" s="105"/>
      <c r="F1" s="105"/>
      <c r="G1" s="105"/>
      <c r="H1" s="105"/>
      <c r="I1" s="105"/>
      <c r="J1" s="105"/>
      <c r="K1" s="105"/>
      <c r="L1" s="105"/>
      <c r="M1" s="32"/>
      <c r="N1" s="32"/>
      <c r="O1" s="32"/>
      <c r="P1" s="32"/>
      <c r="Q1" s="32"/>
      <c r="R1" s="32"/>
    </row>
    <row r="2" spans="1:47" ht="24.75" customHeight="1" x14ac:dyDescent="0.25">
      <c r="A2" s="133" t="s">
        <v>197</v>
      </c>
      <c r="B2" s="134"/>
      <c r="C2" s="134"/>
      <c r="D2" s="134"/>
      <c r="E2" s="134"/>
      <c r="F2" s="134"/>
      <c r="G2" s="134"/>
      <c r="H2" s="134"/>
      <c r="I2" s="134"/>
      <c r="J2" s="134"/>
      <c r="K2" s="134"/>
      <c r="L2" s="134"/>
    </row>
    <row r="3" spans="1:47" ht="24.75" customHeight="1" x14ac:dyDescent="0.25">
      <c r="A3" s="139" t="s">
        <v>198</v>
      </c>
      <c r="B3" s="128"/>
      <c r="C3" s="160" t="s">
        <v>199</v>
      </c>
      <c r="D3" s="128"/>
      <c r="E3" s="161" t="s">
        <v>200</v>
      </c>
      <c r="F3" s="128"/>
      <c r="G3" s="127" t="s">
        <v>201</v>
      </c>
      <c r="H3" s="128"/>
      <c r="I3" s="129" t="s">
        <v>202</v>
      </c>
      <c r="J3" s="128"/>
      <c r="K3" s="165" t="s">
        <v>203</v>
      </c>
      <c r="L3" s="166"/>
    </row>
    <row r="4" spans="1:47" ht="49.5" customHeight="1" x14ac:dyDescent="0.25">
      <c r="A4" s="146">
        <f ca="1">COUNTA('Watchlist Ratings'!B4:B71)</f>
        <v>68</v>
      </c>
      <c r="B4" s="131"/>
      <c r="C4" s="162">
        <f>ROUND(AVERAGE('Watchlist Ratings'!AN4:AN71),2)</f>
        <v>5.98</v>
      </c>
      <c r="D4" s="131"/>
      <c r="E4" s="132" t="str">
        <f>TEXT(AVERAGE('Watchlist Ratings'!BC4:BC71),"0.0%")</f>
        <v>15.8%</v>
      </c>
      <c r="F4" s="131"/>
      <c r="G4" s="132" t="str">
        <f ca="1">TEXT(AVERAGE('Watchlist Ratings'!AW4:AW71),"0.0x")</f>
        <v>37.9x</v>
      </c>
      <c r="H4" s="131"/>
      <c r="I4" s="132">
        <f ca="1">COUNTIF('Watchlist Ratings'!BM4:BM71,"&gt;0")</f>
        <v>52</v>
      </c>
      <c r="J4" s="131"/>
      <c r="K4" s="117">
        <f>COUNTIF('Watchlist Ratings'!AN4:AN71,"&gt;7.5")</f>
        <v>16</v>
      </c>
      <c r="L4" s="118"/>
    </row>
    <row r="5" spans="1:47" ht="19.5" customHeight="1" x14ac:dyDescent="0.25">
      <c r="A5" s="142" t="s">
        <v>204</v>
      </c>
      <c r="B5" s="131"/>
      <c r="C5" s="130" t="s">
        <v>205</v>
      </c>
      <c r="D5" s="131"/>
      <c r="E5" s="130" t="s">
        <v>206</v>
      </c>
      <c r="F5" s="131"/>
      <c r="G5" s="130" t="s">
        <v>207</v>
      </c>
      <c r="H5" s="131"/>
      <c r="I5" s="130" t="s">
        <v>208</v>
      </c>
      <c r="J5" s="131"/>
      <c r="K5" s="167" t="s">
        <v>209</v>
      </c>
      <c r="L5" s="118"/>
    </row>
    <row r="6" spans="1:47" ht="18" customHeight="1" x14ac:dyDescent="0.25">
      <c r="A6" s="123" t="s">
        <v>210</v>
      </c>
      <c r="B6" s="124"/>
      <c r="C6" s="140" t="s">
        <v>211</v>
      </c>
      <c r="D6" s="124"/>
      <c r="E6" s="140" t="s">
        <v>212</v>
      </c>
      <c r="F6" s="124"/>
      <c r="G6" s="126" t="s">
        <v>213</v>
      </c>
      <c r="H6" s="124"/>
      <c r="I6" s="140" t="s">
        <v>214</v>
      </c>
      <c r="J6" s="124"/>
      <c r="K6" s="163" t="s">
        <v>215</v>
      </c>
      <c r="L6" s="164"/>
      <c r="O6" t="s">
        <v>216</v>
      </c>
      <c r="S6" t="s">
        <v>217</v>
      </c>
      <c r="V6" t="s">
        <v>218</v>
      </c>
      <c r="Y6" t="s">
        <v>219</v>
      </c>
      <c r="AA6" t="s">
        <v>220</v>
      </c>
      <c r="AE6" t="s">
        <v>221</v>
      </c>
      <c r="AF6" t="s">
        <v>222</v>
      </c>
      <c r="AH6" t="s">
        <v>221</v>
      </c>
      <c r="AI6" t="s">
        <v>222</v>
      </c>
      <c r="AJ6" t="s">
        <v>221</v>
      </c>
      <c r="AK6" t="s">
        <v>223</v>
      </c>
      <c r="AL6" t="s">
        <v>224</v>
      </c>
      <c r="AM6" t="s">
        <v>221</v>
      </c>
      <c r="AN6" t="s">
        <v>225</v>
      </c>
      <c r="AO6" t="s">
        <v>221</v>
      </c>
      <c r="AP6" t="s">
        <v>226</v>
      </c>
      <c r="AQ6" t="s">
        <v>227</v>
      </c>
      <c r="AS6" t="s">
        <v>221</v>
      </c>
      <c r="AT6" t="s">
        <v>225</v>
      </c>
      <c r="AU6" t="s">
        <v>227</v>
      </c>
    </row>
    <row r="7" spans="1:47" ht="15.75" customHeight="1" x14ac:dyDescent="0.25">
      <c r="A7" s="33" t="s">
        <v>228</v>
      </c>
      <c r="B7" s="34" t="s">
        <v>221</v>
      </c>
      <c r="C7" s="34" t="s">
        <v>229</v>
      </c>
      <c r="D7" s="34" t="s">
        <v>230</v>
      </c>
      <c r="E7" s="34" t="s">
        <v>231</v>
      </c>
      <c r="F7" s="34" t="s">
        <v>232</v>
      </c>
      <c r="G7" s="34" t="s">
        <v>223</v>
      </c>
      <c r="H7" s="34" t="s">
        <v>233</v>
      </c>
      <c r="I7" s="34" t="s">
        <v>62</v>
      </c>
      <c r="J7" s="35" t="s">
        <v>225</v>
      </c>
      <c r="K7" s="36"/>
      <c r="O7" t="s">
        <v>221</v>
      </c>
      <c r="P7" t="s">
        <v>232</v>
      </c>
      <c r="Q7" t="s">
        <v>234</v>
      </c>
      <c r="S7" t="s">
        <v>221</v>
      </c>
      <c r="T7" t="s">
        <v>62</v>
      </c>
      <c r="V7" t="s">
        <v>221</v>
      </c>
      <c r="W7" t="s">
        <v>223</v>
      </c>
      <c r="X7" t="s">
        <v>224</v>
      </c>
      <c r="Y7" t="s">
        <v>221</v>
      </c>
      <c r="Z7" t="s">
        <v>225</v>
      </c>
      <c r="AA7" t="s">
        <v>221</v>
      </c>
      <c r="AB7" t="s">
        <v>235</v>
      </c>
      <c r="AC7" t="s">
        <v>234</v>
      </c>
      <c r="AE7" t="s">
        <v>236</v>
      </c>
      <c r="AF7">
        <v>83.3333333333333</v>
      </c>
      <c r="AH7" t="s">
        <v>236</v>
      </c>
      <c r="AI7">
        <v>83.3</v>
      </c>
      <c r="AJ7" t="s">
        <v>237</v>
      </c>
      <c r="AK7">
        <v>8</v>
      </c>
      <c r="AL7">
        <v>3</v>
      </c>
      <c r="AM7" t="s">
        <v>238</v>
      </c>
      <c r="AN7">
        <v>52.2</v>
      </c>
      <c r="AO7" t="s">
        <v>237</v>
      </c>
      <c r="AP7">
        <v>4.5</v>
      </c>
      <c r="AQ7">
        <v>33.6</v>
      </c>
      <c r="AS7" t="s">
        <v>237</v>
      </c>
      <c r="AT7">
        <v>20.173600073636401</v>
      </c>
      <c r="AU7">
        <v>33.701681153345</v>
      </c>
    </row>
    <row r="8" spans="1:47" ht="30" customHeight="1" x14ac:dyDescent="0.25">
      <c r="A8" s="125" t="s">
        <v>239</v>
      </c>
      <c r="B8" s="105"/>
      <c r="C8" s="105"/>
      <c r="D8" s="105"/>
      <c r="E8" s="105"/>
      <c r="F8" s="105"/>
      <c r="G8" s="105"/>
      <c r="H8" s="105"/>
      <c r="I8" s="105"/>
      <c r="J8" s="105"/>
      <c r="K8" s="105"/>
      <c r="L8" s="105"/>
      <c r="O8" t="str">
        <f ca="1">'Watchlist Ratings'!B4</f>
        <v>VEEV</v>
      </c>
      <c r="P8" s="37">
        <f>'Watchlist Ratings'!AN4</f>
        <v>8.33</v>
      </c>
      <c r="Q8" s="23">
        <f ca="1">'Watchlist Ratings'!BM4</f>
        <v>0.12565033681249416</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30.528876850286103</v>
      </c>
      <c r="AA8" t="str">
        <f ca="1">'Watchlist Ratings'!B4</f>
        <v>VEEV</v>
      </c>
      <c r="AB8">
        <f ca="1">'Watchlist Ratings'!BL4</f>
        <v>-9.2433680720518496E-2</v>
      </c>
      <c r="AC8">
        <f ca="1">'Watchlist Ratings'!BM4</f>
        <v>0.12565033681249416</v>
      </c>
      <c r="AE8" t="s">
        <v>240</v>
      </c>
      <c r="AF8">
        <v>83.3333333333333</v>
      </c>
      <c r="AH8" t="s">
        <v>240</v>
      </c>
      <c r="AI8">
        <v>83.3</v>
      </c>
      <c r="AJ8" t="s">
        <v>241</v>
      </c>
      <c r="AK8">
        <v>8</v>
      </c>
      <c r="AL8">
        <v>3</v>
      </c>
      <c r="AM8" t="s">
        <v>242</v>
      </c>
      <c r="AN8">
        <v>51.1</v>
      </c>
      <c r="AO8" t="s">
        <v>243</v>
      </c>
      <c r="AP8">
        <v>3.7</v>
      </c>
      <c r="AQ8">
        <v>32.4</v>
      </c>
      <c r="AS8" t="s">
        <v>241</v>
      </c>
      <c r="AT8">
        <v>44.5724369425714</v>
      </c>
      <c r="AU8">
        <v>10.123218193895701</v>
      </c>
    </row>
    <row r="9" spans="1:47" ht="15" customHeight="1" x14ac:dyDescent="0.2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66.27693263334065</v>
      </c>
      <c r="O9" t="str">
        <f ca="1">'Watchlist Ratings'!B5</f>
        <v>MSFT</v>
      </c>
      <c r="P9" s="37">
        <f>'Watchlist Ratings'!AN5</f>
        <v>7.86</v>
      </c>
      <c r="Q9" s="23">
        <f ca="1">'Watchlist Ratings'!BM5</f>
        <v>-4.3901717053937417E-2</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66.27693263334065</v>
      </c>
      <c r="AA9" t="str">
        <f ca="1">'Watchlist Ratings'!B5</f>
        <v>MSFT</v>
      </c>
      <c r="AB9">
        <f ca="1">'Watchlist Ratings'!BL5</f>
        <v>-0.18632716161711571</v>
      </c>
      <c r="AC9">
        <f ca="1">'Watchlist Ratings'!BM5</f>
        <v>-4.3901717053937417E-2</v>
      </c>
      <c r="AE9" t="s">
        <v>244</v>
      </c>
      <c r="AF9">
        <v>59.375</v>
      </c>
      <c r="AH9" t="s">
        <v>244</v>
      </c>
      <c r="AI9">
        <v>59.4</v>
      </c>
      <c r="AJ9" t="s">
        <v>242</v>
      </c>
      <c r="AK9">
        <v>8</v>
      </c>
      <c r="AL9">
        <v>1</v>
      </c>
      <c r="AM9" t="s">
        <v>245</v>
      </c>
      <c r="AN9">
        <v>45.6</v>
      </c>
      <c r="AO9" t="s">
        <v>246</v>
      </c>
      <c r="AP9">
        <v>1.1000000000000001</v>
      </c>
      <c r="AQ9">
        <v>28.4</v>
      </c>
      <c r="AS9" t="s">
        <v>246</v>
      </c>
      <c r="AT9">
        <v>28.571278521519002</v>
      </c>
      <c r="AU9">
        <v>28.414482662692301</v>
      </c>
    </row>
    <row r="10" spans="1:47" ht="15" customHeight="1" x14ac:dyDescent="0.2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32.817177175925927</v>
      </c>
      <c r="O10" t="str">
        <f ca="1">'Watchlist Ratings'!B6</f>
        <v>ADYEN</v>
      </c>
      <c r="P10" s="37">
        <f>'Watchlist Ratings'!AN6</f>
        <v>7.8</v>
      </c>
      <c r="Q10" s="23">
        <f ca="1">'Watchlist Ratings'!BM6</f>
        <v>0.19143357026843155</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32.817177175925927</v>
      </c>
      <c r="AA10" t="str">
        <f ca="1">'Watchlist Ratings'!B6</f>
        <v>ADYEN</v>
      </c>
      <c r="AB10">
        <f ca="1">'Watchlist Ratings'!BL6</f>
        <v>-8.7978212003730349E-2</v>
      </c>
      <c r="AC10">
        <f ca="1">'Watchlist Ratings'!BM6</f>
        <v>0.19143357026843155</v>
      </c>
      <c r="AE10" t="s">
        <v>237</v>
      </c>
      <c r="AF10">
        <v>54</v>
      </c>
      <c r="AH10" t="s">
        <v>237</v>
      </c>
      <c r="AI10">
        <v>54</v>
      </c>
      <c r="AJ10" t="s">
        <v>238</v>
      </c>
      <c r="AK10">
        <v>8</v>
      </c>
      <c r="AL10">
        <v>3</v>
      </c>
      <c r="AM10" t="s">
        <v>241</v>
      </c>
      <c r="AN10">
        <v>44.8</v>
      </c>
      <c r="AO10" t="s">
        <v>247</v>
      </c>
      <c r="AP10">
        <v>1.8</v>
      </c>
      <c r="AQ10">
        <v>25</v>
      </c>
      <c r="AS10" t="s">
        <v>248</v>
      </c>
      <c r="AT10">
        <v>24.369253736000001</v>
      </c>
      <c r="AU10">
        <v>23.4863412384314</v>
      </c>
    </row>
    <row r="11" spans="1:47" ht="15" customHeight="1" x14ac:dyDescent="0.2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0.13417131558505757</v>
      </c>
      <c r="J11" s="44">
        <f ca="1">'Watchlist Ratings'!AW7</f>
        <v>17.184498170230263</v>
      </c>
      <c r="O11" t="str">
        <f ca="1">'Watchlist Ratings'!B7</f>
        <v>BN</v>
      </c>
      <c r="P11" s="37">
        <f>'Watchlist Ratings'!AN7</f>
        <v>7.97</v>
      </c>
      <c r="Q11" s="23">
        <f ca="1">'Watchlist Ratings'!BM7</f>
        <v>0.23001225011878002</v>
      </c>
      <c r="S11" t="str">
        <f ca="1">'Watchlist Ratings'!B7</f>
        <v>BN</v>
      </c>
      <c r="T11" s="23">
        <f>'Watchlist Ratings'!BC7</f>
        <v>0.13417131558505757</v>
      </c>
      <c r="V11" t="str">
        <f ca="1">'Watchlist Ratings'!B7</f>
        <v>BN</v>
      </c>
      <c r="W11" s="38">
        <f>'Watchlist Ratings'!K7</f>
        <v>7</v>
      </c>
      <c r="X11" s="38">
        <f>'Watchlist Ratings'!L7</f>
        <v>3</v>
      </c>
      <c r="Y11" t="str">
        <f ca="1">'Watchlist Ratings'!B7</f>
        <v>BN</v>
      </c>
      <c r="Z11">
        <f ca="1">'Watchlist Ratings'!AW7</f>
        <v>17.184498170230263</v>
      </c>
      <c r="AA11" t="str">
        <f ca="1">'Watchlist Ratings'!B7</f>
        <v>BN</v>
      </c>
      <c r="AB11">
        <f ca="1">'Watchlist Ratings'!BL7</f>
        <v>2.5532138978505481E-2</v>
      </c>
      <c r="AC11">
        <f ca="1">'Watchlist Ratings'!BM7</f>
        <v>0.23001225011878002</v>
      </c>
      <c r="AE11" t="s">
        <v>249</v>
      </c>
      <c r="AF11">
        <v>41.6666666666667</v>
      </c>
      <c r="AH11" t="s">
        <v>249</v>
      </c>
      <c r="AI11">
        <v>41.7</v>
      </c>
      <c r="AJ11" t="s">
        <v>250</v>
      </c>
      <c r="AK11">
        <v>8</v>
      </c>
      <c r="AL11">
        <v>2</v>
      </c>
      <c r="AM11" t="s">
        <v>251</v>
      </c>
      <c r="AN11">
        <v>43.6</v>
      </c>
      <c r="AO11" t="s">
        <v>248</v>
      </c>
      <c r="AP11">
        <v>0.6</v>
      </c>
      <c r="AQ11">
        <v>23.3</v>
      </c>
      <c r="AS11" t="s">
        <v>242</v>
      </c>
      <c r="AT11">
        <v>51.179748126470599</v>
      </c>
      <c r="AU11">
        <v>0.80673234994763598</v>
      </c>
    </row>
    <row r="12" spans="1:47" ht="15" customHeight="1" x14ac:dyDescent="0.2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0.19061054057104165</v>
      </c>
      <c r="J12" s="50">
        <f ca="1">'Watchlist Ratings'!AW8</f>
        <v>49.64883271792273</v>
      </c>
      <c r="O12" t="str">
        <f ca="1">'Watchlist Ratings'!B8</f>
        <v>COST</v>
      </c>
      <c r="P12" s="37">
        <f>'Watchlist Ratings'!AN8</f>
        <v>8.1300000000000008</v>
      </c>
      <c r="Q12" s="23">
        <f ca="1">'Watchlist Ratings'!BM8</f>
        <v>1.2294152111582468E-2</v>
      </c>
      <c r="S12" t="str">
        <f ca="1">'Watchlist Ratings'!B8</f>
        <v>COST</v>
      </c>
      <c r="T12" s="23">
        <f>'Watchlist Ratings'!BC8</f>
        <v>0.19061054057104165</v>
      </c>
      <c r="V12" t="str">
        <f ca="1">'Watchlist Ratings'!B8</f>
        <v>COST</v>
      </c>
      <c r="W12" s="38">
        <f>'Watchlist Ratings'!K8</f>
        <v>8</v>
      </c>
      <c r="X12" s="38">
        <f>'Watchlist Ratings'!L8</f>
        <v>1</v>
      </c>
      <c r="Y12" t="str">
        <f ca="1">'Watchlist Ratings'!B8</f>
        <v>COST</v>
      </c>
      <c r="Z12">
        <f ca="1">'Watchlist Ratings'!AW8</f>
        <v>49.64883271792273</v>
      </c>
      <c r="AA12" t="str">
        <f ca="1">'Watchlist Ratings'!B8</f>
        <v>COST</v>
      </c>
      <c r="AB12">
        <f ca="1">'Watchlist Ratings'!BL8</f>
        <v>-0.11188465933701586</v>
      </c>
      <c r="AC12">
        <f ca="1">'Watchlist Ratings'!BM8</f>
        <v>1.2294152111582468E-2</v>
      </c>
      <c r="AE12" t="s">
        <v>252</v>
      </c>
      <c r="AF12">
        <v>38.3333333333333</v>
      </c>
      <c r="AH12" t="s">
        <v>252</v>
      </c>
      <c r="AI12">
        <v>38.299999999999997</v>
      </c>
      <c r="AJ12" t="s">
        <v>246</v>
      </c>
      <c r="AK12">
        <v>7</v>
      </c>
      <c r="AL12">
        <v>3</v>
      </c>
      <c r="AM12" t="s">
        <v>244</v>
      </c>
      <c r="AN12">
        <v>40.299999999999997</v>
      </c>
      <c r="AO12" t="s">
        <v>253</v>
      </c>
      <c r="AP12">
        <v>-0.1</v>
      </c>
      <c r="AQ12">
        <v>20.8</v>
      </c>
      <c r="AS12" t="s">
        <v>253</v>
      </c>
      <c r="AT12">
        <v>25.7039266520833</v>
      </c>
      <c r="AU12">
        <v>20.9506730863196</v>
      </c>
    </row>
    <row r="13" spans="1:47" ht="15" customHeight="1" x14ac:dyDescent="0.2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0.10620525059665872</v>
      </c>
      <c r="J13" s="44">
        <f ca="1">'Watchlist Ratings'!AW9</f>
        <v>23.205827851418576</v>
      </c>
      <c r="L13" s="36" t="s">
        <v>254</v>
      </c>
      <c r="M13" t="s">
        <v>255</v>
      </c>
      <c r="O13" t="str">
        <f ca="1">'Watchlist Ratings'!B9</f>
        <v>DSGX</v>
      </c>
      <c r="P13" s="37">
        <f>'Watchlist Ratings'!AN9</f>
        <v>7.92</v>
      </c>
      <c r="Q13" s="23">
        <f ca="1">'Watchlist Ratings'!BM9</f>
        <v>0.1918359987886773</v>
      </c>
      <c r="S13" t="str">
        <f ca="1">'Watchlist Ratings'!B9</f>
        <v>DSGX</v>
      </c>
      <c r="T13" s="23">
        <f>'Watchlist Ratings'!BC9</f>
        <v>0.10620525059665872</v>
      </c>
      <c r="V13" t="str">
        <f ca="1">'Watchlist Ratings'!B9</f>
        <v>DSGX</v>
      </c>
      <c r="W13" s="38">
        <f>'Watchlist Ratings'!K9</f>
        <v>7</v>
      </c>
      <c r="X13" s="38">
        <f>'Watchlist Ratings'!L9</f>
        <v>2</v>
      </c>
      <c r="Y13" t="str">
        <f ca="1">'Watchlist Ratings'!B9</f>
        <v>DSGX</v>
      </c>
      <c r="Z13">
        <f ca="1">'Watchlist Ratings'!AW9</f>
        <v>23.205827851418576</v>
      </c>
      <c r="AA13" t="str">
        <f ca="1">'Watchlist Ratings'!B9</f>
        <v>DSGX</v>
      </c>
      <c r="AB13">
        <f ca="1">'Watchlist Ratings'!BL9</f>
        <v>-4.5675687165980805E-2</v>
      </c>
      <c r="AC13">
        <f ca="1">'Watchlist Ratings'!BM9</f>
        <v>0.1918359987886773</v>
      </c>
      <c r="AE13" t="s">
        <v>247</v>
      </c>
      <c r="AF13">
        <v>37.5</v>
      </c>
      <c r="AH13" t="s">
        <v>247</v>
      </c>
      <c r="AI13">
        <v>37.5</v>
      </c>
      <c r="AJ13" t="s">
        <v>248</v>
      </c>
      <c r="AK13">
        <v>7</v>
      </c>
      <c r="AL13">
        <v>3</v>
      </c>
      <c r="AM13" t="s">
        <v>256</v>
      </c>
      <c r="AN13">
        <v>38.9</v>
      </c>
      <c r="AO13" t="s">
        <v>257</v>
      </c>
      <c r="AP13">
        <v>4.7</v>
      </c>
      <c r="AQ13">
        <v>32.9</v>
      </c>
      <c r="AS13" t="s">
        <v>252</v>
      </c>
      <c r="AT13">
        <v>29.589673076923098</v>
      </c>
      <c r="AU13">
        <v>13.4877131347373</v>
      </c>
    </row>
    <row r="14" spans="1:47" ht="15" customHeight="1" x14ac:dyDescent="0.2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28.395201698513798</v>
      </c>
      <c r="L14" t="s">
        <v>258</v>
      </c>
      <c r="M14">
        <f>COUNTIF('Watchlist Ratings'!AN4:AN71,"&gt;=8")</f>
        <v>3</v>
      </c>
      <c r="O14" t="str">
        <f ca="1">'Watchlist Ratings'!B10</f>
        <v>RAA</v>
      </c>
      <c r="P14" s="37">
        <f>'Watchlist Ratings'!AN10</f>
        <v>7.78</v>
      </c>
      <c r="Q14" s="23">
        <f ca="1">'Watchlist Ratings'!BM10</f>
        <v>0.11505668417463499</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28.395201698513798</v>
      </c>
      <c r="AA14" t="str">
        <f ca="1">'Watchlist Ratings'!B10</f>
        <v>RAA</v>
      </c>
      <c r="AB14">
        <f ca="1">'Watchlist Ratings'!BL10</f>
        <v>-7.2417716756742911E-2</v>
      </c>
      <c r="AC14">
        <f ca="1">'Watchlist Ratings'!BM10</f>
        <v>0.11505668417463499</v>
      </c>
      <c r="AE14" t="s">
        <v>259</v>
      </c>
      <c r="AF14">
        <v>37.142857142857103</v>
      </c>
      <c r="AH14" t="s">
        <v>259</v>
      </c>
      <c r="AI14">
        <v>37.1</v>
      </c>
      <c r="AJ14" t="s">
        <v>253</v>
      </c>
      <c r="AK14">
        <v>7</v>
      </c>
      <c r="AL14">
        <v>2</v>
      </c>
      <c r="AM14" t="s">
        <v>250</v>
      </c>
      <c r="AN14">
        <v>38.5</v>
      </c>
      <c r="AO14" t="s">
        <v>260</v>
      </c>
      <c r="AP14">
        <v>-4.2</v>
      </c>
      <c r="AQ14">
        <v>13.7</v>
      </c>
      <c r="AS14" t="s">
        <v>243</v>
      </c>
      <c r="AT14">
        <v>26.244954871232899</v>
      </c>
      <c r="AU14">
        <v>32.575210542620198</v>
      </c>
    </row>
    <row r="15" spans="1:47" ht="15" customHeight="1" x14ac:dyDescent="0.2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-2.9366978464215793E-2</v>
      </c>
      <c r="J15" s="44">
        <f ca="1">'Watchlist Ratings'!AW11</f>
        <v>232.90842494874184</v>
      </c>
      <c r="L15" t="s">
        <v>261</v>
      </c>
      <c r="M15">
        <f>COUNTIFS('Watchlist Ratings'!AN4:AN71,"&gt;=7",'Watchlist Ratings'!AN4:AN71,"&lt;8")</f>
        <v>19</v>
      </c>
      <c r="O15" t="str">
        <f ca="1">'Watchlist Ratings'!B11</f>
        <v>ZS</v>
      </c>
      <c r="P15" s="37">
        <f>'Watchlist Ratings'!AN11</f>
        <v>7.22</v>
      </c>
      <c r="Q15" s="23">
        <f ca="1">'Watchlist Ratings'!BM11</f>
        <v>-0.1606788161506062</v>
      </c>
      <c r="S15" t="str">
        <f ca="1">'Watchlist Ratings'!B11</f>
        <v>ZS</v>
      </c>
      <c r="T15" s="23">
        <f>'Watchlist Ratings'!BC11</f>
        <v>-2.9366978464215793E-2</v>
      </c>
      <c r="V15" t="str">
        <f ca="1">'Watchlist Ratings'!B11</f>
        <v>ZS</v>
      </c>
      <c r="W15" s="38">
        <f>'Watchlist Ratings'!K11</f>
        <v>6</v>
      </c>
      <c r="X15" s="38">
        <f>'Watchlist Ratings'!L11</f>
        <v>2</v>
      </c>
      <c r="Y15" t="str">
        <f ca="1">'Watchlist Ratings'!B11</f>
        <v>ZS</v>
      </c>
      <c r="Z15">
        <f ca="1">'Watchlist Ratings'!AW11</f>
        <v>232.90842494874184</v>
      </c>
      <c r="AA15" t="str">
        <f ca="1">'Watchlist Ratings'!B11</f>
        <v>ZS</v>
      </c>
      <c r="AB15">
        <f ca="1">'Watchlist Ratings'!BL11</f>
        <v>-0.30999588153406499</v>
      </c>
      <c r="AC15">
        <f ca="1">'Watchlist Ratings'!BM11</f>
        <v>-0.1606788161506062</v>
      </c>
      <c r="AE15" t="s">
        <v>260</v>
      </c>
      <c r="AF15">
        <v>36.1111111111111</v>
      </c>
      <c r="AH15" t="s">
        <v>260</v>
      </c>
      <c r="AI15">
        <v>36.1</v>
      </c>
      <c r="AJ15" t="s">
        <v>252</v>
      </c>
      <c r="AK15">
        <v>7</v>
      </c>
      <c r="AL15">
        <v>2</v>
      </c>
      <c r="AM15" t="s">
        <v>262</v>
      </c>
      <c r="AN15">
        <v>37.700000000000003</v>
      </c>
      <c r="AO15" t="s">
        <v>252</v>
      </c>
      <c r="AP15">
        <v>-8</v>
      </c>
      <c r="AQ15">
        <v>13.5</v>
      </c>
      <c r="AS15" t="s">
        <v>263</v>
      </c>
      <c r="AT15">
        <v>27.905545425233299</v>
      </c>
      <c r="AU15">
        <v>8.8031472249346301</v>
      </c>
    </row>
    <row r="16" spans="1:47" ht="15" customHeight="1" x14ac:dyDescent="0.2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35.899437418749521</v>
      </c>
      <c r="L16" t="s">
        <v>264</v>
      </c>
      <c r="M16">
        <f>COUNTIFS('Watchlist Ratings'!AN4:AN71,"&gt;=6",'Watchlist Ratings'!AN4:AN71,"&lt;7")</f>
        <v>15</v>
      </c>
      <c r="O16" t="str">
        <f ca="1">'Watchlist Ratings'!B12</f>
        <v>NTO</v>
      </c>
      <c r="P16" s="37">
        <f>'Watchlist Ratings'!AN12</f>
        <v>7.76</v>
      </c>
      <c r="Q16" s="23">
        <f ca="1">'Watchlist Ratings'!BM12</f>
        <v>2.4386461706497498E-2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35.899437418749521</v>
      </c>
      <c r="AA16" t="str">
        <f ca="1">'Watchlist Ratings'!B12</f>
        <v>NTO</v>
      </c>
      <c r="AB16">
        <f ca="1">'Watchlist Ratings'!BL12</f>
        <v>-0.12314587421146272</v>
      </c>
      <c r="AC16">
        <f ca="1">'Watchlist Ratings'!BM12</f>
        <v>2.4386461706497498E-2</v>
      </c>
      <c r="AE16" t="s">
        <v>241</v>
      </c>
      <c r="AF16">
        <v>32.142857142857103</v>
      </c>
      <c r="AH16" t="s">
        <v>241</v>
      </c>
      <c r="AI16">
        <v>32.1</v>
      </c>
      <c r="AJ16" t="s">
        <v>263</v>
      </c>
      <c r="AK16">
        <v>7</v>
      </c>
      <c r="AL16">
        <v>3</v>
      </c>
      <c r="AM16" t="s">
        <v>252</v>
      </c>
      <c r="AN16">
        <v>29.6</v>
      </c>
      <c r="AO16" t="s">
        <v>250</v>
      </c>
      <c r="AP16">
        <v>-7.9</v>
      </c>
      <c r="AQ16">
        <v>12.3</v>
      </c>
      <c r="AS16" t="s">
        <v>238</v>
      </c>
      <c r="AT16">
        <v>52.2229498644231</v>
      </c>
      <c r="AU16">
        <v>4.7817205741696798</v>
      </c>
    </row>
    <row r="17" spans="1:47" ht="15" customHeight="1" x14ac:dyDescent="0.2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48.4346888078652</v>
      </c>
      <c r="L17" t="s">
        <v>265</v>
      </c>
      <c r="M17">
        <f>COUNTIF('Watchlist Ratings'!AN4:AN71,"&lt;6")</f>
        <v>31</v>
      </c>
      <c r="O17" t="str">
        <f ca="1">'Watchlist Ratings'!B13</f>
        <v>AMZN</v>
      </c>
      <c r="P17" s="37">
        <f>'Watchlist Ratings'!AN13</f>
        <v>7.81</v>
      </c>
      <c r="Q17" s="23">
        <f ca="1">'Watchlist Ratings'!BM13</f>
        <v>5.4896326924366301E-2</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48.4346888078652</v>
      </c>
      <c r="AA17" t="str">
        <f ca="1">'Watchlist Ratings'!B13</f>
        <v>AMZN</v>
      </c>
      <c r="AB17">
        <f ca="1">'Watchlist Ratings'!BL13</f>
        <v>-0.11048901325627303</v>
      </c>
      <c r="AC17">
        <f ca="1">'Watchlist Ratings'!BM13</f>
        <v>5.4896326924366301E-2</v>
      </c>
      <c r="AS17" t="s">
        <v>262</v>
      </c>
      <c r="AT17">
        <v>37.736707694444398</v>
      </c>
      <c r="AU17">
        <v>5.3744270407932504</v>
      </c>
    </row>
    <row r="18" spans="1:47" ht="15" customHeight="1" x14ac:dyDescent="0.25">
      <c r="A18" s="45">
        <v>11</v>
      </c>
      <c r="B18" s="46" t="str">
        <f ca="1">'Watchlist Ratings'!B14</f>
        <v>SU</v>
      </c>
      <c r="C18" s="47">
        <f>'Watchlist Ratings'!S14</f>
        <v>8.1300000000000008</v>
      </c>
      <c r="D18" s="47">
        <f>'Watchlist Ratings'!AC14</f>
        <v>7.7</v>
      </c>
      <c r="E18" s="47">
        <f>'Watchlist Ratings'!AM14</f>
        <v>7.57</v>
      </c>
      <c r="F18" s="47">
        <f>'Watchlist Ratings'!AN14</f>
        <v>7.73</v>
      </c>
      <c r="G18" s="48">
        <f>'Watchlist Ratings'!K14</f>
        <v>7</v>
      </c>
      <c r="H18" s="48">
        <f>'Watchlist Ratings'!L14</f>
        <v>3</v>
      </c>
      <c r="I18" s="49">
        <f>'Watchlist Ratings'!BC14</f>
        <v>0.13238863589079727</v>
      </c>
      <c r="J18" s="50">
        <f ca="1">'Watchlist Ratings'!AW14</f>
        <v>41.333946791630346</v>
      </c>
      <c r="O18" t="str">
        <f ca="1">'Watchlist Ratings'!B14</f>
        <v>SU</v>
      </c>
      <c r="P18" s="37">
        <f>'Watchlist Ratings'!AN14</f>
        <v>7.73</v>
      </c>
      <c r="Q18" s="23">
        <f ca="1">'Watchlist Ratings'!BM14</f>
        <v>2.3855767363836655E-2</v>
      </c>
      <c r="V18" t="str">
        <f ca="1">'Watchlist Ratings'!B14</f>
        <v>SU</v>
      </c>
      <c r="W18" s="38">
        <f>'Watchlist Ratings'!K14</f>
        <v>7</v>
      </c>
      <c r="X18" s="38">
        <f>'Watchlist Ratings'!L14</f>
        <v>3</v>
      </c>
      <c r="Y18" t="str">
        <f ca="1">'Watchlist Ratings'!B14</f>
        <v>SU</v>
      </c>
      <c r="Z18">
        <f ca="1">'Watchlist Ratings'!AW14</f>
        <v>41.333946791630346</v>
      </c>
      <c r="AA18" t="str">
        <f ca="1">'Watchlist Ratings'!B14</f>
        <v>SU</v>
      </c>
      <c r="AB18">
        <f ca="1">'Watchlist Ratings'!BL14</f>
        <v>-0.13045074587531136</v>
      </c>
      <c r="AC18">
        <f ca="1">'Watchlist Ratings'!BM14</f>
        <v>2.3855767363836655E-2</v>
      </c>
      <c r="AS18" t="s">
        <v>260</v>
      </c>
      <c r="AT18">
        <v>24.612029698461502</v>
      </c>
      <c r="AU18">
        <v>13.683807480135</v>
      </c>
    </row>
    <row r="19" spans="1:47" ht="15" customHeight="1" x14ac:dyDescent="0.2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0.26337260125712858</v>
      </c>
      <c r="J19" s="44">
        <f ca="1">'Watchlist Ratings'!AW15</f>
        <v>26.287296171779143</v>
      </c>
      <c r="O19" t="str">
        <f ca="1">'Watchlist Ratings'!B15</f>
        <v>ITX</v>
      </c>
      <c r="P19" s="37">
        <f>'Watchlist Ratings'!AN15</f>
        <v>7.77</v>
      </c>
      <c r="Q19" s="23">
        <f ca="1">'Watchlist Ratings'!BM15</f>
        <v>6.8664205451557825E-2</v>
      </c>
      <c r="V19" t="str">
        <f ca="1">'Watchlist Ratings'!B15</f>
        <v>ITX</v>
      </c>
      <c r="W19" s="38">
        <f>'Watchlist Ratings'!K15</f>
        <v>6.5</v>
      </c>
      <c r="X19" s="38">
        <f>'Watchlist Ratings'!L15</f>
        <v>1.5</v>
      </c>
      <c r="Y19" t="str">
        <f ca="1">'Watchlist Ratings'!B15</f>
        <v>ITX</v>
      </c>
      <c r="Z19">
        <f ca="1">'Watchlist Ratings'!AW15</f>
        <v>26.287296171779143</v>
      </c>
      <c r="AA19" t="str">
        <f ca="1">'Watchlist Ratings'!B15</f>
        <v>ITX</v>
      </c>
      <c r="AB19">
        <f ca="1">'Watchlist Ratings'!BL15</f>
        <v>-5.65371259003975E-2</v>
      </c>
      <c r="AC19">
        <f ca="1">'Watchlist Ratings'!BM15</f>
        <v>6.8664205451557825E-2</v>
      </c>
      <c r="AS19" t="s">
        <v>245</v>
      </c>
      <c r="AT19">
        <v>45.617441111111098</v>
      </c>
      <c r="AU19">
        <v>3.6173393375436902</v>
      </c>
    </row>
    <row r="20" spans="1:47" ht="15" customHeight="1" x14ac:dyDescent="0.2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111.30663215859032</v>
      </c>
      <c r="O20" t="str">
        <f ca="1">'Watchlist Ratings'!B16</f>
        <v>LOTB</v>
      </c>
      <c r="P20" s="37">
        <f>'Watchlist Ratings'!AN16</f>
        <v>7.84</v>
      </c>
      <c r="Q20" s="23">
        <f ca="1">'Watchlist Ratings'!BM16</f>
        <v>-0.16479849674818892</v>
      </c>
      <c r="V20" t="str">
        <f ca="1">'Watchlist Ratings'!B16</f>
        <v>LOTB</v>
      </c>
      <c r="W20" s="38">
        <f>'Watchlist Ratings'!K16</f>
        <v>7</v>
      </c>
      <c r="X20" s="38">
        <f>'Watchlist Ratings'!L16</f>
        <v>3</v>
      </c>
      <c r="Y20" t="str">
        <f ca="1">'Watchlist Ratings'!B16</f>
        <v>LOTB</v>
      </c>
      <c r="Z20">
        <f ca="1">'Watchlist Ratings'!AW16</f>
        <v>111.30663215859032</v>
      </c>
      <c r="AA20" t="str">
        <f ca="1">'Watchlist Ratings'!B16</f>
        <v>LOTB</v>
      </c>
      <c r="AB20">
        <f ca="1">'Watchlist Ratings'!BL16</f>
        <v>-0.29171411921689983</v>
      </c>
      <c r="AC20">
        <f ca="1">'Watchlist Ratings'!BM16</f>
        <v>-0.16479849674818892</v>
      </c>
      <c r="AS20" t="s">
        <v>251</v>
      </c>
      <c r="AT20">
        <v>43.630936634999998</v>
      </c>
      <c r="AU20">
        <v>4.3482859737552504</v>
      </c>
    </row>
    <row r="21" spans="1:47" ht="15" customHeight="1" x14ac:dyDescent="0.25">
      <c r="A21" s="39">
        <v>14</v>
      </c>
      <c r="B21" s="40" t="str">
        <f ca="1">'Watchlist Ratings'!B17</f>
        <v>HLMA</v>
      </c>
      <c r="C21" s="41">
        <f>'Watchlist Ratings'!S17</f>
        <v>8.1300000000000008</v>
      </c>
      <c r="D21" s="41">
        <f>'Watchlist Ratings'!AC17</f>
        <v>7.1</v>
      </c>
      <c r="E21" s="41">
        <f>'Watchlist Ratings'!AM17</f>
        <v>8.2899999999999991</v>
      </c>
      <c r="F21" s="41">
        <f>'Watchlist Ratings'!AN17</f>
        <v>7.78</v>
      </c>
      <c r="G21" s="42">
        <f>'Watchlist Ratings'!K17</f>
        <v>6</v>
      </c>
      <c r="H21" s="42">
        <f>'Watchlist Ratings'!L17</f>
        <v>3</v>
      </c>
      <c r="I21" s="43">
        <f>'Watchlist Ratings'!BC17</f>
        <v>0.1262926982137261</v>
      </c>
      <c r="J21" s="44">
        <f ca="1">'Watchlist Ratings'!AW17</f>
        <v>38.243370922528037</v>
      </c>
      <c r="O21" t="str">
        <f ca="1">'Watchlist Ratings'!B17</f>
        <v>HLMA</v>
      </c>
      <c r="P21" s="37">
        <f>'Watchlist Ratings'!AN17</f>
        <v>7.78</v>
      </c>
      <c r="Q21" s="23">
        <f ca="1">'Watchlist Ratings'!BM17</f>
        <v>6.4625059324732836E-2</v>
      </c>
      <c r="V21" t="str">
        <f ca="1">'Watchlist Ratings'!B17</f>
        <v>HLMA</v>
      </c>
      <c r="W21" s="38">
        <f>'Watchlist Ratings'!K17</f>
        <v>6</v>
      </c>
      <c r="X21" s="38">
        <f>'Watchlist Ratings'!L17</f>
        <v>3</v>
      </c>
      <c r="Y21" t="str">
        <f ca="1">'Watchlist Ratings'!B17</f>
        <v>HLMA</v>
      </c>
      <c r="Z21">
        <f ca="1">'Watchlist Ratings'!AW17</f>
        <v>38.243370922528037</v>
      </c>
      <c r="AA21" t="str">
        <f ca="1">'Watchlist Ratings'!B17</f>
        <v>HLMA</v>
      </c>
      <c r="AB21">
        <f ca="1">'Watchlist Ratings'!BL17</f>
        <v>-0.10350070609774675</v>
      </c>
      <c r="AC21">
        <f ca="1">'Watchlist Ratings'!BM17</f>
        <v>6.4625059324732836E-2</v>
      </c>
      <c r="AS21" t="s">
        <v>250</v>
      </c>
      <c r="AT21">
        <v>38.120501266027397</v>
      </c>
      <c r="AU21">
        <v>12.615575978128</v>
      </c>
    </row>
    <row r="22" spans="1:47" ht="15" customHeight="1" x14ac:dyDescent="0.25">
      <c r="A22" s="51">
        <v>15</v>
      </c>
      <c r="B22" s="52" t="str">
        <f ca="1">'Watchlist Ratings'!B18</f>
        <v>FICO</v>
      </c>
      <c r="C22" s="53">
        <f>'Watchlist Ratings'!S18</f>
        <v>6.88</v>
      </c>
      <c r="D22" s="53">
        <f>'Watchlist Ratings'!AC18</f>
        <v>6.4</v>
      </c>
      <c r="E22" s="53">
        <f>'Watchlist Ratings'!AM18</f>
        <v>8</v>
      </c>
      <c r="F22" s="53">
        <f>'Watchlist Ratings'!AN18</f>
        <v>7.14</v>
      </c>
      <c r="G22" s="54">
        <f>'Watchlist Ratings'!K18</f>
        <v>8</v>
      </c>
      <c r="H22" s="54">
        <f>'Watchlist Ratings'!L18</f>
        <v>2</v>
      </c>
      <c r="I22" s="55">
        <f>'Watchlist Ratings'!BC18</f>
        <v>0.29090909090909089</v>
      </c>
      <c r="J22" s="56">
        <f ca="1">'Watchlist Ratings'!AW18</f>
        <v>30.350985424657534</v>
      </c>
      <c r="O22" t="str">
        <f ca="1">'Watchlist Ratings'!B18</f>
        <v>FICO</v>
      </c>
      <c r="P22" s="37">
        <f>'Watchlist Ratings'!AN18</f>
        <v>7.14</v>
      </c>
      <c r="Q22" s="23">
        <f ca="1">'Watchlist Ratings'!BM18</f>
        <v>0.15612806463239504</v>
      </c>
      <c r="V22" t="str">
        <f ca="1">'Watchlist Ratings'!B18</f>
        <v>FICO</v>
      </c>
      <c r="W22" s="38">
        <f>'Watchlist Ratings'!K18</f>
        <v>8</v>
      </c>
      <c r="X22" s="38">
        <f>'Watchlist Ratings'!L18</f>
        <v>2</v>
      </c>
      <c r="Y22" t="str">
        <f ca="1">'Watchlist Ratings'!B18</f>
        <v>FICO</v>
      </c>
      <c r="Z22">
        <f ca="1">'Watchlist Ratings'!AW18</f>
        <v>30.350985424657534</v>
      </c>
      <c r="AA22" t="str">
        <f ca="1">'Watchlist Ratings'!B18</f>
        <v>FICO</v>
      </c>
      <c r="AB22">
        <f ca="1">'Watchlist Ratings'!BL18</f>
        <v>-0.11327733249212424</v>
      </c>
      <c r="AC22">
        <f ca="1">'Watchlist Ratings'!BM18</f>
        <v>0.15612806463239504</v>
      </c>
    </row>
    <row r="23" spans="1:47" ht="15" customHeight="1" x14ac:dyDescent="0.25">
      <c r="O23" t="str">
        <f ca="1">'Watchlist Ratings'!B19</f>
        <v>LIFCO B</v>
      </c>
      <c r="P23" s="37">
        <f>'Watchlist Ratings'!AN19</f>
        <v>7.9</v>
      </c>
      <c r="Q23" s="23">
        <f ca="1">'Watchlist Ratings'!BM19</f>
        <v>9.3175771659353757E-2</v>
      </c>
    </row>
    <row r="24" spans="1:47" ht="30" customHeight="1" x14ac:dyDescent="0.3">
      <c r="A24" s="171" t="s">
        <v>266</v>
      </c>
      <c r="B24" s="105"/>
      <c r="C24" s="105"/>
      <c r="D24" s="105"/>
      <c r="E24" s="105"/>
      <c r="F24" s="105"/>
      <c r="G24" s="105"/>
      <c r="H24" s="105"/>
      <c r="I24" s="105"/>
      <c r="J24" s="105"/>
      <c r="K24" s="105"/>
      <c r="L24" s="105"/>
      <c r="M24" s="105"/>
      <c r="N24" s="105"/>
      <c r="O24" s="105"/>
      <c r="P24" s="105"/>
      <c r="Q24" s="105"/>
      <c r="R24" s="105"/>
    </row>
    <row r="25" spans="1:47" ht="4.5" customHeight="1" x14ac:dyDescent="0.25">
      <c r="O25" t="str">
        <f ca="1">'Watchlist Ratings'!B21</f>
        <v>MNST</v>
      </c>
      <c r="P25" s="37">
        <f>'Watchlist Ratings'!AN21</f>
        <v>7.58</v>
      </c>
      <c r="Q25">
        <f ca="1">'Watchlist Ratings'!BM21</f>
        <v>1.982961260001681E-2</v>
      </c>
    </row>
    <row r="26" spans="1:47" ht="19.5" customHeight="1" x14ac:dyDescent="0.25">
      <c r="O26" t="str">
        <f ca="1">'Watchlist Ratings'!B22</f>
        <v>ABNB</v>
      </c>
      <c r="P26" s="37">
        <f>'Watchlist Ratings'!AN22</f>
        <v>7.3</v>
      </c>
      <c r="Q26">
        <f ca="1">'Watchlist Ratings'!BM22</f>
        <v>9.4802398997412274E-2</v>
      </c>
    </row>
    <row r="27" spans="1:47" ht="19.5" customHeight="1" x14ac:dyDescent="0.25">
      <c r="O27" t="str">
        <f ca="1">'Watchlist Ratings'!B23</f>
        <v>DNP</v>
      </c>
      <c r="P27" s="37">
        <f>'Watchlist Ratings'!AN23</f>
        <v>7.48</v>
      </c>
      <c r="Q27">
        <f ca="1">'Watchlist Ratings'!BM23</f>
        <v>-6.0373968877115658E-2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79"/>
      <c r="M40" s="105"/>
      <c r="N40" s="105"/>
      <c r="O40" s="105"/>
      <c r="P40" s="105"/>
      <c r="Q40" s="105"/>
      <c r="R40" s="105"/>
    </row>
    <row r="41" spans="2:18" ht="19.5" customHeight="1" x14ac:dyDescent="0.25">
      <c r="L41" s="57"/>
      <c r="M41" s="57"/>
      <c r="N41" s="57"/>
      <c r="O41" s="57"/>
      <c r="P41" s="57"/>
      <c r="Q41" s="57"/>
    </row>
    <row r="42" spans="2:18" ht="19.5" customHeight="1" x14ac:dyDescent="0.25">
      <c r="J42" s="181"/>
      <c r="K42" s="105"/>
      <c r="L42" s="105"/>
      <c r="M42" s="105"/>
      <c r="N42" s="105"/>
      <c r="O42" s="105"/>
      <c r="P42" s="105"/>
      <c r="Q42" s="105"/>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50" t="s">
        <v>267</v>
      </c>
      <c r="B62" s="105"/>
      <c r="C62" s="105"/>
      <c r="D62" s="105"/>
      <c r="E62" s="105"/>
      <c r="F62" s="105"/>
      <c r="G62" s="105"/>
      <c r="H62" s="105"/>
      <c r="J62" s="157" t="s">
        <v>268</v>
      </c>
      <c r="K62" s="105"/>
      <c r="L62" s="105"/>
      <c r="M62" s="105"/>
      <c r="N62" s="105"/>
      <c r="O62" s="105"/>
      <c r="P62" s="105"/>
      <c r="Q62" s="105"/>
    </row>
    <row r="63" spans="1:17" ht="4.5" customHeight="1" x14ac:dyDescent="0.25">
      <c r="A63" s="61" t="s">
        <v>221</v>
      </c>
      <c r="B63" s="61" t="s">
        <v>269</v>
      </c>
      <c r="C63" s="61" t="s">
        <v>270</v>
      </c>
      <c r="D63" s="61" t="s">
        <v>271</v>
      </c>
      <c r="E63" s="61" t="s">
        <v>235</v>
      </c>
      <c r="F63" s="61" t="s">
        <v>234</v>
      </c>
      <c r="G63" s="61" t="s">
        <v>272</v>
      </c>
      <c r="H63" s="61" t="s">
        <v>273</v>
      </c>
      <c r="J63" s="62" t="s">
        <v>221</v>
      </c>
      <c r="K63" s="62" t="s">
        <v>274</v>
      </c>
      <c r="L63" s="62" t="s">
        <v>275</v>
      </c>
      <c r="M63" s="62" t="s">
        <v>276</v>
      </c>
      <c r="N63" s="62" t="s">
        <v>277</v>
      </c>
      <c r="O63" s="62" t="s">
        <v>223</v>
      </c>
      <c r="P63" s="62" t="s">
        <v>278</v>
      </c>
      <c r="Q63" s="62" t="s">
        <v>279</v>
      </c>
    </row>
    <row r="64" spans="1:17" ht="4.5" customHeight="1" x14ac:dyDescent="0.25">
      <c r="A64" s="63" t="str">
        <f ca="1">'Watchlist Ratings'!B4</f>
        <v>VEEV</v>
      </c>
      <c r="B64" s="64">
        <f ca="1">'Watchlist Ratings'!G4</f>
        <v>265.33</v>
      </c>
      <c r="C64" s="64">
        <f ca="1">'Watchlist Ratings'!BJ4</f>
        <v>163.37221942229203</v>
      </c>
      <c r="D64" s="64">
        <f ca="1">'Watchlist Ratings'!BK4</f>
        <v>479.51686381469068</v>
      </c>
      <c r="E64" s="65">
        <f ca="1">'Watchlist Ratings'!BL4</f>
        <v>-9.2433680720518496E-2</v>
      </c>
      <c r="F64" s="65">
        <f ca="1">'Watchlist Ratings'!BM4</f>
        <v>0.12565033681249416</v>
      </c>
      <c r="G64" s="65">
        <f t="shared" ref="G64:G71" ca="1" si="0">F64-E64</f>
        <v>0.21808401753301265</v>
      </c>
      <c r="H64" s="63" t="str">
        <f t="shared" ref="H64:H71" ca="1" si="1">IF(E64&gt;0,"🟢 BUY",IF(E64&gt;-0.05,"🟡 HOLD","🔴 PASS"))</f>
        <v>🔴 PASS</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492.09539999999998</v>
      </c>
      <c r="C65" s="64">
        <f ca="1">'Watchlist Ratings'!BJ5</f>
        <v>175.50859903212492</v>
      </c>
      <c r="D65" s="64">
        <f ca="1">'Watchlist Ratings'!BK5</f>
        <v>393.15336450051814</v>
      </c>
      <c r="E65" s="65">
        <f ca="1">'Watchlist Ratings'!BL5</f>
        <v>-0.18632716161711571</v>
      </c>
      <c r="F65" s="65">
        <f ca="1">'Watchlist Ratings'!BM5</f>
        <v>-4.3901717053937417E-2</v>
      </c>
      <c r="G65" s="65">
        <f t="shared" ca="1" si="0"/>
        <v>0.14242544456317829</v>
      </c>
      <c r="H65" s="63" t="str">
        <f t="shared" ca="1" si="1"/>
        <v>🔴 PASS</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989.6</v>
      </c>
      <c r="C66" s="64">
        <f ca="1">'Watchlist Ratings'!BJ6</f>
        <v>624.43286816029138</v>
      </c>
      <c r="D66" s="64">
        <f ca="1">'Watchlist Ratings'!BK6</f>
        <v>2375.7943791020889</v>
      </c>
      <c r="E66" s="65">
        <f ca="1">'Watchlist Ratings'!BL6</f>
        <v>-8.7978212003730349E-2</v>
      </c>
      <c r="F66" s="65">
        <f ca="1">'Watchlist Ratings'!BM6</f>
        <v>0.19143357026843155</v>
      </c>
      <c r="G66" s="65">
        <f t="shared" ca="1" si="0"/>
        <v>0.2794117822721619</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39.424999999999997</v>
      </c>
      <c r="C67" s="64">
        <f ca="1">'Watchlist Ratings'!BJ7</f>
        <v>44.721676730229227</v>
      </c>
      <c r="D67" s="64">
        <f ca="1">'Watchlist Ratings'!BK7</f>
        <v>110.9989538789069</v>
      </c>
      <c r="E67" s="65">
        <f ca="1">'Watchlist Ratings'!BL7</f>
        <v>2.5532138978505481E-2</v>
      </c>
      <c r="F67" s="65">
        <f ca="1">'Watchlist Ratings'!BM7</f>
        <v>0.23001225011878002</v>
      </c>
      <c r="G67" s="65">
        <f t="shared" ca="1" si="0"/>
        <v>0.20448011114027453</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910.41</v>
      </c>
      <c r="C68" s="64">
        <f ca="1">'Watchlist Ratings'!BJ8</f>
        <v>503.01840809526863</v>
      </c>
      <c r="D68" s="64">
        <f ca="1">'Watchlist Ratings'!BK8</f>
        <v>967.76666663660137</v>
      </c>
      <c r="E68" s="65">
        <f ca="1">'Watchlist Ratings'!BL8</f>
        <v>-0.11188465933701586</v>
      </c>
      <c r="F68" s="65">
        <f ca="1">'Watchlist Ratings'!BM8</f>
        <v>1.2294152111582468E-2</v>
      </c>
      <c r="G68" s="65">
        <f t="shared" ca="1" si="0"/>
        <v>0.12417881144859833</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75.652500000000003</v>
      </c>
      <c r="C69" s="64">
        <f ca="1">'Watchlist Ratings'!BJ9</f>
        <v>59.882955351084256</v>
      </c>
      <c r="D69" s="64">
        <f ca="1">'Watchlist Ratings'!BK9</f>
        <v>181.93061133122652</v>
      </c>
      <c r="E69" s="65">
        <f ca="1">'Watchlist Ratings'!BL9</f>
        <v>-4.5675687165980805E-2</v>
      </c>
      <c r="F69" s="65">
        <f ca="1">'Watchlist Ratings'!BM9</f>
        <v>0.1918359987886773</v>
      </c>
      <c r="G69" s="65">
        <f t="shared" ca="1" si="0"/>
        <v>0.2375116859546581</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611</v>
      </c>
      <c r="C70" s="64">
        <f ca="1">'Watchlist Ratings'!BJ10</f>
        <v>419.5690413368514</v>
      </c>
      <c r="D70" s="64">
        <f ca="1">'Watchlist Ratings'!BK10</f>
        <v>1053.2365875109938</v>
      </c>
      <c r="E70" s="65">
        <f ca="1">'Watchlist Ratings'!BL10</f>
        <v>-7.2417716756742911E-2</v>
      </c>
      <c r="F70" s="65">
        <f ca="1">'Watchlist Ratings'!BM10</f>
        <v>0.11505668417463499</v>
      </c>
      <c r="G70" s="65">
        <f t="shared" ca="1" si="0"/>
        <v>0.1874744009313779</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163.51</v>
      </c>
      <c r="C71" s="64">
        <f ca="1">'Watchlist Ratings'!BJ11</f>
        <v>25.574239810321323</v>
      </c>
      <c r="D71" s="64">
        <f ca="1">'Watchlist Ratings'!BK11</f>
        <v>68.105979159141071</v>
      </c>
      <c r="E71" s="65">
        <f ca="1">'Watchlist Ratings'!BL11</f>
        <v>-0.30999588153406499</v>
      </c>
      <c r="F71" s="65">
        <f ca="1">'Watchlist Ratings'!BM11</f>
        <v>-0.1606788161506062</v>
      </c>
      <c r="G71" s="65">
        <f t="shared" ca="1" si="0"/>
        <v>0.14931706538345879</v>
      </c>
      <c r="H71" s="63" t="str">
        <f t="shared" ca="1" si="1"/>
        <v>🔴 PASS</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68" t="str">
        <f ca="1">'Watchlist Ratings'!B12</f>
        <v>NTO</v>
      </c>
      <c r="B72" s="169"/>
      <c r="C72" s="169"/>
      <c r="D72" s="169"/>
      <c r="E72" s="169"/>
      <c r="F72" s="169"/>
      <c r="G72" s="169"/>
      <c r="H72" s="169"/>
      <c r="I72" s="170"/>
      <c r="J72" s="178" t="str">
        <f ca="1">'Watchlist Ratings'!B12</f>
        <v>NTO</v>
      </c>
      <c r="K72" s="169"/>
      <c r="L72" s="169"/>
      <c r="M72" s="169"/>
      <c r="N72" s="169"/>
      <c r="O72" s="169"/>
      <c r="P72" s="169"/>
      <c r="Q72" s="170"/>
    </row>
    <row r="73" spans="1:17" ht="19.5" customHeight="1" x14ac:dyDescent="0.25">
      <c r="A73" s="68" t="str">
        <f ca="1">'Watchlist Ratings'!B13</f>
        <v>AMZN</v>
      </c>
      <c r="B73" s="69">
        <f ca="1">'Watchlist Ratings'!G13</f>
        <v>257.01</v>
      </c>
      <c r="C73" s="69">
        <f ca="1">'Watchlist Ratings'!BJ13</f>
        <v>143.12206862217013</v>
      </c>
      <c r="D73" s="69">
        <f ca="1">'Watchlist Ratings'!BK13</f>
        <v>335.73678116056374</v>
      </c>
      <c r="E73" s="70">
        <f ca="1">'Watchlist Ratings'!BL13</f>
        <v>-0.11048901325627303</v>
      </c>
      <c r="F73" s="70">
        <f ca="1">'Watchlist Ratings'!BM13</f>
        <v>5.4896326924366301E-2</v>
      </c>
      <c r="G73" s="70">
        <f ca="1">F73-E73</f>
        <v>0.16538534018063933</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237</v>
      </c>
      <c r="B74" s="76" t="str">
        <f ca="1">VLOOKUP(A74,'Watchlist Ratings'!$B$4:$BM$71,4,FALSE())</f>
        <v>XNYS</v>
      </c>
      <c r="C74" s="76">
        <f ca="1">VLOOKUP(A74,'Watchlist Ratings'!$B$4:$BM$71,59,FALSE())</f>
        <v>18</v>
      </c>
      <c r="D74" s="76">
        <f ca="1">VLOOKUP(A74,'Watchlist Ratings'!$B$4:$BM$71,60,FALSE())</f>
        <v>30</v>
      </c>
      <c r="E74" s="77">
        <f ca="1">VLOOKUP(A74,'Watchlist Ratings'!$B$4:$BM$71,61,FALSE())</f>
        <v>163.37221942229203</v>
      </c>
      <c r="F74" s="77">
        <f ca="1">VLOOKUP(A74,'Watchlist Ratings'!$B$4:$BM$71,64,FALSE())</f>
        <v>0.12565033681249416</v>
      </c>
      <c r="G74" s="77">
        <f ca="1">F74-E74</f>
        <v>-163.24656908547954</v>
      </c>
      <c r="H74" s="75" t="str">
        <f ca="1">IF(E74&gt;0,"🟢 BUY",IF(E74&gt;-0.05,"🟡 HOLD","🔴 PASS"))</f>
        <v>🟢 BUY</v>
      </c>
      <c r="J74" s="78" t="s">
        <v>237</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42959.261903999999</v>
      </c>
      <c r="P74" s="78">
        <f ca="1">VLOOKUP(J74,'Watchlist Ratings'!$B$4:$BM$71,9,FALSE())</f>
        <v>1.5</v>
      </c>
      <c r="Q74" s="78" t="str">
        <f ca="1">IF(K74&gt;=8.5,"🟢 ALTO",IF(K74&gt;=7.5,"🟡 MEDIO","🔴 BAJO"))</f>
        <v>🔴 BAJO</v>
      </c>
    </row>
    <row r="75" spans="1:17" ht="19.5" customHeight="1" x14ac:dyDescent="0.25">
      <c r="A75" s="79" t="s">
        <v>241</v>
      </c>
      <c r="B75" s="80" t="str">
        <f ca="1">VLOOKUP(A75,'Watchlist Ratings'!$B$4:$BM$71,4,FALSE())</f>
        <v>XNAS</v>
      </c>
      <c r="C75" s="80">
        <f ca="1">VLOOKUP(A75,'Watchlist Ratings'!$B$4:$BM$71,59,FALSE())</f>
        <v>20</v>
      </c>
      <c r="D75" s="80">
        <f ca="1">VLOOKUP(A75,'Watchlist Ratings'!$B$4:$BM$71,60,FALSE())</f>
        <v>30</v>
      </c>
      <c r="E75" s="81">
        <f ca="1">VLOOKUP(A75,'Watchlist Ratings'!$B$4:$BM$71,61,FALSE())</f>
        <v>175.50859903212492</v>
      </c>
      <c r="F75" s="81">
        <f ca="1">VLOOKUP(A75,'Watchlist Ratings'!$B$4:$BM$71,64,FALSE())</f>
        <v>-4.3901717053937417E-2</v>
      </c>
      <c r="G75" s="81">
        <f ca="1">F75-E75</f>
        <v>-175.55250074917885</v>
      </c>
      <c r="H75" s="79" t="str">
        <f ca="1">IF(E75&gt;0,"🟢 BUY",IF(E75&gt;-0.05,"🟡 HOLD","🔴 PASS"))</f>
        <v>🟢 BUY</v>
      </c>
      <c r="J75" s="79" t="s">
        <v>241</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3654076.5369929997</v>
      </c>
      <c r="P75" s="79">
        <f ca="1">VLOOKUP(J75,'Watchlist Ratings'!$B$4:$BM$71,9,FALSE())</f>
        <v>1</v>
      </c>
      <c r="Q75" s="79" t="str">
        <f ca="1">IF(K75&gt;=8.5,"🟢 ALTO",IF(K75&gt;=7.5,"🟡 MEDIO","🔴 BAJO"))</f>
        <v>🔴 BAJO</v>
      </c>
    </row>
    <row r="76" spans="1:17" ht="19.5" customHeight="1" x14ac:dyDescent="0.3">
      <c r="A76" s="143" t="s">
        <v>280</v>
      </c>
      <c r="B76" s="105"/>
      <c r="C76" s="105"/>
      <c r="D76" s="105"/>
      <c r="E76" s="105"/>
      <c r="F76" s="105"/>
      <c r="G76" s="105"/>
      <c r="H76" s="105"/>
      <c r="I76" s="105"/>
      <c r="J76" s="105"/>
      <c r="K76" s="105"/>
      <c r="L76" s="105"/>
      <c r="M76" s="105"/>
      <c r="N76" s="105"/>
      <c r="O76" s="105"/>
      <c r="P76" s="105"/>
      <c r="Q76" s="105"/>
    </row>
    <row r="77" spans="1:17" ht="19.5" customHeight="1" x14ac:dyDescent="0.25">
      <c r="A77" s="79" t="s">
        <v>248</v>
      </c>
      <c r="B77" s="80" t="str">
        <f ca="1">VLOOKUP(A77,'Watchlist Ratings'!$B$4:$BM$71,4,FALSE())</f>
        <v>XNYS</v>
      </c>
      <c r="C77" s="80">
        <f ca="1">VLOOKUP(A77,'Watchlist Ratings'!$B$4:$BM$71,59,FALSE())</f>
        <v>17.5</v>
      </c>
      <c r="D77" s="80">
        <f ca="1">VLOOKUP(A77,'Watchlist Ratings'!$B$4:$BM$71,60,FALSE())</f>
        <v>25</v>
      </c>
      <c r="E77" s="81">
        <f ca="1">VLOOKUP(A77,'Watchlist Ratings'!$B$4:$BM$71,61,FALSE())</f>
        <v>44.721676730229227</v>
      </c>
      <c r="F77" s="81">
        <f ca="1">VLOOKUP(A77,'Watchlist Ratings'!$B$4:$BM$71,64,FALSE())</f>
        <v>0.23001225011878002</v>
      </c>
      <c r="G77" s="81">
        <f ca="1">F77-E77</f>
        <v>-44.491664480110444</v>
      </c>
      <c r="H77" s="79" t="str">
        <f ca="1">IF(E77&gt;0,"🟢 BUY",IF(E77&gt;-0.05,"🟡 HOLD","🔴 PASS"))</f>
        <v>🟢 BUY</v>
      </c>
      <c r="J77" s="79" t="s">
        <v>248</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96666.74887499999</v>
      </c>
      <c r="P77" s="79">
        <f ca="1">VLOOKUP(J77,'Watchlist Ratings'!$B$4:$BM$71,9,FALSE())</f>
        <v>1</v>
      </c>
      <c r="Q77" s="79" t="str">
        <f ca="1">IF(K77&gt;=8.5,"🟢 ALTO",IF(K77&gt;=7.5,"🟡 MEDIO","🔴 BAJO"))</f>
        <v>🔴 BAJO</v>
      </c>
    </row>
    <row r="78" spans="1:17" ht="19.5" customHeight="1" x14ac:dyDescent="0.25">
      <c r="A78" s="135" t="s">
        <v>281</v>
      </c>
      <c r="B78" s="120"/>
      <c r="C78" s="119" t="s">
        <v>282</v>
      </c>
      <c r="D78" s="120"/>
      <c r="E78" s="138" t="s">
        <v>283</v>
      </c>
      <c r="F78" s="120"/>
      <c r="G78" s="138" t="s">
        <v>284</v>
      </c>
      <c r="H78" s="120"/>
      <c r="I78" s="115" t="s">
        <v>285</v>
      </c>
      <c r="J78" s="105"/>
      <c r="K78" s="135" t="s">
        <v>286</v>
      </c>
      <c r="L78" s="120"/>
      <c r="M78" s="135" t="s">
        <v>287</v>
      </c>
      <c r="N78" s="120"/>
      <c r="O78" s="135" t="s">
        <v>288</v>
      </c>
      <c r="P78" s="120"/>
      <c r="Q78" s="82" t="str">
        <f>IF(K78&gt;=8.5,"🟢 ALTO",IF(K78&gt;=7.5,"🟡 MEDIO","🔴 BAJO"))</f>
        <v>🟢 ALTO</v>
      </c>
    </row>
    <row r="79" spans="1:17" ht="19.5" customHeight="1" x14ac:dyDescent="0.25">
      <c r="A79" s="144" t="str">
        <f ca="1">INDEX('Watchlist Ratings'!B:B,MATCH(MAX('Watchlist Ratings'!AN:AN),'Watchlist Ratings'!AN:AN,0))</f>
        <v>CSU</v>
      </c>
      <c r="B79" s="120"/>
      <c r="C79" s="172" t="str">
        <f ca="1">INDEX('Watchlist Ratings'!B:B,MATCH(MAX('Watchlist Ratings'!BM:BM),'Watchlist Ratings'!BM:BM,0))</f>
        <v>BFIT</v>
      </c>
      <c r="D79" s="120"/>
      <c r="E79" s="145" t="str">
        <f ca="1">INDEX('Watchlist Ratings'!B:B,MATCH(MAX('Watchlist Ratings'!BC:BC),'Watchlist Ratings'!BC:BC,0))</f>
        <v>NVDA</v>
      </c>
      <c r="F79" s="120"/>
      <c r="G79" s="145" t="str">
        <f ca="1">INDEX('Watchlist Ratings'!B:B,MATCH(MAX('Watchlist Ratings'!K:K),'Watchlist Ratings'!K:K,0))</f>
        <v>VEEV</v>
      </c>
      <c r="H79" s="120"/>
      <c r="I79" s="156" t="str">
        <f ca="1">INDEX('Watchlist Ratings'!B:B,MATCH(MAX('Watchlist Ratings'!L:L),'Watchlist Ratings'!L:L,0))</f>
        <v>MSFT</v>
      </c>
      <c r="J79" s="105"/>
      <c r="K79" s="144" t="str">
        <f ca="1">INDEX('Watchlist Ratings'!B:B,MATCH(MAX('Watchlist Ratings'!AM:AM),'Watchlist Ratings'!AM:AM,0))</f>
        <v>DSGX</v>
      </c>
      <c r="L79" s="120"/>
      <c r="M79" s="144" t="str">
        <f t="array" aca="1" ref="M79" ca="1">INDEX('Watchlist Ratings'!B:B,MATCH(MIN('Watchlist Ratings'!AW4:AW64),'Watchlist Ratings'!AW4:AW64,0)+3)</f>
        <v>NET</v>
      </c>
      <c r="N79" s="120"/>
      <c r="O79" s="144" t="str">
        <f t="array" aca="1" ref="O79" ca="1">INDEX('Watchlist Ratings'!B:B,MATCH(MAX('Watchlist Ratings'!BM4:BM64-'Watchlist Ratings'!BL4:BL64),'Watchlist Ratings'!BM4:BM64-'Watchlist Ratings'!BL4:BL64,0)+3)</f>
        <v>OTLY</v>
      </c>
      <c r="P79" s="120"/>
      <c r="Q79" s="79" t="str">
        <f ca="1">IF(K79&gt;=8.5,"🟢 ALTO",IF(K79&gt;=7.5,"🟡 MEDIO","🔴 BAJO"))</f>
        <v>🟢 ALTO</v>
      </c>
    </row>
    <row r="80" spans="1:17" ht="19.5" customHeight="1" x14ac:dyDescent="0.25">
      <c r="A80" s="136">
        <f>MAX('Watchlist Ratings'!AN:AN)</f>
        <v>8.4499999999999993</v>
      </c>
      <c r="B80" s="120"/>
      <c r="C80" s="137">
        <f ca="1">MAX('Watchlist Ratings'!BM:BM)</f>
        <v>0.4224633511844067</v>
      </c>
      <c r="D80" s="120"/>
      <c r="E80" s="141">
        <f>MAX('Watchlist Ratings'!BC:BC)</f>
        <v>0.63420845122686575</v>
      </c>
      <c r="F80" s="120"/>
      <c r="G80" s="141" t="str">
        <f>MAX('Watchlist Ratings'!K:K)&amp;"/8"</f>
        <v>8/8</v>
      </c>
      <c r="H80" s="120"/>
      <c r="I80" s="174" t="str">
        <f>MAX('Watchlist Ratings'!L:L)&amp;"/3"</f>
        <v>3/3</v>
      </c>
      <c r="J80" s="105"/>
      <c r="K80" s="175">
        <f>MAX('Watchlist Ratings'!AM:AM)</f>
        <v>8.7100000000000009</v>
      </c>
      <c r="L80" s="120"/>
      <c r="M80" s="175" t="str">
        <f ca="1">MIN('Watchlist Ratings'!AW4:AW64)&amp;"x"</f>
        <v>-526.12142322111x</v>
      </c>
      <c r="N80" s="120"/>
      <c r="O80" s="175" t="str">
        <f t="array" aca="1" ref="O80" ca="1">TEXT(MAX('Watchlist Ratings'!BM4:BM64-'Watchlist Ratings'!BL4:BL64),"0.0%")</f>
        <v>118.9%</v>
      </c>
      <c r="P80" s="120"/>
      <c r="Q80" s="82" t="str">
        <f>IF(K80&gt;=8.5,"🟢 ALTO",IF(K80&gt;=7.5,"🟡 MEDIO","🔴 BAJO"))</f>
        <v>🟢 ALTO</v>
      </c>
    </row>
    <row r="81" spans="1:17" ht="19.5" customHeight="1" x14ac:dyDescent="0.25">
      <c r="A81" s="79" t="s">
        <v>243</v>
      </c>
      <c r="B81" s="80" t="str">
        <f ca="1">VLOOKUP(A81,'Watchlist Ratings'!$B$4:$BM$71,4,FALSE())</f>
        <v>XNAS</v>
      </c>
      <c r="C81" s="80">
        <f ca="1">VLOOKUP(A81,'Watchlist Ratings'!$B$4:$BM$71,59,FALSE())</f>
        <v>20</v>
      </c>
      <c r="D81" s="80">
        <f ca="1">VLOOKUP(A81,'Watchlist Ratings'!$B$4:$BM$71,60,FALSE())</f>
        <v>30</v>
      </c>
      <c r="E81" s="81">
        <f ca="1">VLOOKUP(A81,'Watchlist Ratings'!$B$4:$BM$71,61,FALSE())</f>
        <v>25.574239810321323</v>
      </c>
      <c r="F81" s="81">
        <f ca="1">VLOOKUP(A81,'Watchlist Ratings'!$B$4:$BM$71,64,FALSE())</f>
        <v>-0.1606788161506062</v>
      </c>
      <c r="G81" s="81">
        <f ca="1">F81-E81</f>
        <v>-25.734918626471931</v>
      </c>
      <c r="H81" s="79" t="str">
        <f ca="1">IF(E81&gt;0,"🟢 BUY",IF(E81&gt;-0.05,"🟡 HOLD","🔴 PASS"))</f>
        <v>🟢 BUY</v>
      </c>
      <c r="J81" s="79" t="s">
        <v>243</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26661.073997</v>
      </c>
      <c r="P81" s="79">
        <f ca="1">VLOOKUP(J81,'Watchlist Ratings'!$B$4:$BM$71,9,FALSE())</f>
        <v>1</v>
      </c>
      <c r="Q81" s="79" t="str">
        <f ca="1">IF(K81&gt;=8.5,"🟢 ALTO",IF(K81&gt;=7.5,"🟡 MEDIO","🔴 BAJO"))</f>
        <v>🔴 BAJO</v>
      </c>
    </row>
    <row r="82" spans="1:17" ht="19.5" customHeight="1" x14ac:dyDescent="0.25">
      <c r="A82" s="176" t="s">
        <v>289</v>
      </c>
      <c r="B82" s="105"/>
      <c r="C82" s="105"/>
      <c r="D82" s="105"/>
      <c r="E82" s="105"/>
      <c r="F82" s="105"/>
      <c r="G82" s="105"/>
      <c r="H82" s="105"/>
      <c r="I82" s="105"/>
      <c r="J82" s="105"/>
      <c r="K82" s="105"/>
      <c r="L82" s="105"/>
      <c r="M82" s="105"/>
      <c r="N82" s="105"/>
      <c r="O82" s="105"/>
      <c r="P82" s="105"/>
      <c r="Q82" s="105"/>
    </row>
    <row r="83" spans="1:17" ht="19.5" customHeight="1" x14ac:dyDescent="0.25">
      <c r="A83" s="83" t="s">
        <v>238</v>
      </c>
      <c r="B83" s="84" t="str">
        <f ca="1">VLOOKUP(A83,'Watchlist Ratings'!$B$4:$BM$71,4,FALSE())</f>
        <v>XNAS</v>
      </c>
      <c r="C83" s="84">
        <f ca="1">VLOOKUP(A83,'Watchlist Ratings'!$B$4:$BM$71,59,FALSE())</f>
        <v>22.5</v>
      </c>
      <c r="D83" s="84">
        <f ca="1">VLOOKUP(A83,'Watchlist Ratings'!$B$4:$BM$71,60,FALSE())</f>
        <v>30</v>
      </c>
      <c r="E83" s="85">
        <f ca="1">VLOOKUP(A83,'Watchlist Ratings'!$B$4:$BM$71,61,FALSE())</f>
        <v>143.12206862217013</v>
      </c>
      <c r="F83" s="85">
        <f ca="1">VLOOKUP(A83,'Watchlist Ratings'!$B$4:$BM$71,64,FALSE())</f>
        <v>5.4896326924366301E-2</v>
      </c>
      <c r="G83" s="85">
        <f ca="1">F83-E83</f>
        <v>-143.06717229524577</v>
      </c>
      <c r="H83" s="83" t="str">
        <f ca="1">IF(E83&gt;0,"🟢 BUY",IF(E83&gt;-0.05,"🟡 HOLD","🔴 PASS"))</f>
        <v>🟢 BUY</v>
      </c>
      <c r="J83" s="83" t="s">
        <v>238</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2772189.5330999997</v>
      </c>
      <c r="P83" s="83">
        <f ca="1">VLOOKUP(J83,'Watchlist Ratings'!$B$4:$BM$71,9,FALSE())</f>
        <v>1.5</v>
      </c>
      <c r="Q83" s="83" t="str">
        <f ca="1">IF(K83&gt;=8.5,"🟢 ALTO",IF(K83&gt;=7.5,"🟡 MEDIO","🔴 BAJO"))</f>
        <v>🔴 BAJO</v>
      </c>
    </row>
    <row r="84" spans="1:17" ht="19.5" customHeight="1" x14ac:dyDescent="0.25"/>
    <row r="85" spans="1:17" ht="27.75" customHeight="1" x14ac:dyDescent="0.25">
      <c r="A85" s="155" t="s">
        <v>280</v>
      </c>
      <c r="B85" s="105"/>
      <c r="C85" s="105"/>
      <c r="D85" s="105"/>
      <c r="E85" s="105"/>
      <c r="F85" s="105"/>
      <c r="G85" s="105"/>
      <c r="H85" s="105"/>
      <c r="I85" s="105"/>
      <c r="J85" s="105"/>
      <c r="K85" s="105"/>
      <c r="L85" s="105"/>
      <c r="M85" s="105"/>
      <c r="N85" s="105"/>
      <c r="O85" s="105"/>
      <c r="P85" s="105"/>
      <c r="Q85" s="105"/>
    </row>
    <row r="86" spans="1:17" ht="19.5" customHeight="1" x14ac:dyDescent="0.25"/>
    <row r="87" spans="1:17" ht="19.5" customHeight="1" x14ac:dyDescent="0.25">
      <c r="A87" s="177" t="s">
        <v>281</v>
      </c>
      <c r="B87" s="105"/>
      <c r="C87" s="122" t="s">
        <v>282</v>
      </c>
      <c r="D87" s="105"/>
      <c r="E87" s="173" t="s">
        <v>283</v>
      </c>
      <c r="F87" s="105"/>
      <c r="G87" s="151" t="s">
        <v>284</v>
      </c>
      <c r="H87" s="105"/>
      <c r="I87" s="152" t="s">
        <v>285</v>
      </c>
      <c r="J87" s="105"/>
      <c r="K87" s="121" t="s">
        <v>286</v>
      </c>
      <c r="L87" s="105"/>
      <c r="M87" s="148" t="s">
        <v>287</v>
      </c>
      <c r="N87" s="105"/>
      <c r="O87" s="158" t="s">
        <v>288</v>
      </c>
      <c r="P87" s="105"/>
    </row>
    <row r="88" spans="1:17" ht="19.5" customHeight="1" x14ac:dyDescent="0.3">
      <c r="A88" s="149" t="str">
        <f ca="1">INDEX('Watchlist Ratings'!B$4:B$71,MATCH(MAX('Watchlist Ratings'!AN$4:AN$71),'Watchlist Ratings'!AN$4:AN$71,0))</f>
        <v>CSU</v>
      </c>
      <c r="B88" s="105"/>
      <c r="C88" s="159" t="str">
        <f ca="1">INDEX('Watchlist Ratings'!B$4:B$71,MATCH(MAX('Watchlist Ratings'!BM$4:BM$71),'Watchlist Ratings'!BM$4:BM$71,0))</f>
        <v>BFIT</v>
      </c>
      <c r="D88" s="105"/>
      <c r="E88" s="149" t="str">
        <f ca="1">INDEX('Watchlist Ratings'!B$4:B$71,MATCH(MAX('Watchlist Ratings'!BC$4:BC$71),'Watchlist Ratings'!BC$4:BC$71,0))</f>
        <v>NVDA</v>
      </c>
      <c r="F88" s="105"/>
      <c r="G88" s="149" t="str">
        <f ca="1">INDEX('Watchlist Ratings'!B$4:B$71,MATCH(MAX('Watchlist Ratings'!K$4:K$71),'Watchlist Ratings'!K$4:K$71,0))</f>
        <v>VEEV</v>
      </c>
      <c r="H88" s="105"/>
      <c r="I88" s="149" t="str">
        <f ca="1">INDEX('Watchlist Ratings'!B$4:B$71,MATCH(MAX('Watchlist Ratings'!L$4:L$71),'Watchlist Ratings'!L$4:L$71,0))</f>
        <v>MSFT</v>
      </c>
      <c r="J88" s="105"/>
      <c r="K88" s="149" t="str">
        <f ca="1">INDEX('Watchlist Ratings'!B$4:B$71,MATCH(MAX('Watchlist Ratings'!AM$4:AM$71),'Watchlist Ratings'!AM$4:AM$71,0))</f>
        <v>DSGX</v>
      </c>
      <c r="L88" s="105"/>
      <c r="M88" s="149" t="str">
        <f t="array" aca="1" ref="M88" ca="1">INDEX('Watchlist Ratings'!B$4:B$64,MATCH(MIN(IF('Watchlist Ratings'!AW$4:AW$64&gt;0,'Watchlist Ratings'!AW$4:AW$64)),IF('Watchlist Ratings'!AW$4:AW$64&gt;0,'Watchlist Ratings'!AW$4:AW$64),0))</f>
        <v>COR</v>
      </c>
      <c r="N88" s="105"/>
      <c r="O88" s="149" t="str">
        <f t="array" aca="1" ref="O88" ca="1">INDEX('Watchlist Ratings'!B$4:B$64,MATCH(MAX('Watchlist Ratings'!BM$4:BM$64-'Watchlist Ratings'!BL$4:BL$64),'Watchlist Ratings'!BM$4:BM$64-'Watchlist Ratings'!BL$4:BL$64,0))</f>
        <v>OTLY</v>
      </c>
      <c r="P88" s="105"/>
    </row>
    <row r="89" spans="1:17" ht="19.5" customHeight="1" x14ac:dyDescent="0.25">
      <c r="A89" s="147">
        <f>MAX('Watchlist Ratings'!AN$4:AN$71)</f>
        <v>8.4499999999999993</v>
      </c>
      <c r="B89" s="105"/>
      <c r="C89" s="154">
        <f ca="1">MAX('Watchlist Ratings'!BM$4:BM$64)</f>
        <v>0.4224633511844067</v>
      </c>
      <c r="D89" s="105"/>
      <c r="E89" s="154">
        <f>MAX('Watchlist Ratings'!BC$4:BC$71)</f>
        <v>0.63420845122686575</v>
      </c>
      <c r="F89" s="105"/>
      <c r="G89" s="153" t="str">
        <f>MAX('Watchlist Ratings'!K$4:K$71)&amp;"/8"</f>
        <v>8/8</v>
      </c>
      <c r="H89" s="105"/>
      <c r="I89" s="153" t="str">
        <f>MAX('Watchlist Ratings'!L$4:L$71)&amp;"/3"</f>
        <v>3/3</v>
      </c>
      <c r="J89" s="105"/>
      <c r="K89" s="180">
        <f>MAX('Watchlist Ratings'!AM$4:AM$71)</f>
        <v>8.7100000000000009</v>
      </c>
      <c r="L89" s="105"/>
      <c r="M89" s="153" t="str">
        <f t="array" aca="1" ref="M89" ca="1">MIN(IF('Watchlist Ratings'!AW$4:AW$64&gt;0,'Watchlist Ratings'!AW$4:AW$64))&amp;"x"</f>
        <v>5.86617227609812x</v>
      </c>
      <c r="N89" s="105"/>
      <c r="O89" s="153">
        <f t="array" aca="1" ref="O89" ca="1">MAX('Watchlist Ratings'!BM$4:BM$64-'Watchlist Ratings'!BL$4:BL$64)</f>
        <v>1.1888667708773593</v>
      </c>
      <c r="P89" s="105"/>
    </row>
    <row r="90" spans="1:17" ht="19.5" customHeight="1" x14ac:dyDescent="0.25"/>
    <row r="91" spans="1:17" ht="19.5" customHeight="1" x14ac:dyDescent="0.25">
      <c r="A91" s="114" t="s">
        <v>289</v>
      </c>
      <c r="B91" s="105"/>
      <c r="C91" s="105"/>
      <c r="D91" s="105"/>
      <c r="E91" s="105"/>
      <c r="F91" s="105"/>
      <c r="G91" s="105"/>
      <c r="H91" s="105"/>
      <c r="I91" s="105"/>
      <c r="J91" s="105"/>
      <c r="K91" s="105"/>
      <c r="L91" s="105"/>
      <c r="M91" s="105"/>
      <c r="N91" s="105"/>
      <c r="O91" s="105"/>
      <c r="P91" s="105"/>
      <c r="Q91" s="105"/>
    </row>
  </sheetData>
  <mergeCells count="86">
    <mergeCell ref="I89:J89"/>
    <mergeCell ref="J72:Q72"/>
    <mergeCell ref="L40:R40"/>
    <mergeCell ref="K89:L89"/>
    <mergeCell ref="C89:D89"/>
    <mergeCell ref="O88:P88"/>
    <mergeCell ref="J42:Q42"/>
    <mergeCell ref="O89:P89"/>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60"/>
  <sheetViews>
    <sheetView topLeftCell="A91" workbookViewId="0">
      <selection activeCell="E84" sqref="E84"/>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221</v>
      </c>
      <c r="B1" t="s">
        <v>290</v>
      </c>
      <c r="C1" t="s">
        <v>291</v>
      </c>
      <c r="D1" t="s">
        <v>292</v>
      </c>
      <c r="E1" t="s">
        <v>293</v>
      </c>
    </row>
    <row r="2" spans="1:5" x14ac:dyDescent="0.25">
      <c r="A2" t="s">
        <v>294</v>
      </c>
      <c r="B2" t="s">
        <v>110</v>
      </c>
      <c r="C2" t="s">
        <v>295</v>
      </c>
      <c r="D2" t="s">
        <v>296</v>
      </c>
      <c r="E2" t="s">
        <v>297</v>
      </c>
    </row>
    <row r="3" spans="1:5" x14ac:dyDescent="0.25">
      <c r="A3" t="s">
        <v>259</v>
      </c>
      <c r="B3" t="s">
        <v>110</v>
      </c>
      <c r="C3" t="s">
        <v>298</v>
      </c>
      <c r="D3" t="s">
        <v>299</v>
      </c>
      <c r="E3" t="s">
        <v>300</v>
      </c>
    </row>
    <row r="4" spans="1:5" x14ac:dyDescent="0.25">
      <c r="A4" t="s">
        <v>301</v>
      </c>
      <c r="B4" t="s">
        <v>110</v>
      </c>
      <c r="C4" t="s">
        <v>302</v>
      </c>
      <c r="D4" t="s">
        <v>303</v>
      </c>
      <c r="E4" t="s">
        <v>304</v>
      </c>
    </row>
    <row r="5" spans="1:5" x14ac:dyDescent="0.25">
      <c r="A5" t="s">
        <v>305</v>
      </c>
      <c r="B5" t="s">
        <v>110</v>
      </c>
      <c r="C5" t="s">
        <v>306</v>
      </c>
      <c r="D5" t="s">
        <v>307</v>
      </c>
      <c r="E5" t="s">
        <v>308</v>
      </c>
    </row>
    <row r="6" spans="1:5" x14ac:dyDescent="0.25">
      <c r="A6" t="s">
        <v>155</v>
      </c>
      <c r="B6" t="s">
        <v>156</v>
      </c>
      <c r="C6" t="s">
        <v>309</v>
      </c>
      <c r="D6" t="s">
        <v>310</v>
      </c>
      <c r="E6" t="s">
        <v>311</v>
      </c>
    </row>
    <row r="7" spans="1:5" x14ac:dyDescent="0.25">
      <c r="A7" t="s">
        <v>236</v>
      </c>
      <c r="B7" t="s">
        <v>91</v>
      </c>
      <c r="C7" t="s">
        <v>312</v>
      </c>
      <c r="D7" t="s">
        <v>313</v>
      </c>
      <c r="E7" t="s">
        <v>314</v>
      </c>
    </row>
    <row r="8" spans="1:5" x14ac:dyDescent="0.25">
      <c r="A8" t="s">
        <v>315</v>
      </c>
      <c r="B8" t="s">
        <v>91</v>
      </c>
      <c r="C8" t="s">
        <v>312</v>
      </c>
      <c r="D8" t="s">
        <v>316</v>
      </c>
      <c r="E8" t="s">
        <v>317</v>
      </c>
    </row>
    <row r="9" spans="1:5" x14ac:dyDescent="0.25">
      <c r="A9" t="s">
        <v>237</v>
      </c>
      <c r="B9" t="s">
        <v>91</v>
      </c>
      <c r="C9" t="s">
        <v>312</v>
      </c>
      <c r="D9" t="s">
        <v>318</v>
      </c>
      <c r="E9" t="s">
        <v>319</v>
      </c>
    </row>
    <row r="10" spans="1:5" x14ac:dyDescent="0.25">
      <c r="A10" t="s">
        <v>242</v>
      </c>
      <c r="B10" t="s">
        <v>91</v>
      </c>
      <c r="C10" t="s">
        <v>312</v>
      </c>
      <c r="D10" t="s">
        <v>320</v>
      </c>
      <c r="E10" t="s">
        <v>321</v>
      </c>
    </row>
    <row r="11" spans="1:5" x14ac:dyDescent="0.25">
      <c r="A11" t="s">
        <v>243</v>
      </c>
      <c r="B11" t="s">
        <v>91</v>
      </c>
      <c r="C11" t="s">
        <v>312</v>
      </c>
      <c r="D11" t="s">
        <v>320</v>
      </c>
      <c r="E11" t="s">
        <v>322</v>
      </c>
    </row>
    <row r="12" spans="1:5" x14ac:dyDescent="0.25">
      <c r="A12" t="s">
        <v>323</v>
      </c>
      <c r="B12" t="s">
        <v>91</v>
      </c>
      <c r="C12" t="s">
        <v>312</v>
      </c>
      <c r="D12" t="s">
        <v>324</v>
      </c>
      <c r="E12" t="s">
        <v>325</v>
      </c>
    </row>
    <row r="13" spans="1:5" x14ac:dyDescent="0.25">
      <c r="A13" t="s">
        <v>260</v>
      </c>
      <c r="B13" t="s">
        <v>91</v>
      </c>
      <c r="C13" t="s">
        <v>312</v>
      </c>
      <c r="D13" t="s">
        <v>326</v>
      </c>
      <c r="E13" t="s">
        <v>327</v>
      </c>
    </row>
    <row r="14" spans="1:5" x14ac:dyDescent="0.25">
      <c r="A14" t="s">
        <v>328</v>
      </c>
      <c r="B14" t="s">
        <v>91</v>
      </c>
      <c r="C14" t="s">
        <v>312</v>
      </c>
      <c r="D14" t="s">
        <v>329</v>
      </c>
      <c r="E14" t="s">
        <v>330</v>
      </c>
    </row>
    <row r="15" spans="1:5" x14ac:dyDescent="0.25">
      <c r="A15" t="s">
        <v>248</v>
      </c>
      <c r="B15" t="s">
        <v>91</v>
      </c>
      <c r="C15" t="s">
        <v>312</v>
      </c>
      <c r="D15" t="s">
        <v>331</v>
      </c>
      <c r="E15" t="s">
        <v>332</v>
      </c>
    </row>
    <row r="16" spans="1:5" x14ac:dyDescent="0.25">
      <c r="A16" t="s">
        <v>333</v>
      </c>
      <c r="B16" t="s">
        <v>91</v>
      </c>
      <c r="C16" t="s">
        <v>312</v>
      </c>
      <c r="D16" t="s">
        <v>334</v>
      </c>
      <c r="E16" t="s">
        <v>335</v>
      </c>
    </row>
    <row r="17" spans="1:5" x14ac:dyDescent="0.25">
      <c r="A17" t="s">
        <v>257</v>
      </c>
      <c r="B17" t="s">
        <v>91</v>
      </c>
      <c r="C17" t="s">
        <v>312</v>
      </c>
      <c r="D17" t="s">
        <v>336</v>
      </c>
      <c r="E17" t="s">
        <v>337</v>
      </c>
    </row>
    <row r="18" spans="1:5" x14ac:dyDescent="0.25">
      <c r="A18" t="s">
        <v>253</v>
      </c>
      <c r="B18" t="s">
        <v>91</v>
      </c>
      <c r="C18" t="s">
        <v>312</v>
      </c>
      <c r="D18" t="s">
        <v>338</v>
      </c>
      <c r="E18" t="s">
        <v>339</v>
      </c>
    </row>
    <row r="19" spans="1:5" x14ac:dyDescent="0.25">
      <c r="A19" t="s">
        <v>340</v>
      </c>
      <c r="B19" t="s">
        <v>91</v>
      </c>
      <c r="C19" t="s">
        <v>341</v>
      </c>
      <c r="D19" t="s">
        <v>342</v>
      </c>
      <c r="E19" t="s">
        <v>343</v>
      </c>
    </row>
    <row r="20" spans="1:5" x14ac:dyDescent="0.25">
      <c r="A20" t="s">
        <v>344</v>
      </c>
      <c r="B20" t="s">
        <v>91</v>
      </c>
      <c r="C20" t="s">
        <v>312</v>
      </c>
      <c r="D20" t="s">
        <v>345</v>
      </c>
      <c r="E20" t="s">
        <v>346</v>
      </c>
    </row>
    <row r="21" spans="1:5" x14ac:dyDescent="0.25">
      <c r="A21" t="s">
        <v>241</v>
      </c>
      <c r="B21" t="s">
        <v>96</v>
      </c>
      <c r="C21" t="s">
        <v>312</v>
      </c>
      <c r="D21" t="s">
        <v>347</v>
      </c>
      <c r="E21" t="s">
        <v>348</v>
      </c>
    </row>
    <row r="22" spans="1:5" x14ac:dyDescent="0.25">
      <c r="A22" t="s">
        <v>252</v>
      </c>
      <c r="B22" t="s">
        <v>96</v>
      </c>
      <c r="C22" t="s">
        <v>312</v>
      </c>
      <c r="D22" t="s">
        <v>347</v>
      </c>
      <c r="E22" t="s">
        <v>349</v>
      </c>
    </row>
    <row r="23" spans="1:5" x14ac:dyDescent="0.25">
      <c r="A23" t="s">
        <v>263</v>
      </c>
      <c r="B23" t="s">
        <v>96</v>
      </c>
      <c r="C23" t="s">
        <v>312</v>
      </c>
      <c r="D23" t="s">
        <v>347</v>
      </c>
      <c r="E23" t="s">
        <v>350</v>
      </c>
    </row>
    <row r="24" spans="1:5" x14ac:dyDescent="0.25">
      <c r="A24" t="s">
        <v>238</v>
      </c>
      <c r="B24" t="s">
        <v>96</v>
      </c>
      <c r="C24" t="s">
        <v>312</v>
      </c>
      <c r="D24" t="s">
        <v>347</v>
      </c>
      <c r="E24" t="s">
        <v>351</v>
      </c>
    </row>
    <row r="25" spans="1:5" x14ac:dyDescent="0.25">
      <c r="A25" t="s">
        <v>251</v>
      </c>
      <c r="B25" t="s">
        <v>96</v>
      </c>
      <c r="C25" t="s">
        <v>312</v>
      </c>
      <c r="D25" t="s">
        <v>352</v>
      </c>
      <c r="E25" t="s">
        <v>353</v>
      </c>
    </row>
    <row r="26" spans="1:5" x14ac:dyDescent="0.25">
      <c r="A26" t="s">
        <v>250</v>
      </c>
      <c r="B26" t="s">
        <v>96</v>
      </c>
      <c r="C26" t="s">
        <v>312</v>
      </c>
      <c r="D26" t="s">
        <v>347</v>
      </c>
      <c r="E26" t="s">
        <v>354</v>
      </c>
    </row>
    <row r="27" spans="1:5" x14ac:dyDescent="0.25">
      <c r="A27" t="s">
        <v>244</v>
      </c>
      <c r="B27" t="s">
        <v>96</v>
      </c>
      <c r="C27" t="s">
        <v>312</v>
      </c>
      <c r="D27" t="s">
        <v>347</v>
      </c>
      <c r="E27" t="s">
        <v>355</v>
      </c>
    </row>
    <row r="28" spans="1:5" x14ac:dyDescent="0.25">
      <c r="A28" t="s">
        <v>247</v>
      </c>
      <c r="B28" t="s">
        <v>96</v>
      </c>
      <c r="C28" t="s">
        <v>312</v>
      </c>
      <c r="D28" t="s">
        <v>347</v>
      </c>
      <c r="E28" t="s">
        <v>355</v>
      </c>
    </row>
    <row r="29" spans="1:5" x14ac:dyDescent="0.25">
      <c r="A29" t="s">
        <v>356</v>
      </c>
      <c r="B29" t="s">
        <v>96</v>
      </c>
      <c r="C29" t="s">
        <v>312</v>
      </c>
      <c r="D29" t="s">
        <v>347</v>
      </c>
      <c r="E29" t="s">
        <v>354</v>
      </c>
    </row>
    <row r="30" spans="1:5" x14ac:dyDescent="0.25">
      <c r="A30" t="s">
        <v>357</v>
      </c>
      <c r="B30" t="s">
        <v>96</v>
      </c>
      <c r="C30" t="s">
        <v>312</v>
      </c>
      <c r="D30" t="s">
        <v>347</v>
      </c>
      <c r="E30" t="s">
        <v>355</v>
      </c>
    </row>
    <row r="31" spans="1:5" x14ac:dyDescent="0.25">
      <c r="A31" t="s">
        <v>358</v>
      </c>
      <c r="B31" t="s">
        <v>96</v>
      </c>
      <c r="C31" t="s">
        <v>312</v>
      </c>
      <c r="D31" t="s">
        <v>347</v>
      </c>
      <c r="E31" t="s">
        <v>348</v>
      </c>
    </row>
    <row r="32" spans="1:5" x14ac:dyDescent="0.25">
      <c r="A32" t="s">
        <v>359</v>
      </c>
      <c r="B32" t="s">
        <v>96</v>
      </c>
      <c r="C32" t="s">
        <v>312</v>
      </c>
      <c r="D32" t="s">
        <v>347</v>
      </c>
      <c r="E32" t="s">
        <v>348</v>
      </c>
    </row>
    <row r="33" spans="1:5" x14ac:dyDescent="0.25">
      <c r="A33" t="s">
        <v>360</v>
      </c>
      <c r="B33" t="s">
        <v>96</v>
      </c>
      <c r="C33" t="s">
        <v>312</v>
      </c>
      <c r="D33" t="s">
        <v>347</v>
      </c>
      <c r="E33" t="s">
        <v>361</v>
      </c>
    </row>
    <row r="34" spans="1:5" x14ac:dyDescent="0.25">
      <c r="A34" t="s">
        <v>362</v>
      </c>
      <c r="B34" t="s">
        <v>96</v>
      </c>
      <c r="C34" t="s">
        <v>312</v>
      </c>
      <c r="D34" t="s">
        <v>347</v>
      </c>
      <c r="E34" t="s">
        <v>355</v>
      </c>
    </row>
    <row r="35" spans="1:5" x14ac:dyDescent="0.25">
      <c r="A35" t="s">
        <v>363</v>
      </c>
      <c r="B35" t="s">
        <v>96</v>
      </c>
      <c r="C35" t="s">
        <v>312</v>
      </c>
      <c r="D35" t="s">
        <v>347</v>
      </c>
      <c r="E35" t="s">
        <v>364</v>
      </c>
    </row>
    <row r="36" spans="1:5" x14ac:dyDescent="0.25">
      <c r="A36" t="s">
        <v>365</v>
      </c>
      <c r="B36" t="s">
        <v>96</v>
      </c>
      <c r="C36" t="s">
        <v>312</v>
      </c>
      <c r="D36" t="s">
        <v>347</v>
      </c>
      <c r="E36" t="s">
        <v>348</v>
      </c>
    </row>
    <row r="37" spans="1:5" x14ac:dyDescent="0.25">
      <c r="A37" t="s">
        <v>366</v>
      </c>
      <c r="B37" t="s">
        <v>96</v>
      </c>
      <c r="C37" t="s">
        <v>312</v>
      </c>
      <c r="D37" t="s">
        <v>347</v>
      </c>
      <c r="E37" t="s">
        <v>361</v>
      </c>
    </row>
    <row r="38" spans="1:5" x14ac:dyDescent="0.25">
      <c r="A38" t="s">
        <v>367</v>
      </c>
      <c r="B38" t="s">
        <v>96</v>
      </c>
      <c r="C38" t="s">
        <v>312</v>
      </c>
      <c r="D38" t="s">
        <v>347</v>
      </c>
      <c r="E38" t="s">
        <v>354</v>
      </c>
    </row>
    <row r="39" spans="1:5" x14ac:dyDescent="0.25">
      <c r="A39" t="s">
        <v>368</v>
      </c>
      <c r="B39" t="s">
        <v>96</v>
      </c>
      <c r="C39" t="s">
        <v>312</v>
      </c>
      <c r="D39" t="s">
        <v>347</v>
      </c>
      <c r="E39" t="s">
        <v>369</v>
      </c>
    </row>
    <row r="40" spans="1:5" x14ac:dyDescent="0.25">
      <c r="A40" t="s">
        <v>370</v>
      </c>
      <c r="B40" t="s">
        <v>96</v>
      </c>
      <c r="C40" t="s">
        <v>312</v>
      </c>
      <c r="D40" t="s">
        <v>347</v>
      </c>
      <c r="E40" t="s">
        <v>349</v>
      </c>
    </row>
    <row r="41" spans="1:5" x14ac:dyDescent="0.25">
      <c r="A41" t="s">
        <v>240</v>
      </c>
      <c r="B41" t="s">
        <v>96</v>
      </c>
      <c r="C41" t="s">
        <v>312</v>
      </c>
      <c r="D41" t="s">
        <v>347</v>
      </c>
      <c r="E41" t="s">
        <v>369</v>
      </c>
    </row>
    <row r="42" spans="1:5" x14ac:dyDescent="0.25">
      <c r="A42" t="s">
        <v>371</v>
      </c>
      <c r="B42" t="s">
        <v>96</v>
      </c>
      <c r="C42" t="s">
        <v>312</v>
      </c>
      <c r="D42" t="s">
        <v>347</v>
      </c>
      <c r="E42" t="s">
        <v>348</v>
      </c>
    </row>
    <row r="43" spans="1:5" x14ac:dyDescent="0.25">
      <c r="A43" t="s">
        <v>372</v>
      </c>
      <c r="B43" t="s">
        <v>96</v>
      </c>
      <c r="C43" t="s">
        <v>312</v>
      </c>
      <c r="D43" t="s">
        <v>347</v>
      </c>
      <c r="E43" t="s">
        <v>361</v>
      </c>
    </row>
    <row r="44" spans="1:5" x14ac:dyDescent="0.25">
      <c r="A44" t="s">
        <v>373</v>
      </c>
      <c r="B44" t="s">
        <v>96</v>
      </c>
      <c r="C44" t="s">
        <v>312</v>
      </c>
      <c r="D44" t="s">
        <v>347</v>
      </c>
      <c r="E44" t="s">
        <v>361</v>
      </c>
    </row>
    <row r="45" spans="1:5" x14ac:dyDescent="0.25">
      <c r="A45" t="s">
        <v>374</v>
      </c>
      <c r="B45" t="s">
        <v>96</v>
      </c>
      <c r="C45" t="s">
        <v>312</v>
      </c>
      <c r="D45" t="s">
        <v>347</v>
      </c>
      <c r="E45" t="s">
        <v>355</v>
      </c>
    </row>
    <row r="46" spans="1:5" x14ac:dyDescent="0.25">
      <c r="A46" t="s">
        <v>375</v>
      </c>
      <c r="B46" t="s">
        <v>96</v>
      </c>
      <c r="C46" t="s">
        <v>312</v>
      </c>
      <c r="D46" t="s">
        <v>347</v>
      </c>
      <c r="E46" t="s">
        <v>361</v>
      </c>
    </row>
    <row r="47" spans="1:5" x14ac:dyDescent="0.25">
      <c r="A47" t="s">
        <v>376</v>
      </c>
      <c r="B47" t="s">
        <v>96</v>
      </c>
      <c r="C47" t="s">
        <v>312</v>
      </c>
      <c r="D47" t="s">
        <v>347</v>
      </c>
      <c r="E47" t="s">
        <v>348</v>
      </c>
    </row>
    <row r="48" spans="1:5" x14ac:dyDescent="0.25">
      <c r="A48" t="s">
        <v>249</v>
      </c>
      <c r="B48" t="s">
        <v>104</v>
      </c>
      <c r="C48" t="s">
        <v>377</v>
      </c>
      <c r="D48" t="s">
        <v>378</v>
      </c>
      <c r="E48" t="s">
        <v>379</v>
      </c>
    </row>
    <row r="49" spans="1:5" x14ac:dyDescent="0.25">
      <c r="A49" t="s">
        <v>294</v>
      </c>
      <c r="B49" t="s">
        <v>104</v>
      </c>
      <c r="C49" t="s">
        <v>377</v>
      </c>
      <c r="D49" t="s">
        <v>378</v>
      </c>
      <c r="E49" t="s">
        <v>380</v>
      </c>
    </row>
    <row r="50" spans="1:5" x14ac:dyDescent="0.25">
      <c r="A50" t="s">
        <v>381</v>
      </c>
      <c r="B50" t="s">
        <v>104</v>
      </c>
      <c r="C50" t="s">
        <v>377</v>
      </c>
      <c r="D50" t="s">
        <v>378</v>
      </c>
      <c r="E50" t="s">
        <v>382</v>
      </c>
    </row>
    <row r="51" spans="1:5" x14ac:dyDescent="0.25">
      <c r="A51" t="s">
        <v>256</v>
      </c>
      <c r="B51" t="s">
        <v>104</v>
      </c>
      <c r="C51" t="s">
        <v>377</v>
      </c>
      <c r="D51" t="s">
        <v>383</v>
      </c>
      <c r="E51" t="s">
        <v>384</v>
      </c>
    </row>
    <row r="52" spans="1:5" x14ac:dyDescent="0.25">
      <c r="A52" t="s">
        <v>385</v>
      </c>
      <c r="B52" t="s">
        <v>104</v>
      </c>
      <c r="C52" t="s">
        <v>377</v>
      </c>
      <c r="D52" t="s">
        <v>386</v>
      </c>
      <c r="E52" t="s">
        <v>387</v>
      </c>
    </row>
    <row r="53" spans="1:5" x14ac:dyDescent="0.25">
      <c r="A53" t="s">
        <v>259</v>
      </c>
      <c r="B53" t="s">
        <v>104</v>
      </c>
      <c r="C53" t="s">
        <v>377</v>
      </c>
      <c r="D53" t="s">
        <v>388</v>
      </c>
      <c r="E53" t="s">
        <v>389</v>
      </c>
    </row>
    <row r="54" spans="1:5" x14ac:dyDescent="0.25">
      <c r="A54" t="s">
        <v>340</v>
      </c>
      <c r="B54" t="s">
        <v>104</v>
      </c>
      <c r="C54" t="s">
        <v>377</v>
      </c>
      <c r="D54" t="s">
        <v>390</v>
      </c>
      <c r="E54" t="s">
        <v>391</v>
      </c>
    </row>
    <row r="55" spans="1:5" x14ac:dyDescent="0.25">
      <c r="A55" t="s">
        <v>392</v>
      </c>
      <c r="B55" t="s">
        <v>104</v>
      </c>
      <c r="C55" t="s">
        <v>377</v>
      </c>
      <c r="D55" t="s">
        <v>393</v>
      </c>
      <c r="E55" t="s">
        <v>394</v>
      </c>
    </row>
    <row r="56" spans="1:5" x14ac:dyDescent="0.25">
      <c r="A56" t="s">
        <v>305</v>
      </c>
      <c r="B56" t="s">
        <v>104</v>
      </c>
      <c r="C56" t="s">
        <v>377</v>
      </c>
      <c r="D56" t="s">
        <v>395</v>
      </c>
      <c r="E56" t="s">
        <v>396</v>
      </c>
    </row>
    <row r="57" spans="1:5" x14ac:dyDescent="0.25">
      <c r="A57" t="s">
        <v>374</v>
      </c>
      <c r="B57" t="s">
        <v>104</v>
      </c>
      <c r="C57" t="s">
        <v>397</v>
      </c>
      <c r="D57" t="s">
        <v>398</v>
      </c>
      <c r="E57" t="s">
        <v>399</v>
      </c>
    </row>
    <row r="58" spans="1:5" x14ac:dyDescent="0.25">
      <c r="A58" t="s">
        <v>241</v>
      </c>
      <c r="B58" t="s">
        <v>104</v>
      </c>
      <c r="C58" t="s">
        <v>248</v>
      </c>
      <c r="D58" t="s">
        <v>400</v>
      </c>
      <c r="E58" t="s">
        <v>401</v>
      </c>
    </row>
    <row r="59" spans="1:5" x14ac:dyDescent="0.25">
      <c r="A59" t="s">
        <v>359</v>
      </c>
      <c r="B59" t="s">
        <v>104</v>
      </c>
      <c r="C59" t="s">
        <v>248</v>
      </c>
      <c r="D59" t="s">
        <v>402</v>
      </c>
      <c r="E59" t="s">
        <v>403</v>
      </c>
    </row>
    <row r="60" spans="1:5" x14ac:dyDescent="0.25">
      <c r="A60" t="s">
        <v>238</v>
      </c>
      <c r="B60" t="s">
        <v>104</v>
      </c>
      <c r="C60" t="s">
        <v>248</v>
      </c>
      <c r="D60" t="s">
        <v>402</v>
      </c>
      <c r="E60" t="s">
        <v>404</v>
      </c>
    </row>
    <row r="61" spans="1:5" x14ac:dyDescent="0.25">
      <c r="A61" t="s">
        <v>363</v>
      </c>
      <c r="B61" t="s">
        <v>104</v>
      </c>
      <c r="C61" t="s">
        <v>248</v>
      </c>
      <c r="D61" t="s">
        <v>405</v>
      </c>
      <c r="E61" t="s">
        <v>406</v>
      </c>
    </row>
    <row r="62" spans="1:5" x14ac:dyDescent="0.25">
      <c r="A62" t="s">
        <v>360</v>
      </c>
      <c r="B62" t="s">
        <v>104</v>
      </c>
      <c r="C62" t="s">
        <v>248</v>
      </c>
      <c r="D62" t="s">
        <v>402</v>
      </c>
      <c r="E62" t="s">
        <v>407</v>
      </c>
    </row>
    <row r="63" spans="1:5" x14ac:dyDescent="0.25">
      <c r="A63" t="s">
        <v>248</v>
      </c>
      <c r="B63" t="s">
        <v>104</v>
      </c>
      <c r="C63" t="s">
        <v>248</v>
      </c>
      <c r="D63" t="s">
        <v>408</v>
      </c>
      <c r="E63" t="s">
        <v>409</v>
      </c>
    </row>
    <row r="64" spans="1:5" x14ac:dyDescent="0.25">
      <c r="A64" t="s">
        <v>366</v>
      </c>
      <c r="B64" t="s">
        <v>104</v>
      </c>
      <c r="C64" t="s">
        <v>248</v>
      </c>
      <c r="D64" t="s">
        <v>410</v>
      </c>
      <c r="E64" t="s">
        <v>411</v>
      </c>
    </row>
    <row r="65" spans="1:5" x14ac:dyDescent="0.25">
      <c r="A65" t="s">
        <v>262</v>
      </c>
      <c r="B65" t="s">
        <v>104</v>
      </c>
      <c r="C65" t="s">
        <v>248</v>
      </c>
      <c r="D65" t="s">
        <v>412</v>
      </c>
      <c r="E65" t="s">
        <v>413</v>
      </c>
    </row>
    <row r="66" spans="1:5" x14ac:dyDescent="0.25">
      <c r="A66" t="s">
        <v>414</v>
      </c>
      <c r="B66" t="s">
        <v>104</v>
      </c>
      <c r="C66" t="s">
        <v>248</v>
      </c>
      <c r="D66" t="s">
        <v>402</v>
      </c>
      <c r="E66" t="s">
        <v>415</v>
      </c>
    </row>
    <row r="67" spans="1:5" x14ac:dyDescent="0.25">
      <c r="A67" t="s">
        <v>357</v>
      </c>
      <c r="B67" t="s">
        <v>104</v>
      </c>
      <c r="C67" t="s">
        <v>248</v>
      </c>
      <c r="D67" t="s">
        <v>410</v>
      </c>
      <c r="E67" t="s">
        <v>416</v>
      </c>
    </row>
    <row r="68" spans="1:5" x14ac:dyDescent="0.25">
      <c r="A68" t="s">
        <v>368</v>
      </c>
      <c r="B68" t="s">
        <v>104</v>
      </c>
      <c r="C68" t="s">
        <v>248</v>
      </c>
      <c r="D68" t="s">
        <v>402</v>
      </c>
      <c r="E68" t="s">
        <v>417</v>
      </c>
    </row>
    <row r="69" spans="1:5" x14ac:dyDescent="0.25">
      <c r="A69" t="s">
        <v>246</v>
      </c>
      <c r="B69" t="s">
        <v>104</v>
      </c>
      <c r="C69" t="s">
        <v>248</v>
      </c>
      <c r="D69" t="s">
        <v>418</v>
      </c>
      <c r="E69" t="s">
        <v>419</v>
      </c>
    </row>
    <row r="70" spans="1:5" x14ac:dyDescent="0.25">
      <c r="A70" t="s">
        <v>358</v>
      </c>
      <c r="B70" t="s">
        <v>104</v>
      </c>
      <c r="C70" t="s">
        <v>397</v>
      </c>
      <c r="D70" t="s">
        <v>420</v>
      </c>
      <c r="E70" t="s">
        <v>421</v>
      </c>
    </row>
    <row r="71" spans="1:5" x14ac:dyDescent="0.25">
      <c r="A71" t="s">
        <v>250</v>
      </c>
      <c r="B71" t="s">
        <v>104</v>
      </c>
      <c r="C71" t="s">
        <v>248</v>
      </c>
      <c r="D71" t="s">
        <v>402</v>
      </c>
      <c r="E71" t="s">
        <v>422</v>
      </c>
    </row>
    <row r="72" spans="1:5" x14ac:dyDescent="0.25">
      <c r="A72" t="s">
        <v>362</v>
      </c>
      <c r="B72" t="s">
        <v>104</v>
      </c>
      <c r="C72" t="s">
        <v>248</v>
      </c>
      <c r="D72" t="s">
        <v>423</v>
      </c>
      <c r="E72" t="s">
        <v>424</v>
      </c>
    </row>
    <row r="73" spans="1:5" x14ac:dyDescent="0.25">
      <c r="A73" t="s">
        <v>240</v>
      </c>
      <c r="B73" t="s">
        <v>104</v>
      </c>
      <c r="C73" t="s">
        <v>248</v>
      </c>
      <c r="D73" t="s">
        <v>425</v>
      </c>
      <c r="E73" t="s">
        <v>426</v>
      </c>
    </row>
    <row r="74" spans="1:5" x14ac:dyDescent="0.25">
      <c r="A74" t="s">
        <v>247</v>
      </c>
      <c r="B74" t="s">
        <v>104</v>
      </c>
      <c r="C74" t="s">
        <v>248</v>
      </c>
      <c r="D74" t="s">
        <v>427</v>
      </c>
      <c r="E74" t="s">
        <v>428</v>
      </c>
    </row>
    <row r="75" spans="1:5" x14ac:dyDescent="0.25">
      <c r="A75" t="s">
        <v>244</v>
      </c>
      <c r="B75" t="s">
        <v>104</v>
      </c>
      <c r="C75" t="s">
        <v>248</v>
      </c>
      <c r="D75" t="s">
        <v>410</v>
      </c>
      <c r="E75" t="s">
        <v>429</v>
      </c>
    </row>
    <row r="76" spans="1:5" x14ac:dyDescent="0.25">
      <c r="A76" t="s">
        <v>372</v>
      </c>
      <c r="B76" t="s">
        <v>104</v>
      </c>
      <c r="C76" t="s">
        <v>248</v>
      </c>
      <c r="D76" t="s">
        <v>430</v>
      </c>
      <c r="E76" t="s">
        <v>431</v>
      </c>
    </row>
    <row r="77" spans="1:5" x14ac:dyDescent="0.25">
      <c r="A77" t="s">
        <v>373</v>
      </c>
      <c r="B77" t="s">
        <v>104</v>
      </c>
      <c r="C77" t="s">
        <v>248</v>
      </c>
      <c r="D77" t="s">
        <v>402</v>
      </c>
      <c r="E77" t="s">
        <v>432</v>
      </c>
    </row>
    <row r="78" spans="1:5" x14ac:dyDescent="0.25">
      <c r="A78" t="s">
        <v>375</v>
      </c>
      <c r="B78" t="s">
        <v>104</v>
      </c>
      <c r="C78" t="s">
        <v>248</v>
      </c>
      <c r="D78" t="s">
        <v>410</v>
      </c>
      <c r="E78" t="s">
        <v>433</v>
      </c>
    </row>
    <row r="79" spans="1:5" x14ac:dyDescent="0.25">
      <c r="A79" t="s">
        <v>236</v>
      </c>
      <c r="B79" t="s">
        <v>104</v>
      </c>
      <c r="C79" t="s">
        <v>248</v>
      </c>
      <c r="D79" t="s">
        <v>400</v>
      </c>
      <c r="E79" t="s">
        <v>434</v>
      </c>
    </row>
    <row r="80" spans="1:5" x14ac:dyDescent="0.25">
      <c r="A80" t="s">
        <v>301</v>
      </c>
      <c r="B80" t="s">
        <v>104</v>
      </c>
      <c r="C80" t="s">
        <v>248</v>
      </c>
      <c r="D80" t="s">
        <v>435</v>
      </c>
      <c r="E80" t="s">
        <v>436</v>
      </c>
    </row>
    <row r="81" spans="1:5" x14ac:dyDescent="0.25">
      <c r="A81" t="s">
        <v>371</v>
      </c>
      <c r="B81" t="s">
        <v>104</v>
      </c>
      <c r="C81" t="s">
        <v>397</v>
      </c>
      <c r="D81" t="s">
        <v>437</v>
      </c>
      <c r="E81" t="s">
        <v>438</v>
      </c>
    </row>
    <row r="82" spans="1:5" x14ac:dyDescent="0.25">
      <c r="A82" t="s">
        <v>376</v>
      </c>
      <c r="B82" t="s">
        <v>104</v>
      </c>
      <c r="C82" t="s">
        <v>397</v>
      </c>
      <c r="D82" t="s">
        <v>437</v>
      </c>
      <c r="E82" t="s">
        <v>439</v>
      </c>
    </row>
    <row r="83" spans="1:5" x14ac:dyDescent="0.25">
      <c r="A83" t="s">
        <v>440</v>
      </c>
      <c r="B83" t="s">
        <v>104</v>
      </c>
      <c r="C83" t="s">
        <v>441</v>
      </c>
      <c r="D83" t="s">
        <v>442</v>
      </c>
      <c r="E83" t="s">
        <v>443</v>
      </c>
    </row>
    <row r="84" spans="1:5" x14ac:dyDescent="0.25">
      <c r="A84" t="s">
        <v>366</v>
      </c>
      <c r="B84" t="s">
        <v>123</v>
      </c>
      <c r="C84" t="s">
        <v>444</v>
      </c>
      <c r="D84" t="s">
        <v>445</v>
      </c>
      <c r="E84" t="s">
        <v>446</v>
      </c>
    </row>
    <row r="85" spans="1:5" x14ac:dyDescent="0.25">
      <c r="A85" t="s">
        <v>447</v>
      </c>
      <c r="B85" t="s">
        <v>123</v>
      </c>
      <c r="C85" t="s">
        <v>444</v>
      </c>
      <c r="D85" t="s">
        <v>448</v>
      </c>
      <c r="E85" t="s">
        <v>449</v>
      </c>
    </row>
    <row r="86" spans="1:5" x14ac:dyDescent="0.25">
      <c r="A86" t="s">
        <v>356</v>
      </c>
      <c r="B86" t="s">
        <v>123</v>
      </c>
      <c r="C86" t="s">
        <v>444</v>
      </c>
      <c r="D86" t="s">
        <v>450</v>
      </c>
      <c r="E86" t="s">
        <v>451</v>
      </c>
    </row>
    <row r="87" spans="1:5" x14ac:dyDescent="0.25">
      <c r="A87" t="s">
        <v>363</v>
      </c>
      <c r="B87" t="s">
        <v>123</v>
      </c>
      <c r="C87" t="s">
        <v>444</v>
      </c>
      <c r="D87" t="s">
        <v>452</v>
      </c>
      <c r="E87" t="s">
        <v>453</v>
      </c>
    </row>
    <row r="88" spans="1:5" x14ac:dyDescent="0.25">
      <c r="A88" t="s">
        <v>365</v>
      </c>
      <c r="B88" t="s">
        <v>123</v>
      </c>
      <c r="C88" t="s">
        <v>444</v>
      </c>
      <c r="D88" t="s">
        <v>454</v>
      </c>
      <c r="E88" t="s">
        <v>455</v>
      </c>
    </row>
    <row r="89" spans="1:5" x14ac:dyDescent="0.25">
      <c r="A89" t="s">
        <v>456</v>
      </c>
      <c r="B89" t="s">
        <v>123</v>
      </c>
      <c r="C89" t="s">
        <v>444</v>
      </c>
      <c r="D89" t="s">
        <v>457</v>
      </c>
      <c r="E89" t="s">
        <v>458</v>
      </c>
    </row>
    <row r="90" spans="1:5" x14ac:dyDescent="0.25">
      <c r="A90" t="s">
        <v>371</v>
      </c>
      <c r="B90" t="s">
        <v>123</v>
      </c>
      <c r="C90" t="s">
        <v>444</v>
      </c>
      <c r="D90" t="s">
        <v>459</v>
      </c>
      <c r="E90" t="s">
        <v>460</v>
      </c>
    </row>
    <row r="91" spans="1:5" x14ac:dyDescent="0.25">
      <c r="A91" t="s">
        <v>461</v>
      </c>
      <c r="B91" t="s">
        <v>123</v>
      </c>
      <c r="C91" t="s">
        <v>444</v>
      </c>
      <c r="D91" t="s">
        <v>462</v>
      </c>
      <c r="E91" t="s">
        <v>463</v>
      </c>
    </row>
    <row r="92" spans="1:5" x14ac:dyDescent="0.25">
      <c r="A92" t="s">
        <v>376</v>
      </c>
      <c r="B92" t="s">
        <v>123</v>
      </c>
      <c r="C92" t="s">
        <v>444</v>
      </c>
      <c r="D92" t="s">
        <v>464</v>
      </c>
      <c r="E92" t="s">
        <v>465</v>
      </c>
    </row>
    <row r="93" spans="1:5" x14ac:dyDescent="0.25">
      <c r="A93" t="s">
        <v>250</v>
      </c>
      <c r="B93" t="s">
        <v>123</v>
      </c>
      <c r="C93" t="s">
        <v>466</v>
      </c>
      <c r="D93" t="s">
        <v>467</v>
      </c>
      <c r="E93" t="s">
        <v>468</v>
      </c>
    </row>
    <row r="94" spans="1:5" x14ac:dyDescent="0.25">
      <c r="A94" t="s">
        <v>333</v>
      </c>
      <c r="B94" t="s">
        <v>123</v>
      </c>
      <c r="C94" t="s">
        <v>466</v>
      </c>
      <c r="D94" t="s">
        <v>469</v>
      </c>
      <c r="E94" t="s">
        <v>470</v>
      </c>
    </row>
    <row r="95" spans="1:5" x14ac:dyDescent="0.25">
      <c r="A95" t="s">
        <v>367</v>
      </c>
      <c r="B95" t="s">
        <v>123</v>
      </c>
      <c r="C95" t="s">
        <v>466</v>
      </c>
      <c r="D95" t="s">
        <v>471</v>
      </c>
      <c r="E95" t="s">
        <v>472</v>
      </c>
    </row>
    <row r="96" spans="1:5" x14ac:dyDescent="0.25">
      <c r="A96" t="s">
        <v>241</v>
      </c>
      <c r="B96" t="s">
        <v>83</v>
      </c>
      <c r="C96" t="s">
        <v>444</v>
      </c>
      <c r="D96" t="s">
        <v>473</v>
      </c>
      <c r="E96" t="s">
        <v>474</v>
      </c>
    </row>
    <row r="97" spans="1:5" x14ac:dyDescent="0.25">
      <c r="A97" t="s">
        <v>359</v>
      </c>
      <c r="B97" t="s">
        <v>83</v>
      </c>
      <c r="C97" t="s">
        <v>444</v>
      </c>
      <c r="D97" t="s">
        <v>475</v>
      </c>
      <c r="E97" t="s">
        <v>476</v>
      </c>
    </row>
    <row r="98" spans="1:5" x14ac:dyDescent="0.25">
      <c r="A98" t="s">
        <v>250</v>
      </c>
      <c r="B98" t="s">
        <v>83</v>
      </c>
      <c r="C98" t="s">
        <v>444</v>
      </c>
      <c r="D98" t="s">
        <v>477</v>
      </c>
      <c r="E98" t="s">
        <v>478</v>
      </c>
    </row>
    <row r="99" spans="1:5" x14ac:dyDescent="0.25">
      <c r="A99" t="s">
        <v>262</v>
      </c>
      <c r="B99" t="s">
        <v>83</v>
      </c>
      <c r="C99" t="s">
        <v>444</v>
      </c>
      <c r="D99" t="s">
        <v>479</v>
      </c>
      <c r="E99" t="s">
        <v>480</v>
      </c>
    </row>
    <row r="100" spans="1:5" x14ac:dyDescent="0.25">
      <c r="A100" t="s">
        <v>368</v>
      </c>
      <c r="B100" t="s">
        <v>83</v>
      </c>
      <c r="C100" t="s">
        <v>444</v>
      </c>
      <c r="D100" t="s">
        <v>481</v>
      </c>
      <c r="E100" t="s">
        <v>482</v>
      </c>
    </row>
    <row r="101" spans="1:5" x14ac:dyDescent="0.25">
      <c r="A101" t="s">
        <v>240</v>
      </c>
      <c r="B101" t="s">
        <v>83</v>
      </c>
      <c r="C101" t="s">
        <v>444</v>
      </c>
      <c r="D101" t="s">
        <v>483</v>
      </c>
      <c r="E101" t="s">
        <v>484</v>
      </c>
    </row>
    <row r="102" spans="1:5" x14ac:dyDescent="0.25">
      <c r="A102" t="s">
        <v>485</v>
      </c>
      <c r="B102" t="s">
        <v>83</v>
      </c>
      <c r="C102" t="s">
        <v>444</v>
      </c>
      <c r="D102" t="s">
        <v>486</v>
      </c>
      <c r="E102" t="s">
        <v>487</v>
      </c>
    </row>
    <row r="103" spans="1:5" x14ac:dyDescent="0.25">
      <c r="A103" t="s">
        <v>157</v>
      </c>
      <c r="B103" t="s">
        <v>79</v>
      </c>
      <c r="C103" t="s">
        <v>488</v>
      </c>
      <c r="D103" t="s">
        <v>489</v>
      </c>
      <c r="E103" t="s">
        <v>490</v>
      </c>
    </row>
    <row r="104" spans="1:5" x14ac:dyDescent="0.25">
      <c r="A104" t="s">
        <v>237</v>
      </c>
      <c r="B104" t="s">
        <v>79</v>
      </c>
      <c r="C104" t="s">
        <v>491</v>
      </c>
      <c r="D104" t="s">
        <v>492</v>
      </c>
      <c r="E104" t="s">
        <v>493</v>
      </c>
    </row>
    <row r="105" spans="1:5" x14ac:dyDescent="0.25">
      <c r="A105" t="s">
        <v>246</v>
      </c>
      <c r="B105" t="s">
        <v>79</v>
      </c>
      <c r="C105" t="s">
        <v>494</v>
      </c>
      <c r="D105" t="s">
        <v>495</v>
      </c>
      <c r="E105" t="s">
        <v>496</v>
      </c>
    </row>
    <row r="106" spans="1:5" x14ac:dyDescent="0.25">
      <c r="A106" t="s">
        <v>248</v>
      </c>
      <c r="B106" t="s">
        <v>79</v>
      </c>
      <c r="C106" t="s">
        <v>497</v>
      </c>
      <c r="D106" t="s">
        <v>498</v>
      </c>
      <c r="E106" t="s">
        <v>499</v>
      </c>
    </row>
    <row r="107" spans="1:5" x14ac:dyDescent="0.25">
      <c r="A107" t="s">
        <v>344</v>
      </c>
      <c r="B107" t="s">
        <v>79</v>
      </c>
      <c r="C107" t="s">
        <v>500</v>
      </c>
      <c r="D107" t="s">
        <v>501</v>
      </c>
      <c r="E107" t="s">
        <v>502</v>
      </c>
    </row>
    <row r="108" spans="1:5" x14ac:dyDescent="0.25">
      <c r="A108" t="s">
        <v>244</v>
      </c>
      <c r="B108" t="s">
        <v>79</v>
      </c>
      <c r="C108" t="s">
        <v>503</v>
      </c>
      <c r="D108" t="s">
        <v>504</v>
      </c>
      <c r="E108" t="s">
        <v>505</v>
      </c>
    </row>
    <row r="109" spans="1:5" x14ac:dyDescent="0.25">
      <c r="A109" t="s">
        <v>333</v>
      </c>
      <c r="B109" t="s">
        <v>79</v>
      </c>
      <c r="C109" t="s">
        <v>506</v>
      </c>
      <c r="D109" t="s">
        <v>507</v>
      </c>
      <c r="E109" t="s">
        <v>508</v>
      </c>
    </row>
    <row r="110" spans="1:5" x14ac:dyDescent="0.25">
      <c r="A110" t="s">
        <v>376</v>
      </c>
      <c r="B110" t="s">
        <v>79</v>
      </c>
      <c r="C110" t="s">
        <v>509</v>
      </c>
      <c r="D110" t="s">
        <v>510</v>
      </c>
      <c r="E110" t="s">
        <v>511</v>
      </c>
    </row>
    <row r="111" spans="1:5" x14ac:dyDescent="0.25">
      <c r="A111" t="s">
        <v>368</v>
      </c>
      <c r="B111" s="97">
        <v>46254</v>
      </c>
      <c r="C111" t="s">
        <v>514</v>
      </c>
      <c r="D111" t="s">
        <v>515</v>
      </c>
      <c r="E111" t="s">
        <v>516</v>
      </c>
    </row>
    <row r="112" spans="1:5" x14ac:dyDescent="0.25">
      <c r="A112" t="s">
        <v>513</v>
      </c>
      <c r="B112" s="97">
        <v>46254</v>
      </c>
      <c r="C112" t="s">
        <v>517</v>
      </c>
      <c r="D112" t="s">
        <v>518</v>
      </c>
      <c r="E112" t="s">
        <v>519</v>
      </c>
    </row>
    <row r="113" spans="1:5" x14ac:dyDescent="0.25">
      <c r="A113" t="s">
        <v>513</v>
      </c>
      <c r="B113" s="97">
        <v>46254</v>
      </c>
      <c r="C113" t="s">
        <v>522</v>
      </c>
      <c r="D113" t="s">
        <v>523</v>
      </c>
      <c r="E113" t="s">
        <v>524</v>
      </c>
    </row>
    <row r="114" spans="1:5" x14ac:dyDescent="0.25">
      <c r="A114" t="s">
        <v>368</v>
      </c>
      <c r="B114" s="97">
        <v>46254</v>
      </c>
      <c r="C114" t="s">
        <v>525</v>
      </c>
      <c r="D114" t="s">
        <v>526</v>
      </c>
      <c r="E114" t="s">
        <v>527</v>
      </c>
    </row>
    <row r="115" spans="1:5" x14ac:dyDescent="0.25">
      <c r="A115" t="s">
        <v>528</v>
      </c>
      <c r="B115" s="97">
        <v>46255</v>
      </c>
      <c r="C115" t="s">
        <v>536</v>
      </c>
      <c r="D115" t="s">
        <v>537</v>
      </c>
      <c r="E115" t="s">
        <v>538</v>
      </c>
    </row>
    <row r="116" spans="1:5" x14ac:dyDescent="0.25">
      <c r="A116" t="s">
        <v>531</v>
      </c>
      <c r="B116" s="97">
        <v>46255</v>
      </c>
      <c r="C116" t="s">
        <v>539</v>
      </c>
      <c r="D116" t="s">
        <v>540</v>
      </c>
      <c r="E116" t="s">
        <v>541</v>
      </c>
    </row>
    <row r="117" spans="1:5" x14ac:dyDescent="0.25">
      <c r="A117" t="s">
        <v>533</v>
      </c>
      <c r="B117" s="97">
        <v>46255</v>
      </c>
      <c r="C117" t="s">
        <v>542</v>
      </c>
      <c r="D117" t="s">
        <v>543</v>
      </c>
      <c r="E117" t="s">
        <v>544</v>
      </c>
    </row>
    <row r="118" spans="1:5" x14ac:dyDescent="0.25">
      <c r="A118" t="s">
        <v>535</v>
      </c>
      <c r="B118" s="97">
        <v>46255</v>
      </c>
      <c r="C118" t="s">
        <v>545</v>
      </c>
      <c r="D118" t="s">
        <v>546</v>
      </c>
      <c r="E118" t="s">
        <v>547</v>
      </c>
    </row>
    <row r="119" spans="1:5" x14ac:dyDescent="0.25">
      <c r="A119" t="s">
        <v>368</v>
      </c>
      <c r="B119" s="97">
        <v>46255</v>
      </c>
      <c r="C119" t="s">
        <v>548</v>
      </c>
      <c r="D119" t="s">
        <v>549</v>
      </c>
      <c r="E119" t="s">
        <v>550</v>
      </c>
    </row>
    <row r="120" spans="1:5" x14ac:dyDescent="0.25">
      <c r="A120" t="s">
        <v>363</v>
      </c>
      <c r="B120" s="97">
        <v>46255</v>
      </c>
      <c r="C120" t="s">
        <v>551</v>
      </c>
      <c r="D120" t="s">
        <v>549</v>
      </c>
      <c r="E120" t="s">
        <v>552</v>
      </c>
    </row>
    <row r="121" spans="1:5" x14ac:dyDescent="0.25">
      <c r="A121" t="s">
        <v>362</v>
      </c>
      <c r="B121" s="97">
        <v>46255</v>
      </c>
      <c r="C121" t="s">
        <v>553</v>
      </c>
      <c r="D121" t="s">
        <v>549</v>
      </c>
      <c r="E121" t="s">
        <v>554</v>
      </c>
    </row>
    <row r="122" spans="1:5" x14ac:dyDescent="0.25">
      <c r="A122" t="s">
        <v>315</v>
      </c>
      <c r="B122" s="97">
        <v>46255</v>
      </c>
      <c r="C122" t="s">
        <v>555</v>
      </c>
      <c r="D122" t="s">
        <v>549</v>
      </c>
      <c r="E122" t="s">
        <v>556</v>
      </c>
    </row>
    <row r="123" spans="1:5" x14ac:dyDescent="0.25">
      <c r="A123" t="s">
        <v>243</v>
      </c>
      <c r="B123" s="97">
        <v>46255</v>
      </c>
      <c r="C123" t="s">
        <v>555</v>
      </c>
      <c r="D123" t="s">
        <v>549</v>
      </c>
      <c r="E123" t="s">
        <v>557</v>
      </c>
    </row>
    <row r="124" spans="1:5" x14ac:dyDescent="0.25">
      <c r="A124" t="s">
        <v>247</v>
      </c>
      <c r="B124" s="97">
        <v>46255</v>
      </c>
      <c r="C124" t="s">
        <v>558</v>
      </c>
      <c r="D124" t="s">
        <v>549</v>
      </c>
      <c r="E124" t="s">
        <v>559</v>
      </c>
    </row>
    <row r="125" spans="1:5" x14ac:dyDescent="0.25">
      <c r="A125" t="s">
        <v>373</v>
      </c>
      <c r="B125" s="97">
        <v>46255</v>
      </c>
      <c r="C125" t="s">
        <v>560</v>
      </c>
      <c r="D125" t="s">
        <v>549</v>
      </c>
      <c r="E125" t="s">
        <v>561</v>
      </c>
    </row>
    <row r="126" spans="1:5" x14ac:dyDescent="0.25">
      <c r="A126" t="s">
        <v>372</v>
      </c>
      <c r="B126" s="97">
        <v>46255</v>
      </c>
      <c r="C126" t="s">
        <v>562</v>
      </c>
      <c r="D126" t="s">
        <v>549</v>
      </c>
      <c r="E126" t="s">
        <v>563</v>
      </c>
    </row>
    <row r="127" spans="1:5" x14ac:dyDescent="0.25">
      <c r="A127" t="s">
        <v>456</v>
      </c>
      <c r="B127" s="97">
        <v>46255</v>
      </c>
      <c r="C127" t="s">
        <v>562</v>
      </c>
      <c r="D127" t="s">
        <v>549</v>
      </c>
      <c r="E127" t="s">
        <v>564</v>
      </c>
    </row>
    <row r="128" spans="1:5" x14ac:dyDescent="0.25">
      <c r="A128" t="s">
        <v>356</v>
      </c>
      <c r="B128" s="97">
        <v>46255</v>
      </c>
      <c r="C128" t="s">
        <v>562</v>
      </c>
      <c r="D128" t="s">
        <v>549</v>
      </c>
      <c r="E128" t="s">
        <v>565</v>
      </c>
    </row>
    <row r="129" spans="1:5" x14ac:dyDescent="0.25">
      <c r="A129" t="s">
        <v>533</v>
      </c>
      <c r="B129" s="97">
        <v>46255</v>
      </c>
      <c r="C129" t="s">
        <v>562</v>
      </c>
      <c r="D129" t="s">
        <v>549</v>
      </c>
      <c r="E129" t="s">
        <v>566</v>
      </c>
    </row>
    <row r="130" spans="1:5" x14ac:dyDescent="0.25">
      <c r="A130" t="s">
        <v>333</v>
      </c>
      <c r="B130" s="97">
        <v>46255</v>
      </c>
      <c r="C130" t="s">
        <v>562</v>
      </c>
      <c r="D130" t="s">
        <v>549</v>
      </c>
      <c r="E130" t="s">
        <v>567</v>
      </c>
    </row>
    <row r="131" spans="1:5" x14ac:dyDescent="0.25">
      <c r="A131" t="s">
        <v>535</v>
      </c>
      <c r="B131" s="97">
        <v>46255</v>
      </c>
      <c r="C131" t="s">
        <v>562</v>
      </c>
      <c r="D131" t="s">
        <v>549</v>
      </c>
      <c r="E131" t="s">
        <v>568</v>
      </c>
    </row>
    <row r="132" spans="1:5" x14ac:dyDescent="0.25">
      <c r="A132" t="s">
        <v>245</v>
      </c>
      <c r="B132" s="97">
        <v>46255</v>
      </c>
      <c r="C132" t="s">
        <v>569</v>
      </c>
      <c r="D132" t="s">
        <v>549</v>
      </c>
      <c r="E132" t="s">
        <v>570</v>
      </c>
    </row>
    <row r="133" spans="1:5" x14ac:dyDescent="0.25">
      <c r="A133" t="s">
        <v>252</v>
      </c>
      <c r="B133" s="97">
        <v>46255</v>
      </c>
      <c r="C133" t="s">
        <v>569</v>
      </c>
      <c r="D133" t="s">
        <v>549</v>
      </c>
      <c r="E133" t="s">
        <v>571</v>
      </c>
    </row>
    <row r="134" spans="1:5" x14ac:dyDescent="0.25">
      <c r="A134" t="s">
        <v>263</v>
      </c>
      <c r="B134" s="97">
        <v>46255</v>
      </c>
      <c r="C134" t="s">
        <v>569</v>
      </c>
      <c r="D134" t="s">
        <v>549</v>
      </c>
      <c r="E134" t="s">
        <v>572</v>
      </c>
    </row>
    <row r="135" spans="1:5" x14ac:dyDescent="0.25">
      <c r="A135" t="s">
        <v>367</v>
      </c>
      <c r="B135" s="97">
        <v>46255</v>
      </c>
      <c r="C135" t="s">
        <v>569</v>
      </c>
      <c r="D135" t="s">
        <v>549</v>
      </c>
      <c r="E135" t="s">
        <v>573</v>
      </c>
    </row>
    <row r="136" spans="1:5" x14ac:dyDescent="0.25">
      <c r="A136" t="s">
        <v>328</v>
      </c>
      <c r="B136" s="97">
        <v>46255</v>
      </c>
      <c r="C136" t="s">
        <v>574</v>
      </c>
      <c r="D136" t="s">
        <v>549</v>
      </c>
      <c r="E136" t="s">
        <v>575</v>
      </c>
    </row>
    <row r="137" spans="1:5" x14ac:dyDescent="0.25">
      <c r="A137" t="s">
        <v>376</v>
      </c>
      <c r="B137" s="97">
        <v>46255</v>
      </c>
      <c r="C137" t="s">
        <v>576</v>
      </c>
      <c r="D137" t="s">
        <v>549</v>
      </c>
      <c r="E137" t="s">
        <v>577</v>
      </c>
    </row>
    <row r="138" spans="1:5" x14ac:dyDescent="0.25">
      <c r="A138" t="s">
        <v>440</v>
      </c>
      <c r="B138" s="97">
        <v>46255</v>
      </c>
      <c r="C138" t="s">
        <v>578</v>
      </c>
      <c r="D138" t="s">
        <v>549</v>
      </c>
      <c r="E138" t="s">
        <v>579</v>
      </c>
    </row>
    <row r="139" spans="1:5" x14ac:dyDescent="0.25">
      <c r="A139" t="s">
        <v>440</v>
      </c>
      <c r="B139" s="97">
        <v>46255</v>
      </c>
      <c r="C139" t="s">
        <v>585</v>
      </c>
      <c r="D139" t="s">
        <v>586</v>
      </c>
      <c r="E139" t="s">
        <v>587</v>
      </c>
    </row>
    <row r="140" spans="1:5" x14ac:dyDescent="0.25">
      <c r="A140" t="s">
        <v>305</v>
      </c>
      <c r="B140" s="97">
        <v>46255</v>
      </c>
      <c r="C140" t="s">
        <v>591</v>
      </c>
      <c r="D140" t="s">
        <v>592</v>
      </c>
      <c r="E140" t="s">
        <v>593</v>
      </c>
    </row>
    <row r="141" spans="1:5" x14ac:dyDescent="0.25">
      <c r="A141" t="s">
        <v>513</v>
      </c>
      <c r="B141" s="97">
        <v>46255</v>
      </c>
      <c r="C141" t="s">
        <v>594</v>
      </c>
      <c r="D141" t="s">
        <v>592</v>
      </c>
      <c r="E141" t="s">
        <v>595</v>
      </c>
    </row>
    <row r="142" spans="1:5" x14ac:dyDescent="0.25">
      <c r="A142" t="s">
        <v>155</v>
      </c>
      <c r="B142" s="97">
        <v>46255</v>
      </c>
      <c r="C142" t="s">
        <v>596</v>
      </c>
      <c r="D142" t="s">
        <v>592</v>
      </c>
      <c r="E142" t="s">
        <v>597</v>
      </c>
    </row>
    <row r="143" spans="1:5" x14ac:dyDescent="0.25">
      <c r="A143" t="s">
        <v>375</v>
      </c>
      <c r="B143" s="97">
        <v>46255</v>
      </c>
      <c r="C143" t="s">
        <v>598</v>
      </c>
      <c r="D143" t="s">
        <v>592</v>
      </c>
      <c r="E143" t="s">
        <v>599</v>
      </c>
    </row>
    <row r="144" spans="1:5" x14ac:dyDescent="0.25">
      <c r="A144" t="s">
        <v>328</v>
      </c>
      <c r="B144" s="97">
        <v>46255</v>
      </c>
      <c r="C144" t="s">
        <v>574</v>
      </c>
      <c r="D144" t="s">
        <v>592</v>
      </c>
      <c r="E144" t="s">
        <v>600</v>
      </c>
    </row>
    <row r="145" spans="1:5" x14ac:dyDescent="0.25">
      <c r="A145" t="s">
        <v>440</v>
      </c>
      <c r="B145" s="97">
        <v>46255</v>
      </c>
      <c r="C145" t="s">
        <v>601</v>
      </c>
      <c r="D145" t="s">
        <v>592</v>
      </c>
      <c r="E145" t="s">
        <v>602</v>
      </c>
    </row>
    <row r="146" spans="1:5" x14ac:dyDescent="0.25">
      <c r="A146" t="s">
        <v>241</v>
      </c>
      <c r="B146" s="97">
        <v>46256</v>
      </c>
      <c r="C146" t="s">
        <v>603</v>
      </c>
      <c r="D146" t="s">
        <v>604</v>
      </c>
      <c r="E146" t="s">
        <v>605</v>
      </c>
    </row>
    <row r="147" spans="1:5" x14ac:dyDescent="0.25">
      <c r="A147" t="s">
        <v>238</v>
      </c>
      <c r="B147" s="97">
        <v>46256</v>
      </c>
      <c r="C147" t="s">
        <v>606</v>
      </c>
      <c r="D147" t="s">
        <v>607</v>
      </c>
      <c r="E147" t="s">
        <v>608</v>
      </c>
    </row>
    <row r="148" spans="1:5" x14ac:dyDescent="0.25">
      <c r="A148" t="s">
        <v>245</v>
      </c>
      <c r="B148" s="97">
        <v>46256</v>
      </c>
      <c r="C148" t="s">
        <v>609</v>
      </c>
      <c r="D148" t="s">
        <v>610</v>
      </c>
      <c r="E148" t="s">
        <v>611</v>
      </c>
    </row>
    <row r="149" spans="1:5" x14ac:dyDescent="0.25">
      <c r="A149" t="s">
        <v>253</v>
      </c>
      <c r="B149" s="97">
        <v>46256</v>
      </c>
      <c r="C149" t="s">
        <v>612</v>
      </c>
      <c r="D149" t="s">
        <v>613</v>
      </c>
      <c r="E149" t="s">
        <v>614</v>
      </c>
    </row>
    <row r="150" spans="1:5" x14ac:dyDescent="0.25">
      <c r="A150" t="s">
        <v>241</v>
      </c>
      <c r="B150" s="97">
        <v>46256</v>
      </c>
      <c r="C150" t="s">
        <v>615</v>
      </c>
      <c r="D150" t="s">
        <v>616</v>
      </c>
      <c r="E150" t="s">
        <v>617</v>
      </c>
    </row>
    <row r="151" spans="1:5" x14ac:dyDescent="0.25">
      <c r="A151" t="s">
        <v>238</v>
      </c>
      <c r="B151" s="97">
        <v>46256</v>
      </c>
      <c r="C151" t="s">
        <v>626</v>
      </c>
      <c r="D151" t="s">
        <v>627</v>
      </c>
      <c r="E151" t="s">
        <v>628</v>
      </c>
    </row>
    <row r="152" spans="1:5" x14ac:dyDescent="0.25">
      <c r="A152" t="s">
        <v>241</v>
      </c>
      <c r="B152" s="97">
        <v>46256</v>
      </c>
      <c r="C152" t="s">
        <v>626</v>
      </c>
      <c r="D152" t="s">
        <v>627</v>
      </c>
      <c r="E152" t="s">
        <v>629</v>
      </c>
    </row>
    <row r="153" spans="1:5" x14ac:dyDescent="0.25">
      <c r="A153" t="s">
        <v>155</v>
      </c>
      <c r="B153" s="97">
        <v>46256</v>
      </c>
      <c r="C153" t="s">
        <v>630</v>
      </c>
      <c r="D153" t="s">
        <v>627</v>
      </c>
      <c r="E153" t="s">
        <v>631</v>
      </c>
    </row>
    <row r="154" spans="1:5" x14ac:dyDescent="0.25">
      <c r="A154" t="s">
        <v>242</v>
      </c>
      <c r="B154" s="97">
        <v>46256</v>
      </c>
      <c r="C154" t="s">
        <v>632</v>
      </c>
      <c r="D154" t="s">
        <v>633</v>
      </c>
      <c r="E154" t="s">
        <v>634</v>
      </c>
    </row>
    <row r="155" spans="1:5" x14ac:dyDescent="0.25">
      <c r="A155" t="s">
        <v>248</v>
      </c>
      <c r="B155" s="97">
        <v>46256</v>
      </c>
      <c r="C155" t="s">
        <v>635</v>
      </c>
      <c r="D155" t="s">
        <v>633</v>
      </c>
      <c r="E155" t="s">
        <v>636</v>
      </c>
    </row>
    <row r="156" spans="1:5" x14ac:dyDescent="0.25">
      <c r="A156" t="s">
        <v>252</v>
      </c>
      <c r="B156" s="97">
        <v>46256</v>
      </c>
      <c r="C156" t="s">
        <v>609</v>
      </c>
      <c r="D156" t="s">
        <v>633</v>
      </c>
      <c r="E156" t="s">
        <v>637</v>
      </c>
    </row>
    <row r="157" spans="1:5" x14ac:dyDescent="0.25">
      <c r="A157" t="s">
        <v>256</v>
      </c>
      <c r="B157" s="97">
        <v>46256</v>
      </c>
      <c r="C157" t="s">
        <v>638</v>
      </c>
      <c r="D157" t="s">
        <v>633</v>
      </c>
      <c r="E157" t="s">
        <v>639</v>
      </c>
    </row>
    <row r="158" spans="1:5" x14ac:dyDescent="0.25">
      <c r="A158" t="s">
        <v>241</v>
      </c>
      <c r="B158" s="97">
        <v>46256</v>
      </c>
      <c r="C158" t="s">
        <v>650</v>
      </c>
      <c r="D158" t="s">
        <v>651</v>
      </c>
      <c r="E158" t="s">
        <v>652</v>
      </c>
    </row>
    <row r="159" spans="1:5" x14ac:dyDescent="0.25">
      <c r="A159" t="s">
        <v>245</v>
      </c>
      <c r="B159" s="97">
        <v>46256</v>
      </c>
      <c r="C159" t="s">
        <v>653</v>
      </c>
      <c r="D159" t="s">
        <v>651</v>
      </c>
      <c r="E159" t="s">
        <v>654</v>
      </c>
    </row>
    <row r="160" spans="1:5" x14ac:dyDescent="0.25">
      <c r="A160" t="s">
        <v>252</v>
      </c>
      <c r="B160" s="97">
        <v>46256</v>
      </c>
      <c r="C160" t="s">
        <v>655</v>
      </c>
      <c r="D160" t="s">
        <v>651</v>
      </c>
      <c r="E160" t="s">
        <v>656</v>
      </c>
    </row>
    <row r="161" spans="1:5" x14ac:dyDescent="0.25">
      <c r="A161" t="s">
        <v>155</v>
      </c>
      <c r="B161" s="97">
        <v>46256</v>
      </c>
      <c r="C161" t="s">
        <v>657</v>
      </c>
      <c r="D161" t="s">
        <v>651</v>
      </c>
      <c r="E161" t="s">
        <v>658</v>
      </c>
    </row>
    <row r="162" spans="1:5" x14ac:dyDescent="0.25">
      <c r="A162" t="s">
        <v>248</v>
      </c>
      <c r="B162" s="97">
        <v>46256</v>
      </c>
      <c r="C162" t="s">
        <v>657</v>
      </c>
      <c r="D162" t="s">
        <v>651</v>
      </c>
      <c r="E162" t="s">
        <v>659</v>
      </c>
    </row>
    <row r="163" spans="1:5" x14ac:dyDescent="0.25">
      <c r="A163" t="s">
        <v>238</v>
      </c>
      <c r="B163" s="97">
        <v>46256</v>
      </c>
      <c r="C163" t="s">
        <v>660</v>
      </c>
      <c r="D163" t="s">
        <v>651</v>
      </c>
      <c r="E163" t="s">
        <v>661</v>
      </c>
    </row>
    <row r="164" spans="1:5" x14ac:dyDescent="0.25">
      <c r="A164" t="s">
        <v>440</v>
      </c>
      <c r="B164" s="97">
        <v>46256</v>
      </c>
      <c r="C164" t="s">
        <v>662</v>
      </c>
      <c r="D164" t="s">
        <v>651</v>
      </c>
      <c r="E164" t="s">
        <v>663</v>
      </c>
    </row>
    <row r="165" spans="1:5" x14ac:dyDescent="0.25">
      <c r="A165" t="s">
        <v>440</v>
      </c>
      <c r="B165">
        <v>46259</v>
      </c>
      <c r="C165" t="s">
        <v>673</v>
      </c>
      <c r="D165" t="s">
        <v>674</v>
      </c>
      <c r="E165" t="s">
        <v>675</v>
      </c>
    </row>
    <row r="166" spans="1:5" x14ac:dyDescent="0.25">
      <c r="A166" t="s">
        <v>263</v>
      </c>
      <c r="B166">
        <v>46259</v>
      </c>
      <c r="C166" t="s">
        <v>676</v>
      </c>
      <c r="D166" t="s">
        <v>677</v>
      </c>
      <c r="E166" t="s">
        <v>678</v>
      </c>
    </row>
    <row r="167" spans="1:5" x14ac:dyDescent="0.25">
      <c r="A167" t="s">
        <v>247</v>
      </c>
      <c r="B167">
        <v>46259</v>
      </c>
      <c r="C167" t="s">
        <v>679</v>
      </c>
      <c r="D167" t="s">
        <v>680</v>
      </c>
      <c r="E167" t="s">
        <v>681</v>
      </c>
    </row>
    <row r="168" spans="1:5" x14ac:dyDescent="0.25">
      <c r="A168" t="s">
        <v>328</v>
      </c>
      <c r="B168">
        <v>46259</v>
      </c>
      <c r="C168" t="s">
        <v>679</v>
      </c>
      <c r="D168" t="s">
        <v>682</v>
      </c>
      <c r="E168" t="s">
        <v>683</v>
      </c>
    </row>
    <row r="169" spans="1:5" x14ac:dyDescent="0.25">
      <c r="A169" t="s">
        <v>357</v>
      </c>
      <c r="B169">
        <v>46259</v>
      </c>
      <c r="C169" t="s">
        <v>679</v>
      </c>
      <c r="D169" t="s">
        <v>684</v>
      </c>
      <c r="E169" t="s">
        <v>685</v>
      </c>
    </row>
    <row r="170" spans="1:5" x14ac:dyDescent="0.25">
      <c r="A170" t="s">
        <v>358</v>
      </c>
      <c r="B170">
        <v>46259</v>
      </c>
      <c r="C170" t="s">
        <v>679</v>
      </c>
      <c r="D170" t="s">
        <v>686</v>
      </c>
      <c r="E170" t="s">
        <v>687</v>
      </c>
    </row>
    <row r="171" spans="1:5" x14ac:dyDescent="0.25">
      <c r="A171" t="s">
        <v>360</v>
      </c>
      <c r="B171">
        <v>46259</v>
      </c>
      <c r="C171" t="s">
        <v>676</v>
      </c>
      <c r="D171" t="s">
        <v>688</v>
      </c>
      <c r="E171" t="s">
        <v>689</v>
      </c>
    </row>
    <row r="172" spans="1:5" x14ac:dyDescent="0.25">
      <c r="A172" t="s">
        <v>362</v>
      </c>
      <c r="B172">
        <v>46259</v>
      </c>
      <c r="C172" t="s">
        <v>679</v>
      </c>
      <c r="D172" t="s">
        <v>680</v>
      </c>
      <c r="E172" t="s">
        <v>690</v>
      </c>
    </row>
    <row r="173" spans="1:5" x14ac:dyDescent="0.25">
      <c r="A173" t="s">
        <v>691</v>
      </c>
      <c r="B173">
        <v>46259</v>
      </c>
      <c r="C173" t="s">
        <v>692</v>
      </c>
      <c r="D173" t="s">
        <v>693</v>
      </c>
      <c r="E173" t="s">
        <v>694</v>
      </c>
    </row>
    <row r="174" spans="1:5" x14ac:dyDescent="0.25">
      <c r="A174" t="s">
        <v>695</v>
      </c>
      <c r="B174">
        <v>46259</v>
      </c>
      <c r="C174" t="s">
        <v>696</v>
      </c>
      <c r="D174" t="s">
        <v>697</v>
      </c>
      <c r="E174" t="s">
        <v>698</v>
      </c>
    </row>
    <row r="175" spans="1:5" x14ac:dyDescent="0.25">
      <c r="A175" t="s">
        <v>367</v>
      </c>
      <c r="B175">
        <v>46259</v>
      </c>
      <c r="C175" t="s">
        <v>699</v>
      </c>
      <c r="D175" t="s">
        <v>700</v>
      </c>
      <c r="E175" t="s">
        <v>701</v>
      </c>
    </row>
    <row r="176" spans="1:5" x14ac:dyDescent="0.25">
      <c r="A176" t="s">
        <v>370</v>
      </c>
      <c r="B176">
        <v>46259</v>
      </c>
      <c r="C176" t="s">
        <v>679</v>
      </c>
      <c r="D176" t="s">
        <v>697</v>
      </c>
      <c r="E176" t="s">
        <v>702</v>
      </c>
    </row>
    <row r="177" spans="1:5" x14ac:dyDescent="0.25">
      <c r="A177" t="s">
        <v>372</v>
      </c>
      <c r="B177">
        <v>46259</v>
      </c>
      <c r="C177" t="s">
        <v>703</v>
      </c>
      <c r="D177" t="s">
        <v>704</v>
      </c>
      <c r="E177" t="s">
        <v>705</v>
      </c>
    </row>
    <row r="178" spans="1:5" x14ac:dyDescent="0.25">
      <c r="A178" t="s">
        <v>373</v>
      </c>
      <c r="B178">
        <v>46259</v>
      </c>
      <c r="C178" t="s">
        <v>706</v>
      </c>
      <c r="D178" t="s">
        <v>707</v>
      </c>
      <c r="E178" t="s">
        <v>708</v>
      </c>
    </row>
    <row r="179" spans="1:5" x14ac:dyDescent="0.25">
      <c r="A179" t="s">
        <v>374</v>
      </c>
      <c r="B179">
        <v>46259</v>
      </c>
      <c r="C179" t="s">
        <v>679</v>
      </c>
      <c r="D179" t="s">
        <v>709</v>
      </c>
      <c r="E179" t="s">
        <v>710</v>
      </c>
    </row>
    <row r="180" spans="1:5" x14ac:dyDescent="0.25">
      <c r="A180" t="s">
        <v>414</v>
      </c>
      <c r="B180">
        <v>46259</v>
      </c>
      <c r="C180" t="s">
        <v>679</v>
      </c>
      <c r="D180" t="s">
        <v>711</v>
      </c>
      <c r="E180" t="s">
        <v>712</v>
      </c>
    </row>
    <row r="181" spans="1:5" x14ac:dyDescent="0.25">
      <c r="A181" t="s">
        <v>375</v>
      </c>
      <c r="B181">
        <v>46259</v>
      </c>
      <c r="C181" t="s">
        <v>706</v>
      </c>
      <c r="D181" t="s">
        <v>709</v>
      </c>
      <c r="E181" t="s">
        <v>713</v>
      </c>
    </row>
    <row r="182" spans="1:5" x14ac:dyDescent="0.25">
      <c r="A182" t="s">
        <v>714</v>
      </c>
      <c r="B182">
        <v>46259</v>
      </c>
      <c r="C182" t="s">
        <v>715</v>
      </c>
      <c r="D182" t="s">
        <v>716</v>
      </c>
      <c r="E182" t="s">
        <v>717</v>
      </c>
    </row>
    <row r="183" spans="1:5" x14ac:dyDescent="0.25">
      <c r="A183" t="s">
        <v>157</v>
      </c>
      <c r="B183">
        <v>46259</v>
      </c>
      <c r="C183" t="s">
        <v>715</v>
      </c>
      <c r="D183" t="s">
        <v>718</v>
      </c>
      <c r="E183" t="s">
        <v>719</v>
      </c>
    </row>
    <row r="184" spans="1:5" x14ac:dyDescent="0.25">
      <c r="A184" t="s">
        <v>440</v>
      </c>
      <c r="B184">
        <v>46259</v>
      </c>
      <c r="C184" t="s">
        <v>720</v>
      </c>
      <c r="D184" t="s">
        <v>721</v>
      </c>
      <c r="E184" t="s">
        <v>722</v>
      </c>
    </row>
    <row r="185" spans="1:5" x14ac:dyDescent="0.25">
      <c r="A185" t="s">
        <v>440</v>
      </c>
      <c r="B185">
        <v>46259</v>
      </c>
      <c r="C185" t="s">
        <v>723</v>
      </c>
      <c r="D185" t="s">
        <v>724</v>
      </c>
      <c r="E185" t="s">
        <v>725</v>
      </c>
    </row>
    <row r="186" spans="1:5" x14ac:dyDescent="0.25">
      <c r="A186" t="s">
        <v>440</v>
      </c>
      <c r="B186">
        <v>46259</v>
      </c>
      <c r="C186" t="s">
        <v>726</v>
      </c>
      <c r="D186" t="s">
        <v>727</v>
      </c>
      <c r="E186" t="s">
        <v>728</v>
      </c>
    </row>
    <row r="187" spans="1:5" x14ac:dyDescent="0.25">
      <c r="A187" t="s">
        <v>248</v>
      </c>
      <c r="B187">
        <v>46259</v>
      </c>
      <c r="C187" t="s">
        <v>729</v>
      </c>
      <c r="D187" t="s">
        <v>730</v>
      </c>
      <c r="E187" t="s">
        <v>731</v>
      </c>
    </row>
    <row r="188" spans="1:5" x14ac:dyDescent="0.25">
      <c r="A188" t="s">
        <v>242</v>
      </c>
      <c r="B188">
        <v>46259</v>
      </c>
      <c r="C188" t="s">
        <v>732</v>
      </c>
      <c r="D188" t="s">
        <v>730</v>
      </c>
      <c r="E188" t="s">
        <v>733</v>
      </c>
    </row>
    <row r="189" spans="1:5" x14ac:dyDescent="0.25">
      <c r="A189" t="s">
        <v>253</v>
      </c>
      <c r="B189">
        <v>46259</v>
      </c>
      <c r="C189" t="s">
        <v>732</v>
      </c>
      <c r="D189" t="s">
        <v>730</v>
      </c>
      <c r="E189" t="s">
        <v>734</v>
      </c>
    </row>
    <row r="190" spans="1:5" x14ac:dyDescent="0.25">
      <c r="A190" t="s">
        <v>243</v>
      </c>
      <c r="B190">
        <v>46259</v>
      </c>
      <c r="C190" t="s">
        <v>732</v>
      </c>
      <c r="D190" t="s">
        <v>730</v>
      </c>
      <c r="E190" t="s">
        <v>735</v>
      </c>
    </row>
    <row r="191" spans="1:5" x14ac:dyDescent="0.25">
      <c r="A191" t="s">
        <v>262</v>
      </c>
      <c r="B191">
        <v>46259</v>
      </c>
      <c r="C191" t="s">
        <v>732</v>
      </c>
      <c r="D191" t="s">
        <v>730</v>
      </c>
      <c r="E191" t="s">
        <v>736</v>
      </c>
    </row>
    <row r="192" spans="1:5" x14ac:dyDescent="0.25">
      <c r="A192" t="s">
        <v>260</v>
      </c>
      <c r="B192">
        <v>46259</v>
      </c>
      <c r="C192" t="s">
        <v>732</v>
      </c>
      <c r="D192" t="s">
        <v>730</v>
      </c>
      <c r="E192" t="s">
        <v>737</v>
      </c>
    </row>
    <row r="193" spans="1:5" x14ac:dyDescent="0.25">
      <c r="A193" t="s">
        <v>257</v>
      </c>
      <c r="B193">
        <v>46259</v>
      </c>
      <c r="C193" t="s">
        <v>732</v>
      </c>
      <c r="D193" t="s">
        <v>730</v>
      </c>
      <c r="E193" t="s">
        <v>738</v>
      </c>
    </row>
    <row r="194" spans="1:5" x14ac:dyDescent="0.25">
      <c r="A194" t="s">
        <v>356</v>
      </c>
      <c r="B194">
        <v>46259</v>
      </c>
      <c r="C194" t="s">
        <v>732</v>
      </c>
      <c r="D194" t="s">
        <v>730</v>
      </c>
      <c r="E194" t="s">
        <v>739</v>
      </c>
    </row>
    <row r="195" spans="1:5" x14ac:dyDescent="0.25">
      <c r="A195" t="s">
        <v>714</v>
      </c>
      <c r="B195">
        <v>46259</v>
      </c>
      <c r="C195" t="s">
        <v>732</v>
      </c>
      <c r="D195" t="s">
        <v>730</v>
      </c>
      <c r="E195" t="s">
        <v>740</v>
      </c>
    </row>
    <row r="196" spans="1:5" x14ac:dyDescent="0.25">
      <c r="A196" t="s">
        <v>359</v>
      </c>
      <c r="B196">
        <v>46259</v>
      </c>
      <c r="C196" t="s">
        <v>732</v>
      </c>
      <c r="D196" t="s">
        <v>730</v>
      </c>
      <c r="E196" t="s">
        <v>741</v>
      </c>
    </row>
    <row r="197" spans="1:5" x14ac:dyDescent="0.25">
      <c r="A197" t="s">
        <v>315</v>
      </c>
      <c r="B197">
        <v>46259</v>
      </c>
      <c r="C197" t="s">
        <v>732</v>
      </c>
      <c r="D197" t="s">
        <v>730</v>
      </c>
      <c r="E197" t="s">
        <v>742</v>
      </c>
    </row>
    <row r="198" spans="1:5" x14ac:dyDescent="0.25">
      <c r="A198" t="s">
        <v>363</v>
      </c>
      <c r="B198">
        <v>46259</v>
      </c>
      <c r="C198" t="s">
        <v>732</v>
      </c>
      <c r="D198" t="s">
        <v>730</v>
      </c>
      <c r="E198" t="s">
        <v>743</v>
      </c>
    </row>
    <row r="199" spans="1:5" x14ac:dyDescent="0.25">
      <c r="A199" t="s">
        <v>381</v>
      </c>
      <c r="B199">
        <v>46259</v>
      </c>
      <c r="C199" t="s">
        <v>732</v>
      </c>
      <c r="D199" t="s">
        <v>730</v>
      </c>
      <c r="E199" t="s">
        <v>744</v>
      </c>
    </row>
    <row r="200" spans="1:5" x14ac:dyDescent="0.25">
      <c r="A200" t="s">
        <v>365</v>
      </c>
      <c r="B200">
        <v>46259</v>
      </c>
      <c r="C200" t="s">
        <v>732</v>
      </c>
      <c r="D200" t="s">
        <v>730</v>
      </c>
      <c r="E200" t="s">
        <v>745</v>
      </c>
    </row>
    <row r="201" spans="1:5" x14ac:dyDescent="0.25">
      <c r="A201" t="s">
        <v>236</v>
      </c>
      <c r="B201">
        <v>46259</v>
      </c>
      <c r="C201" t="s">
        <v>732</v>
      </c>
      <c r="D201" t="s">
        <v>730</v>
      </c>
      <c r="E201" t="s">
        <v>746</v>
      </c>
    </row>
    <row r="202" spans="1:5" x14ac:dyDescent="0.25">
      <c r="A202" t="s">
        <v>249</v>
      </c>
      <c r="B202">
        <v>46259</v>
      </c>
      <c r="C202" t="s">
        <v>732</v>
      </c>
      <c r="D202" t="s">
        <v>730</v>
      </c>
      <c r="E202" t="s">
        <v>747</v>
      </c>
    </row>
    <row r="203" spans="1:5" x14ac:dyDescent="0.25">
      <c r="A203" t="s">
        <v>456</v>
      </c>
      <c r="B203">
        <v>46259</v>
      </c>
      <c r="C203" t="s">
        <v>732</v>
      </c>
      <c r="D203" t="s">
        <v>730</v>
      </c>
      <c r="E203" t="s">
        <v>748</v>
      </c>
    </row>
    <row r="204" spans="1:5" x14ac:dyDescent="0.25">
      <c r="A204" t="s">
        <v>240</v>
      </c>
      <c r="B204">
        <v>46259</v>
      </c>
      <c r="C204" t="s">
        <v>732</v>
      </c>
      <c r="D204" t="s">
        <v>730</v>
      </c>
      <c r="E204" t="s">
        <v>749</v>
      </c>
    </row>
    <row r="205" spans="1:5" x14ac:dyDescent="0.25">
      <c r="A205" t="s">
        <v>294</v>
      </c>
      <c r="B205">
        <v>46259</v>
      </c>
      <c r="C205" t="s">
        <v>732</v>
      </c>
      <c r="D205" t="s">
        <v>730</v>
      </c>
      <c r="E205" t="s">
        <v>750</v>
      </c>
    </row>
    <row r="206" spans="1:5" x14ac:dyDescent="0.25">
      <c r="A206" t="s">
        <v>385</v>
      </c>
      <c r="B206">
        <v>46259</v>
      </c>
      <c r="C206" t="s">
        <v>732</v>
      </c>
      <c r="D206" t="s">
        <v>730</v>
      </c>
      <c r="E206" t="s">
        <v>751</v>
      </c>
    </row>
    <row r="207" spans="1:5" x14ac:dyDescent="0.25">
      <c r="A207" t="s">
        <v>528</v>
      </c>
      <c r="B207">
        <v>46259</v>
      </c>
      <c r="C207" t="s">
        <v>752</v>
      </c>
      <c r="D207" t="s">
        <v>730</v>
      </c>
      <c r="E207" t="s">
        <v>753</v>
      </c>
    </row>
    <row r="208" spans="1:5" x14ac:dyDescent="0.25">
      <c r="A208" t="s">
        <v>531</v>
      </c>
      <c r="B208">
        <v>46259</v>
      </c>
      <c r="C208" t="s">
        <v>752</v>
      </c>
      <c r="D208" t="s">
        <v>730</v>
      </c>
      <c r="E208" t="s">
        <v>754</v>
      </c>
    </row>
    <row r="209" spans="1:5" x14ac:dyDescent="0.25">
      <c r="A209" t="s">
        <v>533</v>
      </c>
      <c r="B209">
        <v>46259</v>
      </c>
      <c r="C209" t="s">
        <v>732</v>
      </c>
      <c r="D209" t="s">
        <v>730</v>
      </c>
      <c r="E209" t="s">
        <v>755</v>
      </c>
    </row>
    <row r="210" spans="1:5" x14ac:dyDescent="0.25">
      <c r="A210" t="s">
        <v>440</v>
      </c>
      <c r="B210">
        <v>46259</v>
      </c>
      <c r="C210" t="s">
        <v>756</v>
      </c>
      <c r="D210" t="s">
        <v>757</v>
      </c>
      <c r="E210" t="s">
        <v>758</v>
      </c>
    </row>
    <row r="211" spans="1:5" x14ac:dyDescent="0.25">
      <c r="A211" t="s">
        <v>440</v>
      </c>
      <c r="B211">
        <v>46259</v>
      </c>
      <c r="C211" t="s">
        <v>759</v>
      </c>
      <c r="D211" t="s">
        <v>760</v>
      </c>
      <c r="E211" t="s">
        <v>761</v>
      </c>
    </row>
    <row r="212" spans="1:5" x14ac:dyDescent="0.25">
      <c r="A212" t="s">
        <v>513</v>
      </c>
      <c r="B212">
        <v>46259</v>
      </c>
      <c r="C212" t="s">
        <v>762</v>
      </c>
      <c r="D212" t="s">
        <v>760</v>
      </c>
      <c r="E212" t="s">
        <v>763</v>
      </c>
    </row>
    <row r="213" spans="1:5" x14ac:dyDescent="0.25">
      <c r="A213" t="s">
        <v>362</v>
      </c>
      <c r="B213">
        <v>46259</v>
      </c>
      <c r="C213" t="s">
        <v>765</v>
      </c>
      <c r="D213" t="s">
        <v>766</v>
      </c>
      <c r="E213" t="s">
        <v>767</v>
      </c>
    </row>
    <row r="214" spans="1:5" x14ac:dyDescent="0.25">
      <c r="A214" t="s">
        <v>315</v>
      </c>
      <c r="B214">
        <v>46259</v>
      </c>
      <c r="C214" t="s">
        <v>653</v>
      </c>
      <c r="D214" t="s">
        <v>766</v>
      </c>
      <c r="E214" t="s">
        <v>768</v>
      </c>
    </row>
    <row r="215" spans="1:5" x14ac:dyDescent="0.25">
      <c r="A215" t="s">
        <v>323</v>
      </c>
      <c r="B215">
        <v>46259</v>
      </c>
      <c r="C215" t="s">
        <v>769</v>
      </c>
      <c r="D215" t="s">
        <v>766</v>
      </c>
      <c r="E215" t="s">
        <v>770</v>
      </c>
    </row>
    <row r="216" spans="1:5" x14ac:dyDescent="0.25">
      <c r="A216" t="s">
        <v>259</v>
      </c>
      <c r="B216">
        <v>46259</v>
      </c>
      <c r="C216" t="s">
        <v>771</v>
      </c>
      <c r="D216" t="s">
        <v>766</v>
      </c>
      <c r="E216" t="s">
        <v>772</v>
      </c>
    </row>
    <row r="217" spans="1:5" x14ac:dyDescent="0.25">
      <c r="A217" t="s">
        <v>245</v>
      </c>
      <c r="B217">
        <v>46259</v>
      </c>
      <c r="C217" t="s">
        <v>773</v>
      </c>
      <c r="D217" t="s">
        <v>766</v>
      </c>
      <c r="E217" t="s">
        <v>774</v>
      </c>
    </row>
    <row r="218" spans="1:5" x14ac:dyDescent="0.25">
      <c r="A218" t="s">
        <v>244</v>
      </c>
      <c r="B218">
        <v>46259</v>
      </c>
      <c r="C218" t="s">
        <v>775</v>
      </c>
      <c r="D218" t="s">
        <v>766</v>
      </c>
      <c r="E218" t="s">
        <v>776</v>
      </c>
    </row>
    <row r="219" spans="1:5" x14ac:dyDescent="0.25">
      <c r="A219" t="s">
        <v>392</v>
      </c>
      <c r="B219">
        <v>46259</v>
      </c>
      <c r="C219" t="s">
        <v>777</v>
      </c>
      <c r="D219" t="s">
        <v>766</v>
      </c>
      <c r="E219" t="s">
        <v>778</v>
      </c>
    </row>
    <row r="220" spans="1:5" x14ac:dyDescent="0.25">
      <c r="A220" t="s">
        <v>376</v>
      </c>
      <c r="B220">
        <v>46259</v>
      </c>
      <c r="C220" t="s">
        <v>779</v>
      </c>
      <c r="D220" t="s">
        <v>766</v>
      </c>
      <c r="E220" t="s">
        <v>780</v>
      </c>
    </row>
    <row r="221" spans="1:5" x14ac:dyDescent="0.25">
      <c r="A221" t="s">
        <v>248</v>
      </c>
      <c r="B221">
        <v>46259</v>
      </c>
      <c r="C221" t="s">
        <v>781</v>
      </c>
      <c r="D221" t="s">
        <v>782</v>
      </c>
      <c r="E221" t="s">
        <v>783</v>
      </c>
    </row>
    <row r="222" spans="1:5" x14ac:dyDescent="0.25">
      <c r="A222" t="s">
        <v>440</v>
      </c>
      <c r="B222">
        <v>46259</v>
      </c>
      <c r="C222" t="s">
        <v>756</v>
      </c>
      <c r="D222" t="s">
        <v>766</v>
      </c>
      <c r="E222" t="s">
        <v>784</v>
      </c>
    </row>
    <row r="223" spans="1:5" x14ac:dyDescent="0.25">
      <c r="A223" t="s">
        <v>245</v>
      </c>
      <c r="B223">
        <v>46259</v>
      </c>
      <c r="C223" t="s">
        <v>787</v>
      </c>
      <c r="D223" t="s">
        <v>788</v>
      </c>
      <c r="E223" t="s">
        <v>789</v>
      </c>
    </row>
    <row r="224" spans="1:5" x14ac:dyDescent="0.25">
      <c r="A224" t="s">
        <v>392</v>
      </c>
      <c r="B224">
        <v>46259</v>
      </c>
      <c r="C224" t="s">
        <v>660</v>
      </c>
      <c r="D224" t="s">
        <v>790</v>
      </c>
      <c r="E224" t="s">
        <v>791</v>
      </c>
    </row>
    <row r="225" spans="1:5" x14ac:dyDescent="0.25">
      <c r="A225" t="s">
        <v>259</v>
      </c>
      <c r="B225">
        <v>46259</v>
      </c>
      <c r="C225" t="s">
        <v>660</v>
      </c>
      <c r="D225" t="s">
        <v>792</v>
      </c>
      <c r="E225" t="s">
        <v>793</v>
      </c>
    </row>
    <row r="226" spans="1:5" x14ac:dyDescent="0.25">
      <c r="A226" t="s">
        <v>376</v>
      </c>
      <c r="B226">
        <v>46259</v>
      </c>
      <c r="C226" t="s">
        <v>794</v>
      </c>
      <c r="D226" t="s">
        <v>795</v>
      </c>
      <c r="E226" t="s">
        <v>796</v>
      </c>
    </row>
    <row r="227" spans="1:5" x14ac:dyDescent="0.25">
      <c r="A227" t="s">
        <v>440</v>
      </c>
      <c r="B227">
        <v>46259</v>
      </c>
      <c r="C227" t="s">
        <v>797</v>
      </c>
      <c r="D227" t="s">
        <v>798</v>
      </c>
      <c r="E227" t="s">
        <v>799</v>
      </c>
    </row>
    <row r="228" spans="1:5" x14ac:dyDescent="0.25">
      <c r="A228" t="s">
        <v>440</v>
      </c>
      <c r="B228">
        <v>46259</v>
      </c>
      <c r="C228" t="s">
        <v>800</v>
      </c>
      <c r="D228" t="s">
        <v>801</v>
      </c>
      <c r="E228" t="s">
        <v>802</v>
      </c>
    </row>
    <row r="229" spans="1:5" x14ac:dyDescent="0.25">
      <c r="A229" t="s">
        <v>323</v>
      </c>
      <c r="B229">
        <v>46259</v>
      </c>
      <c r="C229" t="s">
        <v>803</v>
      </c>
      <c r="D229" t="s">
        <v>804</v>
      </c>
      <c r="E229" t="s">
        <v>805</v>
      </c>
    </row>
    <row r="230" spans="1:5" x14ac:dyDescent="0.25">
      <c r="A230" t="s">
        <v>242</v>
      </c>
      <c r="B230">
        <v>46259</v>
      </c>
      <c r="C230" t="s">
        <v>653</v>
      </c>
      <c r="D230" t="s">
        <v>806</v>
      </c>
      <c r="E230" t="s">
        <v>807</v>
      </c>
    </row>
    <row r="231" spans="1:5" x14ac:dyDescent="0.25">
      <c r="A231" t="s">
        <v>260</v>
      </c>
      <c r="B231">
        <v>46259</v>
      </c>
      <c r="C231" t="s">
        <v>808</v>
      </c>
      <c r="D231" t="s">
        <v>806</v>
      </c>
      <c r="E231" t="s">
        <v>809</v>
      </c>
    </row>
    <row r="232" spans="1:5" x14ac:dyDescent="0.25">
      <c r="A232" t="s">
        <v>440</v>
      </c>
      <c r="B232">
        <v>46259</v>
      </c>
      <c r="C232" t="s">
        <v>810</v>
      </c>
      <c r="D232" t="s">
        <v>811</v>
      </c>
      <c r="E232" t="s">
        <v>812</v>
      </c>
    </row>
    <row r="233" spans="1:5" x14ac:dyDescent="0.25">
      <c r="A233" t="s">
        <v>263</v>
      </c>
      <c r="B233">
        <v>46259</v>
      </c>
      <c r="C233" t="s">
        <v>813</v>
      </c>
      <c r="D233" t="s">
        <v>806</v>
      </c>
      <c r="E233" t="s">
        <v>814</v>
      </c>
    </row>
    <row r="234" spans="1:5" x14ac:dyDescent="0.25">
      <c r="A234" t="s">
        <v>247</v>
      </c>
      <c r="B234">
        <v>46259</v>
      </c>
      <c r="C234" t="s">
        <v>815</v>
      </c>
      <c r="D234" t="s">
        <v>806</v>
      </c>
      <c r="E234" t="s">
        <v>816</v>
      </c>
    </row>
    <row r="235" spans="1:5" x14ac:dyDescent="0.25">
      <c r="A235" t="s">
        <v>363</v>
      </c>
      <c r="B235">
        <v>46259</v>
      </c>
      <c r="C235" t="s">
        <v>817</v>
      </c>
      <c r="D235" t="s">
        <v>806</v>
      </c>
      <c r="E235" t="s">
        <v>818</v>
      </c>
    </row>
    <row r="236" spans="1:5" x14ac:dyDescent="0.25">
      <c r="A236" t="s">
        <v>359</v>
      </c>
      <c r="B236">
        <v>46259</v>
      </c>
      <c r="C236" t="s">
        <v>819</v>
      </c>
      <c r="D236" t="s">
        <v>806</v>
      </c>
      <c r="E236" t="s">
        <v>820</v>
      </c>
    </row>
    <row r="237" spans="1:5" x14ac:dyDescent="0.25">
      <c r="A237" t="s">
        <v>456</v>
      </c>
      <c r="B237">
        <v>46259</v>
      </c>
      <c r="C237" t="s">
        <v>653</v>
      </c>
      <c r="D237" t="s">
        <v>806</v>
      </c>
      <c r="E237" t="s">
        <v>821</v>
      </c>
    </row>
    <row r="238" spans="1:5" x14ac:dyDescent="0.25">
      <c r="A238" t="s">
        <v>367</v>
      </c>
      <c r="B238">
        <v>46259</v>
      </c>
      <c r="C238" t="s">
        <v>822</v>
      </c>
      <c r="D238" t="s">
        <v>806</v>
      </c>
      <c r="E238" t="s">
        <v>823</v>
      </c>
    </row>
    <row r="239" spans="1:5" x14ac:dyDescent="0.25">
      <c r="A239" t="s">
        <v>825</v>
      </c>
      <c r="B239">
        <v>46260</v>
      </c>
      <c r="C239" t="s">
        <v>828</v>
      </c>
      <c r="D239" t="s">
        <v>829</v>
      </c>
      <c r="E239" t="s">
        <v>830</v>
      </c>
    </row>
    <row r="240" spans="1:5" x14ac:dyDescent="0.25">
      <c r="A240" t="s">
        <v>826</v>
      </c>
      <c r="B240">
        <v>46260</v>
      </c>
      <c r="C240" t="s">
        <v>831</v>
      </c>
      <c r="D240" t="s">
        <v>829</v>
      </c>
      <c r="E240" t="s">
        <v>832</v>
      </c>
    </row>
    <row r="241" spans="1:5" x14ac:dyDescent="0.25">
      <c r="A241" t="s">
        <v>251</v>
      </c>
      <c r="B241">
        <v>46260</v>
      </c>
      <c r="C241" t="s">
        <v>732</v>
      </c>
      <c r="D241" t="s">
        <v>833</v>
      </c>
      <c r="E241" t="s">
        <v>834</v>
      </c>
    </row>
    <row r="242" spans="1:5" x14ac:dyDescent="0.25">
      <c r="A242" t="s">
        <v>440</v>
      </c>
      <c r="B242">
        <v>46260</v>
      </c>
      <c r="C242" t="s">
        <v>810</v>
      </c>
      <c r="D242" t="s">
        <v>835</v>
      </c>
      <c r="E242" t="s">
        <v>836</v>
      </c>
    </row>
    <row r="243" spans="1:5" x14ac:dyDescent="0.25">
      <c r="A243" t="s">
        <v>251</v>
      </c>
      <c r="B243">
        <v>46260</v>
      </c>
      <c r="C243" t="s">
        <v>765</v>
      </c>
      <c r="D243" t="s">
        <v>833</v>
      </c>
      <c r="E243" t="s">
        <v>837</v>
      </c>
    </row>
    <row r="244" spans="1:5" x14ac:dyDescent="0.25">
      <c r="A244" t="s">
        <v>256</v>
      </c>
      <c r="B244">
        <v>46260</v>
      </c>
      <c r="C244" t="s">
        <v>653</v>
      </c>
      <c r="D244" t="s">
        <v>833</v>
      </c>
      <c r="E244" t="s">
        <v>838</v>
      </c>
    </row>
    <row r="245" spans="1:5" x14ac:dyDescent="0.25">
      <c r="A245" t="s">
        <v>262</v>
      </c>
      <c r="B245">
        <v>46260</v>
      </c>
      <c r="C245" t="s">
        <v>839</v>
      </c>
      <c r="D245" t="s">
        <v>833</v>
      </c>
      <c r="E245" t="s">
        <v>840</v>
      </c>
    </row>
    <row r="246" spans="1:5" x14ac:dyDescent="0.25">
      <c r="A246" t="s">
        <v>250</v>
      </c>
      <c r="B246">
        <v>46260</v>
      </c>
      <c r="C246" t="s">
        <v>841</v>
      </c>
      <c r="D246" t="s">
        <v>833</v>
      </c>
      <c r="E246" t="s">
        <v>842</v>
      </c>
    </row>
    <row r="247" spans="1:5" x14ac:dyDescent="0.25">
      <c r="A247" t="s">
        <v>356</v>
      </c>
      <c r="B247">
        <v>46260</v>
      </c>
      <c r="C247" t="s">
        <v>815</v>
      </c>
      <c r="D247" t="s">
        <v>833</v>
      </c>
      <c r="E247" t="s">
        <v>843</v>
      </c>
    </row>
    <row r="248" spans="1:5" x14ac:dyDescent="0.25">
      <c r="A248" t="s">
        <v>357</v>
      </c>
      <c r="B248">
        <v>46260</v>
      </c>
      <c r="C248" t="s">
        <v>844</v>
      </c>
      <c r="D248" t="s">
        <v>833</v>
      </c>
      <c r="E248" t="s">
        <v>845</v>
      </c>
    </row>
    <row r="249" spans="1:5" x14ac:dyDescent="0.25">
      <c r="A249" t="s">
        <v>360</v>
      </c>
      <c r="B249">
        <v>46260</v>
      </c>
      <c r="C249" t="s">
        <v>846</v>
      </c>
      <c r="D249" t="s">
        <v>833</v>
      </c>
      <c r="E249" t="s">
        <v>847</v>
      </c>
    </row>
    <row r="250" spans="1:5" x14ac:dyDescent="0.25">
      <c r="A250" t="s">
        <v>691</v>
      </c>
      <c r="B250">
        <v>46260</v>
      </c>
      <c r="C250" t="s">
        <v>848</v>
      </c>
      <c r="D250" t="s">
        <v>833</v>
      </c>
      <c r="E250" t="s">
        <v>849</v>
      </c>
    </row>
    <row r="251" spans="1:5" x14ac:dyDescent="0.25">
      <c r="A251" t="s">
        <v>256</v>
      </c>
      <c r="B251">
        <v>46260</v>
      </c>
      <c r="C251" t="s">
        <v>850</v>
      </c>
      <c r="D251" t="s">
        <v>851</v>
      </c>
      <c r="E251" t="s">
        <v>852</v>
      </c>
    </row>
    <row r="252" spans="1:5" x14ac:dyDescent="0.25">
      <c r="A252" t="s">
        <v>250</v>
      </c>
      <c r="B252">
        <v>46260</v>
      </c>
      <c r="C252" t="s">
        <v>850</v>
      </c>
      <c r="D252" t="s">
        <v>851</v>
      </c>
      <c r="E252" t="s">
        <v>853</v>
      </c>
    </row>
    <row r="253" spans="1:5" x14ac:dyDescent="0.25">
      <c r="A253" t="s">
        <v>359</v>
      </c>
      <c r="B253">
        <v>46260</v>
      </c>
      <c r="C253" t="s">
        <v>841</v>
      </c>
      <c r="D253" t="s">
        <v>854</v>
      </c>
      <c r="E253" t="s">
        <v>855</v>
      </c>
    </row>
    <row r="254" spans="1:5" x14ac:dyDescent="0.25">
      <c r="A254" t="s">
        <v>360</v>
      </c>
      <c r="B254">
        <v>46260</v>
      </c>
      <c r="C254" t="s">
        <v>615</v>
      </c>
      <c r="D254" t="s">
        <v>856</v>
      </c>
      <c r="E254" t="s">
        <v>857</v>
      </c>
    </row>
    <row r="255" spans="1:5" x14ac:dyDescent="0.25">
      <c r="A255" t="s">
        <v>248</v>
      </c>
      <c r="B255">
        <v>46260</v>
      </c>
      <c r="C255" t="s">
        <v>615</v>
      </c>
      <c r="D255" t="s">
        <v>856</v>
      </c>
      <c r="E255" t="s">
        <v>858</v>
      </c>
    </row>
    <row r="256" spans="1:5" x14ac:dyDescent="0.25">
      <c r="A256" t="s">
        <v>247</v>
      </c>
      <c r="B256">
        <v>46260</v>
      </c>
      <c r="C256" t="s">
        <v>859</v>
      </c>
      <c r="D256" t="s">
        <v>860</v>
      </c>
      <c r="E256" t="s">
        <v>861</v>
      </c>
    </row>
    <row r="257" spans="1:5" x14ac:dyDescent="0.25">
      <c r="A257" t="s">
        <v>372</v>
      </c>
      <c r="B257">
        <v>46260</v>
      </c>
      <c r="C257" t="s">
        <v>655</v>
      </c>
      <c r="D257" t="s">
        <v>833</v>
      </c>
      <c r="E257" t="s">
        <v>862</v>
      </c>
    </row>
    <row r="258" spans="1:5" x14ac:dyDescent="0.25">
      <c r="A258" t="s">
        <v>370</v>
      </c>
      <c r="B258">
        <v>46260</v>
      </c>
      <c r="C258" t="s">
        <v>863</v>
      </c>
      <c r="D258" t="s">
        <v>833</v>
      </c>
      <c r="E258" t="s">
        <v>864</v>
      </c>
    </row>
    <row r="259" spans="1:5" x14ac:dyDescent="0.25">
      <c r="A259" t="s">
        <v>240</v>
      </c>
      <c r="B259">
        <v>46260</v>
      </c>
      <c r="C259" t="s">
        <v>653</v>
      </c>
      <c r="D259" t="s">
        <v>833</v>
      </c>
      <c r="E259" t="s">
        <v>865</v>
      </c>
    </row>
    <row r="260" spans="1:5" ht="105" x14ac:dyDescent="0.25">
      <c r="A260" s="102" t="s">
        <v>866</v>
      </c>
      <c r="B260" s="102">
        <v>46272</v>
      </c>
      <c r="C260" s="102" t="s">
        <v>868</v>
      </c>
      <c r="D260" s="102" t="s">
        <v>869</v>
      </c>
      <c r="E260" s="102" t="s">
        <v>870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2026-09-11T07:07:14Z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