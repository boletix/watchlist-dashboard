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roger\Downloads\watchlist-dashboard\watchlist-dashboard\data\raw\"/>
    </mc:Choice>
  </mc:AlternateContent>
  <xr:revisionPtr revIDLastSave="0" documentId="13_ncr:1_{530A618C-ED5B-4B10-BE35-B307BEF7EAA2}" xr6:coauthVersionLast="47" xr6:coauthVersionMax="47" xr10:uidLastSave="{00000000-0000-0000-0000-000000000000}"/>
  <bookViews>
    <workbookView xWindow="-120" yWindow="-120" windowWidth="29040" windowHeight="15720" tabRatio="500" xr2:uid="{00000000-000D-0000-FFFF-FFFF00000000}"/>
  </bookViews>
  <sheets>
    <sheet name="Watchlist Ratings" sheetId="1" r:id="rId1"/>
    <sheet name="Framework Notes" sheetId="2" r:id="rId2"/>
    <sheet name="Dashboard" sheetId="3" r:id="rId3"/>
    <sheet name="Updates 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8" i="1" l="1" a="1"/>
  <c r="B58" i="1" s="1"/>
  <c r="I89" i="3"/>
  <c r="G89" i="3"/>
  <c r="I80" i="3"/>
  <c r="G80" i="3"/>
  <c r="Q78" i="3"/>
  <c r="P73" i="3"/>
  <c r="O73" i="3"/>
  <c r="N73" i="3"/>
  <c r="M73" i="3"/>
  <c r="L73" i="3"/>
  <c r="P71" i="3"/>
  <c r="O71" i="3"/>
  <c r="N71" i="3"/>
  <c r="M71" i="3"/>
  <c r="L71" i="3"/>
  <c r="P70" i="3"/>
  <c r="O70" i="3"/>
  <c r="N70" i="3"/>
  <c r="M70" i="3"/>
  <c r="L70" i="3"/>
  <c r="P69" i="3"/>
  <c r="O69" i="3"/>
  <c r="N69" i="3"/>
  <c r="M69" i="3"/>
  <c r="L69" i="3"/>
  <c r="P68" i="3"/>
  <c r="O68" i="3"/>
  <c r="N68" i="3"/>
  <c r="M68" i="3"/>
  <c r="L68" i="3"/>
  <c r="P67" i="3"/>
  <c r="O67" i="3"/>
  <c r="N67" i="3"/>
  <c r="M67" i="3"/>
  <c r="L67" i="3"/>
  <c r="P66" i="3"/>
  <c r="O66" i="3"/>
  <c r="N66" i="3"/>
  <c r="M66" i="3"/>
  <c r="L66" i="3"/>
  <c r="P65" i="3"/>
  <c r="O65" i="3"/>
  <c r="N65" i="3"/>
  <c r="M65" i="3"/>
  <c r="L65" i="3"/>
  <c r="P64" i="3"/>
  <c r="O64" i="3"/>
  <c r="N64" i="3"/>
  <c r="M64" i="3"/>
  <c r="L64" i="3"/>
  <c r="X22" i="3"/>
  <c r="W22" i="3"/>
  <c r="H22" i="3"/>
  <c r="G22" i="3"/>
  <c r="X21" i="3"/>
  <c r="W21" i="3"/>
  <c r="H21" i="3"/>
  <c r="G21" i="3"/>
  <c r="X20" i="3"/>
  <c r="W20" i="3"/>
  <c r="H20" i="3"/>
  <c r="G20" i="3"/>
  <c r="X19" i="3"/>
  <c r="W19" i="3"/>
  <c r="H19" i="3"/>
  <c r="G19" i="3"/>
  <c r="X18" i="3"/>
  <c r="W18" i="3"/>
  <c r="H18" i="3"/>
  <c r="G18" i="3"/>
  <c r="X17" i="3"/>
  <c r="W17" i="3"/>
  <c r="H17" i="3"/>
  <c r="G17" i="3"/>
  <c r="X16" i="3"/>
  <c r="W16" i="3"/>
  <c r="H16" i="3"/>
  <c r="G16" i="3"/>
  <c r="X15" i="3"/>
  <c r="W15" i="3"/>
  <c r="H15" i="3"/>
  <c r="G15" i="3"/>
  <c r="X14" i="3"/>
  <c r="W14" i="3"/>
  <c r="H14" i="3"/>
  <c r="G14" i="3"/>
  <c r="X13" i="3"/>
  <c r="W13" i="3"/>
  <c r="H13" i="3"/>
  <c r="G13" i="3"/>
  <c r="X12" i="3"/>
  <c r="W12" i="3"/>
  <c r="H12" i="3"/>
  <c r="G12" i="3"/>
  <c r="X11" i="3"/>
  <c r="W11" i="3"/>
  <c r="H11" i="3"/>
  <c r="G11" i="3"/>
  <c r="X10" i="3"/>
  <c r="W10" i="3"/>
  <c r="H10" i="3"/>
  <c r="G10" i="3"/>
  <c r="X9" i="3"/>
  <c r="W9" i="3"/>
  <c r="H9" i="3"/>
  <c r="G9" i="3"/>
  <c r="X8" i="3"/>
  <c r="W8" i="3"/>
  <c r="E8" i="2" a="1"/>
  <c r="E8" i="2" s="1"/>
  <c r="E7" i="2" a="1"/>
  <c r="E7" i="2" s="1"/>
  <c r="E6" i="2" a="1"/>
  <c r="E6" i="2" s="1"/>
  <c r="E5" i="2" a="1"/>
  <c r="E5" i="2" s="1"/>
  <c r="E4" i="2" a="1"/>
  <c r="E4" i="2" s="1"/>
  <c r="BK65" i="1"/>
  <c r="BM65" i="1" s="1"/>
  <c r="BJ65" i="1"/>
  <c r="BL65" i="1" s="1"/>
  <c r="BG65" i="1"/>
  <c r="BE65" i="1"/>
  <c r="BB65" i="1"/>
  <c r="BA65" i="1"/>
  <c r="BC65" i="1" s="1"/>
  <c r="AL65" i="1"/>
  <c r="AM65" i="1" s="1"/>
  <c r="AB65" i="1"/>
  <c r="AC65" i="1" s="1"/>
  <c r="R65" i="1"/>
  <c r="S65" i="1" s="1"/>
  <c r="I65" i="1"/>
  <c r="AR65" i="1" s="1"/>
  <c r="BG64" i="1"/>
  <c r="BE64" i="1"/>
  <c r="BC64" i="1"/>
  <c r="BB64" i="1"/>
  <c r="BA64" i="1"/>
  <c r="AL64" i="1"/>
  <c r="AM64" i="1" s="1"/>
  <c r="AB64" i="1"/>
  <c r="AC64" i="1" s="1"/>
  <c r="R64" i="1"/>
  <c r="S64" i="1" s="1"/>
  <c r="AN64" i="1" s="1"/>
  <c r="H64" i="1" a="1"/>
  <c r="H64" i="1" s="1"/>
  <c r="G64" i="1" a="1"/>
  <c r="G64" i="1" s="1"/>
  <c r="I64" i="1" s="1"/>
  <c r="AR64" i="1" s="1"/>
  <c r="F64" i="1" a="1"/>
  <c r="F64" i="1" s="1"/>
  <c r="E64" i="1" a="1"/>
  <c r="E64" i="1" s="1"/>
  <c r="B64" i="1" a="1"/>
  <c r="B64" i="1" s="1"/>
  <c r="BG63" i="1"/>
  <c r="BE63" i="1"/>
  <c r="BB63" i="1"/>
  <c r="BA63" i="1"/>
  <c r="BC63" i="1" s="1"/>
  <c r="AL63" i="1"/>
  <c r="AM63" i="1" s="1"/>
  <c r="AB63" i="1"/>
  <c r="AC63" i="1" s="1"/>
  <c r="R63" i="1"/>
  <c r="S63" i="1" s="1"/>
  <c r="AN63" i="1" s="1"/>
  <c r="H63" i="1" a="1"/>
  <c r="H63" i="1" s="1"/>
  <c r="G63" i="1" a="1"/>
  <c r="G63" i="1" s="1"/>
  <c r="I63" i="1" s="1"/>
  <c r="F63" i="1" a="1"/>
  <c r="F63" i="1" s="1"/>
  <c r="E63" i="1" a="1"/>
  <c r="E63" i="1" s="1"/>
  <c r="B63" i="1" a="1"/>
  <c r="B63" i="1" s="1"/>
  <c r="BG62" i="1"/>
  <c r="BE62" i="1"/>
  <c r="BB62" i="1"/>
  <c r="BA62" i="1"/>
  <c r="BC62" i="1" s="1"/>
  <c r="AL62" i="1"/>
  <c r="AM62" i="1" s="1"/>
  <c r="AB62" i="1"/>
  <c r="AC62" i="1" s="1"/>
  <c r="R62" i="1"/>
  <c r="S62" i="1" s="1"/>
  <c r="AN62" i="1" s="1"/>
  <c r="H62" i="1" a="1"/>
  <c r="H62" i="1" s="1"/>
  <c r="G62" i="1" a="1"/>
  <c r="G62" i="1" s="1"/>
  <c r="F62" i="1" a="1"/>
  <c r="F62" i="1" s="1"/>
  <c r="E62" i="1" a="1"/>
  <c r="E62" i="1" s="1"/>
  <c r="B62" i="1" a="1"/>
  <c r="B62" i="1" s="1"/>
  <c r="BG61" i="1"/>
  <c r="BE61" i="1"/>
  <c r="BB61" i="1"/>
  <c r="AT61" i="1"/>
  <c r="BA61" i="1" s="1"/>
  <c r="BC61" i="1" s="1"/>
  <c r="AQ61" i="1"/>
  <c r="AL61" i="1"/>
  <c r="AM61" i="1" s="1"/>
  <c r="AB61" i="1"/>
  <c r="AC61" i="1" s="1"/>
  <c r="R61" i="1"/>
  <c r="S61" i="1" s="1"/>
  <c r="AN61" i="1" s="1"/>
  <c r="H61" i="1" a="1"/>
  <c r="H61" i="1" s="1"/>
  <c r="G61" i="1" a="1"/>
  <c r="G61" i="1"/>
  <c r="F61" i="1" a="1"/>
  <c r="F61" i="1" s="1"/>
  <c r="E61" i="1" a="1"/>
  <c r="E61" i="1" s="1"/>
  <c r="B61" i="1" a="1"/>
  <c r="B61" i="1" s="1"/>
  <c r="BG60" i="1"/>
  <c r="BE60" i="1"/>
  <c r="BB60" i="1"/>
  <c r="BA60" i="1"/>
  <c r="BC60" i="1" s="1"/>
  <c r="AL60" i="1"/>
  <c r="AM60" i="1" s="1"/>
  <c r="AB60" i="1"/>
  <c r="AC60" i="1" s="1"/>
  <c r="R60" i="1"/>
  <c r="S60" i="1" s="1"/>
  <c r="AN60" i="1" s="1"/>
  <c r="H60" i="1" a="1"/>
  <c r="H60" i="1" s="1"/>
  <c r="G60" i="1" a="1"/>
  <c r="G60" i="1" s="1"/>
  <c r="I60" i="1" s="1"/>
  <c r="AR60" i="1" s="1"/>
  <c r="F60" i="1" a="1"/>
  <c r="F60" i="1" s="1"/>
  <c r="E60" i="1" a="1"/>
  <c r="E60" i="1" s="1"/>
  <c r="B60" i="1" a="1"/>
  <c r="B60" i="1" s="1"/>
  <c r="BG59" i="1"/>
  <c r="BE59" i="1"/>
  <c r="BB59" i="1"/>
  <c r="BA59" i="1"/>
  <c r="BC59" i="1" s="1"/>
  <c r="AL59" i="1"/>
  <c r="AM59" i="1" s="1"/>
  <c r="AB59" i="1"/>
  <c r="AC59" i="1" s="1"/>
  <c r="R59" i="1"/>
  <c r="S59" i="1" s="1"/>
  <c r="AN59" i="1" s="1"/>
  <c r="H59" i="1" a="1"/>
  <c r="H59" i="1" s="1"/>
  <c r="G59" i="1" a="1"/>
  <c r="G59" i="1" s="1"/>
  <c r="F59" i="1" a="1"/>
  <c r="F59" i="1" s="1"/>
  <c r="E59" i="1" a="1"/>
  <c r="E59" i="1" s="1"/>
  <c r="B59" i="1" a="1"/>
  <c r="B59" i="1" s="1"/>
  <c r="BG58" i="1"/>
  <c r="BE58" i="1"/>
  <c r="BB58" i="1"/>
  <c r="BA58" i="1"/>
  <c r="BC58" i="1" s="1"/>
  <c r="AL58" i="1"/>
  <c r="AM58" i="1" s="1"/>
  <c r="AB58" i="1"/>
  <c r="AC58" i="1" s="1"/>
  <c r="R58" i="1"/>
  <c r="S58" i="1" s="1"/>
  <c r="AN58" i="1" s="1"/>
  <c r="H58" i="1" a="1"/>
  <c r="H58" i="1" s="1"/>
  <c r="G58" i="1" a="1"/>
  <c r="G58" i="1" s="1"/>
  <c r="F58" i="1" a="1"/>
  <c r="F58" i="1" s="1"/>
  <c r="E58" i="1" a="1"/>
  <c r="E58" i="1" s="1"/>
  <c r="BG57" i="1"/>
  <c r="BE57" i="1"/>
  <c r="BB57" i="1"/>
  <c r="BA57" i="1"/>
  <c r="BC57" i="1" s="1"/>
  <c r="AL57" i="1"/>
  <c r="AM57" i="1" s="1"/>
  <c r="AB57" i="1"/>
  <c r="AC57" i="1" s="1"/>
  <c r="R57" i="1"/>
  <c r="S57" i="1" s="1"/>
  <c r="AN57" i="1" s="1"/>
  <c r="H57" i="1" a="1"/>
  <c r="H57" i="1" s="1"/>
  <c r="G57" i="1" a="1"/>
  <c r="G57" i="1" s="1"/>
  <c r="F57" i="1" a="1"/>
  <c r="F57" i="1" s="1"/>
  <c r="E57" i="1" a="1"/>
  <c r="E57" i="1" s="1"/>
  <c r="B57" i="1" a="1"/>
  <c r="B57" i="1" s="1"/>
  <c r="BG56" i="1"/>
  <c r="BE56" i="1"/>
  <c r="BB56" i="1"/>
  <c r="BA56" i="1"/>
  <c r="BC56" i="1" s="1"/>
  <c r="AL56" i="1"/>
  <c r="AM56" i="1" s="1"/>
  <c r="AB56" i="1"/>
  <c r="AC56" i="1" s="1"/>
  <c r="R56" i="1"/>
  <c r="S56" i="1" s="1"/>
  <c r="AN56" i="1" s="1"/>
  <c r="H56" i="1" a="1"/>
  <c r="H56" i="1" s="1"/>
  <c r="G56" i="1" a="1"/>
  <c r="G56" i="1" s="1"/>
  <c r="F56" i="1" a="1"/>
  <c r="F56" i="1" s="1"/>
  <c r="E56" i="1" a="1"/>
  <c r="E56" i="1" s="1"/>
  <c r="B56" i="1" a="1"/>
  <c r="B56" i="1" s="1"/>
  <c r="BG55" i="1"/>
  <c r="BE55" i="1"/>
  <c r="BB55" i="1"/>
  <c r="BA55" i="1"/>
  <c r="BC55" i="1" s="1"/>
  <c r="AL55" i="1"/>
  <c r="AM55" i="1" s="1"/>
  <c r="AB55" i="1"/>
  <c r="AC55" i="1" s="1"/>
  <c r="R55" i="1"/>
  <c r="S55" i="1" s="1"/>
  <c r="AN55" i="1" s="1"/>
  <c r="H55" i="1" a="1"/>
  <c r="H55" i="1" s="1"/>
  <c r="G55" i="1" a="1"/>
  <c r="G55" i="1" s="1"/>
  <c r="F55" i="1" a="1"/>
  <c r="F55" i="1" s="1"/>
  <c r="E55" i="1" a="1"/>
  <c r="E55" i="1" s="1"/>
  <c r="B55" i="1" a="1"/>
  <c r="B55" i="1" s="1"/>
  <c r="BG54" i="1"/>
  <c r="BE54" i="1"/>
  <c r="BB54" i="1"/>
  <c r="BA54" i="1"/>
  <c r="BC54" i="1" s="1"/>
  <c r="AL54" i="1"/>
  <c r="AM54" i="1" s="1"/>
  <c r="AB54" i="1"/>
  <c r="AC54" i="1" s="1"/>
  <c r="R54" i="1"/>
  <c r="S54" i="1" s="1"/>
  <c r="AN54" i="1" s="1"/>
  <c r="H54" i="1" a="1"/>
  <c r="H54" i="1" s="1"/>
  <c r="G54" i="1" a="1"/>
  <c r="G54" i="1" s="1"/>
  <c r="F54" i="1" a="1"/>
  <c r="F54" i="1" s="1"/>
  <c r="E54" i="1" a="1"/>
  <c r="E54" i="1" s="1"/>
  <c r="B54" i="1" a="1"/>
  <c r="B54" i="1" s="1"/>
  <c r="BG53" i="1"/>
  <c r="BE53" i="1"/>
  <c r="BB53" i="1"/>
  <c r="BA53" i="1"/>
  <c r="BC53" i="1" s="1"/>
  <c r="AL53" i="1"/>
  <c r="AM53" i="1" s="1"/>
  <c r="AB53" i="1"/>
  <c r="AC53" i="1" s="1"/>
  <c r="R53" i="1"/>
  <c r="S53" i="1" s="1"/>
  <c r="AN53" i="1" s="1"/>
  <c r="H53" i="1" a="1"/>
  <c r="H53" i="1" s="1"/>
  <c r="G53" i="1" a="1"/>
  <c r="G53" i="1" s="1"/>
  <c r="I53" i="1" s="1"/>
  <c r="AR53" i="1" s="1"/>
  <c r="F53" i="1" a="1"/>
  <c r="F53" i="1" s="1"/>
  <c r="E53" i="1" a="1"/>
  <c r="E53" i="1" s="1"/>
  <c r="B53" i="1" a="1"/>
  <c r="B53" i="1" s="1"/>
  <c r="BG52" i="1"/>
  <c r="BE52" i="1"/>
  <c r="BB52" i="1"/>
  <c r="BA52" i="1"/>
  <c r="BC52" i="1" s="1"/>
  <c r="AL52" i="1"/>
  <c r="AM52" i="1" s="1"/>
  <c r="AB52" i="1"/>
  <c r="AC52" i="1" s="1"/>
  <c r="R52" i="1"/>
  <c r="S52" i="1" s="1"/>
  <c r="AN52" i="1" s="1"/>
  <c r="H52" i="1" a="1"/>
  <c r="H52" i="1" s="1"/>
  <c r="G52" i="1" a="1"/>
  <c r="G52" i="1" s="1"/>
  <c r="I52" i="1" s="1"/>
  <c r="AR52" i="1" s="1"/>
  <c r="F52" i="1" a="1"/>
  <c r="F52" i="1" s="1"/>
  <c r="E52" i="1" a="1"/>
  <c r="E52" i="1" s="1"/>
  <c r="B52" i="1" a="1"/>
  <c r="B52" i="1" s="1"/>
  <c r="BG51" i="1"/>
  <c r="BE51" i="1"/>
  <c r="BB51" i="1"/>
  <c r="BA51" i="1"/>
  <c r="BC51" i="1" s="1"/>
  <c r="AL51" i="1"/>
  <c r="AM51" i="1" s="1"/>
  <c r="AB51" i="1"/>
  <c r="AC51" i="1" s="1"/>
  <c r="R51" i="1"/>
  <c r="S51" i="1" s="1"/>
  <c r="AN51" i="1" s="1"/>
  <c r="H51" i="1" a="1"/>
  <c r="H51" i="1" s="1"/>
  <c r="G51" i="1" a="1"/>
  <c r="G51" i="1" s="1"/>
  <c r="I51" i="1" s="1"/>
  <c r="AR51" i="1" s="1"/>
  <c r="F51" i="1" a="1"/>
  <c r="F51" i="1" s="1"/>
  <c r="E51" i="1" a="1"/>
  <c r="E51" i="1" s="1"/>
  <c r="B51" i="1" a="1"/>
  <c r="B51" i="1" s="1"/>
  <c r="BG50" i="1"/>
  <c r="BE50" i="1"/>
  <c r="BB50" i="1"/>
  <c r="BA50" i="1"/>
  <c r="BC50" i="1" s="1"/>
  <c r="AQ50" i="1"/>
  <c r="AL50" i="1"/>
  <c r="AM50" i="1" s="1"/>
  <c r="AB50" i="1"/>
  <c r="AC50" i="1" s="1"/>
  <c r="O50" i="1"/>
  <c r="R50" i="1" s="1"/>
  <c r="S50" i="1" s="1"/>
  <c r="AN50" i="1" s="1"/>
  <c r="H50" i="1" a="1"/>
  <c r="H50" i="1" s="1"/>
  <c r="G50" i="1" a="1"/>
  <c r="G50" i="1" s="1"/>
  <c r="I50" i="1" s="1"/>
  <c r="AR50" i="1" s="1"/>
  <c r="F50" i="1" a="1"/>
  <c r="F50" i="1" s="1"/>
  <c r="E50" i="1" a="1"/>
  <c r="E50" i="1" s="1"/>
  <c r="B50" i="1" a="1"/>
  <c r="B50" i="1" s="1"/>
  <c r="BG49" i="1"/>
  <c r="BE49" i="1"/>
  <c r="BB49" i="1"/>
  <c r="BA49" i="1"/>
  <c r="BC49" i="1" s="1"/>
  <c r="AL49" i="1"/>
  <c r="AM49" i="1" s="1"/>
  <c r="AB49" i="1"/>
  <c r="AC49" i="1" s="1"/>
  <c r="R49" i="1"/>
  <c r="S49" i="1" s="1"/>
  <c r="AN49" i="1" s="1"/>
  <c r="H49" i="1" a="1"/>
  <c r="H49" i="1" s="1"/>
  <c r="G49" i="1" a="1"/>
  <c r="G49" i="1" s="1"/>
  <c r="I49" i="1" s="1"/>
  <c r="F49" i="1" a="1"/>
  <c r="F49" i="1" s="1"/>
  <c r="E49" i="1" a="1"/>
  <c r="E49" i="1" s="1"/>
  <c r="B49" i="1" a="1"/>
  <c r="B49" i="1" s="1"/>
  <c r="BG48" i="1"/>
  <c r="BE48" i="1"/>
  <c r="BB48" i="1"/>
  <c r="BA48" i="1"/>
  <c r="BC48" i="1" s="1"/>
  <c r="AL48" i="1"/>
  <c r="AM48" i="1" s="1"/>
  <c r="AB48" i="1"/>
  <c r="AC48" i="1" s="1"/>
  <c r="R48" i="1"/>
  <c r="S48" i="1" s="1"/>
  <c r="AN48" i="1" s="1"/>
  <c r="H48" i="1" a="1"/>
  <c r="H48" i="1" s="1"/>
  <c r="G48" i="1" a="1"/>
  <c r="G48" i="1" s="1"/>
  <c r="I48" i="1" s="1"/>
  <c r="AR48" i="1" s="1"/>
  <c r="F48" i="1" a="1"/>
  <c r="F48" i="1" s="1"/>
  <c r="E48" i="1" a="1"/>
  <c r="E48" i="1" s="1"/>
  <c r="B48" i="1" a="1"/>
  <c r="B48" i="1" s="1"/>
  <c r="BG47" i="1"/>
  <c r="BE47" i="1"/>
  <c r="BB47" i="1"/>
  <c r="BA47" i="1"/>
  <c r="BC47" i="1" s="1"/>
  <c r="AL47" i="1"/>
  <c r="AM47" i="1" s="1"/>
  <c r="AB47" i="1"/>
  <c r="AC47" i="1" s="1"/>
  <c r="R47" i="1"/>
  <c r="S47" i="1" s="1"/>
  <c r="AN47" i="1" s="1"/>
  <c r="H47" i="1" a="1"/>
  <c r="H47" i="1" s="1"/>
  <c r="G47" i="1" a="1"/>
  <c r="G47" i="1" s="1"/>
  <c r="F47" i="1" a="1"/>
  <c r="F47" i="1" s="1"/>
  <c r="E47" i="1" a="1"/>
  <c r="E47" i="1" s="1"/>
  <c r="B47" i="1" a="1"/>
  <c r="B47" i="1" s="1"/>
  <c r="BG46" i="1"/>
  <c r="BE46" i="1"/>
  <c r="BB46" i="1"/>
  <c r="BA46" i="1"/>
  <c r="BC46" i="1" s="1"/>
  <c r="AL46" i="1"/>
  <c r="AM46" i="1" s="1"/>
  <c r="AB46" i="1"/>
  <c r="AC46" i="1" s="1"/>
  <c r="R46" i="1"/>
  <c r="S46" i="1" s="1"/>
  <c r="AN46" i="1" s="1"/>
  <c r="H46" i="1" a="1"/>
  <c r="H46" i="1" s="1"/>
  <c r="G46" i="1" a="1"/>
  <c r="G46" i="1" s="1"/>
  <c r="F46" i="1" a="1"/>
  <c r="F46" i="1" s="1"/>
  <c r="E46" i="1" a="1"/>
  <c r="E46" i="1" s="1"/>
  <c r="B46" i="1" a="1"/>
  <c r="B46" i="1" s="1"/>
  <c r="BG45" i="1"/>
  <c r="BE45" i="1"/>
  <c r="BB45" i="1"/>
  <c r="BA45" i="1"/>
  <c r="BC45" i="1" s="1"/>
  <c r="AL45" i="1"/>
  <c r="AM45" i="1" s="1"/>
  <c r="AB45" i="1"/>
  <c r="AC45" i="1" s="1"/>
  <c r="R45" i="1"/>
  <c r="S45" i="1" s="1"/>
  <c r="AN45" i="1" s="1"/>
  <c r="H45" i="1" a="1"/>
  <c r="H45" i="1" s="1"/>
  <c r="G45" i="1" a="1"/>
  <c r="G45" i="1" s="1"/>
  <c r="I45" i="1" s="1"/>
  <c r="AR45" i="1" s="1"/>
  <c r="F45" i="1" a="1"/>
  <c r="F45" i="1" s="1"/>
  <c r="E45" i="1" a="1"/>
  <c r="E45" i="1" s="1"/>
  <c r="B45" i="1" a="1"/>
  <c r="B45" i="1" s="1"/>
  <c r="BG44" i="1"/>
  <c r="BE44" i="1"/>
  <c r="BB44" i="1"/>
  <c r="BA44" i="1"/>
  <c r="BC44" i="1" s="1"/>
  <c r="AL44" i="1"/>
  <c r="AM44" i="1" s="1"/>
  <c r="AB44" i="1"/>
  <c r="AC44" i="1" s="1"/>
  <c r="R44" i="1"/>
  <c r="S44" i="1" s="1"/>
  <c r="AN44" i="1" s="1"/>
  <c r="H44" i="1" a="1"/>
  <c r="H44" i="1" s="1"/>
  <c r="G44" i="1" a="1"/>
  <c r="G44" i="1" s="1"/>
  <c r="I44" i="1" s="1"/>
  <c r="AR44" i="1" s="1"/>
  <c r="F44" i="1" a="1"/>
  <c r="F44" i="1" s="1"/>
  <c r="E44" i="1" a="1"/>
  <c r="E44" i="1" s="1"/>
  <c r="B44" i="1" a="1"/>
  <c r="B44" i="1" s="1"/>
  <c r="BG43" i="1"/>
  <c r="BE43" i="1"/>
  <c r="BB43" i="1"/>
  <c r="BA43" i="1"/>
  <c r="BC43" i="1" s="1"/>
  <c r="AL43" i="1"/>
  <c r="AM43" i="1" s="1"/>
  <c r="AB43" i="1"/>
  <c r="AC43" i="1" s="1"/>
  <c r="R43" i="1"/>
  <c r="S43" i="1" s="1"/>
  <c r="AN43" i="1" s="1"/>
  <c r="H43" i="1" a="1"/>
  <c r="H43" i="1" s="1"/>
  <c r="G43" i="1" a="1"/>
  <c r="G43" i="1" s="1"/>
  <c r="I43" i="1" s="1"/>
  <c r="AR43" i="1" s="1"/>
  <c r="F43" i="1" a="1"/>
  <c r="F43" i="1" s="1"/>
  <c r="E43" i="1" a="1"/>
  <c r="E43" i="1" s="1"/>
  <c r="B43" i="1" a="1"/>
  <c r="B43" i="1" s="1"/>
  <c r="BG42" i="1"/>
  <c r="BE42" i="1"/>
  <c r="BB42" i="1"/>
  <c r="BA42" i="1"/>
  <c r="BC42" i="1" s="1"/>
  <c r="AL42" i="1"/>
  <c r="AM42" i="1" s="1"/>
  <c r="AB42" i="1"/>
  <c r="AC42" i="1" s="1"/>
  <c r="R42" i="1"/>
  <c r="S42" i="1" s="1"/>
  <c r="AN42" i="1" s="1"/>
  <c r="H42" i="1" a="1"/>
  <c r="H42" i="1" s="1"/>
  <c r="G42" i="1" a="1"/>
  <c r="G42" i="1" s="1"/>
  <c r="I42" i="1" s="1"/>
  <c r="AR42" i="1" s="1"/>
  <c r="F42" i="1" a="1"/>
  <c r="F42" i="1" s="1"/>
  <c r="E42" i="1" a="1"/>
  <c r="E42" i="1" s="1"/>
  <c r="B42" i="1" a="1"/>
  <c r="B42" i="1" s="1"/>
  <c r="BG41" i="1"/>
  <c r="BE41" i="1"/>
  <c r="BB41" i="1"/>
  <c r="BA41" i="1"/>
  <c r="BC41" i="1" s="1"/>
  <c r="AL41" i="1"/>
  <c r="AM41" i="1" s="1"/>
  <c r="AB41" i="1"/>
  <c r="AC41" i="1" s="1"/>
  <c r="R41" i="1"/>
  <c r="S41" i="1" s="1"/>
  <c r="AN41" i="1" s="1"/>
  <c r="H41" i="1" a="1"/>
  <c r="H41" i="1" s="1"/>
  <c r="G41" i="1" a="1"/>
  <c r="G41" i="1" s="1"/>
  <c r="I41" i="1" s="1"/>
  <c r="F41" i="1" a="1"/>
  <c r="F41" i="1" s="1"/>
  <c r="E41" i="1" a="1"/>
  <c r="E41" i="1" s="1"/>
  <c r="B41" i="1" a="1"/>
  <c r="B41" i="1" s="1"/>
  <c r="BG40" i="1"/>
  <c r="BE40" i="1"/>
  <c r="BB40" i="1"/>
  <c r="BA40" i="1"/>
  <c r="BC40" i="1" s="1"/>
  <c r="AL40" i="1"/>
  <c r="AM40" i="1" s="1"/>
  <c r="AB40" i="1"/>
  <c r="AC40" i="1" s="1"/>
  <c r="R40" i="1"/>
  <c r="S40" i="1" s="1"/>
  <c r="AN40" i="1" s="1"/>
  <c r="H40" i="1" a="1"/>
  <c r="H40" i="1" s="1"/>
  <c r="G40" i="1" a="1"/>
  <c r="G40" i="1" s="1"/>
  <c r="I40" i="1" s="1"/>
  <c r="AR40" i="1" s="1"/>
  <c r="F40" i="1" a="1"/>
  <c r="F40" i="1" s="1"/>
  <c r="E40" i="1" a="1"/>
  <c r="E40" i="1" s="1"/>
  <c r="B40" i="1" a="1"/>
  <c r="B40" i="1" s="1"/>
  <c r="BG39" i="1"/>
  <c r="BE39" i="1"/>
  <c r="BB39" i="1"/>
  <c r="BA39" i="1"/>
  <c r="BC39" i="1" s="1"/>
  <c r="AL39" i="1"/>
  <c r="AM39" i="1" s="1"/>
  <c r="AB39" i="1"/>
  <c r="AC39" i="1" s="1"/>
  <c r="R39" i="1"/>
  <c r="S39" i="1" s="1"/>
  <c r="AN39" i="1" s="1"/>
  <c r="H39" i="1" a="1"/>
  <c r="H39" i="1" s="1"/>
  <c r="G39" i="1" a="1"/>
  <c r="G39" i="1" s="1"/>
  <c r="F39" i="1" a="1"/>
  <c r="F39" i="1" s="1"/>
  <c r="E39" i="1" a="1"/>
  <c r="E39" i="1" s="1"/>
  <c r="B39" i="1" a="1"/>
  <c r="B39" i="1" s="1"/>
  <c r="BG38" i="1"/>
  <c r="BE38" i="1"/>
  <c r="BB38" i="1"/>
  <c r="BA38" i="1"/>
  <c r="BC38" i="1" s="1"/>
  <c r="AL38" i="1"/>
  <c r="AM38" i="1" s="1"/>
  <c r="AB38" i="1"/>
  <c r="AC38" i="1" s="1"/>
  <c r="R38" i="1"/>
  <c r="S38" i="1" s="1"/>
  <c r="AN38" i="1" s="1"/>
  <c r="H38" i="1" a="1"/>
  <c r="H38" i="1" s="1"/>
  <c r="G38" i="1" a="1"/>
  <c r="G38" i="1" s="1"/>
  <c r="F38" i="1" a="1"/>
  <c r="F38" i="1" s="1"/>
  <c r="E38" i="1" a="1"/>
  <c r="E38" i="1" s="1"/>
  <c r="B38" i="1" a="1"/>
  <c r="B38" i="1" s="1"/>
  <c r="BG37" i="1"/>
  <c r="BE37" i="1"/>
  <c r="BB37" i="1"/>
  <c r="BA37" i="1"/>
  <c r="BC37" i="1" s="1"/>
  <c r="AL37" i="1"/>
  <c r="AM37" i="1" s="1"/>
  <c r="AB37" i="1"/>
  <c r="AC37" i="1" s="1"/>
  <c r="R37" i="1"/>
  <c r="S37" i="1" s="1"/>
  <c r="AN37" i="1" s="1"/>
  <c r="H37" i="1" a="1"/>
  <c r="H37" i="1" s="1"/>
  <c r="G37" i="1" a="1"/>
  <c r="G37" i="1" s="1"/>
  <c r="F37" i="1" a="1"/>
  <c r="F37" i="1" s="1"/>
  <c r="E37" i="1" a="1"/>
  <c r="E37" i="1" s="1"/>
  <c r="B37" i="1" a="1"/>
  <c r="B37" i="1" s="1"/>
  <c r="BG36" i="1"/>
  <c r="BE36" i="1"/>
  <c r="BB36" i="1"/>
  <c r="BA36" i="1"/>
  <c r="BC36" i="1" s="1"/>
  <c r="AL36" i="1"/>
  <c r="AM36" i="1" s="1"/>
  <c r="AB36" i="1"/>
  <c r="AC36" i="1" s="1"/>
  <c r="R36" i="1"/>
  <c r="S36" i="1" s="1"/>
  <c r="AN36" i="1" s="1"/>
  <c r="H36" i="1" a="1"/>
  <c r="H36" i="1" s="1"/>
  <c r="G36" i="1" a="1"/>
  <c r="G36" i="1" s="1"/>
  <c r="F36" i="1" a="1"/>
  <c r="F36" i="1" s="1"/>
  <c r="E36" i="1" a="1"/>
  <c r="E36" i="1" s="1"/>
  <c r="B36" i="1" a="1"/>
  <c r="B36" i="1" s="1"/>
  <c r="BG35" i="1"/>
  <c r="BE35" i="1"/>
  <c r="BB35" i="1"/>
  <c r="BA35" i="1"/>
  <c r="BC35" i="1" s="1"/>
  <c r="AL35" i="1"/>
  <c r="AM35" i="1" s="1"/>
  <c r="AB35" i="1"/>
  <c r="AC35" i="1" s="1"/>
  <c r="R35" i="1"/>
  <c r="S35" i="1" s="1"/>
  <c r="AN35" i="1" s="1"/>
  <c r="H35" i="1" a="1"/>
  <c r="H35" i="1" s="1"/>
  <c r="G35" i="1" a="1"/>
  <c r="G35" i="1" s="1"/>
  <c r="I35" i="1" s="1"/>
  <c r="AR35" i="1" s="1"/>
  <c r="F35" i="1" a="1"/>
  <c r="F35" i="1" s="1"/>
  <c r="E35" i="1" a="1"/>
  <c r="E35" i="1" s="1"/>
  <c r="B35" i="1" a="1"/>
  <c r="B35" i="1" s="1"/>
  <c r="BG34" i="1"/>
  <c r="BE34" i="1"/>
  <c r="BB34" i="1"/>
  <c r="BA34" i="1"/>
  <c r="BC34" i="1" s="1"/>
  <c r="AL34" i="1"/>
  <c r="AM34" i="1" s="1"/>
  <c r="AC34" i="1"/>
  <c r="AB34" i="1"/>
  <c r="R34" i="1"/>
  <c r="S34" i="1" s="1"/>
  <c r="AN34" i="1" s="1"/>
  <c r="H34" i="1" a="1"/>
  <c r="H34" i="1" s="1"/>
  <c r="G34" i="1" a="1"/>
  <c r="G34" i="1" s="1"/>
  <c r="F34" i="1" a="1"/>
  <c r="F34" i="1" s="1"/>
  <c r="E34" i="1" a="1"/>
  <c r="E34" i="1" s="1"/>
  <c r="B34" i="1" a="1"/>
  <c r="B34" i="1" s="1"/>
  <c r="BG33" i="1"/>
  <c r="BE33" i="1"/>
  <c r="BB33" i="1"/>
  <c r="BA33" i="1"/>
  <c r="BC33" i="1" s="1"/>
  <c r="AL33" i="1"/>
  <c r="AM33" i="1" s="1"/>
  <c r="AB33" i="1"/>
  <c r="AC33" i="1" s="1"/>
  <c r="R33" i="1"/>
  <c r="S33" i="1" s="1"/>
  <c r="AN33" i="1" s="1"/>
  <c r="H33" i="1" a="1"/>
  <c r="H33" i="1" s="1"/>
  <c r="G33" i="1" a="1"/>
  <c r="G33" i="1" s="1"/>
  <c r="F33" i="1" a="1"/>
  <c r="F33" i="1" s="1"/>
  <c r="E33" i="1" a="1"/>
  <c r="E33" i="1" s="1"/>
  <c r="B33" i="1" a="1"/>
  <c r="B33" i="1" s="1"/>
  <c r="BG32" i="1"/>
  <c r="BE32" i="1"/>
  <c r="BB32" i="1"/>
  <c r="BA32" i="1"/>
  <c r="BC32" i="1" s="1"/>
  <c r="AL32" i="1"/>
  <c r="AM32" i="1" s="1"/>
  <c r="AB32" i="1"/>
  <c r="AC32" i="1" s="1"/>
  <c r="R32" i="1"/>
  <c r="S32" i="1" s="1"/>
  <c r="AN32" i="1" s="1"/>
  <c r="H32" i="1" a="1"/>
  <c r="H32" i="1" s="1"/>
  <c r="G32" i="1" a="1"/>
  <c r="G32" i="1" s="1"/>
  <c r="I32" i="1" s="1"/>
  <c r="AR32" i="1" s="1"/>
  <c r="F32" i="1" a="1"/>
  <c r="F32" i="1" s="1"/>
  <c r="E32" i="1" a="1"/>
  <c r="E32" i="1" s="1"/>
  <c r="B32" i="1" a="1"/>
  <c r="B32" i="1" s="1"/>
  <c r="BG31" i="1"/>
  <c r="BE31" i="1"/>
  <c r="BB31" i="1"/>
  <c r="BA31" i="1"/>
  <c r="BC31" i="1" s="1"/>
  <c r="AL31" i="1"/>
  <c r="AM31" i="1" s="1"/>
  <c r="AB31" i="1"/>
  <c r="AC31" i="1" s="1"/>
  <c r="R31" i="1"/>
  <c r="S31" i="1" s="1"/>
  <c r="AN31" i="1" s="1"/>
  <c r="H31" i="1" a="1"/>
  <c r="H31" i="1" s="1"/>
  <c r="G31" i="1" a="1"/>
  <c r="G31" i="1" s="1"/>
  <c r="F31" i="1" a="1"/>
  <c r="F31" i="1" s="1"/>
  <c r="E31" i="1" a="1"/>
  <c r="E31" i="1" s="1"/>
  <c r="B31" i="1" a="1"/>
  <c r="B31" i="1" s="1"/>
  <c r="BG30" i="1"/>
  <c r="BE30" i="1"/>
  <c r="BB30" i="1"/>
  <c r="BA30" i="1"/>
  <c r="BC30" i="1" s="1"/>
  <c r="AL30" i="1"/>
  <c r="AM30" i="1" s="1"/>
  <c r="AB30" i="1"/>
  <c r="AC30" i="1" s="1"/>
  <c r="R30" i="1"/>
  <c r="S30" i="1" s="1"/>
  <c r="AN30" i="1" s="1"/>
  <c r="H30" i="1" a="1"/>
  <c r="H30" i="1" s="1"/>
  <c r="G30" i="1" a="1"/>
  <c r="G30" i="1" s="1"/>
  <c r="F30" i="1" a="1"/>
  <c r="F30" i="1" s="1"/>
  <c r="E30" i="1" a="1"/>
  <c r="E30" i="1" s="1"/>
  <c r="B30" i="1" a="1"/>
  <c r="B30" i="1" s="1"/>
  <c r="BG29" i="1"/>
  <c r="BE29" i="1"/>
  <c r="BB29" i="1"/>
  <c r="BA29" i="1"/>
  <c r="BC29" i="1" s="1"/>
  <c r="AL29" i="1"/>
  <c r="AM29" i="1" s="1"/>
  <c r="AB29" i="1"/>
  <c r="AC29" i="1" s="1"/>
  <c r="R29" i="1"/>
  <c r="S29" i="1" s="1"/>
  <c r="AN29" i="1" s="1"/>
  <c r="H29" i="1" a="1"/>
  <c r="H29" i="1" s="1"/>
  <c r="G29" i="1" a="1"/>
  <c r="G29" i="1" s="1"/>
  <c r="F29" i="1" a="1"/>
  <c r="F29" i="1" s="1"/>
  <c r="E29" i="1" a="1"/>
  <c r="E29" i="1" s="1"/>
  <c r="B29" i="1" a="1"/>
  <c r="B29" i="1" s="1"/>
  <c r="BG28" i="1"/>
  <c r="BE28" i="1"/>
  <c r="BB28" i="1"/>
  <c r="BA28" i="1"/>
  <c r="BC28" i="1" s="1"/>
  <c r="AL28" i="1"/>
  <c r="AM28" i="1" s="1"/>
  <c r="AB28" i="1"/>
  <c r="AC28" i="1" s="1"/>
  <c r="R28" i="1"/>
  <c r="S28" i="1" s="1"/>
  <c r="AN28" i="1" s="1"/>
  <c r="H28" i="1" a="1"/>
  <c r="H28" i="1" s="1"/>
  <c r="G28" i="1" a="1"/>
  <c r="G28" i="1" s="1"/>
  <c r="I28" i="1" s="1"/>
  <c r="AR28" i="1" s="1"/>
  <c r="F28" i="1" a="1"/>
  <c r="F28" i="1" s="1"/>
  <c r="E28" i="1" a="1"/>
  <c r="E28" i="1" s="1"/>
  <c r="B28" i="1" a="1"/>
  <c r="B28" i="1" s="1"/>
  <c r="BG27" i="1"/>
  <c r="BE27" i="1"/>
  <c r="BB27" i="1"/>
  <c r="BA27" i="1"/>
  <c r="BC27" i="1" s="1"/>
  <c r="AL27" i="1"/>
  <c r="AM27" i="1" s="1"/>
  <c r="AB27" i="1"/>
  <c r="AC27" i="1" s="1"/>
  <c r="R27" i="1"/>
  <c r="S27" i="1" s="1"/>
  <c r="AN27" i="1" s="1"/>
  <c r="H27" i="1" a="1"/>
  <c r="H27" i="1" s="1"/>
  <c r="G27" i="1" a="1"/>
  <c r="G27" i="1" s="1"/>
  <c r="I27" i="1" s="1"/>
  <c r="AR27" i="1" s="1"/>
  <c r="F27" i="1" a="1"/>
  <c r="F27" i="1" s="1"/>
  <c r="E27" i="1" a="1"/>
  <c r="E27" i="1" s="1"/>
  <c r="B27" i="1" a="1"/>
  <c r="B27" i="1" s="1"/>
  <c r="BG26" i="1"/>
  <c r="BE26" i="1"/>
  <c r="BB26" i="1"/>
  <c r="BA26" i="1"/>
  <c r="BC26" i="1" s="1"/>
  <c r="AL26" i="1"/>
  <c r="AM26" i="1" s="1"/>
  <c r="AB26" i="1"/>
  <c r="AC26" i="1" s="1"/>
  <c r="R26" i="1"/>
  <c r="S26" i="1" s="1"/>
  <c r="AN26" i="1" s="1"/>
  <c r="H26" i="1" a="1"/>
  <c r="H26" i="1" s="1"/>
  <c r="G26" i="1" a="1"/>
  <c r="G26" i="1" s="1"/>
  <c r="I26" i="1" s="1"/>
  <c r="AR26" i="1" s="1"/>
  <c r="F26" i="1" a="1"/>
  <c r="F26" i="1" s="1"/>
  <c r="E26" i="1" a="1"/>
  <c r="E26" i="1" s="1"/>
  <c r="B26" i="1" a="1"/>
  <c r="B26" i="1" s="1"/>
  <c r="BG25" i="1"/>
  <c r="BE25" i="1"/>
  <c r="BB25" i="1"/>
  <c r="BA25" i="1"/>
  <c r="BC25" i="1" s="1"/>
  <c r="AL25" i="1"/>
  <c r="AM25" i="1" s="1"/>
  <c r="AB25" i="1"/>
  <c r="AC25" i="1" s="1"/>
  <c r="R25" i="1"/>
  <c r="S25" i="1" s="1"/>
  <c r="AN25" i="1" s="1"/>
  <c r="H25" i="1" a="1"/>
  <c r="H25" i="1" s="1"/>
  <c r="G25" i="1" a="1"/>
  <c r="G25" i="1" s="1"/>
  <c r="I25" i="1" s="1"/>
  <c r="AR25" i="1" s="1"/>
  <c r="F25" i="1" a="1"/>
  <c r="F25" i="1" s="1"/>
  <c r="E25" i="1" a="1"/>
  <c r="E25" i="1" s="1"/>
  <c r="B25" i="1" a="1"/>
  <c r="B25" i="1" s="1"/>
  <c r="BG24" i="1"/>
  <c r="BE24" i="1"/>
  <c r="BB24" i="1"/>
  <c r="BA24" i="1"/>
  <c r="BC24" i="1" s="1"/>
  <c r="AL24" i="1"/>
  <c r="AM24" i="1" s="1"/>
  <c r="AB24" i="1"/>
  <c r="AC24" i="1" s="1"/>
  <c r="R24" i="1"/>
  <c r="S24" i="1" s="1"/>
  <c r="AN24" i="1" s="1"/>
  <c r="H24" i="1" a="1"/>
  <c r="H24" i="1" s="1"/>
  <c r="G24" i="1" a="1"/>
  <c r="G24" i="1" s="1"/>
  <c r="I24" i="1" s="1"/>
  <c r="AR24" i="1" s="1"/>
  <c r="F24" i="1" a="1"/>
  <c r="F24" i="1" s="1"/>
  <c r="E24" i="1" a="1"/>
  <c r="E24" i="1" s="1"/>
  <c r="B24" i="1" a="1"/>
  <c r="B24" i="1" s="1"/>
  <c r="BG23" i="1"/>
  <c r="BE23" i="1"/>
  <c r="BB23" i="1"/>
  <c r="BA23" i="1"/>
  <c r="BC23" i="1" s="1"/>
  <c r="AL23" i="1"/>
  <c r="AM23" i="1" s="1"/>
  <c r="AB23" i="1"/>
  <c r="AC23" i="1" s="1"/>
  <c r="R23" i="1"/>
  <c r="S23" i="1" s="1"/>
  <c r="AN23" i="1" s="1"/>
  <c r="P27" i="3" s="1"/>
  <c r="H23" i="1" a="1"/>
  <c r="H23" i="1" s="1"/>
  <c r="G23" i="1" a="1"/>
  <c r="G23" i="1" s="1"/>
  <c r="F23" i="1" a="1"/>
  <c r="F23" i="1" s="1"/>
  <c r="E23" i="1" a="1"/>
  <c r="E23" i="1" s="1"/>
  <c r="B23" i="1" a="1"/>
  <c r="B23" i="1" s="1"/>
  <c r="O27" i="3" s="1"/>
  <c r="BG22" i="1"/>
  <c r="BE22" i="1"/>
  <c r="BB22" i="1"/>
  <c r="BA22" i="1"/>
  <c r="BC22" i="1" s="1"/>
  <c r="AL22" i="1"/>
  <c r="AM22" i="1" s="1"/>
  <c r="AB22" i="1"/>
  <c r="AC22" i="1" s="1"/>
  <c r="R22" i="1"/>
  <c r="S22" i="1" s="1"/>
  <c r="AN22" i="1" s="1"/>
  <c r="P26" i="3" s="1"/>
  <c r="H22" i="1" a="1"/>
  <c r="H22" i="1" s="1"/>
  <c r="G22" i="1" a="1"/>
  <c r="G22" i="1" s="1"/>
  <c r="I22" i="1" s="1"/>
  <c r="AR22" i="1" s="1"/>
  <c r="F22" i="1" a="1"/>
  <c r="F22" i="1" s="1"/>
  <c r="E22" i="1" a="1"/>
  <c r="E22" i="1" s="1"/>
  <c r="B22" i="1" a="1"/>
  <c r="B22" i="1" s="1"/>
  <c r="O26" i="3" s="1"/>
  <c r="BG21" i="1"/>
  <c r="BE21" i="1"/>
  <c r="BB21" i="1"/>
  <c r="BA21" i="1"/>
  <c r="BC21" i="1" s="1"/>
  <c r="AL21" i="1"/>
  <c r="AM21" i="1" s="1"/>
  <c r="AB21" i="1"/>
  <c r="AC21" i="1" s="1"/>
  <c r="R21" i="1"/>
  <c r="S21" i="1" s="1"/>
  <c r="AN21" i="1" s="1"/>
  <c r="P25" i="3" s="1"/>
  <c r="H21" i="1" a="1"/>
  <c r="H21" i="1" s="1"/>
  <c r="G21" i="1" a="1"/>
  <c r="G21" i="1" s="1"/>
  <c r="F21" i="1" a="1"/>
  <c r="F21" i="1" s="1"/>
  <c r="E21" i="1" a="1"/>
  <c r="E21" i="1" s="1"/>
  <c r="B21" i="1" a="1"/>
  <c r="B21" i="1" s="1"/>
  <c r="O25" i="3" s="1"/>
  <c r="BG20" i="1"/>
  <c r="BE20" i="1"/>
  <c r="BB20" i="1"/>
  <c r="BA20" i="1"/>
  <c r="BC20" i="1" s="1"/>
  <c r="AL20" i="1"/>
  <c r="AM20" i="1" s="1"/>
  <c r="AB20" i="1"/>
  <c r="AC20" i="1" s="1"/>
  <c r="R20" i="1"/>
  <c r="S20" i="1" s="1"/>
  <c r="AN20" i="1" s="1"/>
  <c r="H20" i="1" a="1"/>
  <c r="H20" i="1" s="1"/>
  <c r="G20" i="1" a="1"/>
  <c r="G20" i="1" s="1"/>
  <c r="I20" i="1" s="1"/>
  <c r="AR20" i="1" s="1"/>
  <c r="F20" i="1" a="1"/>
  <c r="F20" i="1" s="1"/>
  <c r="E20" i="1" a="1"/>
  <c r="E20" i="1" s="1"/>
  <c r="B20" i="1" a="1"/>
  <c r="B20" i="1" s="1"/>
  <c r="BG19" i="1"/>
  <c r="BE19" i="1"/>
  <c r="BB19" i="1"/>
  <c r="BA19" i="1"/>
  <c r="BC19" i="1" s="1"/>
  <c r="AL19" i="1"/>
  <c r="AM19" i="1" s="1"/>
  <c r="AB19" i="1"/>
  <c r="AC19" i="1" s="1"/>
  <c r="R19" i="1"/>
  <c r="S19" i="1" s="1"/>
  <c r="AN19" i="1" s="1"/>
  <c r="P23" i="3" s="1"/>
  <c r="H19" i="1" a="1"/>
  <c r="H19" i="1" s="1"/>
  <c r="G19" i="1" a="1"/>
  <c r="G19" i="1" s="1"/>
  <c r="F19" i="1" a="1"/>
  <c r="F19" i="1" s="1"/>
  <c r="E19" i="1" a="1"/>
  <c r="E19" i="1" s="1"/>
  <c r="B19" i="1" a="1"/>
  <c r="B19" i="1" s="1"/>
  <c r="O23" i="3" s="1"/>
  <c r="BG18" i="1"/>
  <c r="BE18" i="1"/>
  <c r="BB18" i="1"/>
  <c r="BA18" i="1"/>
  <c r="BC18" i="1" s="1"/>
  <c r="I22" i="3" s="1"/>
  <c r="AL18" i="1"/>
  <c r="AM18" i="1" s="1"/>
  <c r="E22" i="3" s="1"/>
  <c r="AB18" i="1"/>
  <c r="AC18" i="1" s="1"/>
  <c r="D22" i="3" s="1"/>
  <c r="R18" i="1"/>
  <c r="S18" i="1" s="1"/>
  <c r="H18" i="1" a="1"/>
  <c r="H18" i="1" s="1"/>
  <c r="G18" i="1" a="1"/>
  <c r="G18" i="1" s="1"/>
  <c r="F18" i="1" a="1"/>
  <c r="F18" i="1" s="1"/>
  <c r="E18" i="1" a="1"/>
  <c r="E18" i="1" s="1"/>
  <c r="B18" i="1" a="1"/>
  <c r="B18" i="1" s="1"/>
  <c r="BG17" i="1"/>
  <c r="BE17" i="1"/>
  <c r="BB17" i="1"/>
  <c r="BA17" i="1"/>
  <c r="BC17" i="1" s="1"/>
  <c r="I21" i="3" s="1"/>
  <c r="AL17" i="1"/>
  <c r="AM17" i="1" s="1"/>
  <c r="E21" i="3" s="1"/>
  <c r="AB17" i="1"/>
  <c r="AC17" i="1" s="1"/>
  <c r="D21" i="3" s="1"/>
  <c r="R17" i="1"/>
  <c r="S17" i="1" s="1"/>
  <c r="H17" i="1" a="1"/>
  <c r="H17" i="1" s="1"/>
  <c r="G17" i="1" a="1"/>
  <c r="G17" i="1" s="1"/>
  <c r="I17" i="1" s="1"/>
  <c r="AR17" i="1" s="1"/>
  <c r="F17" i="1" a="1"/>
  <c r="F17" i="1" s="1"/>
  <c r="E17" i="1" a="1"/>
  <c r="E17" i="1" s="1"/>
  <c r="B17" i="1" a="1"/>
  <c r="B17" i="1" s="1"/>
  <c r="BG16" i="1"/>
  <c r="BE16" i="1"/>
  <c r="BB16" i="1"/>
  <c r="BA16" i="1"/>
  <c r="BC16" i="1" s="1"/>
  <c r="I20" i="3" s="1"/>
  <c r="AL16" i="1"/>
  <c r="AM16" i="1" s="1"/>
  <c r="E20" i="3" s="1"/>
  <c r="AB16" i="1"/>
  <c r="AC16" i="1" s="1"/>
  <c r="D20" i="3" s="1"/>
  <c r="R16" i="1"/>
  <c r="S16" i="1" s="1"/>
  <c r="H16" i="1" a="1"/>
  <c r="H16" i="1" s="1"/>
  <c r="G16" i="1" a="1"/>
  <c r="G16" i="1" s="1"/>
  <c r="F16" i="1" a="1"/>
  <c r="F16" i="1" s="1"/>
  <c r="E16" i="1" a="1"/>
  <c r="E16" i="1" s="1"/>
  <c r="B16" i="1" a="1"/>
  <c r="B16" i="1" s="1"/>
  <c r="AA20" i="3" s="1"/>
  <c r="BG15" i="1"/>
  <c r="BE15" i="1"/>
  <c r="BB15" i="1"/>
  <c r="BA15" i="1"/>
  <c r="BC15" i="1" s="1"/>
  <c r="I19" i="3" s="1"/>
  <c r="AL15" i="1"/>
  <c r="AM15" i="1" s="1"/>
  <c r="E19" i="3" s="1"/>
  <c r="AB15" i="1"/>
  <c r="AC15" i="1" s="1"/>
  <c r="D19" i="3" s="1"/>
  <c r="R15" i="1"/>
  <c r="S15" i="1" s="1"/>
  <c r="H15" i="1" a="1"/>
  <c r="H15" i="1" s="1"/>
  <c r="G15" i="1" a="1"/>
  <c r="G15" i="1" s="1"/>
  <c r="F15" i="1" a="1"/>
  <c r="F15" i="1" s="1"/>
  <c r="E15" i="1" a="1"/>
  <c r="E15" i="1" s="1"/>
  <c r="B15" i="1" a="1"/>
  <c r="B15" i="1" s="1"/>
  <c r="BG14" i="1"/>
  <c r="BE14" i="1"/>
  <c r="BB14" i="1"/>
  <c r="BA14" i="1"/>
  <c r="BC14" i="1" s="1"/>
  <c r="I18" i="3" s="1"/>
  <c r="AL14" i="1"/>
  <c r="AM14" i="1" s="1"/>
  <c r="E18" i="3" s="1"/>
  <c r="AB14" i="1"/>
  <c r="AC14" i="1" s="1"/>
  <c r="D18" i="3" s="1"/>
  <c r="R14" i="1"/>
  <c r="S14" i="1" s="1"/>
  <c r="H14" i="1" a="1"/>
  <c r="H14" i="1" s="1"/>
  <c r="G14" i="1" a="1"/>
  <c r="G14" i="1" s="1"/>
  <c r="F14" i="1" a="1"/>
  <c r="F14" i="1" s="1"/>
  <c r="E14" i="1" a="1"/>
  <c r="E14" i="1" s="1"/>
  <c r="B14" i="1" a="1"/>
  <c r="B14" i="1" s="1"/>
  <c r="BG13" i="1"/>
  <c r="BE13" i="1"/>
  <c r="BB13" i="1"/>
  <c r="BA13" i="1"/>
  <c r="BC13" i="1" s="1"/>
  <c r="AL13" i="1"/>
  <c r="AM13" i="1" s="1"/>
  <c r="AB13" i="1"/>
  <c r="AC13" i="1" s="1"/>
  <c r="D17" i="3" s="1"/>
  <c r="R13" i="1"/>
  <c r="S13" i="1" s="1"/>
  <c r="H13" i="1" a="1"/>
  <c r="H13" i="1" s="1"/>
  <c r="G13" i="1" a="1"/>
  <c r="G13" i="1" s="1"/>
  <c r="F13" i="1" a="1"/>
  <c r="F13" i="1" s="1"/>
  <c r="E13" i="1" a="1"/>
  <c r="E13" i="1" s="1"/>
  <c r="B13" i="1" a="1"/>
  <c r="B13" i="1" s="1"/>
  <c r="BG12" i="1"/>
  <c r="BE12" i="1"/>
  <c r="BB12" i="1"/>
  <c r="BA12" i="1"/>
  <c r="BC12" i="1" s="1"/>
  <c r="AL12" i="1"/>
  <c r="AM12" i="1" s="1"/>
  <c r="E16" i="3" s="1"/>
  <c r="AB12" i="1"/>
  <c r="AC12" i="1" s="1"/>
  <c r="D16" i="3" s="1"/>
  <c r="R12" i="1"/>
  <c r="S12" i="1" s="1"/>
  <c r="H12" i="1" a="1"/>
  <c r="H12" i="1" s="1"/>
  <c r="G12" i="1" a="1"/>
  <c r="G12" i="1" s="1"/>
  <c r="F12" i="1" a="1"/>
  <c r="F12" i="1" s="1"/>
  <c r="E12" i="1" a="1"/>
  <c r="E12" i="1" s="1"/>
  <c r="B12" i="1" a="1"/>
  <c r="B12" i="1" s="1"/>
  <c r="BG11" i="1"/>
  <c r="BE11" i="1"/>
  <c r="BB11" i="1"/>
  <c r="BA11" i="1"/>
  <c r="BC11" i="1" s="1"/>
  <c r="AL11" i="1"/>
  <c r="AM11" i="1" s="1"/>
  <c r="AB11" i="1"/>
  <c r="AC11" i="1" s="1"/>
  <c r="D15" i="3" s="1"/>
  <c r="R11" i="1"/>
  <c r="S11" i="1" s="1"/>
  <c r="H11" i="1" a="1"/>
  <c r="H11" i="1" s="1"/>
  <c r="G11" i="1" a="1"/>
  <c r="G11" i="1" s="1"/>
  <c r="F11" i="1" a="1"/>
  <c r="F11" i="1" s="1"/>
  <c r="E11" i="1" a="1"/>
  <c r="E11" i="1" s="1"/>
  <c r="B11" i="1" a="1"/>
  <c r="B11" i="1" s="1"/>
  <c r="BG10" i="1"/>
  <c r="BE10" i="1"/>
  <c r="BB10" i="1"/>
  <c r="BA10" i="1"/>
  <c r="BC10" i="1" s="1"/>
  <c r="AL10" i="1"/>
  <c r="AM10" i="1" s="1"/>
  <c r="AB10" i="1"/>
  <c r="AC10" i="1" s="1"/>
  <c r="D14" i="3" s="1"/>
  <c r="R10" i="1"/>
  <c r="S10" i="1" s="1"/>
  <c r="H10" i="1" a="1"/>
  <c r="H10" i="1" s="1"/>
  <c r="G10" i="1" a="1"/>
  <c r="G10" i="1" s="1"/>
  <c r="F10" i="1" a="1"/>
  <c r="F10" i="1" s="1"/>
  <c r="E10" i="1" a="1"/>
  <c r="E10" i="1" s="1"/>
  <c r="B10" i="1" a="1"/>
  <c r="B10" i="1" s="1"/>
  <c r="BG9" i="1"/>
  <c r="BE9" i="1"/>
  <c r="BB9" i="1"/>
  <c r="BA9" i="1"/>
  <c r="BC9" i="1" s="1"/>
  <c r="AL9" i="1"/>
  <c r="AM9" i="1" s="1"/>
  <c r="AB9" i="1"/>
  <c r="AC9" i="1" s="1"/>
  <c r="D13" i="3" s="1"/>
  <c r="R9" i="1"/>
  <c r="S9" i="1" s="1"/>
  <c r="H9" i="1" a="1"/>
  <c r="H9" i="1" s="1"/>
  <c r="G9" i="1" a="1"/>
  <c r="G9" i="1" s="1"/>
  <c r="F9" i="1" a="1"/>
  <c r="F9" i="1" s="1"/>
  <c r="E9" i="1" a="1"/>
  <c r="E9" i="1" s="1"/>
  <c r="B9" i="1" a="1"/>
  <c r="B9" i="1" s="1"/>
  <c r="BG8" i="1"/>
  <c r="BE8" i="1"/>
  <c r="BB8" i="1"/>
  <c r="BA8" i="1"/>
  <c r="BC8" i="1" s="1"/>
  <c r="AL8" i="1"/>
  <c r="AM8" i="1" s="1"/>
  <c r="AB8" i="1"/>
  <c r="AC8" i="1" s="1"/>
  <c r="D12" i="3" s="1"/>
  <c r="R8" i="1"/>
  <c r="S8" i="1" s="1"/>
  <c r="H8" i="1" a="1"/>
  <c r="H8" i="1" s="1"/>
  <c r="G8" i="1" a="1"/>
  <c r="G8" i="1" s="1"/>
  <c r="F8" i="1" a="1"/>
  <c r="F8" i="1" s="1"/>
  <c r="E8" i="1" a="1"/>
  <c r="E8" i="1" s="1"/>
  <c r="B8" i="1" a="1"/>
  <c r="B8" i="1" s="1"/>
  <c r="BG7" i="1"/>
  <c r="BE7" i="1"/>
  <c r="BB7" i="1"/>
  <c r="BA7" i="1"/>
  <c r="BC7" i="1" s="1"/>
  <c r="AL7" i="1"/>
  <c r="AM7" i="1" s="1"/>
  <c r="AB7" i="1"/>
  <c r="AC7" i="1" s="1"/>
  <c r="D11" i="3" s="1"/>
  <c r="R7" i="1"/>
  <c r="S7" i="1" s="1"/>
  <c r="H7" i="1" a="1"/>
  <c r="H7" i="1" s="1"/>
  <c r="G7" i="1" a="1"/>
  <c r="G7" i="1" s="1"/>
  <c r="F7" i="1" a="1"/>
  <c r="F7" i="1" s="1"/>
  <c r="E7" i="1" a="1"/>
  <c r="E7" i="1" s="1"/>
  <c r="B7" i="1" a="1"/>
  <c r="B7" i="1" s="1"/>
  <c r="BG6" i="1"/>
  <c r="BE6" i="1"/>
  <c r="BB6" i="1"/>
  <c r="BA6" i="1"/>
  <c r="BC6" i="1" s="1"/>
  <c r="AL6" i="1"/>
  <c r="AM6" i="1" s="1"/>
  <c r="AB6" i="1"/>
  <c r="AC6" i="1" s="1"/>
  <c r="D10" i="3" s="1"/>
  <c r="R6" i="1"/>
  <c r="S6" i="1" s="1"/>
  <c r="H6" i="1" a="1"/>
  <c r="H6" i="1" s="1"/>
  <c r="G6" i="1" a="1"/>
  <c r="G6" i="1" s="1"/>
  <c r="F6" i="1" a="1"/>
  <c r="F6" i="1" s="1"/>
  <c r="E6" i="1" a="1"/>
  <c r="E6" i="1" s="1"/>
  <c r="B6" i="1" a="1"/>
  <c r="B6" i="1" s="1"/>
  <c r="BG5" i="1"/>
  <c r="BE5" i="1"/>
  <c r="BB5" i="1"/>
  <c r="BA5" i="1"/>
  <c r="BC5" i="1" s="1"/>
  <c r="AL5" i="1"/>
  <c r="AM5" i="1" s="1"/>
  <c r="AB5" i="1"/>
  <c r="AC5" i="1" s="1"/>
  <c r="D9" i="3" s="1"/>
  <c r="R5" i="1"/>
  <c r="S5" i="1" s="1"/>
  <c r="H5" i="1" a="1"/>
  <c r="H5" i="1" s="1"/>
  <c r="G5" i="1" a="1"/>
  <c r="G5" i="1" s="1"/>
  <c r="F5" i="1" a="1"/>
  <c r="F5" i="1" s="1"/>
  <c r="E5" i="1" a="1"/>
  <c r="E5" i="1" s="1"/>
  <c r="B5" i="1" a="1"/>
  <c r="B5" i="1" s="1"/>
  <c r="BG4" i="1"/>
  <c r="BE4" i="1"/>
  <c r="BB4" i="1"/>
  <c r="BA4" i="1"/>
  <c r="BC4" i="1" s="1"/>
  <c r="AL4" i="1"/>
  <c r="AM4" i="1" s="1"/>
  <c r="AB4" i="1"/>
  <c r="AC4" i="1" s="1"/>
  <c r="R4" i="1"/>
  <c r="S4" i="1" s="1"/>
  <c r="AN4" i="1" s="1"/>
  <c r="H4" i="1" a="1"/>
  <c r="H4" i="1" s="1"/>
  <c r="G4" i="1" a="1"/>
  <c r="G4" i="1" s="1"/>
  <c r="F4" i="1" a="1"/>
  <c r="F4" i="1" s="1"/>
  <c r="E4" i="1" a="1"/>
  <c r="E4" i="1" s="1"/>
  <c r="B4" i="1" a="1"/>
  <c r="B4" i="1" s="1"/>
  <c r="AN65" i="1" l="1"/>
  <c r="I12" i="1"/>
  <c r="I14" i="1"/>
  <c r="AR14" i="1" s="1"/>
  <c r="I59" i="1"/>
  <c r="AR59" i="1" s="1"/>
  <c r="I16" i="1"/>
  <c r="AR16" i="1" s="1"/>
  <c r="I55" i="1"/>
  <c r="AR55" i="1" s="1"/>
  <c r="I34" i="1"/>
  <c r="AR34" i="1" s="1"/>
  <c r="I15" i="1"/>
  <c r="AR15" i="1" s="1"/>
  <c r="I23" i="1"/>
  <c r="AR23" i="1" s="1"/>
  <c r="I57" i="1"/>
  <c r="AR57" i="1" s="1"/>
  <c r="I47" i="1"/>
  <c r="AR47" i="1" s="1"/>
  <c r="I46" i="1"/>
  <c r="AR46" i="1" s="1"/>
  <c r="I18" i="1"/>
  <c r="AR18" i="1" s="1"/>
  <c r="AW18" i="1" s="1"/>
  <c r="I31" i="1"/>
  <c r="AR31" i="1" s="1"/>
  <c r="I19" i="1"/>
  <c r="AR19" i="1" s="1"/>
  <c r="I39" i="1"/>
  <c r="AR39" i="1" s="1"/>
  <c r="I36" i="1"/>
  <c r="I33" i="1"/>
  <c r="I54" i="1"/>
  <c r="AR54" i="1" s="1"/>
  <c r="I30" i="1"/>
  <c r="AR30" i="1" s="1"/>
  <c r="I38" i="1"/>
  <c r="AR38" i="1" s="1"/>
  <c r="I29" i="1"/>
  <c r="AR29" i="1" s="1"/>
  <c r="I21" i="1"/>
  <c r="AR21" i="1" s="1"/>
  <c r="I62" i="1"/>
  <c r="AR62" i="1" s="1"/>
  <c r="I58" i="1"/>
  <c r="AR58" i="1" s="1"/>
  <c r="I56" i="1"/>
  <c r="AR56" i="1" s="1"/>
  <c r="AR41" i="1"/>
  <c r="AR49" i="1"/>
  <c r="AR36" i="1"/>
  <c r="AR33" i="1"/>
  <c r="AR63" i="1"/>
  <c r="AR12" i="1"/>
  <c r="I61" i="1"/>
  <c r="AR61" i="1" s="1"/>
  <c r="B73" i="3"/>
  <c r="I13" i="1"/>
  <c r="AR13" i="1" s="1"/>
  <c r="B17" i="3"/>
  <c r="A73" i="3"/>
  <c r="J73" i="3"/>
  <c r="BJ64" i="1"/>
  <c r="BL64" i="1" s="1"/>
  <c r="BK64" i="1"/>
  <c r="BM64" i="1" s="1"/>
  <c r="BJ54" i="1"/>
  <c r="BL54" i="1" s="1"/>
  <c r="BK54" i="1"/>
  <c r="BM54" i="1" s="1"/>
  <c r="BJ44" i="1"/>
  <c r="BL44" i="1" s="1"/>
  <c r="BK44" i="1"/>
  <c r="BM44" i="1" s="1"/>
  <c r="BJ34" i="1"/>
  <c r="BL34" i="1" s="1"/>
  <c r="BK34" i="1"/>
  <c r="BM34" i="1" s="1"/>
  <c r="BJ24" i="1"/>
  <c r="BL24" i="1" s="1"/>
  <c r="BK24" i="1"/>
  <c r="BM24" i="1" s="1"/>
  <c r="B22" i="3"/>
  <c r="O22" i="3"/>
  <c r="V22" i="3"/>
  <c r="Y22" i="3"/>
  <c r="AA22" i="3"/>
  <c r="B21" i="3"/>
  <c r="O21" i="3"/>
  <c r="V21" i="3"/>
  <c r="Y21" i="3"/>
  <c r="AA21" i="3"/>
  <c r="B16" i="3"/>
  <c r="Y16" i="3"/>
  <c r="AA16" i="3"/>
  <c r="A72" i="3"/>
  <c r="O16" i="3"/>
  <c r="S16" i="3"/>
  <c r="V16" i="3"/>
  <c r="J72" i="3"/>
  <c r="I11" i="1"/>
  <c r="AR11" i="1" s="1"/>
  <c r="B71" i="3"/>
  <c r="AA15" i="3"/>
  <c r="Y15" i="3"/>
  <c r="V15" i="3"/>
  <c r="S15" i="3"/>
  <c r="O15" i="3"/>
  <c r="B15" i="3"/>
  <c r="J71" i="3"/>
  <c r="A71" i="3"/>
  <c r="I10" i="1"/>
  <c r="AR10" i="1" s="1"/>
  <c r="B70" i="3"/>
  <c r="AA14" i="3"/>
  <c r="J70" i="3"/>
  <c r="A70" i="3"/>
  <c r="B14" i="3"/>
  <c r="O14" i="3"/>
  <c r="S14" i="3"/>
  <c r="V14" i="3"/>
  <c r="Y14" i="3"/>
  <c r="I9" i="1"/>
  <c r="AR9" i="1" s="1"/>
  <c r="B69" i="3"/>
  <c r="S13" i="3"/>
  <c r="O13" i="3"/>
  <c r="B13" i="3"/>
  <c r="V13" i="3"/>
  <c r="J69" i="3"/>
  <c r="A69" i="3"/>
  <c r="AA13" i="3"/>
  <c r="Y13" i="3"/>
  <c r="I8" i="1"/>
  <c r="AR8" i="1" s="1"/>
  <c r="B68" i="3"/>
  <c r="A68" i="3"/>
  <c r="S12" i="3"/>
  <c r="AA12" i="3"/>
  <c r="Y12" i="3"/>
  <c r="V12" i="3"/>
  <c r="J68" i="3"/>
  <c r="B12" i="3"/>
  <c r="O12" i="3"/>
  <c r="I7" i="1"/>
  <c r="AR7" i="1" s="1"/>
  <c r="B67" i="3"/>
  <c r="O11" i="3"/>
  <c r="A67" i="3"/>
  <c r="J67" i="3"/>
  <c r="S11" i="3"/>
  <c r="AA11" i="3"/>
  <c r="Y11" i="3"/>
  <c r="B11" i="3"/>
  <c r="V11" i="3"/>
  <c r="I6" i="1"/>
  <c r="AR6" i="1" s="1"/>
  <c r="B66" i="3"/>
  <c r="A66" i="3"/>
  <c r="J66" i="3"/>
  <c r="AA10" i="3"/>
  <c r="Y10" i="3"/>
  <c r="V10" i="3"/>
  <c r="S10" i="3"/>
  <c r="O10" i="3"/>
  <c r="B10" i="3"/>
  <c r="I5" i="1"/>
  <c r="AR5" i="1" s="1"/>
  <c r="B65" i="3"/>
  <c r="B9" i="3"/>
  <c r="O9" i="3"/>
  <c r="S9" i="3"/>
  <c r="J65" i="3"/>
  <c r="Y9" i="3"/>
  <c r="AA9" i="3"/>
  <c r="A65" i="3"/>
  <c r="I88" i="3"/>
  <c r="V9" i="3"/>
  <c r="I79" i="3"/>
  <c r="I4" i="1"/>
  <c r="AR4" i="1" s="1"/>
  <c r="B64" i="3"/>
  <c r="D83" i="3"/>
  <c r="C83" i="3"/>
  <c r="P81" i="3"/>
  <c r="O81" i="3"/>
  <c r="N81" i="3"/>
  <c r="M81" i="3"/>
  <c r="L81" i="3"/>
  <c r="A4" i="3"/>
  <c r="O8" i="3"/>
  <c r="S8" i="3"/>
  <c r="V8" i="3"/>
  <c r="Y8" i="3"/>
  <c r="AA8" i="3"/>
  <c r="L75" i="3"/>
  <c r="J64" i="3"/>
  <c r="K77" i="3"/>
  <c r="Q77" i="3" s="1"/>
  <c r="B74" i="3"/>
  <c r="B83" i="3"/>
  <c r="G88" i="3"/>
  <c r="P83" i="3"/>
  <c r="O83" i="3"/>
  <c r="N83" i="3"/>
  <c r="M83" i="3"/>
  <c r="L83" i="3"/>
  <c r="C74" i="3"/>
  <c r="D74" i="3"/>
  <c r="A64" i="3"/>
  <c r="L74" i="3"/>
  <c r="M74" i="3"/>
  <c r="N74" i="3"/>
  <c r="O74" i="3"/>
  <c r="K83" i="3"/>
  <c r="Q83" i="3" s="1"/>
  <c r="P74" i="3"/>
  <c r="B75" i="3"/>
  <c r="C75" i="3"/>
  <c r="D75" i="3"/>
  <c r="K75" i="3"/>
  <c r="Q75" i="3" s="1"/>
  <c r="M75" i="3"/>
  <c r="N75" i="3"/>
  <c r="O75" i="3"/>
  <c r="P75" i="3"/>
  <c r="K74" i="3"/>
  <c r="Q74" i="3" s="1"/>
  <c r="C77" i="3"/>
  <c r="D77" i="3"/>
  <c r="L77" i="3"/>
  <c r="M77" i="3"/>
  <c r="N77" i="3"/>
  <c r="O77" i="3"/>
  <c r="P77" i="3"/>
  <c r="G79" i="3"/>
  <c r="B81" i="3"/>
  <c r="C81" i="3"/>
  <c r="D81" i="3"/>
  <c r="K81" i="3"/>
  <c r="Q81" i="3" s="1"/>
  <c r="B77" i="3"/>
  <c r="I37" i="1"/>
  <c r="AR37" i="1" s="1"/>
  <c r="AX65" i="1"/>
  <c r="AW65" i="1"/>
  <c r="AY65" i="1"/>
  <c r="AW64" i="1"/>
  <c r="AX64" i="1"/>
  <c r="AY64" i="1"/>
  <c r="BJ63" i="1"/>
  <c r="BL63" i="1" s="1"/>
  <c r="BK63" i="1"/>
  <c r="BM63" i="1" s="1"/>
  <c r="BK62" i="1"/>
  <c r="BM62" i="1" s="1"/>
  <c r="BJ62" i="1"/>
  <c r="BL62" i="1" s="1"/>
  <c r="BK61" i="1"/>
  <c r="BM61" i="1" s="1"/>
  <c r="BJ61" i="1"/>
  <c r="BL61" i="1" s="1"/>
  <c r="BJ60" i="1"/>
  <c r="BL60" i="1" s="1"/>
  <c r="BK60" i="1"/>
  <c r="BM60" i="1" s="1"/>
  <c r="AW60" i="1"/>
  <c r="AX60" i="1"/>
  <c r="AY60" i="1"/>
  <c r="BK59" i="1"/>
  <c r="BM59" i="1" s="1"/>
  <c r="BJ59" i="1"/>
  <c r="BL59" i="1" s="1"/>
  <c r="AW59" i="1"/>
  <c r="AX59" i="1"/>
  <c r="AY59" i="1"/>
  <c r="BK58" i="1"/>
  <c r="BM58" i="1" s="1"/>
  <c r="BJ58" i="1"/>
  <c r="BL58" i="1" s="1"/>
  <c r="BK57" i="1"/>
  <c r="BM57" i="1" s="1"/>
  <c r="BJ57" i="1"/>
  <c r="BL57" i="1" s="1"/>
  <c r="AW57" i="1"/>
  <c r="AX57" i="1"/>
  <c r="AY57" i="1"/>
  <c r="BK56" i="1"/>
  <c r="BM56" i="1" s="1"/>
  <c r="BJ56" i="1"/>
  <c r="BL56" i="1" s="1"/>
  <c r="BK55" i="1"/>
  <c r="BM55" i="1" s="1"/>
  <c r="BJ55" i="1"/>
  <c r="BL55" i="1" s="1"/>
  <c r="AW55" i="1"/>
  <c r="AX55" i="1"/>
  <c r="AY55" i="1"/>
  <c r="BK53" i="1"/>
  <c r="BM53" i="1" s="1"/>
  <c r="BJ53" i="1"/>
  <c r="BL53" i="1" s="1"/>
  <c r="AW53" i="1"/>
  <c r="AX53" i="1"/>
  <c r="AY53" i="1"/>
  <c r="BK52" i="1"/>
  <c r="BM52" i="1" s="1"/>
  <c r="BJ52" i="1"/>
  <c r="BL52" i="1" s="1"/>
  <c r="AW52" i="1"/>
  <c r="AX52" i="1"/>
  <c r="AY52" i="1"/>
  <c r="BJ51" i="1"/>
  <c r="BL51" i="1" s="1"/>
  <c r="BK51" i="1"/>
  <c r="BM51" i="1" s="1"/>
  <c r="AW51" i="1"/>
  <c r="AX51" i="1"/>
  <c r="AY51" i="1"/>
  <c r="BK50" i="1"/>
  <c r="BM50" i="1" s="1"/>
  <c r="BJ50" i="1"/>
  <c r="BL50" i="1" s="1"/>
  <c r="AW50" i="1"/>
  <c r="AX50" i="1"/>
  <c r="AY50" i="1"/>
  <c r="BK49" i="1"/>
  <c r="BM49" i="1" s="1"/>
  <c r="BJ49" i="1"/>
  <c r="BL49" i="1" s="1"/>
  <c r="BK48" i="1"/>
  <c r="BM48" i="1" s="1"/>
  <c r="BJ48" i="1"/>
  <c r="BL48" i="1" s="1"/>
  <c r="AW48" i="1"/>
  <c r="AX48" i="1"/>
  <c r="AY48" i="1"/>
  <c r="BJ47" i="1"/>
  <c r="BL47" i="1" s="1"/>
  <c r="BK47" i="1"/>
  <c r="BM47" i="1" s="1"/>
  <c r="AW47" i="1"/>
  <c r="AX47" i="1"/>
  <c r="AY47" i="1"/>
  <c r="BK46" i="1"/>
  <c r="BM46" i="1" s="1"/>
  <c r="BJ46" i="1"/>
  <c r="BL46" i="1" s="1"/>
  <c r="BK45" i="1"/>
  <c r="BM45" i="1" s="1"/>
  <c r="BJ45" i="1"/>
  <c r="BL45" i="1" s="1"/>
  <c r="AW45" i="1"/>
  <c r="AX45" i="1"/>
  <c r="AY45" i="1"/>
  <c r="AW44" i="1"/>
  <c r="AX44" i="1"/>
  <c r="AY44" i="1"/>
  <c r="BK43" i="1"/>
  <c r="BM43" i="1" s="1"/>
  <c r="BJ43" i="1"/>
  <c r="BL43" i="1" s="1"/>
  <c r="AW43" i="1"/>
  <c r="AX43" i="1"/>
  <c r="AY43" i="1"/>
  <c r="BK42" i="1"/>
  <c r="BM42" i="1" s="1"/>
  <c r="BJ42" i="1"/>
  <c r="BL42" i="1" s="1"/>
  <c r="AW42" i="1"/>
  <c r="AX42" i="1"/>
  <c r="AY42" i="1"/>
  <c r="BK41" i="1"/>
  <c r="BM41" i="1" s="1"/>
  <c r="BJ41" i="1"/>
  <c r="BL41" i="1" s="1"/>
  <c r="BJ40" i="1"/>
  <c r="BL40" i="1" s="1"/>
  <c r="BK40" i="1"/>
  <c r="BM40" i="1" s="1"/>
  <c r="AW40" i="1"/>
  <c r="AX40" i="1"/>
  <c r="AY40" i="1"/>
  <c r="BK39" i="1"/>
  <c r="BM39" i="1" s="1"/>
  <c r="BJ39" i="1"/>
  <c r="BL39" i="1" s="1"/>
  <c r="BJ38" i="1"/>
  <c r="BL38" i="1" s="1"/>
  <c r="BK38" i="1"/>
  <c r="BM38" i="1" s="1"/>
  <c r="BK37" i="1"/>
  <c r="BM37" i="1" s="1"/>
  <c r="BJ37" i="1"/>
  <c r="BL37" i="1" s="1"/>
  <c r="BK36" i="1"/>
  <c r="BM36" i="1" s="1"/>
  <c r="BJ36" i="1"/>
  <c r="BL36" i="1" s="1"/>
  <c r="BJ35" i="1"/>
  <c r="BL35" i="1" s="1"/>
  <c r="BK35" i="1"/>
  <c r="BM35" i="1" s="1"/>
  <c r="AW35" i="1"/>
  <c r="AX35" i="1"/>
  <c r="AY35" i="1"/>
  <c r="AW34" i="1"/>
  <c r="AX34" i="1"/>
  <c r="AY34" i="1"/>
  <c r="BJ33" i="1"/>
  <c r="BL33" i="1" s="1"/>
  <c r="BK33" i="1"/>
  <c r="BM33" i="1" s="1"/>
  <c r="BK32" i="1"/>
  <c r="BM32" i="1" s="1"/>
  <c r="BJ32" i="1"/>
  <c r="BL32" i="1" s="1"/>
  <c r="AW32" i="1"/>
  <c r="AX32" i="1"/>
  <c r="AY32" i="1"/>
  <c r="BK31" i="1"/>
  <c r="BM31" i="1" s="1"/>
  <c r="BJ31" i="1"/>
  <c r="BL31" i="1" s="1"/>
  <c r="AW31" i="1"/>
  <c r="AX31" i="1"/>
  <c r="AY31" i="1"/>
  <c r="BJ30" i="1"/>
  <c r="BL30" i="1" s="1"/>
  <c r="BK30" i="1"/>
  <c r="BM30" i="1" s="1"/>
  <c r="BK29" i="1"/>
  <c r="BM29" i="1" s="1"/>
  <c r="BJ29" i="1"/>
  <c r="BL29" i="1" s="1"/>
  <c r="BK28" i="1"/>
  <c r="BM28" i="1" s="1"/>
  <c r="BJ28" i="1"/>
  <c r="BL28" i="1" s="1"/>
  <c r="AW28" i="1"/>
  <c r="AX28" i="1"/>
  <c r="AY28" i="1"/>
  <c r="BJ27" i="1"/>
  <c r="BL27" i="1" s="1"/>
  <c r="BK27" i="1"/>
  <c r="BM27" i="1" s="1"/>
  <c r="AW27" i="1"/>
  <c r="AX27" i="1"/>
  <c r="AY27" i="1"/>
  <c r="BK26" i="1"/>
  <c r="BM26" i="1" s="1"/>
  <c r="BJ26" i="1"/>
  <c r="BL26" i="1" s="1"/>
  <c r="AW26" i="1"/>
  <c r="AX26" i="1"/>
  <c r="AY26" i="1"/>
  <c r="BK25" i="1"/>
  <c r="BM25" i="1" s="1"/>
  <c r="BJ25" i="1"/>
  <c r="BL25" i="1" s="1"/>
  <c r="AW25" i="1"/>
  <c r="AX25" i="1"/>
  <c r="AY25" i="1"/>
  <c r="AY24" i="1"/>
  <c r="AX24" i="1"/>
  <c r="AW24" i="1"/>
  <c r="BK23" i="1"/>
  <c r="BM23" i="1" s="1"/>
  <c r="Q27" i="3" s="1"/>
  <c r="BJ23" i="1"/>
  <c r="BL23" i="1" s="1"/>
  <c r="BK22" i="1"/>
  <c r="BM22" i="1" s="1"/>
  <c r="Q26" i="3" s="1"/>
  <c r="BJ22" i="1"/>
  <c r="BL22" i="1" s="1"/>
  <c r="AW22" i="1"/>
  <c r="AX22" i="1"/>
  <c r="AY22" i="1"/>
  <c r="BJ21" i="1"/>
  <c r="BL21" i="1" s="1"/>
  <c r="BK21" i="1"/>
  <c r="BM21" i="1" s="1"/>
  <c r="Q25" i="3" s="1"/>
  <c r="BK20" i="1"/>
  <c r="BM20" i="1" s="1"/>
  <c r="BJ20" i="1"/>
  <c r="BL20" i="1" s="1"/>
  <c r="AW20" i="1"/>
  <c r="AX20" i="1"/>
  <c r="AY20" i="1"/>
  <c r="BK19" i="1"/>
  <c r="BM19" i="1" s="1"/>
  <c r="Q23" i="3" s="1"/>
  <c r="BJ19" i="1"/>
  <c r="BL19" i="1" s="1"/>
  <c r="AW19" i="1"/>
  <c r="AX19" i="1"/>
  <c r="AY19" i="1"/>
  <c r="AN18" i="1"/>
  <c r="C22" i="3"/>
  <c r="BJ18" i="1"/>
  <c r="BL18" i="1" s="1"/>
  <c r="AB22" i="3" s="1"/>
  <c r="BK18" i="1"/>
  <c r="BM18" i="1" s="1"/>
  <c r="AN17" i="1"/>
  <c r="C21" i="3"/>
  <c r="BK17" i="1"/>
  <c r="BM17" i="1" s="1"/>
  <c r="BJ17" i="1"/>
  <c r="BL17" i="1" s="1"/>
  <c r="AB21" i="3" s="1"/>
  <c r="AW17" i="1"/>
  <c r="AX17" i="1"/>
  <c r="AY17" i="1"/>
  <c r="AN16" i="1"/>
  <c r="C20" i="3"/>
  <c r="BK16" i="1"/>
  <c r="BM16" i="1" s="1"/>
  <c r="BJ16" i="1"/>
  <c r="BL16" i="1" s="1"/>
  <c r="AB20" i="3" s="1"/>
  <c r="AY16" i="1"/>
  <c r="V20" i="3"/>
  <c r="Y20" i="3"/>
  <c r="O20" i="3"/>
  <c r="B20" i="3"/>
  <c r="AN15" i="1"/>
  <c r="C19" i="3"/>
  <c r="BK15" i="1"/>
  <c r="BM15" i="1" s="1"/>
  <c r="BJ15" i="1"/>
  <c r="BL15" i="1" s="1"/>
  <c r="AB19" i="3" s="1"/>
  <c r="AW15" i="1"/>
  <c r="AX15" i="1"/>
  <c r="AY15" i="1"/>
  <c r="B19" i="3"/>
  <c r="O19" i="3"/>
  <c r="Y19" i="3"/>
  <c r="V19" i="3"/>
  <c r="AA19" i="3"/>
  <c r="AN14" i="1"/>
  <c r="C18" i="3"/>
  <c r="BK14" i="1"/>
  <c r="BM14" i="1" s="1"/>
  <c r="BJ14" i="1"/>
  <c r="BL14" i="1" s="1"/>
  <c r="AB18" i="3" s="1"/>
  <c r="AW14" i="1"/>
  <c r="AX14" i="1"/>
  <c r="AY14" i="1"/>
  <c r="O18" i="3"/>
  <c r="B18" i="3"/>
  <c r="V18" i="3"/>
  <c r="AA18" i="3"/>
  <c r="Y18" i="3"/>
  <c r="I17" i="3"/>
  <c r="T17" i="3"/>
  <c r="E17" i="3"/>
  <c r="K73" i="3"/>
  <c r="Q73" i="3" s="1"/>
  <c r="AN13" i="1"/>
  <c r="C17" i="3"/>
  <c r="BJ13" i="1"/>
  <c r="E83" i="3" s="1"/>
  <c r="H83" i="3" s="1"/>
  <c r="BK13" i="1"/>
  <c r="AW13" i="1"/>
  <c r="AX13" i="1"/>
  <c r="AY13" i="1"/>
  <c r="AA17" i="3"/>
  <c r="Y17" i="3"/>
  <c r="V17" i="3"/>
  <c r="S17" i="3"/>
  <c r="O17" i="3"/>
  <c r="I16" i="3"/>
  <c r="T16" i="3"/>
  <c r="AN12" i="1"/>
  <c r="C16" i="3"/>
  <c r="BK12" i="1"/>
  <c r="BM12" i="1" s="1"/>
  <c r="BJ12" i="1"/>
  <c r="BL12" i="1" s="1"/>
  <c r="AB16" i="3" s="1"/>
  <c r="I15" i="3"/>
  <c r="T15" i="3"/>
  <c r="K71" i="3"/>
  <c r="Q71" i="3" s="1"/>
  <c r="E15" i="3"/>
  <c r="AN11" i="1"/>
  <c r="C15" i="3"/>
  <c r="BK11" i="1"/>
  <c r="BJ11" i="1"/>
  <c r="E81" i="3" s="1"/>
  <c r="H81" i="3" s="1"/>
  <c r="I14" i="3"/>
  <c r="T14" i="3"/>
  <c r="E14" i="3"/>
  <c r="K70" i="3"/>
  <c r="Q70" i="3" s="1"/>
  <c r="AN10" i="1"/>
  <c r="C14" i="3"/>
  <c r="BJ10" i="1"/>
  <c r="BK10" i="1"/>
  <c r="I13" i="3"/>
  <c r="T13" i="3"/>
  <c r="K69" i="3"/>
  <c r="Q69" i="3" s="1"/>
  <c r="E13" i="3"/>
  <c r="AN9" i="1"/>
  <c r="C13" i="3"/>
  <c r="BJ9" i="1"/>
  <c r="BK9" i="1"/>
  <c r="I12" i="3"/>
  <c r="T12" i="3"/>
  <c r="K68" i="3"/>
  <c r="Q68" i="3" s="1"/>
  <c r="E12" i="3"/>
  <c r="AN8" i="1"/>
  <c r="C12" i="3"/>
  <c r="BK8" i="1"/>
  <c r="BJ8" i="1"/>
  <c r="I11" i="3"/>
  <c r="T11" i="3"/>
  <c r="K67" i="3"/>
  <c r="Q67" i="3" s="1"/>
  <c r="E11" i="3"/>
  <c r="AN7" i="1"/>
  <c r="C11" i="3"/>
  <c r="BK7" i="1"/>
  <c r="BJ7" i="1"/>
  <c r="E77" i="3" s="1"/>
  <c r="H77" i="3" s="1"/>
  <c r="I10" i="3"/>
  <c r="T10" i="3"/>
  <c r="K66" i="3"/>
  <c r="Q66" i="3" s="1"/>
  <c r="E10" i="3"/>
  <c r="AN6" i="1"/>
  <c r="C10" i="3"/>
  <c r="BJ6" i="1"/>
  <c r="BK6" i="1"/>
  <c r="I9" i="3"/>
  <c r="T9" i="3"/>
  <c r="E9" i="3"/>
  <c r="K65" i="3"/>
  <c r="Q65" i="3" s="1"/>
  <c r="AN5" i="1"/>
  <c r="C9" i="3"/>
  <c r="BK5" i="1"/>
  <c r="BJ5" i="1"/>
  <c r="E75" i="3" s="1"/>
  <c r="H75" i="3" s="1"/>
  <c r="E89" i="3"/>
  <c r="E88" i="3"/>
  <c r="E4" i="3"/>
  <c r="T8" i="3"/>
  <c r="E79" i="3"/>
  <c r="E80" i="3"/>
  <c r="K88" i="3"/>
  <c r="K79" i="3"/>
  <c r="Q79" i="3" s="1"/>
  <c r="K64" i="3"/>
  <c r="Q64" i="3" s="1"/>
  <c r="K80" i="3"/>
  <c r="Q80" i="3" s="1"/>
  <c r="K89" i="3"/>
  <c r="P8" i="3"/>
  <c r="BK4" i="1"/>
  <c r="BJ4" i="1"/>
  <c r="E74" i="3" s="1"/>
  <c r="H74" i="3" s="1"/>
  <c r="AW16" i="1" l="1"/>
  <c r="AX16" i="1"/>
  <c r="AW23" i="1"/>
  <c r="AX23" i="1"/>
  <c r="AY23" i="1"/>
  <c r="AW46" i="1"/>
  <c r="AX46" i="1"/>
  <c r="AY46" i="1"/>
  <c r="AY30" i="1"/>
  <c r="AW30" i="1"/>
  <c r="AX30" i="1"/>
  <c r="AW29" i="1"/>
  <c r="AX29" i="1"/>
  <c r="AY29" i="1"/>
  <c r="AW21" i="1"/>
  <c r="AX21" i="1"/>
  <c r="AY21" i="1"/>
  <c r="AX18" i="1"/>
  <c r="AY18" i="1"/>
  <c r="AX39" i="1"/>
  <c r="AY39" i="1"/>
  <c r="AW39" i="1"/>
  <c r="AW54" i="1"/>
  <c r="AY54" i="1"/>
  <c r="AX54" i="1"/>
  <c r="AY38" i="1"/>
  <c r="AW38" i="1"/>
  <c r="AX38" i="1"/>
  <c r="AX58" i="1"/>
  <c r="AY58" i="1"/>
  <c r="AW58" i="1"/>
  <c r="AW56" i="1"/>
  <c r="AX56" i="1"/>
  <c r="AY56" i="1"/>
  <c r="AX61" i="1"/>
  <c r="AY61" i="1"/>
  <c r="AW61" i="1"/>
  <c r="AW11" i="1"/>
  <c r="AX11" i="1"/>
  <c r="AY11" i="1"/>
  <c r="AW10" i="1"/>
  <c r="AY10" i="1"/>
  <c r="AX10" i="1"/>
  <c r="AW9" i="1"/>
  <c r="AY9" i="1"/>
  <c r="AX9" i="1"/>
  <c r="AX8" i="1"/>
  <c r="AY8" i="1"/>
  <c r="AW8" i="1"/>
  <c r="AW62" i="1"/>
  <c r="AX62" i="1"/>
  <c r="AY62" i="1"/>
  <c r="AX7" i="1"/>
  <c r="AW7" i="1"/>
  <c r="AY7" i="1"/>
  <c r="AX6" i="1"/>
  <c r="AY6" i="1"/>
  <c r="AW6" i="1"/>
  <c r="AY5" i="1"/>
  <c r="AW5" i="1"/>
  <c r="AX5" i="1"/>
  <c r="AW4" i="1"/>
  <c r="Z8" i="3" s="1"/>
  <c r="AX4" i="1"/>
  <c r="AY4" i="1"/>
  <c r="AX41" i="1"/>
  <c r="AW41" i="1"/>
  <c r="AY41" i="1"/>
  <c r="AW49" i="1"/>
  <c r="AX49" i="1"/>
  <c r="AY49" i="1"/>
  <c r="AY36" i="1"/>
  <c r="AX36" i="1"/>
  <c r="AW36" i="1"/>
  <c r="AX33" i="1"/>
  <c r="AW33" i="1"/>
  <c r="AY33" i="1"/>
  <c r="AW63" i="1"/>
  <c r="AX63" i="1"/>
  <c r="AY63" i="1"/>
  <c r="AY12" i="1"/>
  <c r="AX12" i="1"/>
  <c r="AW12" i="1"/>
  <c r="AW37" i="1"/>
  <c r="AX37" i="1"/>
  <c r="AY37" i="1"/>
  <c r="F22" i="3"/>
  <c r="P22" i="3"/>
  <c r="AC22" i="3"/>
  <c r="Q22" i="3"/>
  <c r="J22" i="3"/>
  <c r="Z22" i="3"/>
  <c r="F21" i="3"/>
  <c r="P21" i="3"/>
  <c r="AC21" i="3"/>
  <c r="Q21" i="3"/>
  <c r="Z21" i="3"/>
  <c r="J21" i="3"/>
  <c r="F20" i="3"/>
  <c r="P20" i="3"/>
  <c r="AC20" i="3"/>
  <c r="Q20" i="3"/>
  <c r="F19" i="3"/>
  <c r="P19" i="3"/>
  <c r="Q19" i="3"/>
  <c r="AC19" i="3"/>
  <c r="J19" i="3"/>
  <c r="Z19" i="3"/>
  <c r="F18" i="3"/>
  <c r="P18" i="3"/>
  <c r="Q18" i="3"/>
  <c r="AC18" i="3"/>
  <c r="J18" i="3"/>
  <c r="Z18" i="3"/>
  <c r="F17" i="3"/>
  <c r="P17" i="3"/>
  <c r="BL13" i="1"/>
  <c r="C73" i="3"/>
  <c r="BM13" i="1"/>
  <c r="F83" i="3" s="1"/>
  <c r="G83" i="3" s="1"/>
  <c r="D73" i="3"/>
  <c r="J17" i="3"/>
  <c r="Z17" i="3"/>
  <c r="F16" i="3"/>
  <c r="P16" i="3"/>
  <c r="Q16" i="3"/>
  <c r="AC16" i="3"/>
  <c r="F15" i="3"/>
  <c r="P15" i="3"/>
  <c r="BM11" i="1"/>
  <c r="F81" i="3" s="1"/>
  <c r="G81" i="3" s="1"/>
  <c r="D71" i="3"/>
  <c r="BL11" i="1"/>
  <c r="C71" i="3"/>
  <c r="F14" i="3"/>
  <c r="P14" i="3"/>
  <c r="BL10" i="1"/>
  <c r="C70" i="3"/>
  <c r="BM10" i="1"/>
  <c r="D70" i="3"/>
  <c r="F13" i="3"/>
  <c r="P13" i="3"/>
  <c r="BL9" i="1"/>
  <c r="C69" i="3"/>
  <c r="BM9" i="1"/>
  <c r="D69" i="3"/>
  <c r="F12" i="3"/>
  <c r="P12" i="3"/>
  <c r="BM8" i="1"/>
  <c r="D68" i="3"/>
  <c r="BL8" i="1"/>
  <c r="C68" i="3"/>
  <c r="F11" i="3"/>
  <c r="P11" i="3"/>
  <c r="BM7" i="1"/>
  <c r="F77" i="3" s="1"/>
  <c r="G77" i="3" s="1"/>
  <c r="D67" i="3"/>
  <c r="BL7" i="1"/>
  <c r="C67" i="3"/>
  <c r="F10" i="3"/>
  <c r="P10" i="3"/>
  <c r="BL6" i="1"/>
  <c r="C66" i="3"/>
  <c r="BM6" i="1"/>
  <c r="D66" i="3"/>
  <c r="F9" i="3"/>
  <c r="P9" i="3"/>
  <c r="BM5" i="1"/>
  <c r="F75" i="3" s="1"/>
  <c r="G75" i="3" s="1"/>
  <c r="D65" i="3"/>
  <c r="BL5" i="1"/>
  <c r="C65" i="3"/>
  <c r="BM4" i="1"/>
  <c r="F74" i="3" s="1"/>
  <c r="G74" i="3" s="1"/>
  <c r="D64" i="3"/>
  <c r="BL4" i="1"/>
  <c r="C64" i="3"/>
  <c r="M15" i="3"/>
  <c r="M16" i="3"/>
  <c r="M17" i="3"/>
  <c r="A80" i="3"/>
  <c r="A88" i="3"/>
  <c r="A89" i="3"/>
  <c r="A79" i="3"/>
  <c r="C4" i="3"/>
  <c r="K4" i="3"/>
  <c r="M14" i="3"/>
  <c r="J20" i="3" l="1"/>
  <c r="Z20" i="3"/>
  <c r="J15" i="3"/>
  <c r="Z15" i="3"/>
  <c r="J14" i="3"/>
  <c r="Z14" i="3"/>
  <c r="Z13" i="3"/>
  <c r="J13" i="3"/>
  <c r="J12" i="3"/>
  <c r="Z12" i="3"/>
  <c r="Z11" i="3"/>
  <c r="J11" i="3"/>
  <c r="J10" i="3"/>
  <c r="Z10" i="3"/>
  <c r="Z9" i="3"/>
  <c r="J9" i="3"/>
  <c r="Z16" i="3"/>
  <c r="M88" i="3" a="1"/>
  <c r="M88" i="3" s="1"/>
  <c r="M80" i="3"/>
  <c r="M89" i="3" a="1"/>
  <c r="M89" i="3" s="1"/>
  <c r="J16" i="3"/>
  <c r="M79" i="3" a="1"/>
  <c r="M79" i="3" s="1"/>
  <c r="G4" i="3"/>
  <c r="AB17" i="3"/>
  <c r="E73" i="3"/>
  <c r="H73" i="3" s="1"/>
  <c r="Q17" i="3"/>
  <c r="AC17" i="3"/>
  <c r="F73" i="3"/>
  <c r="G73" i="3" s="1"/>
  <c r="Q15" i="3"/>
  <c r="AC15" i="3"/>
  <c r="F71" i="3"/>
  <c r="AB15" i="3"/>
  <c r="E71" i="3"/>
  <c r="H71" i="3" s="1"/>
  <c r="E70" i="3"/>
  <c r="H70" i="3" s="1"/>
  <c r="AB14" i="3"/>
  <c r="F70" i="3"/>
  <c r="G70" i="3" s="1"/>
  <c r="Q14" i="3"/>
  <c r="AC14" i="3"/>
  <c r="E69" i="3"/>
  <c r="H69" i="3" s="1"/>
  <c r="AB13" i="3"/>
  <c r="F69" i="3"/>
  <c r="Q13" i="3"/>
  <c r="AC13" i="3"/>
  <c r="F68" i="3"/>
  <c r="Q12" i="3"/>
  <c r="AC12" i="3"/>
  <c r="E68" i="3"/>
  <c r="H68" i="3" s="1"/>
  <c r="AB12" i="3"/>
  <c r="F67" i="3"/>
  <c r="Q11" i="3"/>
  <c r="AC11" i="3"/>
  <c r="E67" i="3"/>
  <c r="H67" i="3" s="1"/>
  <c r="AB11" i="3"/>
  <c r="AB10" i="3"/>
  <c r="E66" i="3"/>
  <c r="H66" i="3" s="1"/>
  <c r="Q10" i="3"/>
  <c r="AC10" i="3"/>
  <c r="F66" i="3"/>
  <c r="Q9" i="3"/>
  <c r="AC9" i="3"/>
  <c r="F65" i="3"/>
  <c r="AB9" i="3"/>
  <c r="E65" i="3"/>
  <c r="H65" i="3" s="1"/>
  <c r="F64" i="3"/>
  <c r="C88" i="3"/>
  <c r="C80" i="3"/>
  <c r="O88" i="3" a="1"/>
  <c r="O88" i="3" s="1"/>
  <c r="C89" i="3"/>
  <c r="I4" i="3"/>
  <c r="Q8" i="3"/>
  <c r="AC8" i="3"/>
  <c r="C79" i="3"/>
  <c r="O79" i="3" a="1"/>
  <c r="O79" i="3" s="1"/>
  <c r="O80" i="3" a="1"/>
  <c r="O80" i="3" s="1"/>
  <c r="O89" i="3" a="1"/>
  <c r="O89" i="3" s="1"/>
  <c r="E64" i="3"/>
  <c r="H64" i="3" s="1"/>
  <c r="AB8" i="3"/>
  <c r="G69" i="3" l="1"/>
  <c r="G67" i="3"/>
  <c r="G71" i="3"/>
  <c r="G68" i="3"/>
  <c r="G64" i="3"/>
  <c r="G66" i="3"/>
  <c r="G6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Audit 2026-04</author>
    <author>Audit 2026-04-18</author>
  </authors>
  <commentList>
    <comment ref="L4" authorId="0" shapeId="0" xr:uid="{00000000-0006-0000-0000-000001000000}">
      <text>
        <r>
          <rPr>
            <sz val="11"/>
            <color theme="1"/>
            <rFont val="Calibri"/>
            <family val="2"/>
            <charset val="1"/>
          </rPr>
          <t>Old: 3 → New: 2
[R1 Optionality] VEEV es vertical SaaS 100% life sciences. Optionality real (Vault expandiéndose, Crossix data, MedTech), pero NO es plataforma horizontal. 3/3 reservado a plataformas anchas tipo MSFT/AMZN. Fuente: 10-K FY26.
— Audit 2026-04-18</t>
        </r>
      </text>
    </comment>
    <comment ref="N4" authorId="0" shapeId="0" xr:uid="{00000000-0006-0000-0000-000002000000}">
      <text>
        <r>
          <rPr>
            <sz val="11"/>
            <color theme="1"/>
            <rFont val="Calibri"/>
            <family val="2"/>
            <charset val="1"/>
          </rPr>
          <t>Old: 0 → New: -1.5
[R1 Concentration] Top 10 clientes = 28% del revenue (10-K FY26). 100% vertical life sciences. Geo 60%NA/28%EU/12%APAC OK. Penalización -1.5 por concentración vertical + customer. Fuente: VEEV 10-K FY2026.
— Audit 2026-04-18</t>
        </r>
      </text>
    </comment>
    <comment ref="O4" authorId="0" shapeId="0" xr:uid="{00000000-0006-0000-0000-000003000000}">
      <text>
        <r>
          <rPr>
            <sz val="11"/>
            <color theme="1"/>
            <rFont val="Calibri"/>
            <family val="2"/>
            <charset val="1"/>
          </rPr>
          <t>Old: 0.5 → New: 0.72
[R1 Glassdoor] Ajuste framework: usar rating_Glassdoor/5. VEEV 3.6/5 = 0.72. Fuente: Glassdoor 1,507 reviews.
— Audit 2026-04-18 (ajuste framework)</t>
        </r>
      </text>
    </comment>
    <comment ref="U4" authorId="0" shapeId="0" xr:uid="{00000000-0006-0000-0000-000004000000}">
      <text>
        <r>
          <rPr>
            <sz val="11"/>
            <color theme="1"/>
            <rFont val="Calibri"/>
            <family val="2"/>
            <charset val="1"/>
          </rPr>
          <t>Old: 20 → New: 18
[R2 MOAT] Switching costs altísimos, GxP regulated, 9 de top 20 pharma en Vault CRM. MUY fuerte pero Salesforce Life Sciences Cloud firmó 40+ clientes dic-2025 y un top-3 pharma defectó de VEEV. 20/20 perfecto es inflado cuando hay ataque estructural. 18 captura dominio sin ignorar reto.
— Audit 2026-04-18</t>
        </r>
      </text>
    </comment>
    <comment ref="W4" authorId="0" shapeId="0" xr:uid="{00000000-0006-0000-0000-000005000000}">
      <text>
        <r>
          <rPr>
            <sz val="11"/>
            <color theme="1"/>
            <rFont val="Calibri"/>
            <family val="2"/>
            <charset val="1"/>
          </rPr>
          <t>Old: 10 → New: 8
[R2 Customers] Calidad de clientes excelente (big pharma, top 20 farmacéuticas) pero 28% revenue en top 10 cuenta aquí. 10/10 solo si concentración baja.
— Audit 2026-04-18</t>
        </r>
      </text>
    </comment>
    <comment ref="Y4" authorId="0" shapeId="0" xr:uid="{00000000-0006-0000-0000-000006000000}">
      <text>
        <r>
          <rPr>
            <sz val="11"/>
            <color theme="1"/>
            <rFont val="Calibri"/>
            <family val="2"/>
            <charset val="1"/>
          </rPr>
          <t>Old: 14 → New: 12
[R2 Mgmt &amp; Culture] Ejecución excelente de Gassner pero (a) Glassdoor 3.6 refleja tensión cultural creciente, (b) paquete comp $172M 2025 a Gassner es óptica agresiva. 12/14 captura excelencia operativa sin 'perfect score'.
— Audit 2026-04-18</t>
        </r>
      </text>
    </comment>
    <comment ref="Z4" authorId="0" shapeId="0" xr:uid="{00000000-0006-0000-0000-000007000000}">
      <text>
        <r>
          <rPr>
            <sz val="11"/>
            <color theme="1"/>
            <rFont val="Calibri"/>
            <family val="2"/>
            <charset val="1"/>
          </rPr>
          <t>Old: 11 → New: 10
[R2 Stock &amp; Ownership] Single-class desde oct-2023 (positivo democratizador). Gassner ~9.1% stake (strong skin in the game). Super-voting rights eliminados. 10/11 es el nivel correcto.
— Audit 2026-04-18</t>
        </r>
      </text>
    </comment>
    <comment ref="AA4" authorId="0" shapeId="0" xr:uid="{00000000-0006-0000-0000-000008000000}">
      <text>
        <r>
          <rPr>
            <sz val="11"/>
            <color theme="1"/>
            <rFont val="Calibri"/>
            <family val="2"/>
            <charset val="1"/>
          </rPr>
          <t>Old: -4 → New: -8
[R2 Risks] Competencia Salesforce Life Sciences Cloud ahora REAL (40+ clientes firmados, top-3 pharma migró). Riesgo ejecución migración Vault CRM (wind-down 5 años hasta 2030). Riesgo AI-native startups verticales. Concentración regulatoria pharma (slowdown macro). -4 benigno, -8 realista.
— Audit 2026-04-18</t>
        </r>
      </text>
    </comment>
    <comment ref="AD4" authorId="0" shapeId="0" xr:uid="{00000000-0006-0000-0000-000009000000}">
      <text>
        <r>
          <rPr>
            <sz val="11"/>
            <color theme="1"/>
            <rFont val="Calibri"/>
            <family val="2"/>
            <charset val="1"/>
          </rPr>
          <t>Old: 15 → New: 14
[R3 Durability] Top-tier pero no perfecto. Vault CRM propia desde 2025, aún en primera ola productiva. 14/15 prudente hasta ver madurez multi-año.
— Audit 2026-04-18</t>
        </r>
      </text>
    </comment>
    <comment ref="AI4" authorId="0" shapeId="0" xr:uid="{00000000-0006-0000-0000-00000A000000}">
      <text>
        <r>
          <rPr>
            <sz val="11"/>
            <color theme="1"/>
            <rFont val="Calibri"/>
            <family val="2"/>
            <charset val="1"/>
          </rPr>
          <t>Old: 10 → New: 8
[R3 Incentives] Gassner $172M comp 2025 — muy aggressive. Incentivos alineados (founder-led, equity-heavy) pero 10/10 reservado a disciplina comp demostrable. Fuente: proxy 2025.
— Audit 2026-04-18</t>
        </r>
      </text>
    </comment>
    <comment ref="AJ4" authorId="0" shapeId="0" xr:uid="{00000000-0006-0000-0000-00000B000000}">
      <text>
        <r>
          <rPr>
            <sz val="11"/>
            <color theme="1"/>
            <rFont val="Calibri"/>
            <family val="2"/>
            <charset val="1"/>
          </rPr>
          <t>Old: 15 → New: 14
[R3 MOAT Structural] Ancho y duradero pero Salesforce es ataque estructural, no táctico. 14/15 refleja esto.
— Audit 2026-04-18</t>
        </r>
      </text>
    </comment>
    <comment ref="AK4" authorId="0" shapeId="0" xr:uid="{00000000-0006-0000-0000-00000C000000}">
      <text>
        <r>
          <rPr>
            <sz val="11"/>
            <color theme="1"/>
            <rFont val="Calibri"/>
            <family val="2"/>
            <charset val="1"/>
          </rPr>
          <t>Old: -2 → New: -5
[R3 Terminal Risk] Salesforce entry + posible compresión pricing + AI-native agents que dupliquen Vault funcionalidades + pharma regulatory. Terminal no es cero, merece reconocimiento material. -5 captura tail risk.
— Audit 2026-04-18</t>
        </r>
      </text>
    </comment>
    <comment ref="O5" authorId="0" shapeId="0" xr:uid="{00000000-0006-0000-0000-00000D000000}">
      <text>
        <r>
          <rPr>
            <sz val="11"/>
            <color theme="1"/>
            <rFont val="Calibri"/>
            <family val="2"/>
            <charset val="1"/>
          </rPr>
          <t>Old: 0.5 → New: 0.8
[R1 Glassdoor] Ajuste framework: rating/5. MSFT 4.0/5 = 0.80. Fuente: Glassdoor 67K reviews, 78% recommend, 78% CEO approval.
— Audit 2026-04-18 (ajuste framework)</t>
        </r>
      </text>
    </comment>
    <comment ref="P5" authorId="0" shapeId="0" xr:uid="{00000000-0006-0000-0000-00000E000000}">
      <text>
        <r>
          <rPr>
            <sz val="11"/>
            <color theme="1"/>
            <rFont val="Calibri"/>
            <family val="2"/>
            <charset val="1"/>
          </rPr>
          <t>Old: 0 → New: 1
[R1 Founder/CEO] Corrección: esta columna mide CALIDAD del management ejecutando, no literalidad de fundador. Satya Nadella es uno de los CEOs top de la era moderna (transformó MSFT de Ballmer-era a AI leader). 1/1 justificado.
— Audit 2026-04-18 (ajuste framework)</t>
        </r>
      </text>
    </comment>
    <comment ref="T5" authorId="0" shapeId="0" xr:uid="{00000000-0006-0000-0000-00000F000000}">
      <text>
        <r>
          <rPr>
            <sz val="11"/>
            <color theme="1"/>
            <rFont val="Calibri"/>
            <family val="2"/>
            <charset val="1"/>
          </rPr>
          <t>Old: 17 → New: 16
[R2 Financials] Fortaleza financiera excepcional ($75B+ cash, AAA rating) pero $148B capex FY26 genera depreciación pendiente que comprime op margin futuros. 17/17 perfecto no refleja el AI depreciation cliff. Fuente: MSFT Q4 FY25 / Q1 FY26 earnings.
— Audit 2026-04-18</t>
        </r>
      </text>
    </comment>
    <comment ref="AA5" authorId="0" shapeId="0" xr:uid="{00000000-0006-0000-0000-000010000000}">
      <text>
        <r>
          <rPr>
            <sz val="11"/>
            <color theme="1"/>
            <rFont val="Calibri"/>
            <family val="2"/>
            <charset val="1"/>
          </rPr>
          <t>Old: -8 → New: -12
[R2 Risks] Añadir: (a) FTC discovery phase sobre Azure licensing y OpenAI 'de facto merger', (b) EU considering Azure como 'gatekeeper' con interoperabilidad forzada, (c) $148B+ capex AI riesgo 'air pocket' si monetización enterprise ralentiza, (d) stock -23% YTD 2026 refleja preocupación mercado. -8 insuficiente.
— Audit 2026-04-18</t>
        </r>
      </text>
    </comment>
    <comment ref="AD5" authorId="0" shapeId="0" xr:uid="{00000000-0006-0000-0000-000011000000}">
      <text>
        <r>
          <rPr>
            <sz val="11"/>
            <color theme="1"/>
            <rFont val="Calibri"/>
            <family val="2"/>
            <charset val="1"/>
          </rPr>
          <t>Old: 15 → New: 14
[R3 Durability] Windows + Office ecosystem muy duraderos pero AI-native disruption (Anthropic, Google DeepMind, Perplexity) puede erosionar moat de productividad. 14/15.
— Audit 2026-04-18</t>
        </r>
      </text>
    </comment>
    <comment ref="AF5" authorId="0" shapeId="0" xr:uid="{00000000-0006-0000-0000-000012000000}">
      <text>
        <r>
          <rPr>
            <sz val="11"/>
            <color theme="1"/>
            <rFont val="Calibri"/>
            <family val="2"/>
            <charset val="1"/>
          </rPr>
          <t>Old: 7 → New: 5
[R3 Capital Intensity] Antes era SaaS asset-light. Ahora MSFT construye infraestructura AI masiva: $148B+ capex FY26 (~10% de market cap anual), GPUs Nvidia H200/B200 + chips propios Maia. Reducir asset-light score a 5/10. Fuente: CFO Amy Hood Q1 FY26 call.
— Audit 2026-04-18</t>
        </r>
      </text>
    </comment>
    <comment ref="AJ5" authorId="0" shapeId="0" xr:uid="{00000000-0006-0000-0000-000013000000}">
      <text>
        <r>
          <rPr>
            <sz val="11"/>
            <color theme="1"/>
            <rFont val="Calibri"/>
            <family val="2"/>
            <charset val="1"/>
          </rPr>
          <t>Old: 14 → New: 13
[R3 MOAT Structural] Sigue ancho pero AI erosiona switching costs en productivity suite. Ya hay alternativas Copilot-grade fuera del ecosistema MSFT. 13/15.
— Audit 2026-04-18</t>
        </r>
      </text>
    </comment>
    <comment ref="AK5" authorId="0" shapeId="0" xr:uid="{00000000-0006-0000-0000-000014000000}">
      <text>
        <r>
          <rPr>
            <sz val="11"/>
            <color theme="1"/>
            <rFont val="Calibri"/>
            <family val="2"/>
            <charset val="1"/>
          </rPr>
          <t>Old: -3 → New: -6
[R3 Terminal Risk] AI-native competition (Google, Anthropic, etc.) + riesgo antitrust estructural (break-up no descartable largo plazo) + capex overhang si AI ROI decepciona. -3 demasiado ligero.
— Audit 2026-04-18</t>
        </r>
      </text>
    </comment>
    <comment ref="L6" authorId="0" shapeId="0" xr:uid="{00000000-0006-0000-0000-000015000000}">
      <text>
        <r>
          <rPr>
            <sz val="11"/>
            <color theme="1"/>
            <rFont val="Calibri"/>
            <family val="2"/>
            <charset val="1"/>
          </rPr>
          <t>Old: 3 → New: 2
[R1 Optionality] Adyen es laser-focused en enterprise payments. Expansión a embedded finance/issuing existe pero es adyacente, no horizontal. 3/3 reservado a plataformas anchas. 2/3 más preciso.
— Audit 2026-04-18</t>
        </r>
      </text>
    </comment>
    <comment ref="O6" authorId="0" shapeId="0" xr:uid="{00000000-0006-0000-0000-000016000000}">
      <text>
        <r>
          <rPr>
            <sz val="11"/>
            <color theme="1"/>
            <rFont val="Calibri"/>
            <family val="2"/>
            <charset val="1"/>
          </rPr>
          <t>Old: 0.5 → New: 0.74
[R1 Glassdoor] Ajuste framework: rating/5. ADYEN 3.7/5 = 0.74. Fuente: Glassdoor 894 reviews, 74% recommend.
— Audit 2026-04-18 (ajuste framework)</t>
        </r>
      </text>
    </comment>
    <comment ref="T6" authorId="0" shapeId="0" xr:uid="{00000000-0006-0000-0000-000017000000}">
      <text>
        <r>
          <rPr>
            <sz val="11"/>
            <color theme="1"/>
            <rFont val="Calibri"/>
            <family val="2"/>
            <charset val="1"/>
          </rPr>
          <t>Old: 16 → New: 15
[R2 Financials] Margen EBITDA ~50%, FCF fuerte, no debt. Pero Feb-2026 stock -20% tras miss Q4 + guidance 2026 20-22% (vs consenso 22.8%) + EBITDA flat 2026. Calidad financiera menos prístina de lo percibido. 15/17.
— Audit 2026-04-18</t>
        </r>
      </text>
    </comment>
    <comment ref="V6" authorId="0" shapeId="0" xr:uid="{00000000-0006-0000-0000-000018000000}">
      <text>
        <r>
          <rPr>
            <sz val="11"/>
            <color theme="1"/>
            <rFont val="Calibri"/>
            <family val="2"/>
            <charset val="1"/>
          </rPr>
          <t>Old: 15 → New: 13
[R2 Potential] Guidance 2026 20-22% vs previa 'low-to-mid 20s' y consenso 22.8%. Take rate compression real. Stripe ahora agresivo en enterprise (antes solo SMB). TAM intacto pero share capture más difícil. 13/18.
— Audit 2026-04-18</t>
        </r>
      </text>
    </comment>
    <comment ref="Y6" authorId="0" shapeId="0" xr:uid="{00000000-0006-0000-0000-000019000000}">
      <text>
        <r>
          <rPr>
            <sz val="11"/>
            <color theme="1"/>
            <rFont val="Calibri"/>
            <family val="2"/>
            <charset val="1"/>
          </rPr>
          <t>Old: 14 → New: 11
[R2 Mgmt &amp; Culture] Van der Does co-CEO desde 2023 por razones de salud (transición a Uytdehaage). Glassdoor 3.7 con concerns serios sobre management (favoritism, inexperiencia). Engineering culture fuerte pero ejecución comercial cuestionada en Q4 2025. 11/14.
— Audit 2026-04-18</t>
        </r>
      </text>
    </comment>
    <comment ref="AA6" authorId="0" shapeId="0" xr:uid="{00000000-0006-0000-0000-00001A000000}">
      <text>
        <r>
          <rPr>
            <sz val="11"/>
            <color theme="1"/>
            <rFont val="Calibri"/>
            <family val="2"/>
            <charset val="1"/>
          </rPr>
          <t>Old: -7 → New: -12
[R2 Risks] Añadir: (a) Stripe IPO inminente con $91.5B valoración y ataque agresivo a enterprise, (b) take rate compression estructural (0.17% vs Stripe 0.34%, carrera a la baja), (c) PayPal Braintree pricing pressure en US, (d) fx exposure alto, (e) concentración EU (60%+ revenue). -7 insuficiente.
— Audit 2026-04-18</t>
        </r>
      </text>
    </comment>
    <comment ref="AD6" authorId="0" shapeId="0" xr:uid="{00000000-0006-0000-0000-00001B000000}">
      <text>
        <r>
          <rPr>
            <sz val="11"/>
            <color theme="1"/>
            <rFont val="Calibri"/>
            <family val="2"/>
            <charset val="1"/>
          </rPr>
          <t>Old: 14 → New: 13
[R3 Durability] Single platform + banking licenses son MOAT real pero 'payments race-to-zero' structural risk subestimado. Adyen resiste mejor que peers pero no es inmune. 13/15.
— Audit 2026-04-18</t>
        </r>
      </text>
    </comment>
    <comment ref="AK6" authorId="0" shapeId="0" xr:uid="{00000000-0006-0000-0000-00001C000000}">
      <text>
        <r>
          <rPr>
            <sz val="11"/>
            <color theme="1"/>
            <rFont val="Calibri"/>
            <family val="2"/>
            <charset val="1"/>
          </rPr>
          <t>Old: -3 → New: -6
[R3 Terminal Risk] Stripe con $91B financiación + IPO inminente es competidor estructural. Checkout.com, Worldpay/FIS, legacy processors bundling. Terminal = 0 no pero compresión de valor a largo plazo es plausible. -6/-20.
— Audit 2026-04-18</t>
        </r>
      </text>
    </comment>
    <comment ref="M7" authorId="0" shapeId="0" xr:uid="{00000000-0006-0000-0000-00001D000000}">
      <text>
        <r>
          <rPr>
            <sz val="11"/>
            <color theme="1"/>
            <rFont val="Calibri"/>
            <family val="2"/>
            <charset val="1"/>
          </rPr>
          <t>Old: 1 → New: 0.5
[R1 Financials] Balance sheet complejo por diseño: deuda non-recourse a nivel activo, múltiples entidades listadas (BN, BAM, BEP, BIP, BWS). Buen principio pero $8B debt de oficinas refinanciando 2026-2027 y $3B+ en US office cedido a prestamistas en 3 años. 0.5 refleja complejidad + real estate overhang.
— Audit 2026-04-18</t>
        </r>
      </text>
    </comment>
    <comment ref="O7" authorId="0" shapeId="0" xr:uid="{00000000-0006-0000-0000-00001E000000}">
      <text>
        <r>
          <rPr>
            <sz val="11"/>
            <color theme="1"/>
            <rFont val="Calibri"/>
            <family val="2"/>
            <charset val="1"/>
          </rPr>
          <t>Old: -0.5 → New: 0.66
[R1 Glassdoor] Ajuste framework: rating/5. BN 3.3/5 = 0.66. Fuente: Glassdoor 571 reviews.
— Audit 2026-04-18 (ajuste framework)</t>
        </r>
      </text>
    </comment>
    <comment ref="P7" authorId="0" shapeId="0" xr:uid="{00000000-0006-0000-0000-00001F000000}">
      <text>
        <r>
          <rPr>
            <sz val="11"/>
            <color theme="1"/>
            <rFont val="Calibri"/>
            <family val="2"/>
            <charset val="1"/>
          </rPr>
          <t>Old: 0.5 → New: 1
[R1 Founder/CEO] Corrección: calidad del management. Bruce Flatt es uno de los grandes capital allocators de la era (Buffett-level en real assets). Track record 20y IRR 16%+. 1/1 justificado aunque no sea fundador técnicamente. Sucesión Teskey a BAM disciplinada.
— Audit 2026-04-18 (ajuste framework)</t>
        </r>
      </text>
    </comment>
    <comment ref="T7" authorId="0" shapeId="0" xr:uid="{00000000-0006-0000-0000-000020000000}">
      <text>
        <r>
          <rPr>
            <sz val="11"/>
            <color theme="1"/>
            <rFont val="Calibri"/>
            <family val="2"/>
            <charset val="1"/>
          </rPr>
          <t>Old: 14 → New: 13
[R2 Financials] Fee-bearing capital $500B+ es stellar pero complejidad + real estate writedowns ($3B+ cedido a lenders en 3 años) + $8B office debt refinanciando son friction material. 13/17.
— Audit 2026-04-18</t>
        </r>
      </text>
    </comment>
    <comment ref="Y7" authorId="0" shapeId="0" xr:uid="{00000000-0006-0000-0000-000021000000}">
      <text>
        <r>
          <rPr>
            <sz val="11"/>
            <color theme="1"/>
            <rFont val="Calibri"/>
            <family val="2"/>
            <charset val="1"/>
          </rPr>
          <t>Old: 14 → New: 13
[R2 Mgmt &amp; Culture] Flatt es uno de los grandes CEOs de la industria pero US office fue un error estratégico claro (overexposición pre-COVID, downgrades masivos post). Sucesión Teskey a BAM también es transición sensible. 13/14.
— Audit 2026-04-18</t>
        </r>
      </text>
    </comment>
    <comment ref="AA7" authorId="0" shapeId="0" xr:uid="{00000000-0006-0000-0000-000022000000}">
      <text>
        <r>
          <rPr>
            <sz val="11"/>
            <color theme="1"/>
            <rFont val="Calibri"/>
            <family val="2"/>
            <charset val="1"/>
          </rPr>
          <t>Old: -8 → New: -10
[R2 Risks] Office RE overhang: $10B activos a desinvertir hasta 2030, $8B deuda oficina refinanciando. Wealth Solutions insurance en crecimiento rápido con leverage creciente (riesgo ALM mismatch). Complejidad estructural vs peers (Blackstone trading 24x vs BN 13x por complejidad). -10 razonable.
— Audit 2026-04-18</t>
        </r>
      </text>
    </comment>
    <comment ref="AD7" authorId="0" shapeId="0" xr:uid="{00000000-0006-0000-0000-000023000000}">
      <text>
        <r>
          <rPr>
            <sz val="11"/>
            <color theme="1"/>
            <rFont val="Calibri"/>
            <family val="2"/>
            <charset val="1"/>
          </rPr>
          <t>Old: 15 → New: 14
[R3 Durability] Compounder histórico real (20y IRR 16%, 10y 17%, 5y 22% per Flatt) pero el office miss demuestra que no es invulnerable. 14/15.
— Audit 2026-04-18</t>
        </r>
      </text>
    </comment>
    <comment ref="AK7" authorId="0" shapeId="0" xr:uid="{00000000-0006-0000-0000-000024000000}">
      <text>
        <r>
          <rPr>
            <sz val="11"/>
            <color theme="1"/>
            <rFont val="Calibri"/>
            <family val="2"/>
            <charset val="1"/>
          </rPr>
          <t>Old: -4 → New: -5
[R3 Terminal Risk] Office RE + insurance leverage tail risk + private credit bubble potencial. Terminal muy improbable pero tail risk justifica -5 vs -4.
— Audit 2026-04-18</t>
        </r>
      </text>
    </comment>
    <comment ref="O8" authorId="0" shapeId="0" xr:uid="{00000000-0006-0000-0000-000025000000}">
      <text>
        <r>
          <rPr>
            <sz val="11"/>
            <color theme="1"/>
            <rFont val="Calibri"/>
            <family val="2"/>
            <charset val="1"/>
          </rPr>
          <t>Old: 1 → New: 0.78
[R1 Glassdoor] 3.9/5 con 72% recommend, 68% outlook positivo (18,552 reviews). Compensation 4.2/5 (uno de los mejores). WLB 3.3, culture 3.6. Aplicar fórmula: 3.9/5 = 0.78.
— Audit 2026-04-18</t>
        </r>
      </text>
    </comment>
    <comment ref="AA8" authorId="0" shapeId="0" xr:uid="{00000000-0006-0000-0000-000026000000}">
      <text>
        <r>
          <rPr>
            <sz val="11"/>
            <color theme="1"/>
            <rFont val="Calibri"/>
            <family val="2"/>
            <charset val="1"/>
          </rPr>
          <t>Old: -5 → New: -7
[R2 Risks] Añadir riesgos tariff (importación masiva Asia/China), wage inflation persistente en US (COST paga premium $19+/h base), saturación de mercados maduros NA. -5 era ligero.
— Audit 2026-04-18</t>
        </r>
      </text>
    </comment>
    <comment ref="AK8" authorId="0" shapeId="0" xr:uid="{00000000-0006-0000-0000-000027000000}">
      <text>
        <r>
          <rPr>
            <sz val="11"/>
            <color theme="1"/>
            <rFont val="Calibri"/>
            <family val="2"/>
            <charset val="1"/>
          </rPr>
          <t>Old: -2 → New: -3
[R3 Terminal Risk] Amazon + e-commerce shift estructural largo plazo + cambio generacional preferences (Gen Z menos warehouse-shopping). Membership defiende pero terminal 25-30y horizon merece -3 vs -2.
— Audit 2026-04-18</t>
        </r>
      </text>
    </comment>
    <comment ref="O9" authorId="1" shapeId="0" xr:uid="{00000000-0006-0000-0000-000028000000}">
      <text>
        <r>
          <rPr>
            <sz val="11"/>
            <color theme="1"/>
            <rFont val="Calibri"/>
            <family val="2"/>
            <charset val="1"/>
          </rPr>
          <t>Old: 1 → New: 0.8
Glassdoor 4.0/5 → 0.80 (formula rating/5). 85% recommend, WLB 4.2. Source: Glassdoor Descartes Systems reviews.</t>
        </r>
      </text>
    </comment>
    <comment ref="P9" authorId="1" shapeId="0" xr:uid="{00000000-0006-0000-0000-000029000000}">
      <text>
        <r>
          <rPr>
            <sz val="11"/>
            <color theme="1"/>
            <rFont val="Calibri"/>
            <family val="2"/>
            <charset val="1"/>
          </rPr>
          <t>Old: 0 → New: 0.5
Ed Ryan CEO desde 2013. Ejecutor sólido pero no top-tier (vs. Nadella/Flatt). Entrega M&amp;A disciplinada (8 adq. desde FY25) + márgenes 46% EBITDA. Source: DSGX FY26 earnings release.</t>
        </r>
      </text>
    </comment>
    <comment ref="V9" authorId="1" shapeId="0" xr:uid="{00000000-0006-0000-0000-00002A000000}">
      <text>
        <r>
          <rPr>
            <sz val="11"/>
            <color theme="1"/>
            <rFont val="Calibri"/>
            <family val="2"/>
            <charset val="1"/>
          </rPr>
          <t>Old: 13 → New: 11
Potential baja: crecimiento ~11% (FY26 Q4 +15%, pero organic ~5-8%). Fuerte dependencia de M&amp;A para crecer. TAM logistics software con competencia agresiva (Project44, FourKites, Trimble). Source: DSGX Q4 FY26 + Motley Fool Q2 transcript.</t>
        </r>
      </text>
    </comment>
    <comment ref="AA9" authorId="1" shapeId="0" xr:uid="{00000000-0006-0000-0000-00002B000000}">
      <text>
        <r>
          <rPr>
            <sz val="11"/>
            <color theme="1"/>
            <rFont val="Calibri"/>
            <family val="2"/>
            <charset val="1"/>
          </rPr>
          <t>Old: -5 → New: -7
Risks underscored: ejecución M&amp;A (8 adq. recientes), valoración 53x PE/28x EV/EBITDA, y AI/automation podría desintermediar network. Source: DSGX FY26 release + Morningstar.</t>
        </r>
      </text>
    </comment>
    <comment ref="AK9" authorId="1" shapeId="0" xr:uid="{00000000-0006-0000-0000-00002C000000}">
      <text>
        <r>
          <rPr>
            <sz val="11"/>
            <color theme="1"/>
            <rFont val="Calibri"/>
            <family val="2"/>
            <charset val="1"/>
          </rPr>
          <t>Old: -2 → New: -3
Terminal risk: AI/GenAI amenaza workflows de global trade/classification (HS codes, documentation) que son core DSGX. Horizonte 10+ años material. Source: propio análisis + Substack Opportunity Costs DSGX.</t>
        </r>
      </text>
    </comment>
    <comment ref="O10" authorId="1" shapeId="0" xr:uid="{00000000-0006-0000-0000-00002D000000}">
      <text>
        <r>
          <rPr>
            <sz val="11"/>
            <color theme="1"/>
            <rFont val="Calibri"/>
            <family val="2"/>
            <charset val="1"/>
          </rPr>
          <t>Old: 1 → New: 0.82
Glassdoor 4.1/5 → 0.82 (formula rating/5). 84% recommend, 4.1 WLB, 4.2 culture. Source: Glassdoor RATIONAL reviews.</t>
        </r>
      </text>
    </comment>
    <comment ref="P10" authorId="1" shapeId="0" xr:uid="{00000000-0006-0000-0000-00002E000000}">
      <text>
        <r>
          <rPr>
            <sz val="11"/>
            <color theme="1"/>
            <rFont val="Calibri"/>
            <family val="2"/>
            <charset val="1"/>
          </rPr>
          <t>Old: 0 → New: 1
CORRECCIÓN: Peter Stadelmann CEO desde 2014 (contrato hasta 2027), ejecutor excelente. Familia Meister controla &gt;50% con visión a largo plazo. Calidad management = 1. Source: RATIONAL AG Annual Report FY25.</t>
        </r>
      </text>
    </comment>
    <comment ref="V10" authorId="1" shapeId="0" xr:uid="{00000000-0006-0000-0000-00002F000000}">
      <text>
        <r>
          <rPr>
            <sz val="11"/>
            <color theme="1"/>
            <rFont val="Calibri"/>
            <family val="2"/>
            <charset val="1"/>
          </rPr>
          <t>Old: 11 → New: 10
Potential ajustado: FY25 +6% revenue, +8% FX-adj. Asia -11% (China softness material). 50% share combi ovens límite; crecimiento iVario incremental. Source: RATIONAL AG Annual Report FY25.</t>
        </r>
      </text>
    </comment>
    <comment ref="AA10" authorId="1" shapeId="0" xr:uid="{00000000-0006-0000-0000-000030000000}">
      <text>
        <r>
          <rPr>
            <sz val="11"/>
            <color theme="1"/>
            <rFont val="Calibri"/>
            <family val="2"/>
            <charset val="1"/>
          </rPr>
          <t>Old: -6 → New: -7
Risks: Asia -11% (China/Japón), exposición cíclica restauración, commodities (acero), costes energía en Alemania. Source: EQS News Q2 2025 + Annual Report.</t>
        </r>
      </text>
    </comment>
    <comment ref="K11" authorId="1" shapeId="0" xr:uid="{00000000-0006-0000-0000-000031000000}">
      <text>
        <r>
          <rPr>
            <sz val="11"/>
            <color theme="1"/>
            <rFont val="Calibri"/>
            <family val="2"/>
            <charset val="1"/>
          </rPr>
          <t>Old: 7 → New: 6
MOAT R1 ajustado: presión platformización real. PANW Prisma Access ARR $5.6B +32% y MSFT bundling (Entra/Purview) comprimen pricing power. Zscaler sigue siendo líder SSE pero moat -1. Source: PANW + Zscaler Q1 FY26 + TechI cybersecurity 2026.</t>
        </r>
      </text>
    </comment>
    <comment ref="O11" authorId="1" shapeId="0" xr:uid="{00000000-0006-0000-0000-000032000000}">
      <text>
        <r>
          <rPr>
            <sz val="11"/>
            <color theme="1"/>
            <rFont val="Calibri"/>
            <family val="2"/>
            <charset val="1"/>
          </rPr>
          <t>Old: 0 → New: 0.72
Glassdoor 3.6/5 → 0.72 (formula rating/5). Nota bajó 5% en 12 meses. Cultura agresiva metrics-driven criticada. WLB 3.3. Source: Glassdoor Zscaler reviews.</t>
        </r>
      </text>
    </comment>
    <comment ref="U11" authorId="1" shapeId="0" xr:uid="{00000000-0006-0000-0000-000033000000}">
      <text>
        <r>
          <rPr>
            <sz val="11"/>
            <color theme="1"/>
            <rFont val="Calibri"/>
            <family val="2"/>
            <charset val="1"/>
          </rPr>
          <t>Old: 17 → New: 15
R2 MOAT: network cloud inline masivo (Fortune 500 40%) pero competencia platform-wide comprime diferenciación. No es dominante como antes 2022. Source: TechI + peerspot Zscaler alternatives 2026.</t>
        </r>
      </text>
    </comment>
    <comment ref="AA11" authorId="1" shapeId="0" xr:uid="{00000000-0006-0000-0000-000034000000}">
      <text>
        <r>
          <rPr>
            <sz val="11"/>
            <color theme="1"/>
            <rFont val="Calibri"/>
            <family val="2"/>
            <charset val="1"/>
          </rPr>
          <t>Old: -8 → New: -11
Risks inflado inicialmente: PANW platformization + MSFT bundling + CRWD Falcon Flex (+120% YoY ARR $1.69B) + BTIG downgrade reciente. Net new ARR decelerando. Source: CRWD FY25 + PANW FY25 + BTIG notes.</t>
        </r>
      </text>
    </comment>
    <comment ref="AJ11" authorId="1" shapeId="0" xr:uid="{00000000-0006-0000-0000-000035000000}">
      <text>
        <r>
          <rPr>
            <sz val="11"/>
            <color theme="1"/>
            <rFont val="Calibri"/>
            <family val="2"/>
            <charset val="1"/>
          </rPr>
          <t>Old: 13 → New: 12
MOAT structural: cloud-native single-proxy architecture sigue siendo diferenciada, pero platformización reduce ventaja estructural. Source: peerspot alternatives + PANW SASE comparison page.</t>
        </r>
      </text>
    </comment>
    <comment ref="AK11" authorId="1" shapeId="0" xr:uid="{00000000-0006-0000-0000-000036000000}">
      <text>
        <r>
          <rPr>
            <sz val="11"/>
            <color theme="1"/>
            <rFont val="Calibri"/>
            <family val="2"/>
            <charset val="1"/>
          </rPr>
          <t>Old: -4 → New: -5
Terminal risk: AI agent security pivot incierto; SASE commoditizándose con PANW/CRWD/MSFT. Riesgo 5-10y de absorción por plataforma más amplia. Source: propio análisis + QZ AI agent security.</t>
        </r>
      </text>
    </comment>
    <comment ref="O12" authorId="1" shapeId="0" xr:uid="{00000000-0006-0000-0000-000037000000}">
      <text>
        <r>
          <rPr>
            <sz val="11"/>
            <color theme="1"/>
            <rFont val="Calibri"/>
            <family val="2"/>
            <charset val="1"/>
          </rPr>
          <t>Old: 1 → New: 0.82
Glassdoor 4.1/5 → 0.82 (formula). Nintendo of America 4.2/5 = 0.84. Culture 4.2, buena WLB para Japón. Source: Glassdoor Nintendo reviews.</t>
        </r>
      </text>
    </comment>
    <comment ref="P12" authorId="1" shapeId="0" xr:uid="{00000000-0006-0000-0000-000038000000}">
      <text>
        <r>
          <rPr>
            <sz val="11"/>
            <color theme="1"/>
            <rFont val="Calibri"/>
            <family val="2"/>
            <charset val="1"/>
          </rPr>
          <t>Old: 0 → New: 1
CORRECCIÓN: Furukawa-san CEO desde 2018, ejecutó lanzamiento Switch 2 impecable (17.4M unidades Q3 FY26, revenue +99% YoY). Management institucional de altísima calidad. Source: Nintendo Q3 FY26 results + CNBC.</t>
        </r>
      </text>
    </comment>
    <comment ref="V12" authorId="1" shapeId="0" xr:uid="{00000000-0006-0000-0000-000039000000}">
      <text>
        <r>
          <rPr>
            <sz val="11"/>
            <color theme="1"/>
            <rFont val="Calibri"/>
            <family val="2"/>
            <charset val="1"/>
          </rPr>
          <t>Old: 13 → New: 14
Potential upgrade: Switch 2 momentum mejor que esperado (forecast 19M, sw upgrade a 48M), ciclo largo (10+ años), IP monetization fuera de hardware (pelis, Universal Studios). Source: Nintendo Q3 FY26 + Wikipedia Switch 2.</t>
        </r>
      </text>
    </comment>
    <comment ref="AA12" authorId="1" shapeId="0" xr:uid="{00000000-0006-0000-0000-00003A000000}">
      <text>
        <r>
          <rPr>
            <sz val="11"/>
            <color theme="1"/>
            <rFont val="Calibri"/>
            <family val="2"/>
            <charset val="1"/>
          </rPr>
          <t>Old: -7 → New: -8
Risks cíclico: dependencia ciclo hardware (cash flow concentrado 2-3 años), posible fatiga post-Switch 2, competencia mobile/cloud gaming. Yen volatility. Source: Nintendo IR + GameWorld Observer.</t>
        </r>
      </text>
    </comment>
    <comment ref="O13" authorId="1" shapeId="0" xr:uid="{00000000-0006-0000-0000-00003B000000}">
      <text>
        <r>
          <rPr>
            <sz val="11"/>
            <color theme="1"/>
            <rFont val="Calibri"/>
            <family val="2"/>
            <charset val="1"/>
          </rPr>
          <t>Old: 0 → New: 0.72
Glassdoor 3.6/5 → 0.72 (formula). WLB 3.1, culture 3.3, 60% recommend. Reputación dual: tech roles OK, warehouse workers conflict. Source: Glassdoor Amazon reviews (207k reviews).</t>
        </r>
      </text>
    </comment>
    <comment ref="Q13" authorId="1" shapeId="0" xr:uid="{00000000-0006-0000-0000-00003C000000}">
      <text>
        <r>
          <rPr>
            <sz val="11"/>
            <color theme="1"/>
            <rFont val="Calibri"/>
            <family val="2"/>
            <charset val="1"/>
          </rPr>
          <t>Old: 0 → New: 0.5
Ownership: Bezos retiene ~8.6% stake + Exec Chair activo. Alineación founder aún presente aunque diluida. 0 subestimaba. Adjust 0 → 0.5. Source: AMZN proxy statement 2025.</t>
        </r>
      </text>
    </comment>
    <comment ref="AA13" authorId="1" shapeId="0" xr:uid="{00000000-0006-0000-0000-00003D000000}">
      <text>
        <r>
          <rPr>
            <sz val="11"/>
            <color theme="1"/>
            <rFont val="Calibri"/>
            <family val="2"/>
            <charset val="1"/>
          </rPr>
          <t>Old: -10 → New: -12
Risks FTC: juicio fijado Feb 9 2027 (confirmado, federal). Base case 50% consent decree; worst case 25% separación marketplace/fulfillment (rev -10-15%). EU DMA overhang adicional. AWS capex $200B+ AI arms race. Source: MLex + Retail Dive + WaPo FTC v Amazon.</t>
        </r>
      </text>
    </comment>
    <comment ref="AK13" authorId="1" shapeId="0" xr:uid="{00000000-0006-0000-0000-00003E000000}">
      <text>
        <r>
          <rPr>
            <sz val="11"/>
            <color theme="1"/>
            <rFont val="Calibri"/>
            <family val="2"/>
            <charset val="1"/>
          </rPr>
          <t>Old: -4 → New: -5
Terminal risk: antitrust separación estructural + AI eroding AWS competitive edge (hyperscaler arms race, Trainium vs Nvidia incierto). Source: FinancialContent AMZN AI utility + FTC case.</t>
        </r>
      </text>
    </comment>
    <comment ref="L14" authorId="1" shapeId="0" xr:uid="{00000000-0006-0000-0000-00003F000000}">
      <text>
        <r>
          <rPr>
            <sz val="11"/>
            <color theme="1"/>
            <rFont val="Calibri"/>
            <family val="2"/>
            <charset val="1"/>
          </rPr>
          <t>Old: 2 → New: 3
Optionality upgrade: AI datacenter growth triple-dígito en Q4 2025, electrification supercycle multi-década, EV charging, grid modernization. Real option. Source: SE Q3 2025 release + Facilities Dive datacenter.</t>
        </r>
      </text>
    </comment>
    <comment ref="O14" authorId="1" shapeId="0" xr:uid="{00000000-0006-0000-0000-000040000000}">
      <text>
        <r>
          <rPr>
            <sz val="11"/>
            <color theme="1"/>
            <rFont val="Calibri"/>
            <family val="2"/>
            <charset val="1"/>
          </rPr>
          <t>Old: 1 → New: 0.84
Glassdoor 4.2/5 → 0.84 (formula). 87% recommend — de los más altos de la watchlist. Source: Glassdoor Schneider Electric.</t>
        </r>
      </text>
    </comment>
    <comment ref="V14" authorId="1" shapeId="0" xr:uid="{00000000-0006-0000-0000-000041000000}">
      <text>
        <r>
          <rPr>
            <sz val="11"/>
            <color theme="1"/>
            <rFont val="Calibri"/>
            <family val="2"/>
            <charset val="1"/>
          </rPr>
          <t>Old: 14 → New: 15
Potential upgrade: FY25 +8.9% organic, +15% NA, datacenter triple-dígito. Electrification structural 10-20y tailwind. Source: SE FY25 annual results.</t>
        </r>
      </text>
    </comment>
    <comment ref="L15" authorId="1" shapeId="0" xr:uid="{00000000-0006-0000-0000-000042000000}">
      <text>
        <r>
          <rPr>
            <sz val="11"/>
            <color theme="1"/>
            <rFont val="Calibri"/>
            <family val="2"/>
            <charset val="1"/>
          </rPr>
          <t>Old: 1 → New: 2
Optionality upgrade: online 27% de ventas (€10.7B), Zara Try-on IA en 43 markets, adjacencies (Zara Home, Pull&amp;Bear, Massimo Dutti). Source: ITX FY25 results.</t>
        </r>
      </text>
    </comment>
    <comment ref="O15" authorId="1" shapeId="0" xr:uid="{00000000-0006-0000-0000-000043000000}">
      <text>
        <r>
          <rPr>
            <sz val="11"/>
            <color theme="1"/>
            <rFont val="Calibri"/>
            <family val="2"/>
            <charset val="1"/>
          </rPr>
          <t>Old: 0 → New: 0.74
Glassdoor 3.7/5 → 0.74 (formula). 64% recommend. Retail WLB típico pero culture Ortega OK. Source: Glassdoor Inditex.</t>
        </r>
      </text>
    </comment>
    <comment ref="AA15" authorId="1" shapeId="0" xr:uid="{00000000-0006-0000-0000-000044000000}">
      <text>
        <r>
          <rPr>
            <sz val="11"/>
            <color theme="1"/>
            <rFont val="Calibri"/>
            <family val="2"/>
            <charset val="1"/>
          </rPr>
          <t>Old: -6 → New: -8
Risks elevados: Shein/Temu Chinese fast fashion ataque real, discrecional consumo, sostenibilidad backlash. Source: ITX FY25 + Modaes takeaways.</t>
        </r>
      </text>
    </comment>
    <comment ref="AK15" authorId="1" shapeId="0" xr:uid="{00000000-0006-0000-0000-000045000000}">
      <text>
        <r>
          <rPr>
            <sz val="11"/>
            <color theme="1"/>
            <rFont val="Calibri"/>
            <family val="2"/>
            <charset val="1"/>
          </rPr>
          <t>Old: -3 → New: -4
Terminal risk: fast fashion Chinese AI-driven (Shein algorithm + Temu) amenaza estructural 5-10y sobre modelo Zara. Source: industry analysis.</t>
        </r>
      </text>
    </comment>
    <comment ref="L16" authorId="1" shapeId="0" xr:uid="{00000000-0006-0000-0000-000046000000}">
      <text>
        <r>
          <rPr>
            <sz val="11"/>
            <color theme="1"/>
            <rFont val="Calibri"/>
            <family val="2"/>
            <charset val="1"/>
          </rPr>
          <t>Old: 2 → New: 3
Optionality real demostrada: Nákd, TREK, BEAR (acquisiciones exitosas), Thailand plant (Chonburi), US Mebane expansion. Source: LOTB FY25 press + ESM Magazine.</t>
        </r>
      </text>
    </comment>
    <comment ref="O16" authorId="1" shapeId="0" xr:uid="{00000000-0006-0000-0000-000047000000}">
      <text>
        <r>
          <rPr>
            <sz val="11"/>
            <color theme="1"/>
            <rFont val="Calibri"/>
            <family val="2"/>
            <charset val="1"/>
          </rPr>
          <t>Old: 0 → New: 0.76
Glassdoor 3.8/5 → 0.76 (formula). Culture small-company Boone family aligned. Source: Glassdoor Lotus Bakeries.</t>
        </r>
      </text>
    </comment>
    <comment ref="T16" authorId="1" shapeId="0" xr:uid="{00000000-0006-0000-0000-000048000000}">
      <text>
        <r>
          <rPr>
            <sz val="11"/>
            <color theme="1"/>
            <rFont val="Calibri"/>
            <family val="2"/>
            <charset val="1"/>
          </rPr>
          <t>Old: 15 → New: 16
R2 Fin upgrade: 10% revenue growth 2025 (€1.355B), 20%+ EBITDA margin, net cash strong. Source: LOTB Annual Results 2025.</t>
        </r>
      </text>
    </comment>
    <comment ref="V16" authorId="1" shapeId="0" xr:uid="{00000000-0006-0000-0000-000049000000}">
      <text>
        <r>
          <rPr>
            <sz val="11"/>
            <color theme="1"/>
            <rFont val="Calibri"/>
            <family val="2"/>
            <charset val="1"/>
          </rPr>
          <t>Old: 11 → New: 13
Potential upgrade material: US BEAR +17% growth outstanding, Biscoff +13% organic, Thailand plant starting, India potential sin tapar. Source: LOTB FY25 press release.</t>
        </r>
      </text>
    </comment>
    <comment ref="AA16" authorId="1" shapeId="0" xr:uid="{00000000-0006-0000-0000-00004A000000}">
      <text>
        <r>
          <rPr>
            <sz val="11"/>
            <color theme="1"/>
            <rFont val="Calibri"/>
            <family val="2"/>
            <charset val="1"/>
          </rPr>
          <t>Old: -6 → New: -7
Risks: Biscoff 57% de branded revenue — concentración producto real. Commodity (butter, sugar) exposure. Source: LOTB Annual Report 2025.</t>
        </r>
      </text>
    </comment>
    <comment ref="AG16" authorId="1" shapeId="0" xr:uid="{00000000-0006-0000-0000-00004B000000}">
      <text>
        <r>
          <rPr>
            <sz val="11"/>
            <color theme="1"/>
            <rFont val="Calibri"/>
            <family val="2"/>
            <charset val="1"/>
          </rPr>
          <t>Old: 12 → New: 13
Capital Allocation upgrade: M&amp;A disciplinado (Nákd 2015, TREK 2019, BEAR 2018) todos integrados bien. Source: LOTB track record.</t>
        </r>
      </text>
    </comment>
    <comment ref="L17" authorId="1" shapeId="0" xr:uid="{00000000-0006-0000-0000-00004C000000}">
      <text>
        <r>
          <rPr>
            <sz val="11"/>
            <color theme="1"/>
            <rFont val="Calibri"/>
            <family val="2"/>
            <charset val="1"/>
          </rPr>
          <t>Old: 2 → New: 3
Optionality upgrade: M&amp;A serial optionality probada, 2 adquisiciones FY26 YTD por £129M (Safetec €73M + Brownline €150M). 40+ companies portfolio. Source: Halma press releases 2025/26.</t>
        </r>
      </text>
    </comment>
    <comment ref="O17" authorId="1" shapeId="0" xr:uid="{00000000-0006-0000-0000-00004D000000}">
      <text>
        <r>
          <rPr>
            <sz val="11"/>
            <color theme="1"/>
            <rFont val="Calibri"/>
            <family val="2"/>
            <charset val="1"/>
          </rPr>
          <t>Old: 1 → New: 0.86
Glassdoor 4.3/5 → 0.86 (formula). De los más altos del mercado. 4.0 compensation. Source: Glassdoor Halma.</t>
        </r>
      </text>
    </comment>
    <comment ref="P17" authorId="1" shapeId="0" xr:uid="{00000000-0006-0000-0000-00004E000000}">
      <text>
        <r>
          <rPr>
            <sz val="11"/>
            <color theme="1"/>
            <rFont val="Calibri"/>
            <family val="2"/>
            <charset val="1"/>
          </rPr>
          <t>Old: 0 → New: 1
CORRECCIÓN: Marc Ronchetti CEO desde 2023 ejecutando modelo descentralizado top-tier (47 años consecutivos record profit). Calidad management = 1. Source: Halma FY2024/25.</t>
        </r>
      </text>
    </comment>
    <comment ref="O18" authorId="1" shapeId="0" xr:uid="{00000000-0006-0000-0000-00004F000000}">
      <text>
        <r>
          <rPr>
            <sz val="11"/>
            <color theme="1"/>
            <rFont val="Calibri"/>
            <family val="2"/>
            <charset val="1"/>
          </rPr>
          <t>Old: 0 → New: 0.78
Glassdoor 3.9/5 → 0.78 (formula). Culture software sólida. Source: Glassdoor FICO.</t>
        </r>
      </text>
    </comment>
    <comment ref="V18" authorId="1" shapeId="0" xr:uid="{00000000-0006-0000-0000-000050000000}">
      <text>
        <r>
          <rPr>
            <sz val="11"/>
            <color theme="1"/>
            <rFont val="Calibri"/>
            <family val="2"/>
            <charset val="1"/>
          </rPr>
          <t>Old: 12 → New: 10
Potential DOWNGRADE: FY26 guidance $2.35B vs consensus $2.44B lagged. Pricing hikes ($4.95→$10/score) alcanzaron límite regulatorio. Source: FICO Q1 FY26 + National Mortgage News.</t>
        </r>
      </text>
    </comment>
    <comment ref="AA18" authorId="1" shapeId="0" xr:uid="{00000000-0006-0000-0000-000051000000}">
      <text>
        <r>
          <rPr>
            <sz val="11"/>
            <color theme="1"/>
            <rFont val="Calibri"/>
            <family val="2"/>
            <charset val="1"/>
          </rPr>
          <t>Old: -10 → New: -15
Risks materiales: CFPB investigation + Senator Hawley investigation + DOJ antitrust probe sobre tying software/score. Stock -50% desde 2025 highs. Source: Hawley press release + FinancialContent.</t>
        </r>
      </text>
    </comment>
    <comment ref="AD18" authorId="1" shapeId="0" xr:uid="{00000000-0006-0000-0000-000052000000}">
      <text>
        <r>
          <rPr>
            <sz val="11"/>
            <color theme="1"/>
            <rFont val="Calibri"/>
            <family val="2"/>
            <charset val="1"/>
          </rPr>
          <t>Old: 15 → New: 14
Durability ligero ajuste: regulatory reset material posible. Credit scoring sigue siendo core pero monopolio puede ser atacado. Source: DOJ + CFPB scrutiny.</t>
        </r>
      </text>
    </comment>
    <comment ref="AJ18" authorId="1" shapeId="0" xr:uid="{00000000-0006-0000-0000-000053000000}">
      <text>
        <r>
          <rPr>
            <sz val="11"/>
            <color theme="1"/>
            <rFont val="Calibri"/>
            <family val="2"/>
            <charset val="1"/>
          </rPr>
          <t>Old: 15 → New: 13
MOAT Structural: VantageScore gaining + AI-based alternative models + DOJ tying probe comprimen dominio 90%+. Source: FinancialContent + Yahoo Finance FICO.</t>
        </r>
      </text>
    </comment>
    <comment ref="AK18" authorId="1" shapeId="0" xr:uid="{00000000-0006-0000-0000-000054000000}">
      <text>
        <r>
          <rPr>
            <sz val="11"/>
            <color theme="1"/>
            <rFont val="Calibri"/>
            <family val="2"/>
            <charset val="1"/>
          </rPr>
          <t>Old: -3 → New: -6
Terminal Risk: combinación DOJ antitrust (forced separation potential) + AI alternative scoring multiplies 10y tail risk. Source: Hawley + Ballard Spahr mortgage update.</t>
        </r>
      </text>
    </comment>
    <comment ref="K19" authorId="1" shapeId="0" xr:uid="{00000000-0006-0000-0000-000055000000}">
      <text>
        <r>
          <rPr>
            <sz val="11"/>
            <color theme="1"/>
            <rFont val="Calibri"/>
            <family val="2"/>
            <charset val="1"/>
          </rPr>
          <t>Old: 6 → New: 7
MOAT upgrade: 275 companies niche leaders (dental + demolition + systems) con moat estructural en cada vertical, similar a Halma. Source: Lifco FY2025 Year-end Report.</t>
        </r>
      </text>
    </comment>
    <comment ref="L19" authorId="1" shapeId="0" xr:uid="{00000000-0006-0000-0000-000056000000}">
      <text>
        <r>
          <rPr>
            <sz val="11"/>
            <color theme="1"/>
            <rFont val="Calibri"/>
            <family val="2"/>
            <charset val="1"/>
          </rPr>
          <t>Old: 2 → New: 3
Optionality upgrade: 17 adquisiciones en 2025 (3,913 MSEK EV, ~598 MSEK EBITA added). Serial acquirer model probado. Source: Lifco FY2025 + Substack Compounding Tortoise.</t>
        </r>
      </text>
    </comment>
    <comment ref="O19" authorId="1" shapeId="0" xr:uid="{00000000-0006-0000-0000-000057000000}">
      <text>
        <r>
          <rPr>
            <sz val="11"/>
            <color theme="1"/>
            <rFont val="Calibri"/>
            <family val="2"/>
            <charset val="1"/>
          </rPr>
          <t>Old: 1 → New: 0.7
Glassdoor 3.5/5 → 0.70 (formula). N=20 reviews Lifco Group (limited sample). Source: Glassdoor.</t>
        </r>
      </text>
    </comment>
    <comment ref="P19" authorId="1" shapeId="0" xr:uid="{00000000-0006-0000-0000-000058000000}">
      <text>
        <r>
          <rPr>
            <sz val="11"/>
            <color theme="1"/>
            <rFont val="Calibri"/>
            <family val="2"/>
            <charset val="1"/>
          </rPr>
          <t>Old: 0 → New: 0.5
Per Waldemarson CEO desde 2019 (Fredrik Karlsson salió a fundar Röko 2019). Management sólido pero no star level. Adj 0→0.5. Source: Lifco IR.</t>
        </r>
      </text>
    </comment>
    <comment ref="T19" authorId="1" shapeId="0" xr:uid="{00000000-0006-0000-0000-000059000000}">
      <text>
        <r>
          <rPr>
            <sz val="11"/>
            <color theme="1"/>
            <rFont val="Calibri"/>
            <family val="2"/>
            <charset val="1"/>
          </rPr>
          <t>Old: 14 → New: 15
R2 Fin upgrade: EBITA margin 22.4% en 2025 (record), FCF sólido, net sales 28.3B SEK. Source: Lifco FY2025 Year-end Report.</t>
        </r>
      </text>
    </comment>
    <comment ref="AA19" authorId="1" shapeId="0" xr:uid="{00000000-0006-0000-0000-00005A000000}">
      <text>
        <r>
          <rPr>
            <sz val="11"/>
            <color theme="1"/>
            <rFont val="Calibri"/>
            <family val="2"/>
            <charset val="1"/>
          </rPr>
          <t>Old: -6 → New: -7
Risks: valoración premium (35x PE), Karlsson departure legacy risk, rate sensitivity M&amp;A. Source: Substack deep dives + Ad-hoc news.</t>
        </r>
      </text>
    </comment>
    <comment ref="AJ19" authorId="1" shapeId="0" xr:uid="{00000000-0006-0000-0000-00005B000000}">
      <text>
        <r>
          <rPr>
            <sz val="11"/>
            <color theme="1"/>
            <rFont val="Calibri"/>
            <family val="2"/>
            <charset val="1"/>
          </rPr>
          <t>Old: 12 → New: 13
MOAT Structural: 275 companies diversifican, portfolio structural advantage comparable a Halma. Source: Lifco Annual Report.</t>
        </r>
      </text>
    </comment>
    <comment ref="AK19" authorId="1" shapeId="0" xr:uid="{00000000-0006-0000-0000-00005C000000}">
      <text>
        <r>
          <rPr>
            <sz val="11"/>
            <color theme="1"/>
            <rFont val="Calibri"/>
            <family val="2"/>
            <charset val="1"/>
          </rPr>
          <t>Old: -4 → New: -3
Terminal Risk lower: portfolio 275 companies 37 countries reduce tail risk individual. Adj -4→-3. Source: portfolio analysis.</t>
        </r>
      </text>
    </comment>
    <comment ref="K20" authorId="1" shapeId="0" xr:uid="{00000000-0006-0000-0000-00005D000000}">
      <text>
        <r>
          <rPr>
            <sz val="11"/>
            <color theme="1"/>
            <rFont val="Calibri"/>
            <family val="2"/>
            <charset val="1"/>
          </rPr>
          <t>Old: 6 → New: 7
MOAT upgrade: network effects ticketing (178M tickets 2025, 9B EUR GTV) + promoter relationships (Ocesa, France). European #1. Source: CTS Eventim FY2025.</t>
        </r>
      </text>
    </comment>
    <comment ref="O20" authorId="1" shapeId="0" xr:uid="{00000000-0006-0000-0000-00005E000000}">
      <text>
        <r>
          <rPr>
            <sz val="11"/>
            <color theme="1"/>
            <rFont val="Calibri"/>
            <family val="2"/>
            <charset val="1"/>
          </rPr>
          <t>Old: 0 → New: 0.5
Glassdoor: sin data robusta encontrada; estimación conservadora 0.5. Schulenberg founder culture sólida. Source: conservative estimate.</t>
        </r>
      </text>
    </comment>
    <comment ref="V20" authorId="1" shapeId="0" xr:uid="{00000000-0006-0000-0000-00005F000000}">
      <text>
        <r>
          <rPr>
            <sz val="11"/>
            <color theme="1"/>
            <rFont val="Calibri"/>
            <family val="2"/>
            <charset val="1"/>
          </rPr>
          <t>Old: 11 → New: 12
Potential upgrade: revenue €3B+ por primera vez (+9.6%), Live Entertainment exceeded €2B. Expansion geográfica ongoing (France, Mexico, Italy). Source: CTS Eventim FY2025 release.</t>
        </r>
      </text>
    </comment>
    <comment ref="L21" authorId="1" shapeId="0" xr:uid="{00000000-0006-0000-0000-000060000000}">
      <text>
        <r>
          <rPr>
            <sz val="11"/>
            <color theme="1"/>
            <rFont val="Calibri"/>
            <family val="2"/>
            <charset val="1"/>
          </rPr>
          <t>Old: 1 → New: 2
Optionality upgrade: int'l sales +23% Q3 2025 (43% of total, record). Strategic brands 57 countries. Coke distribution partnership. Source: MNST Q3 2025 + Simply Wall St.</t>
        </r>
      </text>
    </comment>
    <comment ref="O21" authorId="1" shapeId="0" xr:uid="{00000000-0006-0000-0000-000061000000}">
      <text>
        <r>
          <rPr>
            <sz val="11"/>
            <color theme="1"/>
            <rFont val="Calibri"/>
            <family val="2"/>
            <charset val="1"/>
          </rPr>
          <t>Old: 0 → New: 0.78
Glassdoor 3.9/5 → 0.78 (formula). Culture MAT team energy sólida. Source: Glassdoor Monster Energy.</t>
        </r>
      </text>
    </comment>
    <comment ref="AA21" authorId="1" shapeId="0" xr:uid="{00000000-0006-0000-0000-000062000000}">
      <text>
        <r>
          <rPr>
            <sz val="11"/>
            <color theme="1"/>
            <rFont val="Calibri"/>
            <family val="2"/>
            <charset val="1"/>
          </rPr>
          <t>Old: -7 → New: -9
Risks aumentados: Celsius (CELH) atacando share (CELH growth &gt;30% YoY), GLP-1 obesidad headwind incierto, private label erosión. Source: MNST 10-K 2025 + industry analysis.</t>
        </r>
      </text>
    </comment>
    <comment ref="AK21" authorId="1" shapeId="0" xr:uid="{00000000-0006-0000-0000-000063000000}">
      <text>
        <r>
          <rPr>
            <sz val="11"/>
            <color theme="1"/>
            <rFont val="Calibri"/>
            <family val="2"/>
            <charset val="1"/>
          </rPr>
          <t>Old: -3 → New: -4
Terminal Risk: combinación Celsius attacker + GLP-1 potencial hit energy beverages + Sacks/Schlosberg succession. Source: DCF model MNST + 10-K.</t>
        </r>
      </text>
    </comment>
    <comment ref="K22" authorId="1" shapeId="0" xr:uid="{00000000-0006-0000-0000-000064000000}">
      <text>
        <r>
          <rPr>
            <sz val="11"/>
            <color theme="1"/>
            <rFont val="Calibri"/>
            <family val="2"/>
            <charset val="1"/>
          </rPr>
          <t>Old: 6 → New: 7
MOAT upgrade: two-sided network efecto real — 5M+ active listings, 2B+ guest arrivals histórico. Barrera entrada masiva. Source: ABNB 10-K 2025.</t>
        </r>
      </text>
    </comment>
    <comment ref="L22" authorId="1" shapeId="0" xr:uid="{00000000-0006-0000-0000-000065000000}">
      <text>
        <r>
          <rPr>
            <sz val="11"/>
            <color theme="1"/>
            <rFont val="Calibri"/>
            <family val="2"/>
            <charset val="1"/>
          </rPr>
          <t>Old: 2 → New: 3
Optionality upgrade: Airbnb Services + Experiences (May 2025 launch, ~50% experiences bookings not attached to stay), hoteles boutique (NYC, LA, Madrid, SF). Source: ABNB Q4 2025 release.</t>
        </r>
      </text>
    </comment>
    <comment ref="O22" authorId="1" shapeId="0" xr:uid="{00000000-0006-0000-0000-000066000000}">
      <text>
        <r>
          <rPr>
            <sz val="11"/>
            <color theme="1"/>
            <rFont val="Calibri"/>
            <family val="2"/>
            <charset val="1"/>
          </rPr>
          <t>Old: 1 → New: 0.82
Glassdoor 4.1/5 → 0.82 (formula). 78% recommend. Compensation 4.2. Source: Glassdoor Airbnb.</t>
        </r>
      </text>
    </comment>
    <comment ref="U22" authorId="1" shapeId="0" xr:uid="{00000000-0006-0000-0000-000067000000}">
      <text>
        <r>
          <rPr>
            <sz val="11"/>
            <color theme="1"/>
            <rFont val="Calibri"/>
            <family val="2"/>
            <charset val="1"/>
          </rPr>
          <t>Old: 15 → New: 16
R2 MOAT upgrade: network effect más potente de lo reconocido — 5M listings imposibles de replicar, guest data asset. Source: ABNB analysis.</t>
        </r>
      </text>
    </comment>
    <comment ref="V22" authorId="1" shapeId="0" xr:uid="{00000000-0006-0000-0000-000068000000}">
      <text>
        <r>
          <rPr>
            <sz val="11"/>
            <color theme="1"/>
            <rFont val="Calibri"/>
            <family val="2"/>
            <charset val="1"/>
          </rPr>
          <t>Old: 13 → New: 14
Potential upgrade: Services + Experiences + hoteles partnerships abren TAM más allá de alquileres corto plazo. Source: ABNB Q4 2025 + Chesky narrativa.</t>
        </r>
      </text>
    </comment>
    <comment ref="Y22" authorId="1" shapeId="0" xr:uid="{00000000-0006-0000-0000-000069000000}">
      <text>
        <r>
          <rPr>
            <sz val="11"/>
            <color theme="1"/>
            <rFont val="Calibri"/>
            <family val="2"/>
            <charset val="1"/>
          </rPr>
          <t>Old: 11 → New: 12
Mgmt upgrade: Chesky founder-CEO visionario top-tier, managing product-led transformation. Source: Fortune interview + Airbnb exec team.</t>
        </r>
      </text>
    </comment>
    <comment ref="AJ22" authorId="1" shapeId="0" xr:uid="{00000000-0006-0000-0000-00006A000000}">
      <text>
        <r>
          <rPr>
            <sz val="11"/>
            <color theme="1"/>
            <rFont val="Calibri"/>
            <family val="2"/>
            <charset val="1"/>
          </rPr>
          <t>Old: 11 → New: 12
MOAT structural: two-sided network = structural advantage robusto. Source: network effects analysis.</t>
        </r>
      </text>
    </comment>
    <comment ref="L23" authorId="1" shapeId="0" xr:uid="{00000000-0006-0000-0000-00006B000000}">
      <text>
        <r>
          <rPr>
            <sz val="11"/>
            <color theme="1"/>
            <rFont val="Calibri"/>
            <family val="2"/>
            <charset val="1"/>
          </rPr>
          <t>Old: 1 → New: 2
Optionality: plan doblar stores a 5,000 (desde 2,746 H1 2025). Eastern Poland sin penetrar, land cheap. 20%/año store growth target. Source: DNP H1 2025 + Substack deep dives.</t>
        </r>
      </text>
    </comment>
    <comment ref="O23" authorId="1" shapeId="0" xr:uid="{00000000-0006-0000-0000-00006C000000}">
      <text>
        <r>
          <rPr>
            <sz val="11"/>
            <color theme="1"/>
            <rFont val="Calibri"/>
            <family val="2"/>
            <charset val="1"/>
          </rPr>
          <t>Old: 0 → New: 0.3
Glassdoor DNP: sin rating Glassdoor directo; Indeed Polish retail reviews reportan condiciones duras (9h+, min wage, no benefits). Estimación conservadora 0.3. Source: Indeed Dino Polska reviews.</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67">
    <bk>
      <extLst>
        <ext uri="{3e2802c4-a4d2-4d8b-9148-e3be6c30e623}">
          <xlrd:rvb i="2"/>
        </ext>
      </extLst>
    </bk>
    <bk>
      <extLst>
        <ext uri="{3e2802c4-a4d2-4d8b-9148-e3be6c30e623}">
          <xlrd:rvb i="9"/>
        </ext>
      </extLst>
    </bk>
    <bk>
      <extLst>
        <ext uri="{3e2802c4-a4d2-4d8b-9148-e3be6c30e623}">
          <xlrd:rvb i="12"/>
        </ext>
      </extLst>
    </bk>
    <bk>
      <extLst>
        <ext uri="{3e2802c4-a4d2-4d8b-9148-e3be6c30e623}">
          <xlrd:rvb i="15"/>
        </ext>
      </extLst>
    </bk>
    <bk>
      <extLst>
        <ext uri="{3e2802c4-a4d2-4d8b-9148-e3be6c30e623}">
          <xlrd:rvb i="18"/>
        </ext>
      </extLst>
    </bk>
    <bk>
      <extLst>
        <ext uri="{3e2802c4-a4d2-4d8b-9148-e3be6c30e623}">
          <xlrd:rvb i="21"/>
        </ext>
      </extLst>
    </bk>
    <bk>
      <extLst>
        <ext uri="{3e2802c4-a4d2-4d8b-9148-e3be6c30e623}">
          <xlrd:rvb i="24"/>
        </ext>
      </extLst>
    </bk>
    <bk>
      <extLst>
        <ext uri="{3e2802c4-a4d2-4d8b-9148-e3be6c30e623}">
          <xlrd:rvb i="27"/>
        </ext>
      </extLst>
    </bk>
    <bk>
      <extLst>
        <ext uri="{3e2802c4-a4d2-4d8b-9148-e3be6c30e623}">
          <xlrd:rvb i="30"/>
        </ext>
      </extLst>
    </bk>
    <bk>
      <extLst>
        <ext uri="{3e2802c4-a4d2-4d8b-9148-e3be6c30e623}">
          <xlrd:rvb i="33"/>
        </ext>
      </extLst>
    </bk>
    <bk>
      <extLst>
        <ext uri="{3e2802c4-a4d2-4d8b-9148-e3be6c30e623}">
          <xlrd:rvb i="36"/>
        </ext>
      </extLst>
    </bk>
    <bk>
      <extLst>
        <ext uri="{3e2802c4-a4d2-4d8b-9148-e3be6c30e623}">
          <xlrd:rvb i="39"/>
        </ext>
      </extLst>
    </bk>
    <bk>
      <extLst>
        <ext uri="{3e2802c4-a4d2-4d8b-9148-e3be6c30e623}">
          <xlrd:rvb i="42"/>
        </ext>
      </extLst>
    </bk>
    <bk>
      <extLst>
        <ext uri="{3e2802c4-a4d2-4d8b-9148-e3be6c30e623}">
          <xlrd:rvb i="45"/>
        </ext>
      </extLst>
    </bk>
    <bk>
      <extLst>
        <ext uri="{3e2802c4-a4d2-4d8b-9148-e3be6c30e623}">
          <xlrd:rvb i="48"/>
        </ext>
      </extLst>
    </bk>
    <bk>
      <extLst>
        <ext uri="{3e2802c4-a4d2-4d8b-9148-e3be6c30e623}">
          <xlrd:rvb i="51"/>
        </ext>
      </extLst>
    </bk>
    <bk>
      <extLst>
        <ext uri="{3e2802c4-a4d2-4d8b-9148-e3be6c30e623}">
          <xlrd:rvb i="54"/>
        </ext>
      </extLst>
    </bk>
    <bk>
      <extLst>
        <ext uri="{3e2802c4-a4d2-4d8b-9148-e3be6c30e623}">
          <xlrd:rvb i="57"/>
        </ext>
      </extLst>
    </bk>
    <bk>
      <extLst>
        <ext uri="{3e2802c4-a4d2-4d8b-9148-e3be6c30e623}">
          <xlrd:rvb i="60"/>
        </ext>
      </extLst>
    </bk>
    <bk>
      <extLst>
        <ext uri="{3e2802c4-a4d2-4d8b-9148-e3be6c30e623}">
          <xlrd:rvb i="63"/>
        </ext>
      </extLst>
    </bk>
    <bk>
      <extLst>
        <ext uri="{3e2802c4-a4d2-4d8b-9148-e3be6c30e623}">
          <xlrd:rvb i="65"/>
        </ext>
      </extLst>
    </bk>
    <bk>
      <extLst>
        <ext uri="{3e2802c4-a4d2-4d8b-9148-e3be6c30e623}">
          <xlrd:rvb i="68"/>
        </ext>
      </extLst>
    </bk>
    <bk>
      <extLst>
        <ext uri="{3e2802c4-a4d2-4d8b-9148-e3be6c30e623}">
          <xlrd:rvb i="71"/>
        </ext>
      </extLst>
    </bk>
    <bk>
      <extLst>
        <ext uri="{3e2802c4-a4d2-4d8b-9148-e3be6c30e623}">
          <xlrd:rvb i="74"/>
        </ext>
      </extLst>
    </bk>
    <bk>
      <extLst>
        <ext uri="{3e2802c4-a4d2-4d8b-9148-e3be6c30e623}">
          <xlrd:rvb i="77"/>
        </ext>
      </extLst>
    </bk>
    <bk>
      <extLst>
        <ext uri="{3e2802c4-a4d2-4d8b-9148-e3be6c30e623}">
          <xlrd:rvb i="80"/>
        </ext>
      </extLst>
    </bk>
    <bk>
      <extLst>
        <ext uri="{3e2802c4-a4d2-4d8b-9148-e3be6c30e623}">
          <xlrd:rvb i="83"/>
        </ext>
      </extLst>
    </bk>
    <bk>
      <extLst>
        <ext uri="{3e2802c4-a4d2-4d8b-9148-e3be6c30e623}">
          <xlrd:rvb i="86"/>
        </ext>
      </extLst>
    </bk>
    <bk>
      <extLst>
        <ext uri="{3e2802c4-a4d2-4d8b-9148-e3be6c30e623}">
          <xlrd:rvb i="89"/>
        </ext>
      </extLst>
    </bk>
    <bk>
      <extLst>
        <ext uri="{3e2802c4-a4d2-4d8b-9148-e3be6c30e623}">
          <xlrd:rvb i="91"/>
        </ext>
      </extLst>
    </bk>
    <bk>
      <extLst>
        <ext uri="{3e2802c4-a4d2-4d8b-9148-e3be6c30e623}">
          <xlrd:rvb i="94"/>
        </ext>
      </extLst>
    </bk>
    <bk>
      <extLst>
        <ext uri="{3e2802c4-a4d2-4d8b-9148-e3be6c30e623}">
          <xlrd:rvb i="97"/>
        </ext>
      </extLst>
    </bk>
    <bk>
      <extLst>
        <ext uri="{3e2802c4-a4d2-4d8b-9148-e3be6c30e623}">
          <xlrd:rvb i="100"/>
        </ext>
      </extLst>
    </bk>
    <bk>
      <extLst>
        <ext uri="{3e2802c4-a4d2-4d8b-9148-e3be6c30e623}">
          <xlrd:rvb i="103"/>
        </ext>
      </extLst>
    </bk>
    <bk>
      <extLst>
        <ext uri="{3e2802c4-a4d2-4d8b-9148-e3be6c30e623}">
          <xlrd:rvb i="106"/>
        </ext>
      </extLst>
    </bk>
    <bk>
      <extLst>
        <ext uri="{3e2802c4-a4d2-4d8b-9148-e3be6c30e623}">
          <xlrd:rvb i="109"/>
        </ext>
      </extLst>
    </bk>
    <bk>
      <extLst>
        <ext uri="{3e2802c4-a4d2-4d8b-9148-e3be6c30e623}">
          <xlrd:rvb i="112"/>
        </ext>
      </extLst>
    </bk>
    <bk>
      <extLst>
        <ext uri="{3e2802c4-a4d2-4d8b-9148-e3be6c30e623}">
          <xlrd:rvb i="115"/>
        </ext>
      </extLst>
    </bk>
    <bk>
      <extLst>
        <ext uri="{3e2802c4-a4d2-4d8b-9148-e3be6c30e623}">
          <xlrd:rvb i="118"/>
        </ext>
      </extLst>
    </bk>
    <bk>
      <extLst>
        <ext uri="{3e2802c4-a4d2-4d8b-9148-e3be6c30e623}">
          <xlrd:rvb i="121"/>
        </ext>
      </extLst>
    </bk>
    <bk>
      <extLst>
        <ext uri="{3e2802c4-a4d2-4d8b-9148-e3be6c30e623}">
          <xlrd:rvb i="124"/>
        </ext>
      </extLst>
    </bk>
    <bk>
      <extLst>
        <ext uri="{3e2802c4-a4d2-4d8b-9148-e3be6c30e623}">
          <xlrd:rvb i="127"/>
        </ext>
      </extLst>
    </bk>
    <bk>
      <extLst>
        <ext uri="{3e2802c4-a4d2-4d8b-9148-e3be6c30e623}">
          <xlrd:rvb i="130"/>
        </ext>
      </extLst>
    </bk>
    <bk>
      <extLst>
        <ext uri="{3e2802c4-a4d2-4d8b-9148-e3be6c30e623}">
          <xlrd:rvb i="133"/>
        </ext>
      </extLst>
    </bk>
    <bk>
      <extLst>
        <ext uri="{3e2802c4-a4d2-4d8b-9148-e3be6c30e623}">
          <xlrd:rvb i="136"/>
        </ext>
      </extLst>
    </bk>
    <bk>
      <extLst>
        <ext uri="{3e2802c4-a4d2-4d8b-9148-e3be6c30e623}">
          <xlrd:rvb i="139"/>
        </ext>
      </extLst>
    </bk>
    <bk>
      <extLst>
        <ext uri="{3e2802c4-a4d2-4d8b-9148-e3be6c30e623}">
          <xlrd:rvb i="142"/>
        </ext>
      </extLst>
    </bk>
    <bk>
      <extLst>
        <ext uri="{3e2802c4-a4d2-4d8b-9148-e3be6c30e623}">
          <xlrd:rvb i="145"/>
        </ext>
      </extLst>
    </bk>
    <bk>
      <extLst>
        <ext uri="{3e2802c4-a4d2-4d8b-9148-e3be6c30e623}">
          <xlrd:rvb i="148"/>
        </ext>
      </extLst>
    </bk>
    <bk>
      <extLst>
        <ext uri="{3e2802c4-a4d2-4d8b-9148-e3be6c30e623}">
          <xlrd:rvb i="151"/>
        </ext>
      </extLst>
    </bk>
    <bk>
      <extLst>
        <ext uri="{3e2802c4-a4d2-4d8b-9148-e3be6c30e623}">
          <xlrd:rvb i="154"/>
        </ext>
      </extLst>
    </bk>
    <bk>
      <extLst>
        <ext uri="{3e2802c4-a4d2-4d8b-9148-e3be6c30e623}">
          <xlrd:rvb i="157"/>
        </ext>
      </extLst>
    </bk>
    <bk>
      <extLst>
        <ext uri="{3e2802c4-a4d2-4d8b-9148-e3be6c30e623}">
          <xlrd:rvb i="160"/>
        </ext>
      </extLst>
    </bk>
    <bk>
      <extLst>
        <ext uri="{3e2802c4-a4d2-4d8b-9148-e3be6c30e623}">
          <xlrd:rvb i="163"/>
        </ext>
      </extLst>
    </bk>
    <bk>
      <extLst>
        <ext uri="{3e2802c4-a4d2-4d8b-9148-e3be6c30e623}">
          <xlrd:rvb i="166"/>
        </ext>
      </extLst>
    </bk>
    <bk>
      <extLst>
        <ext uri="{3e2802c4-a4d2-4d8b-9148-e3be6c30e623}">
          <xlrd:rvb i="169"/>
        </ext>
      </extLst>
    </bk>
    <bk>
      <extLst>
        <ext uri="{3e2802c4-a4d2-4d8b-9148-e3be6c30e623}">
          <xlrd:rvb i="172"/>
        </ext>
      </extLst>
    </bk>
    <bk>
      <extLst>
        <ext uri="{3e2802c4-a4d2-4d8b-9148-e3be6c30e623}">
          <xlrd:rvb i="174"/>
        </ext>
      </extLst>
    </bk>
    <bk>
      <extLst>
        <ext uri="{3e2802c4-a4d2-4d8b-9148-e3be6c30e623}">
          <xlrd:rvb i="177"/>
        </ext>
      </extLst>
    </bk>
    <bk>
      <extLst>
        <ext uri="{3e2802c4-a4d2-4d8b-9148-e3be6c30e623}">
          <xlrd:rvb i="180"/>
        </ext>
      </extLst>
    </bk>
    <bk>
      <extLst>
        <ext uri="{3e2802c4-a4d2-4d8b-9148-e3be6c30e623}">
          <xlrd:rvb i="183"/>
        </ext>
      </extLst>
    </bk>
    <bk>
      <extLst>
        <ext uri="{3e2802c4-a4d2-4d8b-9148-e3be6c30e623}">
          <xlrd:rvb i="186"/>
        </ext>
      </extLst>
    </bk>
    <bk>
      <extLst>
        <ext uri="{3e2802c4-a4d2-4d8b-9148-e3be6c30e623}">
          <xlrd:rvb i="188"/>
        </ext>
      </extLst>
    </bk>
    <bk>
      <extLst>
        <ext uri="{3e2802c4-a4d2-4d8b-9148-e3be6c30e623}">
          <xlrd:rvb i="190"/>
        </ext>
      </extLst>
    </bk>
    <bk>
      <extLst>
        <ext uri="{3e2802c4-a4d2-4d8b-9148-e3be6c30e623}">
          <xlrd:rvb i="192"/>
        </ext>
      </extLst>
    </bk>
    <bk>
      <extLst>
        <ext uri="{3e2802c4-a4d2-4d8b-9148-e3be6c30e623}">
          <xlrd:rvb i="194"/>
        </ext>
      </extLst>
    </bk>
    <bk>
      <extLst>
        <ext uri="{3e2802c4-a4d2-4d8b-9148-e3be6c30e623}">
          <xlrd:rvb i="196"/>
        </ext>
      </extLst>
    </bk>
  </futureMetadata>
  <cellMetadata count="1">
    <bk>
      <rc t="1" v="0"/>
    </bk>
  </cellMetadata>
  <valueMetadata count="67">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bk>
      <rc t="2" v="51"/>
    </bk>
    <bk>
      <rc t="2" v="52"/>
    </bk>
    <bk>
      <rc t="2" v="53"/>
    </bk>
    <bk>
      <rc t="2" v="54"/>
    </bk>
    <bk>
      <rc t="2" v="55"/>
    </bk>
    <bk>
      <rc t="2" v="56"/>
    </bk>
    <bk>
      <rc t="2" v="57"/>
    </bk>
    <bk>
      <rc t="2" v="58"/>
    </bk>
    <bk>
      <rc t="2" v="59"/>
    </bk>
    <bk>
      <rc t="2" v="60"/>
    </bk>
    <bk>
      <rc t="2" v="61"/>
    </bk>
    <bk>
      <rc t="2" v="62"/>
    </bk>
    <bk>
      <rc t="2" v="63"/>
    </bk>
    <bk>
      <rc t="2" v="64"/>
    </bk>
    <bk>
      <rc t="2" v="65"/>
    </bk>
    <bk>
      <rc t="2" v="66"/>
    </bk>
  </valueMetadata>
</metadata>
</file>

<file path=xl/sharedStrings.xml><?xml version="1.0" encoding="utf-8"?>
<sst xmlns="http://schemas.openxmlformats.org/spreadsheetml/2006/main" count="826" uniqueCount="449">
  <si>
    <t>WATCHLIST RATINGS — JP Morgan Equity Research Framework | Long-Term Investor View</t>
  </si>
  <si>
    <t>MARKET DATA</t>
  </si>
  <si>
    <t>RATING 1 — STRUCTURAL QUALITY (Normalized 0–10)</t>
  </si>
  <si>
    <t>RATING 2 — ECONOMIC QUALITY &amp; VALUE CREATION (Normalized 0–10)</t>
  </si>
  <si>
    <t>RATING 3 — DURABILITY &amp; EXISTENTIAL RISK (Normalized 0–10)</t>
  </si>
  <si>
    <t>COMPOSITE RATING
(0–10 avg)</t>
  </si>
  <si>
    <t>Financials information</t>
  </si>
  <si>
    <t>Future valuation range</t>
  </si>
  <si>
    <t>Actualizaciones y resultados</t>
  </si>
  <si>
    <t>Company Name
Name</t>
  </si>
  <si>
    <t>Ticker
Symbol</t>
  </si>
  <si>
    <t>Category</t>
  </si>
  <si>
    <t>Estilo inversión</t>
  </si>
  <si>
    <t>Exchange
Listing</t>
  </si>
  <si>
    <t>Currency</t>
  </si>
  <si>
    <t>Price
Local ccy</t>
  </si>
  <si>
    <t>Shares Outstanding
millions</t>
  </si>
  <si>
    <t>Market Cap
local ccy, m</t>
  </si>
  <si>
    <t>Mission
(-1 to 2)</t>
  </si>
  <si>
    <t>MOAT
(0 to 8)</t>
  </si>
  <si>
    <t>Optionality
(0 to 3)</t>
  </si>
  <si>
    <t>Financials
(-1 to 1)</t>
  </si>
  <si>
    <t>Concentration
(-3 to 0)</t>
  </si>
  <si>
    <t>Glassdoor
(-1 to 1)</t>
  </si>
  <si>
    <t>Founder/CEO
(0 to 1)</t>
  </si>
  <si>
    <t>Ownership
(-1 to 1)</t>
  </si>
  <si>
    <t>R1 Sum
(max 17)</t>
  </si>
  <si>
    <t>RATING 1
0–10</t>
  </si>
  <si>
    <t>Financials
(0 to 17)</t>
  </si>
  <si>
    <t>MOAT
(0 to 20)</t>
  </si>
  <si>
    <t>Potential
(0 to 18)</t>
  </si>
  <si>
    <t>Customers
(0 to 10)</t>
  </si>
  <si>
    <t>Revenue Quality
(0 to 10)</t>
  </si>
  <si>
    <t>Mgmt &amp; Culture
(0 to 14)</t>
  </si>
  <si>
    <t>Stock &amp; Ownership
(0 to 11)</t>
  </si>
  <si>
    <t>Risks
(-44 to 0)</t>
  </si>
  <si>
    <t>R2 Sum
(max 100)</t>
  </si>
  <si>
    <t>RATING 2
0–10</t>
  </si>
  <si>
    <t>Durability
(0 to 15)</t>
  </si>
  <si>
    <t>Risk of Disappearance
(-20 to 0)</t>
  </si>
  <si>
    <t>Capital Intensity
(0 to 10)</t>
  </si>
  <si>
    <t>Capital Allocation
(0 to 15)</t>
  </si>
  <si>
    <t>Financing Source
(-10 to 5)</t>
  </si>
  <si>
    <t>Incentives
(0 to 10)</t>
  </si>
  <si>
    <t>MOAT Structural
(0 to 15)</t>
  </si>
  <si>
    <t>Terminal Risk
(-20 to 0)</t>
  </si>
  <si>
    <t>R3 Sum
(max 70)</t>
  </si>
  <si>
    <t>RATING 3
0–10</t>
  </si>
  <si>
    <t>FX Reporting</t>
  </si>
  <si>
    <t>Cash &amp; Equivalents</t>
  </si>
  <si>
    <t>Total Debt</t>
  </si>
  <si>
    <t>Enterprise Value</t>
  </si>
  <si>
    <t>FCF LTM (unlevered)</t>
  </si>
  <si>
    <t>NOPAT LTM</t>
  </si>
  <si>
    <t>EBITDA LTM</t>
  </si>
  <si>
    <t>Revenue LTM</t>
  </si>
  <si>
    <t>EV / FCF</t>
  </si>
  <si>
    <t>EV / EBITDA</t>
  </si>
  <si>
    <t>EV / Sales</t>
  </si>
  <si>
    <t>Capital Employed</t>
  </si>
  <si>
    <t>NOPAT M%</t>
  </si>
  <si>
    <t>Asset Turnover</t>
  </si>
  <si>
    <t>ROIC</t>
  </si>
  <si>
    <t>FCF @5y Min</t>
  </si>
  <si>
    <t>FCF min CAGR</t>
  </si>
  <si>
    <t>FCF @5y Max</t>
  </si>
  <si>
    <t>FCF max CAGR</t>
  </si>
  <si>
    <t>Exit Mult Min</t>
  </si>
  <si>
    <t>Exit Mult Max</t>
  </si>
  <si>
    <t>FVE min</t>
  </si>
  <si>
    <t>FVE max</t>
  </si>
  <si>
    <t>Worst IRR</t>
  </si>
  <si>
    <t>Best IRR</t>
  </si>
  <si>
    <t>Última actualización</t>
  </si>
  <si>
    <t>Últimos resultados</t>
  </si>
  <si>
    <t>Próximos resultados</t>
  </si>
  <si>
    <t>Vertical Saas</t>
  </si>
  <si>
    <t>Compounder</t>
  </si>
  <si>
    <t>USD</t>
  </si>
  <si>
    <t>1,616</t>
  </si>
  <si>
    <t>2,737</t>
  </si>
  <si>
    <t>2026-04-26</t>
  </si>
  <si>
    <t>04/03/2026</t>
  </si>
  <si>
    <t>27/05/2026</t>
  </si>
  <si>
    <t>Mag 7</t>
  </si>
  <si>
    <t>102,853</t>
  </si>
  <si>
    <t>153,471</t>
  </si>
  <si>
    <t>28/01/2026</t>
  </si>
  <si>
    <t>29/04/2026</t>
  </si>
  <si>
    <t>Fintech</t>
  </si>
  <si>
    <t>EUR</t>
  </si>
  <si>
    <t>1,392</t>
  </si>
  <si>
    <t>2,714</t>
  </si>
  <si>
    <t>12/02/2026</t>
  </si>
  <si>
    <t>12/08/2026</t>
  </si>
  <si>
    <t>Real Assets</t>
  </si>
  <si>
    <t>7,013</t>
  </si>
  <si>
    <t>10,962</t>
  </si>
  <si>
    <t>05/02/2026</t>
  </si>
  <si>
    <t>14/05/2026</t>
  </si>
  <si>
    <t>Defensive</t>
  </si>
  <si>
    <t>11,375</t>
  </si>
  <si>
    <t>14,980</t>
  </si>
  <si>
    <t>05/03/2026</t>
  </si>
  <si>
    <t>28/05/2026</t>
  </si>
  <si>
    <t>353</t>
  </si>
  <si>
    <t>504</t>
  </si>
  <si>
    <t>11/03/2026</t>
  </si>
  <si>
    <t>03/06/2026</t>
  </si>
  <si>
    <t>Hardware</t>
  </si>
  <si>
    <t>332</t>
  </si>
  <si>
    <t>479</t>
  </si>
  <si>
    <t>19/03/2026</t>
  </si>
  <si>
    <t>06/05/2026</t>
  </si>
  <si>
    <t>Cyber</t>
  </si>
  <si>
    <t>Growth</t>
  </si>
  <si>
    <t>1,176</t>
  </si>
  <si>
    <t>2,140</t>
  </si>
  <si>
    <t>26/02/2026</t>
  </si>
  <si>
    <t>IP owner</t>
  </si>
  <si>
    <t>JPY</t>
  </si>
  <si>
    <t>330,000</t>
  </si>
  <si>
    <t>608,004</t>
  </si>
  <si>
    <t>25/03/2026</t>
  </si>
  <si>
    <t>08/05/2026</t>
  </si>
  <si>
    <t>72,933</t>
  </si>
  <si>
    <t>109,218</t>
  </si>
  <si>
    <t>Electrify</t>
  </si>
  <si>
    <t>5,743</t>
  </si>
  <si>
    <t>8,291</t>
  </si>
  <si>
    <t>30/07/2026</t>
  </si>
  <si>
    <t>Consumo</t>
  </si>
  <si>
    <t>7,908</t>
  </si>
  <si>
    <t>11,455</t>
  </si>
  <si>
    <t>10/03/2026</t>
  </si>
  <si>
    <t>252</t>
  </si>
  <si>
    <t>378</t>
  </si>
  <si>
    <t>06/02/2026</t>
  </si>
  <si>
    <t>07/08/2026</t>
  </si>
  <si>
    <t>Healthcare</t>
  </si>
  <si>
    <t>GBP</t>
  </si>
  <si>
    <t>511</t>
  </si>
  <si>
    <t>737</t>
  </si>
  <si>
    <t>05/06/2025</t>
  </si>
  <si>
    <t>11/06/2026</t>
  </si>
  <si>
    <t>1,073</t>
  </si>
  <si>
    <t>1,670</t>
  </si>
  <si>
    <t>28/04/2026</t>
  </si>
  <si>
    <t>Industrial</t>
  </si>
  <si>
    <t>SEK</t>
  </si>
  <si>
    <t>5,330</t>
  </si>
  <si>
    <t>8,331</t>
  </si>
  <si>
    <t>24/04/2026</t>
  </si>
  <si>
    <t>14/07/2026</t>
  </si>
  <si>
    <t>547</t>
  </si>
  <si>
    <t>866</t>
  </si>
  <si>
    <t>2,190</t>
  </si>
  <si>
    <t>3,033</t>
  </si>
  <si>
    <t>07/05/2026</t>
  </si>
  <si>
    <t>5,360</t>
  </si>
  <si>
    <t>8,448</t>
  </si>
  <si>
    <t>PLN</t>
  </si>
  <si>
    <t>1,234</t>
  </si>
  <si>
    <t>2,052</t>
  </si>
  <si>
    <t>1,338</t>
  </si>
  <si>
    <t>1,939</t>
  </si>
  <si>
    <t>03/02/2026</t>
  </si>
  <si>
    <t>1,740</t>
  </si>
  <si>
    <t>2,615</t>
  </si>
  <si>
    <t>27</t>
  </si>
  <si>
    <t>46</t>
  </si>
  <si>
    <t>N/D</t>
  </si>
  <si>
    <t>CHF</t>
  </si>
  <si>
    <t>468</t>
  </si>
  <si>
    <t>735</t>
  </si>
  <si>
    <t>29/04/2025</t>
  </si>
  <si>
    <t>63,814</t>
  </si>
  <si>
    <t>105,017</t>
  </si>
  <si>
    <t>5,891</t>
  </si>
  <si>
    <t>10,451</t>
  </si>
  <si>
    <t>05/05/2026</t>
  </si>
  <si>
    <t>539</t>
  </si>
  <si>
    <t>962</t>
  </si>
  <si>
    <t>10/02/2026</t>
  </si>
  <si>
    <t>2,115</t>
  </si>
  <si>
    <t>3,811</t>
  </si>
  <si>
    <t>03/03/2026</t>
  </si>
  <si>
    <t>09/06/2026</t>
  </si>
  <si>
    <t>95,721</t>
  </si>
  <si>
    <t>150,852</t>
  </si>
  <si>
    <t>04/02/2026</t>
  </si>
  <si>
    <t>5,110</t>
  </si>
  <si>
    <t>7,402</t>
  </si>
  <si>
    <t>22/04/2026</t>
  </si>
  <si>
    <t>16/07/2026</t>
  </si>
  <si>
    <t>Sports</t>
  </si>
  <si>
    <t>1,582</t>
  </si>
  <si>
    <t>2,395</t>
  </si>
  <si>
    <t>18/02/2026</t>
  </si>
  <si>
    <t>construction</t>
  </si>
  <si>
    <t>730</t>
  </si>
  <si>
    <t>1,207</t>
  </si>
  <si>
    <t>20/02/2026</t>
  </si>
  <si>
    <t>KZT</t>
  </si>
  <si>
    <t>575,046</t>
  </si>
  <si>
    <t>1,020,211</t>
  </si>
  <si>
    <t>13/03/2026</t>
  </si>
  <si>
    <t>11/05/2026</t>
  </si>
  <si>
    <t>56</t>
  </si>
  <si>
    <t>92</t>
  </si>
  <si>
    <t>IA</t>
  </si>
  <si>
    <t>88,160</t>
  </si>
  <si>
    <t>240,448</t>
  </si>
  <si>
    <t>25/02/2026</t>
  </si>
  <si>
    <t>20/05/2026</t>
  </si>
  <si>
    <t>Alcohol</t>
  </si>
  <si>
    <t>80</t>
  </si>
  <si>
    <t>123</t>
  </si>
  <si>
    <t>26/03/2026</t>
  </si>
  <si>
    <t>51,426</t>
  </si>
  <si>
    <t>94,595</t>
  </si>
  <si>
    <t>15/04/2026</t>
  </si>
  <si>
    <t>4,637</t>
  </si>
  <si>
    <t>6,442</t>
  </si>
  <si>
    <t>1,204</t>
  </si>
  <si>
    <t>2,059</t>
  </si>
  <si>
    <t>29/10/2025</t>
  </si>
  <si>
    <t>30/04/2026</t>
  </si>
  <si>
    <t>55</t>
  </si>
  <si>
    <t>77</t>
  </si>
  <si>
    <t>31/03/2026</t>
  </si>
  <si>
    <t>28/08/2026</t>
  </si>
  <si>
    <t>348</t>
  </si>
  <si>
    <t>506</t>
  </si>
  <si>
    <t>03/03/2025</t>
  </si>
  <si>
    <t>1,275</t>
  </si>
  <si>
    <t>1,854</t>
  </si>
  <si>
    <t>23/02/2026</t>
  </si>
  <si>
    <t>27/07/2026</t>
  </si>
  <si>
    <t>Special situation</t>
  </si>
  <si>
    <t>1,435</t>
  </si>
  <si>
    <t>2,094</t>
  </si>
  <si>
    <t>116</t>
  </si>
  <si>
    <t>183</t>
  </si>
  <si>
    <t>210</t>
  </si>
  <si>
    <t>308</t>
  </si>
  <si>
    <t>Materials</t>
  </si>
  <si>
    <t>Raw materials</t>
  </si>
  <si>
    <t>242</t>
  </si>
  <si>
    <t>473</t>
  </si>
  <si>
    <t>16/04/2026</t>
  </si>
  <si>
    <t>5,000</t>
  </si>
  <si>
    <t>7,693</t>
  </si>
  <si>
    <t>25/06/2026</t>
  </si>
  <si>
    <t>121</t>
  </si>
  <si>
    <t>23/04/2026</t>
  </si>
  <si>
    <t>2,522</t>
  </si>
  <si>
    <t>4,044</t>
  </si>
  <si>
    <t>09/12/2025</t>
  </si>
  <si>
    <t>73</t>
  </si>
  <si>
    <t>186</t>
  </si>
  <si>
    <t>12/03/2026</t>
  </si>
  <si>
    <t>190</t>
  </si>
  <si>
    <t>366</t>
  </si>
  <si>
    <t>24/02/2026</t>
  </si>
  <si>
    <t>3,693</t>
  </si>
  <si>
    <t>25</t>
  </si>
  <si>
    <t>44</t>
  </si>
  <si>
    <t>323</t>
  </si>
  <si>
    <t>817</t>
  </si>
  <si>
    <t>88</t>
  </si>
  <si>
    <t>168</t>
  </si>
  <si>
    <t>28/07/2026</t>
  </si>
  <si>
    <t>90</t>
  </si>
  <si>
    <t>173</t>
  </si>
  <si>
    <t>04/12/2025</t>
  </si>
  <si>
    <t>02/07/2026</t>
  </si>
  <si>
    <t>178</t>
  </si>
  <si>
    <t>405</t>
  </si>
  <si>
    <t>-50</t>
  </si>
  <si>
    <t>114</t>
  </si>
  <si>
    <t>11/02/2026</t>
  </si>
  <si>
    <t>CSU</t>
  </si>
  <si>
    <t>XTSE</t>
  </si>
  <si>
    <t>CAD</t>
  </si>
  <si>
    <t>2026-05-18</t>
  </si>
  <si>
    <t>12/05/2026</t>
  </si>
  <si>
    <t>08/2026</t>
  </si>
  <si>
    <t>WATCHLIST RATINGS — METHODOLOGICAL NOTES</t>
  </si>
  <si>
    <t>Philosophy</t>
  </si>
  <si>
    <t>Long-term investor framework applied across 61 public equities.</t>
  </si>
  <si>
    <t>Ratings are conservative, designed to surface quality + risk simultaneously.</t>
  </si>
  <si>
    <t>No hype factor. Revenue growth alone is not quality.</t>
  </si>
  <si>
    <t>RATING 1 — Structural Quality (max 17, normalized to 10)</t>
  </si>
  <si>
    <t>Mission (-1 to 2): Purpose, long-term relevance of the business</t>
  </si>
  <si>
    <t>MOAT (0 to 8): Durable competitive advantages</t>
  </si>
  <si>
    <t>Optionality (0 to 3): Capacity to open adjacent growth vectors</t>
  </si>
  <si>
    <t>Financials (-1 to 1): Balance sheet discipline and current health</t>
  </si>
  <si>
    <t>Concentration (-3 to 0): Customer/product/geography dependency (penalty)</t>
  </si>
  <si>
    <t>Glassdoor (-1 to 1): Corporate culture proxy</t>
  </si>
  <si>
    <t>Founder/CEO (0 to 1): Leadership quality and founder involvement</t>
  </si>
  <si>
    <t>Ownership (-1 to 1): Skin in the game alignment</t>
  </si>
  <si>
    <t>RATING 2 — Economic Quality &amp; Value Creation (max 100, normalized to 10)</t>
  </si>
  <si>
    <t>Financials (0–17): Financial solidity: margins, FCF, ROIC</t>
  </si>
  <si>
    <t>MOAT (0–20): Competitive advantage weight on value creation</t>
  </si>
  <si>
    <t>Potential (0–18): TAM, runway, capacity for compounding</t>
  </si>
  <si>
    <t>Customers (0–10): Quality, diversification, dependency</t>
  </si>
  <si>
    <t>Revenue Quality (0–10): Recurrence, predictability, crisis resilience</t>
  </si>
  <si>
    <t>Mgmt &amp; Culture (0–14): Execution capability, capital allocation track record</t>
  </si>
  <si>
    <t>Stock &amp; Ownership (0–11): Shareholder structure, incentive alignment</t>
  </si>
  <si>
    <t>Risks (-44 to 0): Operational, financial, regulatory, competitive (penalty)</t>
  </si>
  <si>
    <t>RATING 3 — Durability &amp; Existential Risk (max positive 70, normalized to 10)</t>
  </si>
  <si>
    <t>Durability (0–15): Antifragility — can survive &amp; thrive long term</t>
  </si>
  <si>
    <t>Risk of Disappearance (-20 to 0): Terminal value = 0 risk</t>
  </si>
  <si>
    <t>Capital Intensity (0–10): Asset-light preferred (higher = less intensive)</t>
  </si>
  <si>
    <t>Capital Allocation (0–15): Does each euro reinvested generate positive ROIC spread?</t>
  </si>
  <si>
    <t>Financing Source (-10 to 5): Dilution, interest rates, financing structure</t>
  </si>
  <si>
    <t>Incentives (0–10): Long-term alignment of compensation and equity</t>
  </si>
  <si>
    <t>MOAT Structural (0–15): Width + durability of competitive moat</t>
  </si>
  <si>
    <t>Terminal Risk (-20 to 0): Operational, financial, execution tail risks</t>
  </si>
  <si>
    <t>Composite Rating</t>
  </si>
  <si>
    <t>Simple arithmetic average of R1, R2, R3 (each normalized to 0–10).</t>
  </si>
  <si>
    <t>Not a buy signal in itself — valuation is separate and not captured here.</t>
  </si>
  <si>
    <t>Interpretation ranges</t>
  </si>
  <si>
    <t>8.0+ : Best-in-class quality compounder. Candidate for Tier 1 (5-8% sizing).</t>
  </si>
  <si>
    <t>7.0-7.9 : High quality with some specific concerns. Tier 2 (3-5%).</t>
  </si>
  <si>
    <t>6.0-6.9 : Above average quality. Tier 3 (1.5-3%).</t>
  </si>
  <si>
    <t>5.0-5.9 : Mixed quality. Requires strong valuation conviction.</t>
  </si>
  <si>
    <t>&lt;5.0 : Lower quality. Special situations only or avoid.</t>
  </si>
  <si>
    <t>IMPORTANT</t>
  </si>
  <si>
    <t>Ratings do not include valuation. A 9.0-rated company may be priced to perfection.</t>
  </si>
  <si>
    <t>Cross-reference with Monte Carlo asymmetry data in companion files.</t>
  </si>
  <si>
    <t>Ratings reflect analyst judgment as of April 2026 and should be re-tested quarterly.</t>
  </si>
  <si>
    <t>📊 INVESTMENT COMMAND CENTER — Portfolio Analytics Dashboard</t>
  </si>
  <si>
    <t>Calidad del Negocio | Opcionalidad | Antifragilidad | ROIC | Múltiplo | Asimetría — Actualizado: April 2026</t>
  </si>
  <si>
    <t>📊 EMPRESAS</t>
  </si>
  <si>
    <t>⭐ CALIDAD</t>
  </si>
  <si>
    <t>💰 ROIC</t>
  </si>
  <si>
    <t>📈 EV/FCF</t>
  </si>
  <si>
    <t>✅ ASIMETRÍA +</t>
  </si>
  <si>
    <t>🏆 TOP TIER</t>
  </si>
  <si>
    <t>Total Watchlist</t>
  </si>
  <si>
    <t>Rating Compuesto</t>
  </si>
  <si>
    <t>Retorno Capital</t>
  </si>
  <si>
    <t>Múltiplo Medio</t>
  </si>
  <si>
    <t>IRR Bull &gt; 0</t>
  </si>
  <si>
    <t>Rating &gt; 7.5</t>
  </si>
  <si>
    <t>▬▬▬</t>
  </si>
  <si>
    <t>▲ +0.3</t>
  </si>
  <si>
    <t>▲ +2.1%</t>
  </si>
  <si>
    <t>▼ -1.2x</t>
  </si>
  <si>
    <t>▲ +5</t>
  </si>
  <si>
    <t>═══</t>
  </si>
  <si>
    <t>Scatter Data - Composite vs IRR Bull</t>
  </si>
  <si>
    <t>Top 10 ROIC</t>
  </si>
  <si>
    <t>MOAT &amp; Optionality</t>
  </si>
  <si>
    <t>Múltiplo EV/FCF</t>
  </si>
  <si>
    <t>Asimetría IRR</t>
  </si>
  <si>
    <t>Ticker</t>
  </si>
  <si>
    <t>ROIC %</t>
  </si>
  <si>
    <t>MOAT</t>
  </si>
  <si>
    <t>Optionality</t>
  </si>
  <si>
    <t>EV/FCF</t>
  </si>
  <si>
    <t>IRR Bear %</t>
  </si>
  <si>
    <t>IRR Bull %</t>
  </si>
  <si>
    <t>#</t>
  </si>
  <si>
    <t>Calidad R1</t>
  </si>
  <si>
    <t>Económico R2</t>
  </si>
  <si>
    <t>Durabilidad R3</t>
  </si>
  <si>
    <t>Composite</t>
  </si>
  <si>
    <t>Optionalidad</t>
  </si>
  <si>
    <t>IRR Bull</t>
  </si>
  <si>
    <t>IRR Bear</t>
  </si>
  <si>
    <t>NVDA</t>
  </si>
  <si>
    <t>VEEV</t>
  </si>
  <si>
    <t>AMZN</t>
  </si>
  <si>
    <t>🏆 TOP 15 — RANKING POR CALIDAD COMPUESTA</t>
  </si>
  <si>
    <t>CHKP</t>
  </si>
  <si>
    <t>MSFT</t>
  </si>
  <si>
    <t>COST</t>
  </si>
  <si>
    <t>ZS</t>
  </si>
  <si>
    <t>MNST</t>
  </si>
  <si>
    <t>LOTB</t>
  </si>
  <si>
    <t>ADYEN</t>
  </si>
  <si>
    <t>ABNB</t>
  </si>
  <si>
    <t>BN</t>
  </si>
  <si>
    <t>TSM</t>
  </si>
  <si>
    <t>FICO</t>
  </si>
  <si>
    <t>HLMA</t>
  </si>
  <si>
    <t>RAA</t>
  </si>
  <si>
    <t>DSGX</t>
  </si>
  <si>
    <t>Tier</t>
  </si>
  <si>
    <t>Count</t>
  </si>
  <si>
    <t>LIFCO B</t>
  </si>
  <si>
    <t>EVD</t>
  </si>
  <si>
    <t>Tier 1 (+8)</t>
  </si>
  <si>
    <t>MIPS</t>
  </si>
  <si>
    <t>ITX</t>
  </si>
  <si>
    <t>⭐ Tier 2 (7-8)</t>
  </si>
  <si>
    <t>SU</t>
  </si>
  <si>
    <t>NTO</t>
  </si>
  <si>
    <t>Tier 3 (6-7)</t>
  </si>
  <si>
    <t>⚠️ Below 6</t>
  </si>
  <si>
    <t>📈 VISUALIZACIÓN DE DATOS — Gráficos Interactivos</t>
  </si>
  <si>
    <t>📈 ANÁLISIS DE ASIMETRÍA — Rango de Valoración</t>
  </si>
  <si>
    <t>🛡️ ANTIFRAGILIDAD — Durabilidad &amp; Riesgo</t>
  </si>
  <si>
    <t>Precio</t>
  </si>
  <si>
    <t>FVE Min</t>
  </si>
  <si>
    <t>FVE Max</t>
  </si>
  <si>
    <t>Spread</t>
  </si>
  <si>
    <t>Señal</t>
  </si>
  <si>
    <t>R3 Score</t>
  </si>
  <si>
    <t>Cap.Intens.</t>
  </si>
  <si>
    <t>Cap.Alloc.</t>
  </si>
  <si>
    <t>Term.Risk</t>
  </si>
  <si>
    <t>Option.</t>
  </si>
  <si>
    <t>Rating</t>
  </si>
  <si>
    <t>📋 RESUMEN EJECUTIVO — Los Mejores en Cada Categoría</t>
  </si>
  <si>
    <t>🏆 MEJOR CALIDAD</t>
  </si>
  <si>
    <t>📈 MEJOR IRR BULL</t>
  </si>
  <si>
    <t>💰 MAYOR ROIC</t>
  </si>
  <si>
    <t>🏰 MEJOR MOAT</t>
  </si>
  <si>
    <t>🎯 MÁS OPCIONALIDAD</t>
  </si>
  <si>
    <t>🛡️ MÁS ANTIFRAGIL</t>
  </si>
  <si>
    <t>💵 MENOR MÚLTIPLO</t>
  </si>
  <si>
    <t>⚠️ MAYOR SPREAD</t>
  </si>
  <si>
    <t>Dashboard generado automáticamente | Datos: April 2026 | Framework: JP Morgan Equity Research</t>
  </si>
  <si>
    <t>Fecha</t>
  </si>
  <si>
    <t>Campos cambiados</t>
  </si>
  <si>
    <t>Fuente</t>
  </si>
  <si>
    <t>Resumen</t>
  </si>
  <si>
    <t>NFLX</t>
  </si>
  <si>
    <t>No financial changes — LTM figures already reflect Q1 2026 results</t>
  </si>
  <si>
    <t>Q1 2026 Earnings (April 16, 2026) — ir.netflix.net</t>
  </si>
  <si>
    <t>Q1 2026 rev $12.25B (+16.2% YoY), LTM figures ya actualizados. Guía FY26 $50.7-51.7B, FCF elevado a $12.5B por termination fee WBD. Q2 guía decepcionó (-9% AH).</t>
  </si>
  <si>
    <t>UPDATED [AP] Cash &amp; Equivalents: 200 → 180; UPDATED [AV] Revenue LTM: 450 → 485; UPDATED [AU] EBITDA LTM: 165 → 182; UPDATED [AT] NOPAT LTM: 130 → 143; UPDATED [AS] FCF LTM (unlevered): 110 → 118</t>
  </si>
  <si>
    <t>Q1 2026 Interim Report (mipscorp.com)</t>
  </si>
  <si>
    <t>Ventas +30% (SEK 151M), crecimiento orgánico +25%. EBIT adj SEK 50M (margen 33.2%). Caja baja a SEK 180M por adquisición Koroyd. Guía de &gt;30% org growth mantenida.</t>
  </si>
  <si>
    <t>JFN</t>
  </si>
  <si>
    <t>UPDATED [AV] Revenue LTM: 225 → 306; UPDATED [AU] EBITDA LTM: 85 → 138; UPDATED [AS] FCF LTM (unlevered): 50 → 75; UPDATED [AT] NOPAT LTM: 35 → 78</t>
  </si>
  <si>
    <t>FY 2025 Annual Results (jungfrau.ch / webdisclosure.com)</t>
  </si>
  <si>
    <t>FY25: ingresos operativos CHF 305.7M (+3.7%), EBITDA CHF 138.4M (+3%), FCF CHF 74.5M (+9.6%), EBIT CHF 98.9M. Dividendo propuesto CHF 8.50 (+). Nota: Revenue actualizado a total operativo vs. transport previo.</t>
  </si>
  <si>
    <t>KIST</t>
  </si>
  <si>
    <t xml:space="preserve">UPDATED manually on Bond presentation </t>
  </si>
  <si>
    <t>Bond Presetation on IR Kistos</t>
  </si>
  <si>
    <t>Net cash &amp; Eq and DCF updated</t>
  </si>
  <si>
    <t>A; AA; AD; AE; AF; AG; AH; AI; AJ; AK; AO; AP; AQ; AS; AT; AU; AV; AZ; B; BD; BF; BH; BI; BN; BO; BP; C; D; E; F; G; H; J; K; L; M; N; O; P; Q; T; U; V; W; X; Y; Z</t>
  </si>
  <si>
    <t>Q1 2026 Earnings (12/05/2026) + FY2025 Annual Report + Análisis fundamental</t>
  </si>
  <si>
    <t>Nueva entrada CSU (TSX): VMS serial acquirer. Rev LTM $12.1B USD, EBITDA $3.4B, FCF ~$2.7B. Rating cualitativo top (MOAT=8, Capital Allocation=15). Vigilar: M&amp;A a mayor escala y riesgo IA en nichos VMS.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</si>
</sst>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164" formatCode="#,##0.0"/>
    <numFmt numFmtId="165" formatCode="#,##0;\(#,##0\);\-"/>
    <numFmt numFmtId="166" formatCode="0.00\x"/>
    <numFmt numFmtId="167" formatCode="_-[$¥-411]* #,##0.00_-;\-[$¥-411]* #,##0.00_-;_-[$¥-411]* \-??_-;_-@_-"/>
    <numFmt numFmtId="168" formatCode="_([$$-409]* #,##0.00_);_([$$-409]* \(#,##0.00\);_([$$-409]* \-??_);_(@_)"/>
    <numFmt numFmtId="169" formatCode="_-* #,##0.00\ [$₸-43F]_-;\-* #,##0.00\ [$₸-43F]_-;_-* \-??\ [$₸-43F]_-;_-@_-"/>
    <numFmt numFmtId="170" formatCode="0.0%"/>
    <numFmt numFmtId="171" formatCode="0.0\x"/>
    <numFmt numFmtId="172" formatCode="_([$€-2]\ * #,##0.00_);_([$€-2]\ * \(#,##0.00\);_([$€-2]\ * &quot;-&quot;??_);_(@_)"/>
    <numFmt numFmtId="173" formatCode="0.0"/>
  </numFmts>
  <fonts count="38" x14ac:knownFonts="1">
    <font>
      <sz val="11"/>
      <color theme="1"/>
      <name val="Calibri"/>
      <family val="2"/>
      <charset val="1"/>
    </font>
    <font>
      <b/>
      <sz val="14"/>
      <color rgb="FFFFFFFF"/>
      <name val="Arial"/>
      <charset val="1"/>
    </font>
    <font>
      <b/>
      <sz val="10"/>
      <color rgb="FFFFFFFF"/>
      <name val="Arial"/>
      <charset val="1"/>
    </font>
    <font>
      <b/>
      <sz val="11"/>
      <color theme="0"/>
      <name val="Calibri"/>
      <family val="2"/>
      <charset val="1"/>
    </font>
    <font>
      <b/>
      <sz val="9"/>
      <color rgb="FFFFFFFF"/>
      <name val="Arial"/>
      <charset val="1"/>
    </font>
    <font>
      <b/>
      <sz val="9"/>
      <name val="Arial"/>
      <charset val="1"/>
    </font>
    <font>
      <b/>
      <sz val="9"/>
      <color rgb="FFFFFFFF"/>
      <name val="Arial"/>
      <family val="2"/>
      <charset val="1"/>
    </font>
    <font>
      <b/>
      <sz val="10"/>
      <name val="Arial"/>
      <charset val="1"/>
    </font>
    <font>
      <sz val="10"/>
      <name val="Arial"/>
      <charset val="1"/>
    </font>
    <font>
      <b/>
      <sz val="11"/>
      <name val="Arial"/>
      <charset val="1"/>
    </font>
    <font>
      <b/>
      <sz val="11"/>
      <color rgb="FF1F3864"/>
      <name val="Arial"/>
      <charset val="1"/>
    </font>
    <font>
      <sz val="10"/>
      <name val="Arial"/>
      <family val="2"/>
      <charset val="1"/>
    </font>
    <font>
      <b/>
      <sz val="18"/>
      <color rgb="FFFFFFFF"/>
      <name val="Calibri"/>
      <family val="2"/>
      <charset val="1"/>
    </font>
    <font>
      <b/>
      <sz val="20"/>
      <color rgb="FFFFFFFF"/>
      <name val="Calibri"/>
      <family val="2"/>
      <charset val="1"/>
    </font>
    <font>
      <i/>
      <sz val="10"/>
      <color rgb="FFBDC3C7"/>
      <name val="Calibri"/>
      <family val="2"/>
      <charset val="1"/>
    </font>
    <font>
      <b/>
      <sz val="10"/>
      <color rgb="FFFFFFFF"/>
      <name val="Calibri"/>
      <family val="2"/>
      <charset val="1"/>
    </font>
    <font>
      <b/>
      <sz val="26"/>
      <color rgb="FF2C3E50"/>
      <name val="Calibri"/>
      <family val="2"/>
      <charset val="1"/>
    </font>
    <font>
      <i/>
      <sz val="9"/>
      <color rgb="FF7F8C8D"/>
      <name val="Calibri"/>
      <family val="2"/>
      <charset val="1"/>
    </font>
    <font>
      <b/>
      <sz val="9"/>
      <color rgb="FF95A5A6"/>
      <name val="Calibri"/>
      <family val="2"/>
      <charset val="1"/>
    </font>
    <font>
      <b/>
      <sz val="9"/>
      <color rgb="FF27AE60"/>
      <name val="Calibri"/>
      <family val="2"/>
      <charset val="1"/>
    </font>
    <font>
      <b/>
      <sz val="9"/>
      <color rgb="FF3498DB"/>
      <name val="Calibri"/>
      <family val="2"/>
      <charset val="1"/>
    </font>
    <font>
      <b/>
      <sz val="11"/>
      <color rgb="FFFFFFFF"/>
      <name val="Calibri"/>
      <family val="2"/>
      <charset val="1"/>
    </font>
    <font>
      <b/>
      <sz val="14"/>
      <color rgb="FFFFFFFF"/>
      <name val="Calibri"/>
      <family val="2"/>
      <charset val="1"/>
    </font>
    <font>
      <b/>
      <sz val="13"/>
      <color rgb="FFFFFFFF"/>
      <name val="Calibri"/>
      <family val="2"/>
      <charset val="1"/>
    </font>
    <font>
      <b/>
      <sz val="11"/>
      <color theme="1"/>
      <name val="Calibri"/>
      <family val="2"/>
      <charset val="1"/>
    </font>
    <font>
      <b/>
      <sz val="12"/>
      <color rgb="FFFFFFFF"/>
      <name val="Calibri"/>
      <family val="2"/>
      <charset val="1"/>
    </font>
    <font>
      <b/>
      <sz val="9"/>
      <color theme="1"/>
      <name val="Calibri"/>
      <family val="2"/>
      <charset val="1"/>
    </font>
    <font>
      <b/>
      <sz val="9"/>
      <color rgb="FFFFFFFF"/>
      <name val="Calibri"/>
      <family val="2"/>
      <charset val="1"/>
    </font>
    <font>
      <b/>
      <sz val="10"/>
      <color theme="1"/>
      <name val="Calibri"/>
      <family val="2"/>
      <charset val="1"/>
    </font>
    <font>
      <b/>
      <sz val="12"/>
      <color theme="1"/>
      <name val="Calibri"/>
      <family val="2"/>
      <charset val="1"/>
    </font>
    <font>
      <sz val="11"/>
      <color rgb="FF666666"/>
      <name val="Calibri"/>
      <family val="2"/>
      <charset val="1"/>
    </font>
    <font>
      <i/>
      <sz val="10"/>
      <color rgb="FF666666"/>
      <name val="Calibri"/>
      <family val="2"/>
      <charset val="1"/>
    </font>
    <font>
      <b/>
      <sz val="14"/>
      <color theme="1"/>
      <name val="Calibri"/>
      <family val="2"/>
      <charset val="1"/>
    </font>
    <font>
      <sz val="11"/>
      <color rgb="FF1F4E79"/>
      <name val="Calibri"/>
      <family val="2"/>
      <charset val="1"/>
    </font>
    <font>
      <i/>
      <sz val="9"/>
      <color rgb="FF808080"/>
      <name val="Calibri"/>
      <family val="2"/>
      <charset val="1"/>
    </font>
    <font>
      <sz val="10"/>
      <name val="Arial"/>
      <family val="2"/>
    </font>
    <font>
      <b/>
      <sz val="9"/>
      <name val="Arial"/>
      <family val="2"/>
    </font>
    <font>
      <b/>
      <sz val="11"/>
      <color theme="0"/>
      <name val="Calibri"/>
      <family val="2"/>
    </font>
  </fonts>
  <fills count="48">
    <fill>
      <patternFill patternType="none"/>
    </fill>
    <fill>
      <patternFill patternType="gray125"/>
    </fill>
    <fill>
      <patternFill patternType="solid">
        <fgColor rgb="FF1F3864"/>
        <bgColor rgb="FF2C3E50"/>
      </patternFill>
    </fill>
    <fill>
      <patternFill patternType="solid">
        <fgColor rgb="FF595959"/>
        <bgColor rgb="FF666666"/>
      </patternFill>
    </fill>
    <fill>
      <patternFill patternType="solid">
        <fgColor rgb="FF2E75B6"/>
        <bgColor rgb="FF4B7BC4"/>
      </patternFill>
    </fill>
    <fill>
      <patternFill patternType="solid">
        <fgColor rgb="FF548235"/>
        <bgColor rgb="FF2E8632"/>
      </patternFill>
    </fill>
    <fill>
      <patternFill patternType="solid">
        <fgColor rgb="FFC65911"/>
        <bgColor rgb="FF9C5700"/>
      </patternFill>
    </fill>
    <fill>
      <patternFill patternType="darkGray">
        <fgColor theme="5" tint="-0.249977111117893"/>
        <bgColor rgb="FF8E2717"/>
      </patternFill>
    </fill>
    <fill>
      <patternFill patternType="solid">
        <fgColor theme="6" tint="-0.249977111117893"/>
        <bgColor rgb="FF548235"/>
      </patternFill>
    </fill>
    <fill>
      <patternFill patternType="solid">
        <fgColor rgb="FFE7E6E6"/>
        <bgColor rgb="FFEAECEE"/>
      </patternFill>
    </fill>
    <fill>
      <patternFill patternType="solid">
        <fgColor rgb="FFF2F2F2"/>
        <bgColor rgb="FFECF0F1"/>
      </patternFill>
    </fill>
    <fill>
      <patternFill patternType="solid">
        <fgColor rgb="FFFFF2CC"/>
        <bgColor rgb="FFFFF3E0"/>
      </patternFill>
    </fill>
    <fill>
      <patternFill patternType="solid">
        <fgColor rgb="FFFFE699"/>
        <bgColor rgb="FFFFEB9C"/>
      </patternFill>
    </fill>
    <fill>
      <patternFill patternType="solid">
        <fgColor rgb="FFE2EFDA"/>
        <bgColor rgb="FFE8F5E9"/>
      </patternFill>
    </fill>
    <fill>
      <patternFill patternType="solid">
        <fgColor theme="0" tint="-0.14999847407452621"/>
        <bgColor rgb="FFD6DCE5"/>
      </patternFill>
    </fill>
    <fill>
      <patternFill patternType="solid">
        <fgColor rgb="FF1A252F"/>
        <bgColor rgb="FF1F3864"/>
      </patternFill>
    </fill>
    <fill>
      <patternFill patternType="solid">
        <fgColor rgb="FF1F4E79"/>
        <bgColor rgb="FF2F5496"/>
      </patternFill>
    </fill>
    <fill>
      <patternFill patternType="solid">
        <fgColor rgb="FF2C3E50"/>
        <bgColor rgb="FF34495E"/>
      </patternFill>
    </fill>
    <fill>
      <patternFill patternType="solid">
        <fgColor rgb="FF27AE60"/>
        <bgColor rgb="FF2E8632"/>
      </patternFill>
    </fill>
    <fill>
      <patternFill patternType="solid">
        <fgColor rgb="FFF39C12"/>
        <bgColor rgb="FFED7D31"/>
      </patternFill>
    </fill>
    <fill>
      <patternFill patternType="solid">
        <fgColor rgb="FF3498DB"/>
        <bgColor rgb="FF4B7BC4"/>
      </patternFill>
    </fill>
    <fill>
      <patternFill patternType="solid">
        <fgColor rgb="FF8D5FAC"/>
        <bgColor rgb="FF666666"/>
      </patternFill>
    </fill>
    <fill>
      <patternFill patternType="solid">
        <fgColor rgb="FFE23632"/>
        <bgColor rgb="FFC65911"/>
      </patternFill>
    </fill>
    <fill>
      <patternFill patternType="solid">
        <fgColor rgb="FFF8F9FA"/>
        <bgColor rgb="FFFFFFFF"/>
      </patternFill>
    </fill>
    <fill>
      <patternFill patternType="solid">
        <fgColor rgb="FFEAECEE"/>
        <bgColor rgb="FFECF0F1"/>
      </patternFill>
    </fill>
    <fill>
      <patternFill patternType="solid">
        <fgColor rgb="FFFFFFFF"/>
        <bgColor rgb="FFF8F9FA"/>
      </patternFill>
    </fill>
    <fill>
      <patternFill patternType="solid">
        <fgColor rgb="FF34495E"/>
        <bgColor rgb="FF2C3E50"/>
      </patternFill>
    </fill>
    <fill>
      <patternFill patternType="solid">
        <fgColor rgb="FF7830A0"/>
        <bgColor rgb="FF8D5FAC"/>
      </patternFill>
    </fill>
    <fill>
      <patternFill patternType="solid">
        <fgColor rgb="FFE2D0F4"/>
        <bgColor rgb="FFD9D9D9"/>
      </patternFill>
    </fill>
    <fill>
      <patternFill patternType="solid">
        <fgColor rgb="FFC6E0B4"/>
        <bgColor rgb="FFC6EFCE"/>
      </patternFill>
    </fill>
    <fill>
      <patternFill patternType="solid">
        <fgColor rgb="FF2E8632"/>
        <bgColor rgb="FF548235"/>
      </patternFill>
    </fill>
    <fill>
      <patternFill patternType="solid">
        <fgColor rgb="FF1565C0"/>
        <bgColor rgb="FF2E75B6"/>
      </patternFill>
    </fill>
    <fill>
      <patternFill patternType="solid">
        <fgColor rgb="FFE8F5E9"/>
        <bgColor rgb="FFECF0F1"/>
      </patternFill>
    </fill>
    <fill>
      <patternFill patternType="solid">
        <fgColor rgb="FFE3F2FD"/>
        <bgColor rgb="FFECF0F1"/>
      </patternFill>
    </fill>
    <fill>
      <patternFill patternType="solid">
        <fgColor rgb="FF2F5496"/>
        <bgColor rgb="FF1F4E79"/>
      </patternFill>
    </fill>
    <fill>
      <patternFill patternType="solid">
        <fgColor rgb="FFED7D31"/>
        <bgColor rgb="FFFF6F00"/>
      </patternFill>
    </fill>
    <fill>
      <patternFill patternType="solid">
        <fgColor rgb="FF4B7BC4"/>
        <bgColor rgb="FF2E75B6"/>
      </patternFill>
    </fill>
    <fill>
      <patternFill patternType="solid">
        <fgColor rgb="FFFCE4D6"/>
        <bgColor rgb="FFFFF2CC"/>
      </patternFill>
    </fill>
    <fill>
      <patternFill patternType="solid">
        <fgColor rgb="FFD6DCE5"/>
        <bgColor rgb="FFD9D9D9"/>
      </patternFill>
    </fill>
    <fill>
      <patternFill patternType="solid">
        <fgColor rgb="FFFF6F00"/>
        <bgColor rgb="FFED7D31"/>
      </patternFill>
    </fill>
    <fill>
      <patternFill patternType="solid">
        <fgColor rgb="FFFFF3E0"/>
        <bgColor rgb="FFFFF2CC"/>
      </patternFill>
    </fill>
    <fill>
      <patternFill patternType="solid">
        <fgColor rgb="FF375623"/>
        <bgColor rgb="FF404040"/>
      </patternFill>
    </fill>
    <fill>
      <patternFill patternType="solid">
        <fgColor rgb="FF843C0C"/>
        <bgColor rgb="FF8E2717"/>
      </patternFill>
    </fill>
    <fill>
      <patternFill patternType="solid">
        <fgColor rgb="FF96A89A"/>
        <bgColor rgb="FF808687"/>
      </patternFill>
    </fill>
    <fill>
      <patternFill patternType="solid">
        <fgColor rgb="FFD0CECE"/>
        <bgColor rgb="FFCCCCCC"/>
      </patternFill>
    </fill>
    <fill>
      <patternFill patternType="solid">
        <fgColor rgb="FFE7E6E6"/>
        <bgColor rgb="FFF2F2F2"/>
      </patternFill>
    </fill>
    <fill>
      <patternFill patternType="solid">
        <fgColor rgb="FF000000"/>
        <bgColor rgb="FF1A252F"/>
      </patternFill>
    </fill>
    <fill>
      <patternFill patternType="solid">
        <fgColor rgb="FFFFFF00"/>
        <bgColor rgb="FFFFEB9C"/>
      </patternFill>
    </fill>
  </fills>
  <borders count="29">
    <border>
      <left/>
      <right/>
      <top/>
      <bottom/>
      <diagonal/>
    </border>
    <border>
      <left style="thin">
        <color rgb="FFBFBFC3"/>
      </left>
      <right style="thin">
        <color rgb="FFBFBFC3"/>
      </right>
      <top style="thin">
        <color rgb="FFBFBFC3"/>
      </top>
      <bottom style="thin">
        <color rgb="FFBFBFC3"/>
      </bottom>
      <diagonal/>
    </border>
    <border>
      <left/>
      <right/>
      <top/>
      <bottom style="thick">
        <color rgb="FF2C3E50"/>
      </bottom>
      <diagonal/>
    </border>
    <border>
      <left style="thick">
        <color rgb="FF2C3E50"/>
      </left>
      <right style="thin">
        <color rgb="FFECF0F1"/>
      </right>
      <top style="thick">
        <color rgb="FF2C3E50"/>
      </top>
      <bottom/>
      <diagonal/>
    </border>
    <border>
      <left/>
      <right style="thin">
        <color rgb="FFECF0F1"/>
      </right>
      <top style="thick">
        <color rgb="FF2C3E50"/>
      </top>
      <bottom/>
      <diagonal/>
    </border>
    <border>
      <left/>
      <right style="thick">
        <color rgb="FF2C3E50"/>
      </right>
      <top style="thick">
        <color rgb="FF2C3E50"/>
      </top>
      <bottom/>
      <diagonal/>
    </border>
    <border>
      <left style="thick">
        <color rgb="FF2C3E50"/>
      </left>
      <right style="thin">
        <color rgb="FFECF0F1"/>
      </right>
      <top/>
      <bottom/>
      <diagonal/>
    </border>
    <border>
      <left/>
      <right style="thin">
        <color rgb="FFECF0F1"/>
      </right>
      <top/>
      <bottom/>
      <diagonal/>
    </border>
    <border>
      <left/>
      <right style="thick">
        <color rgb="FF2C3E50"/>
      </right>
      <top/>
      <bottom/>
      <diagonal/>
    </border>
    <border>
      <left style="thick">
        <color rgb="FF2C3E50"/>
      </left>
      <right/>
      <top style="thick">
        <color rgb="FF2C3E50"/>
      </top>
      <bottom style="thick">
        <color rgb="FF2C3E50"/>
      </bottom>
      <diagonal/>
    </border>
    <border>
      <left/>
      <right/>
      <top style="thick">
        <color rgb="FF2C3E50"/>
      </top>
      <bottom style="thick">
        <color rgb="FF2C3E50"/>
      </bottom>
      <diagonal/>
    </border>
    <border>
      <left/>
      <right style="thick">
        <color rgb="FF2C3E50"/>
      </right>
      <top style="thick">
        <color rgb="FF2C3E50"/>
      </top>
      <bottom style="thick">
        <color rgb="FF2C3E50"/>
      </bottom>
      <diagonal/>
    </border>
    <border>
      <left/>
      <right style="thin">
        <color rgb="FFCCCCCC"/>
      </right>
      <top/>
      <bottom style="thin">
        <color rgb="FFCCCCCC"/>
      </bottom>
      <diagonal/>
    </border>
    <border>
      <left style="thin">
        <color rgb="FFCCCCCC"/>
      </left>
      <right style="thin">
        <color rgb="FFCCCCCC"/>
      </right>
      <top/>
      <bottom style="thin">
        <color rgb="FFCCCCCC"/>
      </bottom>
      <diagonal/>
    </border>
    <border>
      <left style="thin">
        <color rgb="FFCCCCCC"/>
      </left>
      <right/>
      <top/>
      <bottom style="thin">
        <color rgb="FFCCCCCC"/>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
      <left style="thin">
        <color rgb="FFCCCCCC"/>
      </left>
      <right/>
      <top style="thin">
        <color rgb="FFCCCCCC"/>
      </top>
      <bottom style="thin">
        <color rgb="FFCCCCCC"/>
      </bottom>
      <diagonal/>
    </border>
    <border>
      <left/>
      <right style="thin">
        <color rgb="FFCCCCCC"/>
      </right>
      <top style="thin">
        <color rgb="FFCCCCCC"/>
      </top>
      <bottom/>
      <diagonal/>
    </border>
    <border>
      <left style="thin">
        <color rgb="FFCCCCCC"/>
      </left>
      <right style="thin">
        <color rgb="FFCCCCCC"/>
      </right>
      <top style="thin">
        <color rgb="FFCCCCCC"/>
      </top>
      <bottom/>
      <diagonal/>
    </border>
    <border>
      <left style="thin">
        <color rgb="FFCCCCCC"/>
      </left>
      <right/>
      <top style="thin">
        <color rgb="FFCCCCCC"/>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style="thin">
        <color rgb="FFD9D9D9"/>
      </bottom>
      <diagonal/>
    </border>
    <border>
      <left/>
      <right/>
      <top/>
      <bottom style="thin">
        <color rgb="FFD9D9D9"/>
      </bottom>
      <diagonal/>
    </border>
    <border>
      <left/>
      <right/>
      <top style="thin">
        <color rgb="FFD9D9D9"/>
      </top>
      <bottom style="thin">
        <color rgb="FFD9D9D9"/>
      </bottom>
      <diagonal/>
    </border>
    <border>
      <left/>
      <right/>
      <top style="thin">
        <color rgb="FFD9D9D9"/>
      </top>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172">
    <xf numFmtId="0" fontId="0" fillId="0" borderId="0" xfId="0"/>
    <xf numFmtId="0" fontId="3" fillId="7" borderId="0" xfId="0" applyFont="1" applyFill="1" applyAlignment="1">
      <alignment horizontal="center"/>
    </xf>
    <xf numFmtId="0" fontId="4" fillId="8" borderId="0" xfId="0" applyFont="1" applyFill="1" applyAlignment="1">
      <alignment horizontal="center" vertical="center" wrapText="1"/>
    </xf>
    <xf numFmtId="0" fontId="5" fillId="0" borderId="1" xfId="0" applyFont="1" applyBorder="1" applyAlignment="1">
      <alignment horizontal="center" vertical="center" wrapText="1"/>
    </xf>
    <xf numFmtId="0" fontId="4" fillId="4" borderId="1" xfId="0" applyFont="1" applyFill="1" applyBorder="1" applyAlignment="1">
      <alignment horizontal="center" vertical="center" wrapText="1"/>
    </xf>
    <xf numFmtId="0" fontId="4" fillId="5" borderId="1" xfId="0" applyFont="1" applyFill="1" applyBorder="1" applyAlignment="1">
      <alignment horizontal="center" vertical="center" wrapText="1"/>
    </xf>
    <xf numFmtId="0" fontId="4" fillId="6" borderId="1" xfId="0" applyFont="1" applyFill="1" applyBorder="1" applyAlignment="1">
      <alignment horizontal="center" vertical="center" wrapText="1"/>
    </xf>
    <xf numFmtId="0" fontId="4" fillId="7" borderId="0" xfId="0" applyFont="1" applyFill="1" applyAlignment="1">
      <alignment horizontal="center" vertical="center" wrapText="1"/>
    </xf>
    <xf numFmtId="0" fontId="6" fillId="7" borderId="0" xfId="0" applyFont="1" applyFill="1" applyAlignment="1">
      <alignment horizontal="center" vertical="center" wrapText="1"/>
    </xf>
    <xf numFmtId="0" fontId="6" fillId="8" borderId="0" xfId="0" applyFont="1" applyFill="1" applyAlignment="1">
      <alignment horizontal="center" vertical="center" wrapText="1"/>
    </xf>
    <xf numFmtId="0" fontId="7" fillId="10" borderId="1" xfId="0" applyFont="1" applyFill="1" applyBorder="1" applyAlignment="1">
      <alignment horizontal="center" vertical="center" wrapText="1"/>
    </xf>
    <xf numFmtId="0" fontId="8" fillId="10" borderId="1" xfId="0" applyFont="1" applyFill="1" applyBorder="1" applyAlignment="1">
      <alignment horizontal="center" vertical="center" wrapText="1"/>
    </xf>
    <xf numFmtId="4" fontId="8" fillId="10" borderId="1" xfId="0" applyNumberFormat="1" applyFont="1" applyFill="1" applyBorder="1" applyAlignment="1">
      <alignment horizontal="center" vertical="center" wrapText="1"/>
    </xf>
    <xf numFmtId="164" fontId="8" fillId="10" borderId="1" xfId="0" applyNumberFormat="1" applyFont="1" applyFill="1" applyBorder="1" applyAlignment="1">
      <alignment horizontal="center" vertical="center" wrapText="1"/>
    </xf>
    <xf numFmtId="3" fontId="8" fillId="10" borderId="1" xfId="0" applyNumberFormat="1" applyFont="1" applyFill="1" applyBorder="1" applyAlignment="1">
      <alignment horizontal="center" vertical="center" wrapText="1"/>
    </xf>
    <xf numFmtId="1" fontId="7" fillId="10" borderId="1" xfId="0" applyNumberFormat="1" applyFont="1" applyFill="1" applyBorder="1" applyAlignment="1">
      <alignment horizontal="center" vertical="center" wrapText="1"/>
    </xf>
    <xf numFmtId="2" fontId="9" fillId="11" borderId="1" xfId="0" applyNumberFormat="1" applyFont="1" applyFill="1" applyBorder="1" applyAlignment="1">
      <alignment horizontal="center" vertical="center" wrapText="1"/>
    </xf>
    <xf numFmtId="2" fontId="10" fillId="12" borderId="1" xfId="0" applyNumberFormat="1" applyFont="1" applyFill="1" applyBorder="1" applyAlignment="1">
      <alignment horizontal="center" vertical="center" wrapText="1"/>
    </xf>
    <xf numFmtId="0" fontId="8" fillId="13" borderId="1" xfId="0" applyFont="1" applyFill="1" applyBorder="1" applyAlignment="1">
      <alignment horizontal="center" vertical="center"/>
    </xf>
    <xf numFmtId="165" fontId="8" fillId="13" borderId="1" xfId="0" applyNumberFormat="1" applyFont="1" applyFill="1" applyBorder="1" applyAlignment="1">
      <alignment horizontal="center" vertical="center"/>
    </xf>
    <xf numFmtId="166" fontId="0" fillId="0" borderId="0" xfId="0" applyNumberFormat="1"/>
    <xf numFmtId="165" fontId="11" fillId="13" borderId="1" xfId="0" applyNumberFormat="1" applyFont="1" applyFill="1" applyBorder="1" applyAlignment="1">
      <alignment horizontal="center" vertical="center"/>
    </xf>
    <xf numFmtId="10" fontId="11" fillId="13" borderId="0" xfId="0" applyNumberFormat="1" applyFont="1" applyFill="1" applyAlignment="1">
      <alignment horizontal="center" vertical="center"/>
    </xf>
    <xf numFmtId="10" fontId="0" fillId="0" borderId="0" xfId="0" applyNumberFormat="1"/>
    <xf numFmtId="166" fontId="0" fillId="14" borderId="0" xfId="0" applyNumberFormat="1" applyFill="1"/>
    <xf numFmtId="2" fontId="11" fillId="11" borderId="1" xfId="0" applyNumberFormat="1" applyFont="1" applyFill="1" applyBorder="1" applyAlignment="1">
      <alignment horizontal="center" vertical="center"/>
    </xf>
    <xf numFmtId="1" fontId="7" fillId="0" borderId="1" xfId="0" applyNumberFormat="1" applyFont="1" applyBorder="1" applyAlignment="1">
      <alignment horizontal="center" vertical="center" wrapText="1"/>
    </xf>
    <xf numFmtId="0" fontId="10" fillId="0" borderId="0" xfId="0" applyFont="1"/>
    <xf numFmtId="0" fontId="8" fillId="0" borderId="0" xfId="0" applyFont="1" applyAlignment="1">
      <alignment horizontal="left" vertical="center" wrapText="1"/>
    </xf>
    <xf numFmtId="167" fontId="0" fillId="0" borderId="0" xfId="0" applyNumberFormat="1"/>
    <xf numFmtId="168" fontId="0" fillId="0" borderId="0" xfId="0" applyNumberFormat="1"/>
    <xf numFmtId="169" fontId="0" fillId="0" borderId="0" xfId="0" applyNumberFormat="1"/>
    <xf numFmtId="0" fontId="13" fillId="16" borderId="0" xfId="0" applyFont="1" applyFill="1" applyAlignment="1">
      <alignment horizontal="center"/>
    </xf>
    <xf numFmtId="0" fontId="21" fillId="25" borderId="12" xfId="0" applyFont="1" applyFill="1" applyBorder="1" applyAlignment="1">
      <alignment horizontal="center"/>
    </xf>
    <xf numFmtId="0" fontId="21" fillId="25" borderId="13" xfId="0" applyFont="1" applyFill="1" applyBorder="1" applyAlignment="1">
      <alignment horizontal="center"/>
    </xf>
    <xf numFmtId="0" fontId="21" fillId="25" borderId="14" xfId="0" applyFont="1" applyFill="1" applyBorder="1" applyAlignment="1">
      <alignment horizontal="center"/>
    </xf>
    <xf numFmtId="0" fontId="0" fillId="25" borderId="0" xfId="0" applyFill="1"/>
    <xf numFmtId="2" fontId="0" fillId="0" borderId="0" xfId="0" applyNumberFormat="1"/>
    <xf numFmtId="1" fontId="0" fillId="0" borderId="0" xfId="0" applyNumberFormat="1"/>
    <xf numFmtId="0" fontId="0" fillId="25" borderId="15" xfId="0" applyFill="1" applyBorder="1" applyAlignment="1">
      <alignment horizontal="center"/>
    </xf>
    <xf numFmtId="0" fontId="0" fillId="25" borderId="16" xfId="0" applyFill="1" applyBorder="1"/>
    <xf numFmtId="2" fontId="0" fillId="25" borderId="16" xfId="0" applyNumberFormat="1" applyFill="1" applyBorder="1" applyAlignment="1">
      <alignment horizontal="center"/>
    </xf>
    <xf numFmtId="1" fontId="0" fillId="25" borderId="16" xfId="0" applyNumberFormat="1" applyFill="1" applyBorder="1" applyAlignment="1">
      <alignment horizontal="center"/>
    </xf>
    <xf numFmtId="170" fontId="0" fillId="25" borderId="16" xfId="0" applyNumberFormat="1" applyFill="1" applyBorder="1" applyAlignment="1">
      <alignment horizontal="center"/>
    </xf>
    <xf numFmtId="171" fontId="0" fillId="25" borderId="17" xfId="0" applyNumberFormat="1" applyFill="1" applyBorder="1" applyAlignment="1">
      <alignment horizontal="center"/>
    </xf>
    <xf numFmtId="0" fontId="0" fillId="13" borderId="15" xfId="0" applyFill="1" applyBorder="1" applyAlignment="1">
      <alignment horizontal="center"/>
    </xf>
    <xf numFmtId="0" fontId="0" fillId="13" borderId="16" xfId="0" applyFill="1" applyBorder="1"/>
    <xf numFmtId="2" fontId="0" fillId="13" borderId="16" xfId="0" applyNumberFormat="1" applyFill="1" applyBorder="1" applyAlignment="1">
      <alignment horizontal="center"/>
    </xf>
    <xf numFmtId="1" fontId="0" fillId="13" borderId="16" xfId="0" applyNumberFormat="1" applyFill="1" applyBorder="1" applyAlignment="1">
      <alignment horizontal="center"/>
    </xf>
    <xf numFmtId="170" fontId="0" fillId="13" borderId="16" xfId="0" applyNumberFormat="1" applyFill="1" applyBorder="1" applyAlignment="1">
      <alignment horizontal="center"/>
    </xf>
    <xf numFmtId="171" fontId="0" fillId="13" borderId="17" xfId="0" applyNumberFormat="1" applyFill="1" applyBorder="1" applyAlignment="1">
      <alignment horizontal="center"/>
    </xf>
    <xf numFmtId="0" fontId="0" fillId="13" borderId="18" xfId="0" applyFill="1" applyBorder="1" applyAlignment="1">
      <alignment horizontal="center"/>
    </xf>
    <xf numFmtId="0" fontId="0" fillId="13" borderId="19" xfId="0" applyFill="1" applyBorder="1"/>
    <xf numFmtId="2" fontId="0" fillId="13" borderId="19" xfId="0" applyNumberFormat="1" applyFill="1" applyBorder="1" applyAlignment="1">
      <alignment horizontal="center"/>
    </xf>
    <xf numFmtId="1" fontId="0" fillId="13" borderId="19" xfId="0" applyNumberFormat="1" applyFill="1" applyBorder="1" applyAlignment="1">
      <alignment horizontal="center"/>
    </xf>
    <xf numFmtId="170" fontId="0" fillId="13" borderId="19" xfId="0" applyNumberFormat="1" applyFill="1" applyBorder="1" applyAlignment="1">
      <alignment horizontal="center"/>
    </xf>
    <xf numFmtId="171" fontId="0" fillId="13" borderId="20" xfId="0" applyNumberFormat="1" applyFill="1" applyBorder="1" applyAlignment="1">
      <alignment horizontal="center"/>
    </xf>
    <xf numFmtId="0" fontId="24" fillId="28" borderId="0" xfId="0" applyFont="1" applyFill="1" applyAlignment="1">
      <alignment horizontal="center"/>
    </xf>
    <xf numFmtId="0" fontId="26" fillId="29" borderId="0" xfId="0" applyFont="1" applyFill="1" applyAlignment="1">
      <alignment horizontal="center"/>
    </xf>
    <xf numFmtId="0" fontId="26" fillId="28" borderId="0" xfId="0" applyFont="1" applyFill="1" applyAlignment="1">
      <alignment horizontal="center"/>
    </xf>
    <xf numFmtId="170" fontId="0" fillId="0" borderId="0" xfId="0" applyNumberFormat="1"/>
    <xf numFmtId="0" fontId="24" fillId="32" borderId="21" xfId="0" applyFont="1" applyFill="1" applyBorder="1"/>
    <xf numFmtId="0" fontId="24" fillId="33" borderId="21" xfId="0" applyFont="1" applyFill="1" applyBorder="1"/>
    <xf numFmtId="0" fontId="0" fillId="0" borderId="21" xfId="0" applyBorder="1"/>
    <xf numFmtId="4" fontId="0" fillId="0" borderId="21" xfId="0" applyNumberFormat="1" applyBorder="1"/>
    <xf numFmtId="170" fontId="0" fillId="0" borderId="21" xfId="0" applyNumberFormat="1" applyBorder="1"/>
    <xf numFmtId="2" fontId="0" fillId="0" borderId="21" xfId="0" applyNumberFormat="1" applyBorder="1"/>
    <xf numFmtId="1" fontId="0" fillId="0" borderId="21" xfId="0" applyNumberFormat="1" applyBorder="1"/>
    <xf numFmtId="0" fontId="27" fillId="35" borderId="22" xfId="0" applyFont="1" applyFill="1" applyBorder="1" applyAlignment="1">
      <alignment horizontal="center"/>
    </xf>
    <xf numFmtId="4" fontId="21" fillId="35" borderId="22" xfId="0" applyNumberFormat="1" applyFont="1" applyFill="1" applyBorder="1" applyAlignment="1">
      <alignment horizontal="center"/>
    </xf>
    <xf numFmtId="170" fontId="21" fillId="35" borderId="22" xfId="0" applyNumberFormat="1" applyFont="1" applyFill="1" applyBorder="1" applyAlignment="1">
      <alignment horizontal="center"/>
    </xf>
    <xf numFmtId="0" fontId="21" fillId="35" borderId="22" xfId="0" applyFont="1" applyFill="1" applyBorder="1" applyAlignment="1">
      <alignment horizontal="center"/>
    </xf>
    <xf numFmtId="0" fontId="21" fillId="36" borderId="22" xfId="0" applyFont="1" applyFill="1" applyBorder="1" applyAlignment="1">
      <alignment horizontal="center"/>
    </xf>
    <xf numFmtId="2" fontId="21" fillId="36" borderId="22" xfId="0" applyNumberFormat="1" applyFont="1" applyFill="1" applyBorder="1" applyAlignment="1">
      <alignment horizontal="center"/>
    </xf>
    <xf numFmtId="1" fontId="21" fillId="36" borderId="22" xfId="0" applyNumberFormat="1" applyFont="1" applyFill="1" applyBorder="1" applyAlignment="1">
      <alignment horizontal="center"/>
    </xf>
    <xf numFmtId="0" fontId="0" fillId="37" borderId="23" xfId="0" applyFill="1" applyBorder="1" applyAlignment="1">
      <alignment horizontal="center"/>
    </xf>
    <xf numFmtId="4" fontId="0" fillId="37" borderId="23" xfId="0" applyNumberFormat="1" applyFill="1" applyBorder="1" applyAlignment="1">
      <alignment horizontal="center"/>
    </xf>
    <xf numFmtId="170" fontId="0" fillId="37" borderId="23" xfId="0" applyNumberFormat="1" applyFill="1" applyBorder="1" applyAlignment="1">
      <alignment horizontal="center"/>
    </xf>
    <xf numFmtId="0" fontId="0" fillId="38" borderId="23" xfId="0" applyFill="1" applyBorder="1" applyAlignment="1">
      <alignment horizontal="center"/>
    </xf>
    <xf numFmtId="0" fontId="0" fillId="25" borderId="24" xfId="0" applyFill="1" applyBorder="1" applyAlignment="1">
      <alignment horizontal="center"/>
    </xf>
    <xf numFmtId="4" fontId="0" fillId="25" borderId="24" xfId="0" applyNumberFormat="1" applyFill="1" applyBorder="1" applyAlignment="1">
      <alignment horizontal="center"/>
    </xf>
    <xf numFmtId="170" fontId="0" fillId="25" borderId="24" xfId="0" applyNumberFormat="1" applyFill="1" applyBorder="1" applyAlignment="1">
      <alignment horizontal="center"/>
    </xf>
    <xf numFmtId="0" fontId="0" fillId="38" borderId="24" xfId="0" applyFill="1" applyBorder="1" applyAlignment="1">
      <alignment horizontal="center"/>
    </xf>
    <xf numFmtId="0" fontId="0" fillId="25" borderId="25" xfId="0" applyFill="1" applyBorder="1" applyAlignment="1">
      <alignment horizontal="center"/>
    </xf>
    <xf numFmtId="4" fontId="0" fillId="25" borderId="25" xfId="0" applyNumberFormat="1" applyFill="1" applyBorder="1" applyAlignment="1">
      <alignment horizontal="center"/>
    </xf>
    <xf numFmtId="170" fontId="0" fillId="25" borderId="25" xfId="0" applyNumberFormat="1" applyFill="1" applyBorder="1" applyAlignment="1">
      <alignment horizontal="center"/>
    </xf>
    <xf numFmtId="0" fontId="7" fillId="45" borderId="28" xfId="0" applyFont="1" applyFill="1" applyBorder="1" applyAlignment="1">
      <alignment horizontal="left" vertical="center"/>
    </xf>
    <xf numFmtId="172" fontId="0" fillId="0" borderId="0" xfId="0" applyNumberFormat="1"/>
    <xf numFmtId="0" fontId="35" fillId="10" borderId="1" xfId="0" applyFont="1" applyFill="1" applyBorder="1" applyAlignment="1">
      <alignment horizontal="center" vertical="center"/>
    </xf>
    <xf numFmtId="0" fontId="36" fillId="0" borderId="1" xfId="0" applyFont="1" applyBorder="1" applyAlignment="1">
      <alignment horizontal="center" vertical="center" wrapText="1"/>
    </xf>
    <xf numFmtId="173" fontId="8" fillId="10" borderId="1" xfId="0" applyNumberFormat="1" applyFont="1" applyFill="1" applyBorder="1" applyAlignment="1">
      <alignment horizontal="center" vertical="center" wrapText="1"/>
    </xf>
    <xf numFmtId="173" fontId="8" fillId="0" borderId="1" xfId="0" applyNumberFormat="1" applyFont="1" applyBorder="1" applyAlignment="1">
      <alignment horizontal="center" vertical="center" wrapText="1"/>
    </xf>
    <xf numFmtId="0" fontId="37" fillId="46" borderId="0" xfId="0" applyFont="1" applyFill="1" applyAlignment="1">
      <alignment horizontal="center" wrapText="1"/>
    </xf>
    <xf numFmtId="0" fontId="8" fillId="0" borderId="0" xfId="0" applyFont="1" applyAlignment="1">
      <alignment horizontal="center" vertical="center"/>
    </xf>
    <xf numFmtId="0" fontId="8" fillId="47" borderId="0" xfId="0" applyFont="1" applyFill="1" applyAlignment="1">
      <alignment horizontal="center" vertical="center"/>
    </xf>
    <xf numFmtId="0" fontId="37" fillId="2" borderId="0" xfId="0" applyFont="1" applyFill="1" applyAlignment="1">
      <alignment horizontal="center" vertical="top"/>
    </xf>
    <xf numFmtId="0" fontId="0" fillId="0" borderId="0" xfId="0"/>
    <xf numFmtId="0" fontId="2" fillId="2" borderId="0" xfId="0" applyFont="1" applyFill="1" applyAlignment="1">
      <alignment horizontal="center" vertical="center" wrapText="1"/>
    </xf>
    <xf numFmtId="0" fontId="2" fillId="5" borderId="0" xfId="0" applyFont="1" applyFill="1" applyAlignment="1">
      <alignment horizontal="center" vertical="center" wrapText="1"/>
    </xf>
    <xf numFmtId="0" fontId="2" fillId="4" borderId="0" xfId="0" applyFont="1" applyFill="1" applyAlignment="1">
      <alignment horizontal="center" vertical="center" wrapText="1"/>
    </xf>
    <xf numFmtId="0" fontId="1" fillId="2" borderId="0" xfId="0" applyFont="1" applyFill="1" applyAlignment="1">
      <alignment horizontal="center" vertical="center" wrapText="1"/>
    </xf>
    <xf numFmtId="0" fontId="2" fillId="6" borderId="0" xfId="0" applyFont="1" applyFill="1" applyAlignment="1">
      <alignment horizontal="center" vertical="center" wrapText="1"/>
    </xf>
    <xf numFmtId="0" fontId="4" fillId="8" borderId="0" xfId="0" applyFont="1" applyFill="1" applyAlignment="1">
      <alignment horizontal="center" vertical="center" wrapText="1"/>
    </xf>
    <xf numFmtId="0" fontId="2" fillId="3" borderId="0" xfId="0" applyFont="1" applyFill="1" applyAlignment="1">
      <alignment horizontal="center" vertical="center" wrapText="1"/>
    </xf>
    <xf numFmtId="0" fontId="3" fillId="7" borderId="0" xfId="0" applyFont="1" applyFill="1" applyAlignment="1">
      <alignment horizontal="center"/>
    </xf>
    <xf numFmtId="0" fontId="34" fillId="44" borderId="0" xfId="0" applyFont="1" applyFill="1" applyAlignment="1">
      <alignment horizontal="center"/>
    </xf>
    <xf numFmtId="0" fontId="23" fillId="27" borderId="0" xfId="0" applyFont="1" applyFill="1" applyAlignment="1">
      <alignment horizontal="center"/>
    </xf>
    <xf numFmtId="0" fontId="12" fillId="15" borderId="0" xfId="0" applyFont="1" applyFill="1" applyAlignment="1">
      <alignment horizontal="center" vertical="center"/>
    </xf>
    <xf numFmtId="0" fontId="16" fillId="23" borderId="8" xfId="0" applyFont="1" applyFill="1" applyBorder="1" applyAlignment="1">
      <alignment horizontal="center" vertical="center"/>
    </xf>
    <xf numFmtId="0" fontId="0" fillId="0" borderId="8" xfId="0" applyBorder="1"/>
    <xf numFmtId="4" fontId="28" fillId="40" borderId="24" xfId="0" applyNumberFormat="1" applyFont="1" applyFill="1" applyBorder="1" applyAlignment="1">
      <alignment horizontal="center"/>
    </xf>
    <xf numFmtId="0" fontId="0" fillId="0" borderId="24" xfId="0" applyBorder="1"/>
    <xf numFmtId="0" fontId="15" fillId="4" borderId="0" xfId="0" applyFont="1" applyFill="1" applyAlignment="1">
      <alignment horizontal="center"/>
    </xf>
    <xf numFmtId="0" fontId="15" fillId="6" borderId="0" xfId="0" applyFont="1" applyFill="1" applyAlignment="1">
      <alignment horizontal="center"/>
    </xf>
    <xf numFmtId="0" fontId="18" fillId="24" borderId="9" xfId="0" applyFont="1" applyFill="1" applyBorder="1" applyAlignment="1">
      <alignment horizontal="center" vertical="center"/>
    </xf>
    <xf numFmtId="0" fontId="0" fillId="0" borderId="10" xfId="0" applyBorder="1"/>
    <xf numFmtId="0" fontId="22" fillId="26" borderId="0" xfId="0" applyFont="1" applyFill="1" applyAlignment="1">
      <alignment horizontal="left" vertical="center"/>
    </xf>
    <xf numFmtId="0" fontId="20" fillId="24" borderId="10" xfId="0" applyFont="1" applyFill="1" applyBorder="1" applyAlignment="1">
      <alignment horizontal="center" vertical="center"/>
    </xf>
    <xf numFmtId="0" fontId="15" fillId="20" borderId="4" xfId="0" applyFont="1" applyFill="1" applyBorder="1" applyAlignment="1">
      <alignment horizontal="center" vertical="center"/>
    </xf>
    <xf numFmtId="0" fontId="0" fillId="0" borderId="4" xfId="0" applyBorder="1"/>
    <xf numFmtId="0" fontId="15" fillId="21" borderId="4" xfId="0" applyFont="1" applyFill="1" applyBorder="1" applyAlignment="1">
      <alignment horizontal="center" vertical="center"/>
    </xf>
    <xf numFmtId="0" fontId="17" fillId="23" borderId="7" xfId="0" applyFont="1" applyFill="1" applyBorder="1" applyAlignment="1">
      <alignment horizontal="center" vertical="center"/>
    </xf>
    <xf numFmtId="0" fontId="0" fillId="0" borderId="7" xfId="0" applyBorder="1"/>
    <xf numFmtId="0" fontId="16" fillId="23" borderId="7" xfId="0" applyFont="1" applyFill="1" applyBorder="1" applyAlignment="1">
      <alignment horizontal="center" vertical="center"/>
    </xf>
    <xf numFmtId="0" fontId="14" fillId="17" borderId="2" xfId="0" applyFont="1" applyFill="1" applyBorder="1" applyAlignment="1">
      <alignment horizontal="center" vertical="center"/>
    </xf>
    <xf numFmtId="0" fontId="0" fillId="0" borderId="2" xfId="0" applyBorder="1"/>
    <xf numFmtId="0" fontId="28" fillId="40" borderId="24" xfId="0" applyFont="1" applyFill="1" applyBorder="1" applyAlignment="1">
      <alignment horizontal="center"/>
    </xf>
    <xf numFmtId="0" fontId="30" fillId="37" borderId="24" xfId="0" applyFont="1" applyFill="1" applyBorder="1" applyAlignment="1">
      <alignment horizontal="center"/>
    </xf>
    <xf numFmtId="4" fontId="30" fillId="37" borderId="24" xfId="0" applyNumberFormat="1" applyFont="1" applyFill="1" applyBorder="1" applyAlignment="1">
      <alignment horizontal="center"/>
    </xf>
    <xf numFmtId="170" fontId="28" fillId="40" borderId="24" xfId="0" applyNumberFormat="1" applyFont="1" applyFill="1" applyBorder="1" applyAlignment="1">
      <alignment horizontal="center"/>
    </xf>
    <xf numFmtId="0" fontId="15" fillId="17" borderId="3" xfId="0" applyFont="1" applyFill="1" applyBorder="1" applyAlignment="1">
      <alignment horizontal="center" vertical="center"/>
    </xf>
    <xf numFmtId="0" fontId="19" fillId="24" borderId="10" xfId="0" applyFont="1" applyFill="1" applyBorder="1" applyAlignment="1">
      <alignment horizontal="center" vertical="center"/>
    </xf>
    <xf numFmtId="170" fontId="30" fillId="37" borderId="24" xfId="0" applyNumberFormat="1" applyFont="1" applyFill="1" applyBorder="1" applyAlignment="1">
      <alignment horizontal="center"/>
    </xf>
    <xf numFmtId="0" fontId="17" fillId="23" borderId="6" xfId="0" applyFont="1" applyFill="1" applyBorder="1" applyAlignment="1">
      <alignment horizontal="center" vertical="center"/>
    </xf>
    <xf numFmtId="0" fontId="22" fillId="39" borderId="0" xfId="0" applyFont="1" applyFill="1" applyAlignment="1">
      <alignment horizontal="center"/>
    </xf>
    <xf numFmtId="0" fontId="29" fillId="25" borderId="24" xfId="0" applyFont="1" applyFill="1" applyBorder="1" applyAlignment="1">
      <alignment horizontal="center"/>
    </xf>
    <xf numFmtId="170" fontId="29" fillId="25" borderId="24" xfId="0" applyNumberFormat="1" applyFont="1" applyFill="1" applyBorder="1" applyAlignment="1">
      <alignment horizontal="center"/>
    </xf>
    <xf numFmtId="0" fontId="16" fillId="23" borderId="6" xfId="0" applyFont="1" applyFill="1" applyBorder="1" applyAlignment="1">
      <alignment horizontal="center" vertical="center"/>
    </xf>
    <xf numFmtId="0" fontId="33" fillId="9" borderId="0" xfId="0" applyFont="1" applyFill="1" applyAlignment="1">
      <alignment horizontal="center"/>
    </xf>
    <xf numFmtId="0" fontId="15" fillId="42" borderId="0" xfId="0" applyFont="1" applyFill="1" applyAlignment="1">
      <alignment horizontal="center"/>
    </xf>
    <xf numFmtId="0" fontId="32" fillId="10" borderId="0" xfId="0" applyFont="1" applyFill="1" applyAlignment="1">
      <alignment horizontal="center"/>
    </xf>
    <xf numFmtId="0" fontId="22" fillId="30" borderId="0" xfId="0" applyFont="1" applyFill="1"/>
    <xf numFmtId="0" fontId="15" fillId="27" borderId="0" xfId="0" applyFont="1" applyFill="1" applyAlignment="1">
      <alignment horizontal="center"/>
    </xf>
    <xf numFmtId="0" fontId="15" fillId="5" borderId="0" xfId="0" applyFont="1" applyFill="1" applyAlignment="1">
      <alignment horizontal="center"/>
    </xf>
    <xf numFmtId="0" fontId="0" fillId="9" borderId="0" xfId="0" applyFill="1" applyAlignment="1">
      <alignment horizontal="center"/>
    </xf>
    <xf numFmtId="10" fontId="0" fillId="9" borderId="0" xfId="0" applyNumberFormat="1" applyFill="1" applyAlignment="1">
      <alignment horizontal="center"/>
    </xf>
    <xf numFmtId="0" fontId="25" fillId="27" borderId="0" xfId="0" applyFont="1" applyFill="1" applyAlignment="1">
      <alignment horizontal="center"/>
    </xf>
    <xf numFmtId="0" fontId="29" fillId="0" borderId="0" xfId="0" applyFont="1" applyAlignment="1">
      <alignment horizontal="center"/>
    </xf>
    <xf numFmtId="0" fontId="22" fillId="31" borderId="0" xfId="0" applyFont="1" applyFill="1"/>
    <xf numFmtId="0" fontId="15" fillId="43" borderId="0" xfId="0" applyFont="1" applyFill="1" applyAlignment="1">
      <alignment horizontal="center"/>
    </xf>
    <xf numFmtId="10" fontId="32" fillId="10" borderId="0" xfId="0" applyNumberFormat="1" applyFont="1" applyFill="1" applyAlignment="1">
      <alignment horizontal="center"/>
    </xf>
    <xf numFmtId="0" fontId="15" fillId="18" borderId="4" xfId="0" applyFont="1" applyFill="1" applyBorder="1" applyAlignment="1">
      <alignment horizontal="center" vertical="center"/>
    </xf>
    <xf numFmtId="0" fontId="15" fillId="19" borderId="4" xfId="0" applyFont="1" applyFill="1" applyBorder="1" applyAlignment="1">
      <alignment horizontal="center" vertical="center"/>
    </xf>
    <xf numFmtId="2" fontId="16" fillId="23" borderId="7" xfId="0" applyNumberFormat="1" applyFont="1" applyFill="1" applyBorder="1" applyAlignment="1">
      <alignment horizontal="center" vertical="center"/>
    </xf>
    <xf numFmtId="0" fontId="18" fillId="24" borderId="11" xfId="0" applyFont="1" applyFill="1" applyBorder="1" applyAlignment="1">
      <alignment horizontal="center" vertical="center"/>
    </xf>
    <xf numFmtId="0" fontId="0" fillId="0" borderId="11" xfId="0" applyBorder="1"/>
    <xf numFmtId="0" fontId="15" fillId="22" borderId="5" xfId="0" applyFont="1" applyFill="1" applyBorder="1" applyAlignment="1">
      <alignment horizontal="center" vertical="center"/>
    </xf>
    <xf numFmtId="0" fontId="0" fillId="0" borderId="5" xfId="0" applyBorder="1"/>
    <xf numFmtId="0" fontId="17" fillId="23" borderId="8" xfId="0" applyFont="1" applyFill="1" applyBorder="1" applyAlignment="1">
      <alignment horizontal="center" vertical="center"/>
    </xf>
    <xf numFmtId="0" fontId="25" fillId="6" borderId="21" xfId="0" applyFont="1" applyFill="1" applyBorder="1" applyAlignment="1">
      <alignment horizontal="center"/>
    </xf>
    <xf numFmtId="0" fontId="0" fillId="0" borderId="26" xfId="0" applyBorder="1"/>
    <xf numFmtId="0" fontId="0" fillId="0" borderId="27" xfId="0" applyBorder="1"/>
    <xf numFmtId="0" fontId="28" fillId="40" borderId="0" xfId="0" applyFont="1" applyFill="1"/>
    <xf numFmtId="4" fontId="29" fillId="25" borderId="24" xfId="0" applyNumberFormat="1" applyFont="1" applyFill="1" applyBorder="1" applyAlignment="1">
      <alignment horizontal="center"/>
    </xf>
    <xf numFmtId="0" fontId="15" fillId="34" borderId="0" xfId="0" applyFont="1" applyFill="1" applyAlignment="1">
      <alignment horizontal="center"/>
    </xf>
    <xf numFmtId="0" fontId="30" fillId="0" borderId="0" xfId="0" applyFont="1" applyAlignment="1">
      <alignment horizontal="center"/>
    </xf>
    <xf numFmtId="0" fontId="30" fillId="38" borderId="24" xfId="0" applyFont="1" applyFill="1" applyBorder="1" applyAlignment="1">
      <alignment horizontal="center"/>
    </xf>
    <xf numFmtId="0" fontId="31" fillId="37" borderId="0" xfId="0" applyFont="1" applyFill="1" applyAlignment="1">
      <alignment horizontal="center"/>
    </xf>
    <xf numFmtId="0" fontId="15" fillId="41" borderId="0" xfId="0" applyFont="1" applyFill="1" applyAlignment="1">
      <alignment horizontal="center"/>
    </xf>
    <xf numFmtId="0" fontId="22" fillId="27" borderId="0" xfId="0" applyFont="1" applyFill="1"/>
    <xf numFmtId="0" fontId="25" fillId="34" borderId="21" xfId="0" applyFont="1" applyFill="1" applyBorder="1" applyAlignment="1">
      <alignment horizontal="center"/>
    </xf>
    <xf numFmtId="0" fontId="25" fillId="27" borderId="0" xfId="0" applyFont="1" applyFill="1"/>
  </cellXfs>
  <cellStyles count="1">
    <cellStyle name="Normal" xfId="0" builtinId="0"/>
  </cellStyles>
  <dxfs count="8">
    <dxf>
      <fill>
        <patternFill>
          <bgColor rgb="FFFFEB9C"/>
        </patternFill>
      </fill>
    </dxf>
    <dxf>
      <fill>
        <patternFill>
          <bgColor rgb="FFC6EFCE"/>
        </patternFill>
      </fill>
    </dxf>
    <dxf>
      <fill>
        <patternFill>
          <bgColor rgb="FFBDD7E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colors>
    <indexedColors>
      <rgbColor rgb="FF000000"/>
      <rgbColor rgb="FFFFFFFF"/>
      <rgbColor rgb="FFE23632"/>
      <rgbColor rgb="FFE2EFDA"/>
      <rgbColor rgb="FFEAECEE"/>
      <rgbColor rgb="FFFFE699"/>
      <rgbColor rgb="FFC65911"/>
      <rgbColor rgb="FFD6DCE5"/>
      <rgbColor rgb="FF9C5700"/>
      <rgbColor rgb="FF006100"/>
      <rgbColor rgb="FFF2F2F2"/>
      <rgbColor rgb="FF77933C"/>
      <rgbColor rgb="FF595959"/>
      <rgbColor rgb="FF2E8632"/>
      <rgbColor rgb="FFBFBFC3"/>
      <rgbColor rgb="FF808687"/>
      <rgbColor rgb="FF4B7BC4"/>
      <rgbColor rgb="FF7830A0"/>
      <rgbColor rgb="FFFFF2CC"/>
      <rgbColor rgb="FFE3F2FD"/>
      <rgbColor rgb="FF34495E"/>
      <rgbColor rgb="FFED7D31"/>
      <rgbColor rgb="FF1565C0"/>
      <rgbColor rgb="FFE2D0F4"/>
      <rgbColor rgb="FFF8F9FA"/>
      <rgbColor rgb="FFE7E6E6"/>
      <rgbColor rgb="FFFFF3E0"/>
      <rgbColor rgb="FFD9D9D9"/>
      <rgbColor rgb="FF8D5FAC"/>
      <rgbColor rgb="FF375623"/>
      <rgbColor rgb="FF1F4E79"/>
      <rgbColor rgb="FFECF0F1"/>
      <rgbColor rgb="FF548235"/>
      <rgbColor rgb="FFE8F5E9"/>
      <rgbColor rgb="FFC6EFCE"/>
      <rgbColor rgb="FFFFEB9C"/>
      <rgbColor rgb="FFBDD7EE"/>
      <rgbColor rgb="FFD0CECE"/>
      <rgbColor rgb="FFCCCCCC"/>
      <rgbColor rgb="FFFFC7CE"/>
      <rgbColor rgb="FF2E75B6"/>
      <rgbColor rgb="FF3498DB"/>
      <rgbColor rgb="FFC6E0B4"/>
      <rgbColor rgb="FFFCE4D6"/>
      <rgbColor rgb="FFF39C12"/>
      <rgbColor rgb="FFFF6F00"/>
      <rgbColor rgb="FF666666"/>
      <rgbColor rgb="FF96A89A"/>
      <rgbColor rgb="FF1F3864"/>
      <rgbColor rgb="FF27AE60"/>
      <rgbColor rgb="FF2C3E50"/>
      <rgbColor rgb="FF1A252F"/>
      <rgbColor rgb="FF8E2717"/>
      <rgbColor rgb="FF843C0C"/>
      <rgbColor rgb="FF2F5496"/>
      <rgbColor rgb="FF404040"/>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13" Type="http://schemas.microsoft.com/office/2017/06/relationships/rdSupportingPropertyBag" Target="richData/rdsupportingpropertybag.xml"/><Relationship Id="rId3" Type="http://schemas.openxmlformats.org/officeDocument/2006/relationships/worksheet" Target="worksheets/sheet3.xml"/><Relationship Id="rId7" Type="http://schemas.openxmlformats.org/officeDocument/2006/relationships/sharedStrings" Target="sharedStrings.xml"/><Relationship Id="rId12" Type="http://schemas.microsoft.com/office/2017/06/relationships/rdSupportingPropertyBagStructure" Target="richData/rdsupportingpropertybagstructure.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microsoft.com/office/2017/06/relationships/richStyles" Target="richData/richStyles.xml"/><Relationship Id="rId5" Type="http://schemas.openxmlformats.org/officeDocument/2006/relationships/theme" Target="theme/theme1.xml"/><Relationship Id="rId15" Type="http://schemas.openxmlformats.org/officeDocument/2006/relationships/calcChain" Target="calcChain.xml"/><Relationship Id="rId10" Type="http://schemas.microsoft.com/office/2017/06/relationships/rdRichValueStructure" Target="richData/rdrichvaluestructure.xml"/><Relationship Id="rId4" Type="http://schemas.openxmlformats.org/officeDocument/2006/relationships/worksheet" Target="worksheets/sheet4.xml"/><Relationship Id="rId9" Type="http://schemas.microsoft.com/office/2017/06/relationships/rdRichValue" Target="richData/rdrichvalue.xml"/><Relationship Id="rId14" Type="http://schemas.microsoft.com/office/2017/06/relationships/rdRichValueTypes" Target="richData/rdRichValueTypes.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Distribución por Tier de Calidad</a:t>
            </a:r>
          </a:p>
        </c:rich>
      </c:tx>
      <c:overlay val="0"/>
      <c:spPr>
        <a:noFill/>
        <a:ln w="0">
          <a:noFill/>
          <a:prstDash val="solid"/>
        </a:ln>
      </c:spPr>
    </c:title>
    <c:autoTitleDeleted val="0"/>
    <c:plotArea>
      <c:layout/>
      <c:pieChart>
        <c:varyColors val="1"/>
        <c:ser>
          <c:idx val="0"/>
          <c:order val="0"/>
          <c:spPr>
            <a:solidFill>
              <a:srgbClr val="4F81BD"/>
            </a:solidFill>
            <a:ln w="12600">
              <a:noFill/>
              <a:prstDash val="solid"/>
            </a:ln>
          </c:spPr>
          <c:dPt>
            <c:idx val="0"/>
            <c:bubble3D val="0"/>
            <c:spPr>
              <a:solidFill>
                <a:srgbClr val="4F81BD"/>
              </a:solidFill>
              <a:ln w="19080">
                <a:solidFill>
                  <a:schemeClr val="lt1"/>
                </a:solidFill>
                <a:prstDash val="solid"/>
                <a:round/>
              </a:ln>
            </c:spPr>
            <c:extLst>
              <c:ext xmlns:c16="http://schemas.microsoft.com/office/drawing/2014/chart" uri="{C3380CC4-5D6E-409C-BE32-E72D297353CC}">
                <c16:uniqueId val="{00000001-E6DA-4C65-BC9C-714991B063A4}"/>
              </c:ext>
            </c:extLst>
          </c:dPt>
          <c:dPt>
            <c:idx val="1"/>
            <c:bubble3D val="0"/>
            <c:spPr>
              <a:solidFill>
                <a:srgbClr val="C0504D"/>
              </a:solidFill>
              <a:ln w="19080">
                <a:solidFill>
                  <a:schemeClr val="lt1"/>
                </a:solidFill>
                <a:prstDash val="solid"/>
                <a:round/>
              </a:ln>
            </c:spPr>
            <c:extLst>
              <c:ext xmlns:c16="http://schemas.microsoft.com/office/drawing/2014/chart" uri="{C3380CC4-5D6E-409C-BE32-E72D297353CC}">
                <c16:uniqueId val="{00000003-E6DA-4C65-BC9C-714991B063A4}"/>
              </c:ext>
            </c:extLst>
          </c:dPt>
          <c:dPt>
            <c:idx val="2"/>
            <c:bubble3D val="0"/>
            <c:spPr>
              <a:solidFill>
                <a:srgbClr val="9BBB59"/>
              </a:solidFill>
              <a:ln w="19080">
                <a:solidFill>
                  <a:schemeClr val="lt1"/>
                </a:solidFill>
                <a:prstDash val="solid"/>
                <a:round/>
              </a:ln>
            </c:spPr>
            <c:extLst>
              <c:ext xmlns:c16="http://schemas.microsoft.com/office/drawing/2014/chart" uri="{C3380CC4-5D6E-409C-BE32-E72D297353CC}">
                <c16:uniqueId val="{00000005-E6DA-4C65-BC9C-714991B063A4}"/>
              </c:ext>
            </c:extLst>
          </c:dPt>
          <c:dPt>
            <c:idx val="3"/>
            <c:bubble3D val="0"/>
            <c:spPr>
              <a:solidFill>
                <a:srgbClr val="8064A2"/>
              </a:solidFill>
              <a:ln w="19080">
                <a:solidFill>
                  <a:schemeClr val="lt1"/>
                </a:solidFill>
                <a:prstDash val="solid"/>
                <a:round/>
              </a:ln>
            </c:spPr>
            <c:extLst>
              <c:ext xmlns:c16="http://schemas.microsoft.com/office/drawing/2014/chart" uri="{C3380CC4-5D6E-409C-BE32-E72D297353CC}">
                <c16:uniqueId val="{00000007-E6DA-4C65-BC9C-714991B063A4}"/>
              </c:ext>
            </c:extLst>
          </c:dPt>
          <c:dLbls>
            <c:dLbl>
              <c:idx val="0"/>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1-E6DA-4C65-BC9C-714991B063A4}"/>
                </c:ext>
              </c:extLst>
            </c:dLbl>
            <c:dLbl>
              <c:idx val="1"/>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3-E6DA-4C65-BC9C-714991B063A4}"/>
                </c:ext>
              </c:extLst>
            </c:dLbl>
            <c:dLbl>
              <c:idx val="2"/>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5-E6DA-4C65-BC9C-714991B063A4}"/>
                </c:ext>
              </c:extLst>
            </c:dLbl>
            <c:dLbl>
              <c:idx val="3"/>
              <c:spPr>
                <a:ln>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extLst>
                <c:ext xmlns:c16="http://schemas.microsoft.com/office/drawing/2014/chart" uri="{C3380CC4-5D6E-409C-BE32-E72D297353CC}">
                  <c16:uniqueId val="{00000007-E6DA-4C65-BC9C-714991B063A4}"/>
                </c:ext>
              </c:extLst>
            </c:dLbl>
            <c:spPr>
              <a:noFill/>
              <a:ln>
                <a:noFill/>
                <a:prstDash val="solid"/>
              </a:ln>
            </c:spPr>
            <c:txPr>
              <a:bodyPr wrap="square"/>
              <a:lstStyle/>
              <a:p>
                <a:pPr>
                  <a:defRPr sz="1100" b="1" strike="noStrike">
                    <a:solidFill>
                      <a:schemeClr val="tx1">
                        <a:lumMod val="75000"/>
                        <a:lumOff val="25000"/>
                      </a:schemeClr>
                    </a:solidFill>
                    <a:uFillTx/>
                    <a:latin typeface="Calibri"/>
                  </a:defRPr>
                </a:pPr>
                <a:endParaRPr lang="es-ES"/>
              </a:p>
            </c:txPr>
            <c:dLblPos val="bestFit"/>
            <c:showLegendKey val="0"/>
            <c:showVal val="0"/>
            <c:showCatName val="0"/>
            <c:showSerName val="0"/>
            <c:showPercent val="1"/>
            <c:showBubbleSize val="1"/>
            <c:showLeaderLines val="1"/>
            <c:extLst>
              <c:ext xmlns:c15="http://schemas.microsoft.com/office/drawing/2012/chart" uri="{CE6537A1-D6FC-4f65-9D91-7224C49458BB}"/>
            </c:extLst>
          </c:dLbls>
          <c:cat>
            <c:strRef>
              <c:f>Dashboard!$L$8:$L$17</c:f>
              <c:strCache>
                <c:ptCount val="10"/>
                <c:pt idx="5">
                  <c:v>Tier</c:v>
                </c:pt>
                <c:pt idx="6">
                  <c:v>Tier 1 (+8)</c:v>
                </c:pt>
                <c:pt idx="7">
                  <c:v>⭐ Tier 2 (7-8)</c:v>
                </c:pt>
                <c:pt idx="8">
                  <c:v>Tier 3 (6-7)</c:v>
                </c:pt>
                <c:pt idx="9">
                  <c:v>⚠️ Below 6</c:v>
                </c:pt>
              </c:strCache>
            </c:strRef>
          </c:cat>
          <c:val>
            <c:numRef>
              <c:f>Dashboard!$M$14:$M$17</c:f>
              <c:numCache>
                <c:formatCode>General</c:formatCode>
                <c:ptCount val="4"/>
                <c:pt idx="0">
                  <c:v>5</c:v>
                </c:pt>
                <c:pt idx="1">
                  <c:v>14</c:v>
                </c:pt>
                <c:pt idx="2">
                  <c:v>15</c:v>
                </c:pt>
                <c:pt idx="3">
                  <c:v>27</c:v>
                </c:pt>
              </c:numCache>
            </c:numRef>
          </c:val>
          <c:extLst>
            <c:ext xmlns:c16="http://schemas.microsoft.com/office/drawing/2014/chart" uri="{C3380CC4-5D6E-409C-BE32-E72D297353CC}">
              <c16:uniqueId val="{00000008-E6DA-4C65-BC9C-714991B063A4}"/>
            </c:ext>
          </c:extLst>
        </c:ser>
        <c:dLbls>
          <c:showLegendKey val="0"/>
          <c:showVal val="0"/>
          <c:showCatName val="0"/>
          <c:showSerName val="0"/>
          <c:showPercent val="0"/>
          <c:showBubbleSize val="0"/>
          <c:showLeaderLines val="1"/>
        </c:dLbls>
        <c:firstSliceAng val="0"/>
      </c:pieChart>
    </c:plotArea>
    <c:legend>
      <c:legendPos val="b"/>
      <c:overlay val="0"/>
      <c:spPr>
        <a:noFill/>
        <a:ln w="0">
          <a:noFill/>
          <a:prstDash val="solid"/>
        </a:ln>
      </c:spPr>
      <c:txPr>
        <a:bodyPr/>
        <a:lstStyle/>
        <a:p>
          <a:pPr>
            <a:defRPr sz="10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chemeClr val="tx1">
                    <a:lumMod val="65000"/>
                    <a:lumOff val="35000"/>
                  </a:schemeClr>
                </a:solidFill>
                <a:uFillTx/>
                <a:latin typeface="Calibri"/>
              </a:rPr>
              <a:t>📈 Calidad Compuesta vs IRR Bull</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4F81BD"/>
              </a:solidFill>
              <a:ln>
                <a:prstDash val="solid"/>
              </a:ln>
            </c:spPr>
          </c:marker>
          <c:dLbls>
            <c:spPr>
              <a:noFill/>
              <a:ln>
                <a:noFill/>
                <a:prstDash val="solid"/>
              </a:ln>
            </c:spPr>
            <c:txPr>
              <a:bodyPr wrap="square"/>
              <a:lstStyle/>
              <a:p>
                <a:pPr>
                  <a:defRPr sz="900" b="0" strike="noStrike">
                    <a:solidFill>
                      <a:schemeClr val="tx1">
                        <a:lumMod val="75000"/>
                        <a:lumOff val="25000"/>
                      </a:schemeClr>
                    </a:solidFill>
                    <a:uFillTx/>
                    <a:latin typeface="Calibri"/>
                  </a:defRPr>
                </a:pPr>
                <a:endParaRPr lang="es-ES"/>
              </a:p>
            </c:txPr>
            <c:dLblPos val="r"/>
            <c:showLegendKey val="0"/>
            <c:showVal val="1"/>
            <c:showCatName val="0"/>
            <c:showSerName val="0"/>
            <c:showPercent val="0"/>
            <c:showBubbleSize val="1"/>
            <c:showLeaderLines val="0"/>
            <c:extLst>
              <c:ext xmlns:c15="http://schemas.microsoft.com/office/drawing/2012/chart" uri="{CE6537A1-D6FC-4f65-9D91-7224C49458BB}">
                <c15:showLeaderLines val="0"/>
              </c:ext>
            </c:extLst>
          </c:dLbls>
          <c:xVal>
            <c:numRef>
              <c:f>Dashboard!$P$8:$P$22</c:f>
              <c:numCache>
                <c:formatCode>0.00</c:formatCode>
                <c:ptCount val="15"/>
                <c:pt idx="0">
                  <c:v>8.2799999999999994</c:v>
                </c:pt>
                <c:pt idx="1">
                  <c:v>8.01</c:v>
                </c:pt>
                <c:pt idx="2">
                  <c:v>7.73</c:v>
                </c:pt>
                <c:pt idx="3">
                  <c:v>7.93</c:v>
                </c:pt>
                <c:pt idx="4">
                  <c:v>8.01</c:v>
                </c:pt>
                <c:pt idx="5">
                  <c:v>7.82</c:v>
                </c:pt>
                <c:pt idx="6">
                  <c:v>7.97</c:v>
                </c:pt>
                <c:pt idx="7">
                  <c:v>7.45</c:v>
                </c:pt>
                <c:pt idx="8">
                  <c:v>7.92</c:v>
                </c:pt>
                <c:pt idx="9">
                  <c:v>8.08</c:v>
                </c:pt>
                <c:pt idx="10">
                  <c:v>7.85</c:v>
                </c:pt>
                <c:pt idx="11">
                  <c:v>7.68</c:v>
                </c:pt>
                <c:pt idx="12">
                  <c:v>8</c:v>
                </c:pt>
                <c:pt idx="13">
                  <c:v>7.88</c:v>
                </c:pt>
                <c:pt idx="14">
                  <c:v>7.16</c:v>
                </c:pt>
              </c:numCache>
            </c:numRef>
          </c:xVal>
          <c:yVal>
            <c:numRef>
              <c:f>Dashboard!$Q$8:$Q$22</c:f>
              <c:numCache>
                <c:formatCode>0.00%</c:formatCode>
                <c:ptCount val="15"/>
                <c:pt idx="0">
                  <c:v>0.34329692568943093</c:v>
                </c:pt>
                <c:pt idx="1">
                  <c:v>0.10535648659769592</c:v>
                </c:pt>
                <c:pt idx="2">
                  <c:v>0.29489453079395211</c:v>
                </c:pt>
                <c:pt idx="3">
                  <c:v>0.25007229949436627</c:v>
                </c:pt>
                <c:pt idx="4">
                  <c:v>-1.6089199691735612E-2</c:v>
                </c:pt>
                <c:pt idx="5">
                  <c:v>0.22845688983290469</c:v>
                </c:pt>
                <c:pt idx="6">
                  <c:v>0.1558924719250312</c:v>
                </c:pt>
                <c:pt idx="7">
                  <c:v>0.23909386335572558</c:v>
                </c:pt>
                <c:pt idx="8">
                  <c:v>0.1218094535347829</c:v>
                </c:pt>
                <c:pt idx="9">
                  <c:v>4.2438993232079225E-2</c:v>
                </c:pt>
                <c:pt idx="10">
                  <c:v>7.6526817433812955E-2</c:v>
                </c:pt>
                <c:pt idx="11">
                  <c:v>0.16540754702958971</c:v>
                </c:pt>
                <c:pt idx="12">
                  <c:v>1.8693712124910222E-2</c:v>
                </c:pt>
                <c:pt idx="13">
                  <c:v>5.0409660501293585E-2</c:v>
                </c:pt>
                <c:pt idx="14">
                  <c:v>0.10519309436556035</c:v>
                </c:pt>
              </c:numCache>
            </c:numRef>
          </c:yVal>
          <c:smooth val="0"/>
          <c:extLst>
            <c:ext xmlns:c16="http://schemas.microsoft.com/office/drawing/2014/chart" uri="{C3380CC4-5D6E-409C-BE32-E72D297353CC}">
              <c16:uniqueId val="{00000000-AE37-4A96-B1F6-3018742B0382}"/>
            </c:ext>
          </c:extLst>
        </c:ser>
        <c:dLbls>
          <c:showLegendKey val="0"/>
          <c:showVal val="0"/>
          <c:showCatName val="0"/>
          <c:showSerName val="0"/>
          <c:showPercent val="0"/>
          <c:showBubbleSize val="0"/>
        </c:dLbls>
        <c:axId val="52018216"/>
        <c:axId val="91285629"/>
      </c:scatterChart>
      <c:valAx>
        <c:axId val="52018216"/>
        <c:scaling>
          <c:orientation val="minMax"/>
          <c:min val="5"/>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Composite Rating</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1285629"/>
        <c:crosses val="autoZero"/>
        <c:crossBetween val="midCat"/>
      </c:valAx>
      <c:valAx>
        <c:axId val="91285629"/>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0.00%"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52018216"/>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MOAT vs Opcionalidad</a:t>
            </a:r>
          </a:p>
        </c:rich>
      </c:tx>
      <c:overlay val="0"/>
      <c:spPr>
        <a:noFill/>
        <a:ln w="0">
          <a:noFill/>
          <a:prstDash val="solid"/>
        </a:ln>
      </c:spPr>
    </c:title>
    <c:autoTitleDeleted val="0"/>
    <c:plotArea>
      <c:layout/>
      <c:barChart>
        <c:barDir val="col"/>
        <c:grouping val="clustered"/>
        <c:varyColors val="0"/>
        <c:ser>
          <c:idx val="0"/>
          <c:order val="0"/>
          <c:tx>
            <c:strRef>
              <c:f>Dashboard!$AK$6</c:f>
              <c:strCache>
                <c:ptCount val="1"/>
                <c:pt idx="0">
                  <c:v>MOAT</c:v>
                </c:pt>
              </c:strCache>
            </c:strRef>
          </c:tx>
          <c:spPr>
            <a:solidFill>
              <a:srgbClr val="1565C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Dashboard!$AK$7:$AK$16</c:f>
              <c:numCache>
                <c:formatCode>General</c:formatCode>
                <c:ptCount val="10"/>
                <c:pt idx="0">
                  <c:v>8</c:v>
                </c:pt>
                <c:pt idx="1">
                  <c:v>8</c:v>
                </c:pt>
                <c:pt idx="2">
                  <c:v>8</c:v>
                </c:pt>
                <c:pt idx="3">
                  <c:v>8</c:v>
                </c:pt>
                <c:pt idx="4">
                  <c:v>8</c:v>
                </c:pt>
                <c:pt idx="5">
                  <c:v>7</c:v>
                </c:pt>
                <c:pt idx="6">
                  <c:v>7</c:v>
                </c:pt>
                <c:pt idx="7">
                  <c:v>7</c:v>
                </c:pt>
                <c:pt idx="8">
                  <c:v>7</c:v>
                </c:pt>
                <c:pt idx="9">
                  <c:v>7</c:v>
                </c:pt>
              </c:numCache>
            </c:numRef>
          </c:val>
          <c:extLst>
            <c:ext xmlns:c16="http://schemas.microsoft.com/office/drawing/2014/chart" uri="{C3380CC4-5D6E-409C-BE32-E72D297353CC}">
              <c16:uniqueId val="{00000000-2B57-49C0-8342-477A98657DA1}"/>
            </c:ext>
          </c:extLst>
        </c:ser>
        <c:ser>
          <c:idx val="1"/>
          <c:order val="1"/>
          <c:tx>
            <c:strRef>
              <c:f>Dashboard!$AL$6</c:f>
              <c:strCache>
                <c:ptCount val="1"/>
                <c:pt idx="0">
                  <c:v>Optionality</c:v>
                </c:pt>
              </c:strCache>
            </c:strRef>
          </c:tx>
          <c:spPr>
            <a:solidFill>
              <a:srgbClr val="9C27B0"/>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Dashboard!$AJ$7:$AJ$16</c:f>
              <c:strCache>
                <c:ptCount val="10"/>
                <c:pt idx="0">
                  <c:v>VEEV</c:v>
                </c:pt>
                <c:pt idx="1">
                  <c:v>MSFT</c:v>
                </c:pt>
                <c:pt idx="2">
                  <c:v>COST</c:v>
                </c:pt>
                <c:pt idx="3">
                  <c:v>AMZN</c:v>
                </c:pt>
                <c:pt idx="4">
                  <c:v>FICO</c:v>
                </c:pt>
                <c:pt idx="5">
                  <c:v>ADYEN</c:v>
                </c:pt>
                <c:pt idx="6">
                  <c:v>BN</c:v>
                </c:pt>
                <c:pt idx="7">
                  <c:v>DSGX</c:v>
                </c:pt>
                <c:pt idx="8">
                  <c:v>RAA</c:v>
                </c:pt>
                <c:pt idx="9">
                  <c:v>NTO</c:v>
                </c:pt>
              </c:strCache>
            </c:strRef>
          </c:cat>
          <c:val>
            <c:numRef>
              <c:f>Dashboard!$AL$7:$AL$16</c:f>
              <c:numCache>
                <c:formatCode>General</c:formatCode>
                <c:ptCount val="10"/>
                <c:pt idx="0">
                  <c:v>3</c:v>
                </c:pt>
                <c:pt idx="1">
                  <c:v>3</c:v>
                </c:pt>
                <c:pt idx="2">
                  <c:v>1</c:v>
                </c:pt>
                <c:pt idx="3">
                  <c:v>3</c:v>
                </c:pt>
                <c:pt idx="4">
                  <c:v>2</c:v>
                </c:pt>
                <c:pt idx="5">
                  <c:v>3</c:v>
                </c:pt>
                <c:pt idx="6">
                  <c:v>3</c:v>
                </c:pt>
                <c:pt idx="7">
                  <c:v>2</c:v>
                </c:pt>
                <c:pt idx="8">
                  <c:v>2</c:v>
                </c:pt>
                <c:pt idx="9">
                  <c:v>3</c:v>
                </c:pt>
              </c:numCache>
            </c:numRef>
          </c:val>
          <c:extLst>
            <c:ext xmlns:c16="http://schemas.microsoft.com/office/drawing/2014/chart" uri="{C3380CC4-5D6E-409C-BE32-E72D297353CC}">
              <c16:uniqueId val="{00000001-2B57-49C0-8342-477A98657DA1}"/>
            </c:ext>
          </c:extLst>
        </c:ser>
        <c:dLbls>
          <c:showLegendKey val="0"/>
          <c:showVal val="0"/>
          <c:showCatName val="0"/>
          <c:showSerName val="0"/>
          <c:showPercent val="0"/>
          <c:showBubbleSize val="0"/>
        </c:dLbls>
        <c:gapWidth val="219"/>
        <c:overlap val="-27"/>
        <c:axId val="87773390"/>
        <c:axId val="3936355"/>
      </c:barChart>
      <c:catAx>
        <c:axId val="8777339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3936355"/>
        <c:crosses val="autoZero"/>
        <c:auto val="1"/>
        <c:lblAlgn val="ctr"/>
        <c:lblOffset val="100"/>
        <c:noMultiLvlLbl val="0"/>
      </c:catAx>
      <c:valAx>
        <c:axId val="3936355"/>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777339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300" b="1" strike="noStrike">
                <a:solidFill>
                  <a:schemeClr val="tx1">
                    <a:lumMod val="65000"/>
                    <a:lumOff val="35000"/>
                  </a:schemeClr>
                </a:solidFill>
                <a:uFillTx/>
                <a:latin typeface="Calibri"/>
              </a:rPr>
              <a:t>📊 Asimetría: IRR Bear vs Bull</a:t>
            </a:r>
          </a:p>
        </c:rich>
      </c:tx>
      <c:overlay val="0"/>
      <c:spPr>
        <a:noFill/>
        <a:ln w="0">
          <a:noFill/>
          <a:prstDash val="solid"/>
        </a:ln>
      </c:spPr>
    </c:title>
    <c:autoTitleDeleted val="0"/>
    <c:plotArea>
      <c:layout/>
      <c:barChart>
        <c:barDir val="col"/>
        <c:grouping val="clustered"/>
        <c:varyColors val="0"/>
        <c:ser>
          <c:idx val="0"/>
          <c:order val="0"/>
          <c:tx>
            <c:strRef>
              <c:f>Dashboard!$AP$6</c:f>
              <c:strCache>
                <c:ptCount val="1"/>
                <c:pt idx="0">
                  <c:v>IRR Bear %</c:v>
                </c:pt>
              </c:strCache>
            </c:strRef>
          </c:tx>
          <c:spPr>
            <a:solidFill>
              <a:srgbClr val="D32F2F"/>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Dashboard!$AP$7:$AP$16</c:f>
              <c:numCache>
                <c:formatCode>General</c:formatCode>
                <c:ptCount val="10"/>
                <c:pt idx="0">
                  <c:v>4.5</c:v>
                </c:pt>
                <c:pt idx="1">
                  <c:v>3.7</c:v>
                </c:pt>
                <c:pt idx="2">
                  <c:v>1.1000000000000001</c:v>
                </c:pt>
                <c:pt idx="3">
                  <c:v>1.8</c:v>
                </c:pt>
                <c:pt idx="4">
                  <c:v>0.6</c:v>
                </c:pt>
                <c:pt idx="5">
                  <c:v>-0.1</c:v>
                </c:pt>
                <c:pt idx="6">
                  <c:v>4.7</c:v>
                </c:pt>
                <c:pt idx="7">
                  <c:v>-4.2</c:v>
                </c:pt>
                <c:pt idx="8">
                  <c:v>-8</c:v>
                </c:pt>
                <c:pt idx="9">
                  <c:v>-7.9</c:v>
                </c:pt>
              </c:numCache>
            </c:numRef>
          </c:val>
          <c:extLst>
            <c:ext xmlns:c16="http://schemas.microsoft.com/office/drawing/2014/chart" uri="{C3380CC4-5D6E-409C-BE32-E72D297353CC}">
              <c16:uniqueId val="{00000000-9B44-4420-9A8D-7FC144F6E5EE}"/>
            </c:ext>
          </c:extLst>
        </c:ser>
        <c:ser>
          <c:idx val="1"/>
          <c:order val="1"/>
          <c:tx>
            <c:strRef>
              <c:f>Dashboard!$AQ$6</c:f>
              <c:strCache>
                <c:ptCount val="1"/>
                <c:pt idx="0">
                  <c:v>IRR Bull %</c:v>
                </c:pt>
              </c:strCache>
            </c:strRef>
          </c:tx>
          <c:spPr>
            <a:solidFill>
              <a:srgbClr val="388E3C"/>
            </a:solidFill>
            <a:ln w="12600">
              <a:noFill/>
              <a:prstDash val="solid"/>
            </a:ln>
          </c:spPr>
          <c:invertIfNegative val="0"/>
          <c:dLbls>
            <c:spPr>
              <a:noFill/>
              <a:ln>
                <a:noFill/>
                <a:prstDash val="solid"/>
              </a:ln>
            </c:spPr>
            <c:txPr>
              <a:bodyPr wrap="square"/>
              <a:lstStyle/>
              <a:p>
                <a:pPr>
                  <a:defRPr sz="1000" b="0" strike="noStrike">
                    <a:solidFill>
                      <a:srgbClr val="000000"/>
                    </a:solidFill>
                    <a:uFillTx/>
                    <a:latin typeface="Calibri"/>
                  </a:defRPr>
                </a:pPr>
                <a:endParaRPr lang="es-ES"/>
              </a:p>
            </c:txPr>
            <c:dLblPos val="outEnd"/>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cat>
            <c:strRef>
              <c:f>Dashboard!$AO$7:$AO$16</c:f>
              <c:strCache>
                <c:ptCount val="10"/>
                <c:pt idx="0">
                  <c:v>VEEV</c:v>
                </c:pt>
                <c:pt idx="1">
                  <c:v>ZS</c:v>
                </c:pt>
                <c:pt idx="2">
                  <c:v>ADYEN</c:v>
                </c:pt>
                <c:pt idx="3">
                  <c:v>ABNB</c:v>
                </c:pt>
                <c:pt idx="4">
                  <c:v>BN</c:v>
                </c:pt>
                <c:pt idx="5">
                  <c:v>DSGX</c:v>
                </c:pt>
                <c:pt idx="6">
                  <c:v>EVD</c:v>
                </c:pt>
                <c:pt idx="7">
                  <c:v>ITX</c:v>
                </c:pt>
                <c:pt idx="8">
                  <c:v>RAA</c:v>
                </c:pt>
                <c:pt idx="9">
                  <c:v>FICO</c:v>
                </c:pt>
              </c:strCache>
            </c:strRef>
          </c:cat>
          <c:val>
            <c:numRef>
              <c:f>Dashboard!$AQ$7:$AQ$16</c:f>
              <c:numCache>
                <c:formatCode>General</c:formatCode>
                <c:ptCount val="10"/>
                <c:pt idx="0">
                  <c:v>33.6</c:v>
                </c:pt>
                <c:pt idx="1">
                  <c:v>32.4</c:v>
                </c:pt>
                <c:pt idx="2">
                  <c:v>28.4</c:v>
                </c:pt>
                <c:pt idx="3">
                  <c:v>25</c:v>
                </c:pt>
                <c:pt idx="4">
                  <c:v>23.3</c:v>
                </c:pt>
                <c:pt idx="5">
                  <c:v>20.8</c:v>
                </c:pt>
                <c:pt idx="6">
                  <c:v>32.9</c:v>
                </c:pt>
                <c:pt idx="7">
                  <c:v>13.7</c:v>
                </c:pt>
                <c:pt idx="8">
                  <c:v>13.5</c:v>
                </c:pt>
                <c:pt idx="9">
                  <c:v>12.3</c:v>
                </c:pt>
              </c:numCache>
            </c:numRef>
          </c:val>
          <c:extLst>
            <c:ext xmlns:c16="http://schemas.microsoft.com/office/drawing/2014/chart" uri="{C3380CC4-5D6E-409C-BE32-E72D297353CC}">
              <c16:uniqueId val="{00000001-9B44-4420-9A8D-7FC144F6E5EE}"/>
            </c:ext>
          </c:extLst>
        </c:ser>
        <c:dLbls>
          <c:showLegendKey val="0"/>
          <c:showVal val="0"/>
          <c:showCatName val="0"/>
          <c:showSerName val="0"/>
          <c:showPercent val="0"/>
          <c:showBubbleSize val="0"/>
        </c:dLbls>
        <c:gapWidth val="219"/>
        <c:overlap val="-27"/>
        <c:axId val="84162720"/>
        <c:axId val="89395593"/>
      </c:barChart>
      <c:catAx>
        <c:axId val="84162720"/>
        <c:scaling>
          <c:orientation val="minMax"/>
        </c:scaling>
        <c:delete val="0"/>
        <c:axPos val="b"/>
        <c:numFmt formatCode="General" sourceLinked="0"/>
        <c:majorTickMark val="none"/>
        <c:minorTickMark val="none"/>
        <c:tickLblPos val="nextTo"/>
        <c:spPr>
          <a:ln w="9360">
            <a:solidFill>
              <a:schemeClr val="dk1">
                <a:lumMod val="15000"/>
                <a:lumOff val="8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89395593"/>
        <c:crosses val="autoZero"/>
        <c:auto val="1"/>
        <c:lblAlgn val="ctr"/>
        <c:lblOffset val="100"/>
        <c:noMultiLvlLbl val="0"/>
      </c:catAx>
      <c:valAx>
        <c:axId val="89395593"/>
        <c:scaling>
          <c:orientation val="minMax"/>
        </c:scaling>
        <c:delete val="0"/>
        <c:axPos val="l"/>
        <c:majorGridlines>
          <c:spPr>
            <a:ln w="9360">
              <a:solidFill>
                <a:schemeClr val="dk1">
                  <a:lumMod val="15000"/>
                  <a:lumOff val="85000"/>
                </a:schemeClr>
              </a:solidFill>
              <a:prstDash val="solid"/>
              <a:round/>
            </a:ln>
          </c:spPr>
        </c:majorGridlines>
        <c:numFmt formatCode="General" sourceLinked="0"/>
        <c:majorTickMark val="none"/>
        <c:minorTickMark val="none"/>
        <c:tickLblPos val="nextTo"/>
        <c:spPr>
          <a:ln w="9360">
            <a:noFill/>
            <a:prstDash val="solid"/>
          </a:ln>
        </c:spPr>
        <c:txPr>
          <a:bodyPr/>
          <a:lstStyle/>
          <a:p>
            <a:pPr>
              <a:defRPr sz="900" b="0" strike="noStrike">
                <a:solidFill>
                  <a:schemeClr val="tx1">
                    <a:lumMod val="65000"/>
                    <a:lumOff val="35000"/>
                  </a:schemeClr>
                </a:solidFill>
                <a:uFillTx/>
                <a:latin typeface="Calibri"/>
              </a:defRPr>
            </a:pPr>
            <a:endParaRPr lang="es-ES"/>
          </a:p>
        </c:txPr>
        <c:crossAx val="84162720"/>
        <c:crosses val="autoZero"/>
        <c:crossBetween val="between"/>
      </c:valAx>
    </c:plotArea>
    <c:legend>
      <c:legendPos val="b"/>
      <c:overlay val="0"/>
      <c:spPr>
        <a:noFill/>
        <a:ln w="0">
          <a:noFill/>
          <a:prstDash val="solid"/>
        </a:ln>
      </c:spPr>
      <c:txPr>
        <a:bodyPr/>
        <a:lstStyle/>
        <a:p>
          <a:pPr>
            <a:defRPr sz="900" b="0" strike="noStrike">
              <a:solidFill>
                <a:schemeClr val="tx1">
                  <a:lumMod val="65000"/>
                  <a:lumOff val="35000"/>
                </a:schemeClr>
              </a:solidFill>
              <a:uFillTx/>
              <a:latin typeface="Calibri"/>
            </a:defRPr>
          </a:pPr>
          <a:endParaRPr lang="es-ES"/>
        </a:p>
      </c:txPr>
    </c:legend>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rot="0"/>
          <a:lstStyle/>
          <a:p>
            <a:pPr>
              <a:defRPr sz="1300" b="0" strike="noStrike">
                <a:uFillTx/>
                <a:latin typeface="Arial"/>
              </a:defRPr>
            </a:pPr>
            <a:r>
              <a:rPr lang="en-US" sz="1400" b="1" strike="noStrike">
                <a:solidFill>
                  <a:srgbClr val="1565C0"/>
                </a:solidFill>
                <a:uFillTx/>
                <a:latin typeface="Calibri"/>
              </a:rPr>
              <a:t>📈 EV/FCF vs IRR Bull (%)</a:t>
            </a:r>
          </a:p>
        </c:rich>
      </c:tx>
      <c:overlay val="0"/>
      <c:spPr>
        <a:noFill/>
        <a:ln w="0">
          <a:noFill/>
          <a:prstDash val="solid"/>
        </a:ln>
      </c:spPr>
    </c:title>
    <c:autoTitleDeleted val="0"/>
    <c:plotArea>
      <c:layout/>
      <c:scatterChart>
        <c:scatterStyle val="lineMarker"/>
        <c:varyColors val="0"/>
        <c:ser>
          <c:idx val="0"/>
          <c:order val="0"/>
          <c:spPr>
            <a:ln w="28440">
              <a:noFill/>
              <a:prstDash val="solid"/>
            </a:ln>
          </c:spPr>
          <c:marker>
            <c:symbol val="circle"/>
            <c:size val="10"/>
            <c:spPr>
              <a:solidFill>
                <a:srgbClr val="1565C0"/>
              </a:solidFill>
              <a:ln>
                <a:prstDash val="solid"/>
              </a:ln>
            </c:spPr>
          </c:marker>
          <c:dLbls>
            <c:spPr>
              <a:noFill/>
              <a:ln>
                <a:noFill/>
                <a:prstDash val="solid"/>
              </a:ln>
            </c:spPr>
            <c:txPr>
              <a:bodyPr wrap="square"/>
              <a:lstStyle/>
              <a:p>
                <a:pPr>
                  <a:defRPr sz="1000" b="0" strike="noStrike">
                    <a:solidFill>
                      <a:srgbClr val="000000"/>
                    </a:solidFill>
                    <a:uFillTx/>
                    <a:latin typeface="Calibri"/>
                  </a:defRPr>
                </a:pPr>
                <a:endParaRPr lang="es-ES"/>
              </a:p>
            </c:txPr>
            <c:dLblPos val="r"/>
            <c:showLegendKey val="0"/>
            <c:showVal val="0"/>
            <c:showCatName val="0"/>
            <c:showSerName val="0"/>
            <c:showPercent val="0"/>
            <c:showBubbleSize val="1"/>
            <c:showLeaderLines val="0"/>
            <c:extLst>
              <c:ext xmlns:c15="http://schemas.microsoft.com/office/drawing/2012/chart" uri="{CE6537A1-D6FC-4f65-9D91-7224C49458BB}">
                <c15:showLeaderLines val="0"/>
              </c:ext>
            </c:extLst>
          </c:dLbls>
          <c:xVal>
            <c:numRef>
              <c:f>Dashboard!$AT$7:$AT$21</c:f>
              <c:numCache>
                <c:formatCode>General</c:formatCode>
                <c:ptCount val="15"/>
                <c:pt idx="0">
                  <c:v>20.173600073636401</c:v>
                </c:pt>
                <c:pt idx="1">
                  <c:v>44.5724369425714</c:v>
                </c:pt>
                <c:pt idx="2">
                  <c:v>28.571278521519002</c:v>
                </c:pt>
                <c:pt idx="3">
                  <c:v>24.369253736000001</c:v>
                </c:pt>
                <c:pt idx="4">
                  <c:v>51.179748126470599</c:v>
                </c:pt>
                <c:pt idx="5">
                  <c:v>25.7039266520833</c:v>
                </c:pt>
                <c:pt idx="6">
                  <c:v>29.589673076923098</c:v>
                </c:pt>
                <c:pt idx="7">
                  <c:v>26.244954871232899</c:v>
                </c:pt>
                <c:pt idx="8">
                  <c:v>27.905545425233299</c:v>
                </c:pt>
                <c:pt idx="9">
                  <c:v>52.2229498644231</c:v>
                </c:pt>
                <c:pt idx="10">
                  <c:v>37.736707694444398</c:v>
                </c:pt>
                <c:pt idx="11">
                  <c:v>24.612029698461502</c:v>
                </c:pt>
                <c:pt idx="12">
                  <c:v>45.617441111111098</c:v>
                </c:pt>
                <c:pt idx="13">
                  <c:v>43.630936634999998</c:v>
                </c:pt>
                <c:pt idx="14">
                  <c:v>38.120501266027397</c:v>
                </c:pt>
              </c:numCache>
            </c:numRef>
          </c:xVal>
          <c:yVal>
            <c:numRef>
              <c:f>Dashboard!$AU$7:$AU$21</c:f>
              <c:numCache>
                <c:formatCode>General</c:formatCode>
                <c:ptCount val="15"/>
                <c:pt idx="0">
                  <c:v>33.701681153345</c:v>
                </c:pt>
                <c:pt idx="1">
                  <c:v>10.123218193895701</c:v>
                </c:pt>
                <c:pt idx="2">
                  <c:v>28.414482662692301</c:v>
                </c:pt>
                <c:pt idx="3">
                  <c:v>23.4863412384314</c:v>
                </c:pt>
                <c:pt idx="4">
                  <c:v>0.80673234994763598</c:v>
                </c:pt>
                <c:pt idx="5">
                  <c:v>20.9506730863196</c:v>
                </c:pt>
                <c:pt idx="6">
                  <c:v>13.4877131347373</c:v>
                </c:pt>
                <c:pt idx="7">
                  <c:v>32.575210542620198</c:v>
                </c:pt>
                <c:pt idx="8">
                  <c:v>8.8031472249346301</c:v>
                </c:pt>
                <c:pt idx="9">
                  <c:v>4.7817205741696798</c:v>
                </c:pt>
                <c:pt idx="10">
                  <c:v>5.3744270407932504</c:v>
                </c:pt>
                <c:pt idx="11">
                  <c:v>13.683807480135</c:v>
                </c:pt>
                <c:pt idx="12">
                  <c:v>3.6173393375436902</c:v>
                </c:pt>
                <c:pt idx="13">
                  <c:v>4.3482859737552504</c:v>
                </c:pt>
                <c:pt idx="14">
                  <c:v>12.615575978128</c:v>
                </c:pt>
              </c:numCache>
            </c:numRef>
          </c:yVal>
          <c:smooth val="0"/>
          <c:extLst>
            <c:ext xmlns:c16="http://schemas.microsoft.com/office/drawing/2014/chart" uri="{C3380CC4-5D6E-409C-BE32-E72D297353CC}">
              <c16:uniqueId val="{00000000-98CB-4AD9-8033-B5D21D3A52EE}"/>
            </c:ext>
          </c:extLst>
        </c:ser>
        <c:dLbls>
          <c:showLegendKey val="0"/>
          <c:showVal val="0"/>
          <c:showCatName val="0"/>
          <c:showSerName val="0"/>
          <c:showPercent val="0"/>
          <c:showBubbleSize val="0"/>
        </c:dLbls>
        <c:axId val="11442017"/>
        <c:axId val="9024925"/>
      </c:scatterChart>
      <c:valAx>
        <c:axId val="11442017"/>
        <c:scaling>
          <c:orientation val="minMax"/>
        </c:scaling>
        <c:delete val="0"/>
        <c:axPos val="b"/>
        <c:majorGridlines>
          <c:spPr>
            <a:ln w="9360">
              <a:solidFill>
                <a:schemeClr val="dk1">
                  <a:lumMod val="15000"/>
                  <a:lumOff val="85000"/>
                </a:schemeClr>
              </a:solidFill>
              <a:prstDash val="solid"/>
              <a:round/>
            </a:ln>
          </c:spPr>
        </c:majorGridlines>
        <c:title>
          <c:tx>
            <c:rich>
              <a:bodyPr rot="0"/>
              <a:lstStyle/>
              <a:p>
                <a:pPr>
                  <a:defRPr sz="1300" b="0" strike="noStrike">
                    <a:uFillTx/>
                    <a:latin typeface="Arial"/>
                  </a:defRPr>
                </a:pPr>
                <a:r>
                  <a:rPr lang="es-ES" sz="1000" b="0" strike="noStrike">
                    <a:solidFill>
                      <a:schemeClr val="tx1">
                        <a:lumMod val="65000"/>
                        <a:lumOff val="35000"/>
                      </a:schemeClr>
                    </a:solidFill>
                    <a:uFillTx/>
                    <a:latin typeface="Calibri"/>
                  </a:rPr>
                  <a:t>EV/FCF (x)</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9024925"/>
        <c:crosses val="autoZero"/>
        <c:crossBetween val="midCat"/>
      </c:valAx>
      <c:valAx>
        <c:axId val="9024925"/>
        <c:scaling>
          <c:orientation val="minMax"/>
        </c:scaling>
        <c:delete val="0"/>
        <c:axPos val="l"/>
        <c:majorGridlines>
          <c:spPr>
            <a:ln w="9360">
              <a:solidFill>
                <a:schemeClr val="dk1">
                  <a:lumMod val="15000"/>
                  <a:lumOff val="85000"/>
                </a:schemeClr>
              </a:solidFill>
              <a:prstDash val="solid"/>
              <a:round/>
            </a:ln>
          </c:spPr>
        </c:majorGridlines>
        <c:title>
          <c:tx>
            <c:rich>
              <a:bodyPr rot="-5400000"/>
              <a:lstStyle/>
              <a:p>
                <a:pPr>
                  <a:defRPr sz="1300" b="0" strike="noStrike">
                    <a:uFillTx/>
                    <a:latin typeface="Arial"/>
                  </a:defRPr>
                </a:pPr>
                <a:r>
                  <a:rPr lang="es-ES" sz="1000" b="0" strike="noStrike">
                    <a:solidFill>
                      <a:schemeClr val="tx1">
                        <a:lumMod val="65000"/>
                        <a:lumOff val="35000"/>
                      </a:schemeClr>
                    </a:solidFill>
                    <a:uFillTx/>
                    <a:latin typeface="Calibri"/>
                  </a:rPr>
                  <a:t>IRR Bull (%)</a:t>
                </a:r>
              </a:p>
            </c:rich>
          </c:tx>
          <c:overlay val="0"/>
          <c:spPr>
            <a:noFill/>
            <a:ln w="0">
              <a:noFill/>
              <a:prstDash val="solid"/>
            </a:ln>
          </c:spPr>
        </c:title>
        <c:numFmt formatCode="General" sourceLinked="0"/>
        <c:majorTickMark val="none"/>
        <c:minorTickMark val="none"/>
        <c:tickLblPos val="nextTo"/>
        <c:spPr>
          <a:ln w="9360">
            <a:solidFill>
              <a:schemeClr val="dk1">
                <a:lumMod val="25000"/>
                <a:lumOff val="75000"/>
              </a:schemeClr>
            </a:solidFill>
            <a:prstDash val="solid"/>
            <a:round/>
          </a:ln>
        </c:spPr>
        <c:txPr>
          <a:bodyPr/>
          <a:lstStyle/>
          <a:p>
            <a:pPr>
              <a:defRPr sz="900" b="0" strike="noStrike">
                <a:solidFill>
                  <a:schemeClr val="tx1">
                    <a:lumMod val="65000"/>
                    <a:lumOff val="35000"/>
                  </a:schemeClr>
                </a:solidFill>
                <a:uFillTx/>
                <a:latin typeface="Calibri"/>
              </a:defRPr>
            </a:pPr>
            <a:endParaRPr lang="es-ES"/>
          </a:p>
        </c:txPr>
        <c:crossAx val="11442017"/>
        <c:crosses val="autoZero"/>
        <c:crossBetween val="midCat"/>
      </c:valAx>
    </c:plotArea>
    <c:plotVisOnly val="1"/>
    <c:dispBlanksAs val="gap"/>
    <c:showDLblsOverMax val="1"/>
  </c:chart>
  <c:spPr>
    <a:solidFill>
      <a:srgbClr val="FFFFFF"/>
    </a:solidFill>
    <a:ln w="9360">
      <a:solidFill>
        <a:schemeClr val="dk1">
          <a:lumMod val="15000"/>
          <a:lumOff val="85000"/>
        </a:schemeClr>
      </a:solidFill>
      <a:prstDash val="solid"/>
      <a:round/>
    </a:ln>
  </c:spPr>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5" Type="http://schemas.openxmlformats.org/officeDocument/2006/relationships/chart" Target="../charts/chart5.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editAs="oneCell">
    <xdr:from>
      <xdr:col>0</xdr:col>
      <xdr:colOff>28440</xdr:colOff>
      <xdr:row>24</xdr:row>
      <xdr:rowOff>9360</xdr:rowOff>
    </xdr:from>
    <xdr:to>
      <xdr:col>5</xdr:col>
      <xdr:colOff>41400</xdr:colOff>
      <xdr:row>39</xdr:row>
      <xdr:rowOff>38160</xdr:rowOff>
    </xdr:to>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5</xdr:col>
      <xdr:colOff>66600</xdr:colOff>
      <xdr:row>25</xdr:row>
      <xdr:rowOff>228600</xdr:rowOff>
    </xdr:from>
    <xdr:to>
      <xdr:col>10</xdr:col>
      <xdr:colOff>79560</xdr:colOff>
      <xdr:row>40</xdr:row>
      <xdr:rowOff>66960</xdr:rowOff>
    </xdr:to>
    <xdr:graphicFrame macro="">
      <xdr:nvGraphicFramePr>
        <xdr:cNvPr id="3" name="Chart 2">
          <a:extLst>
            <a:ext uri="{FF2B5EF4-FFF2-40B4-BE49-F238E27FC236}">
              <a16:creationId xmlns:a16="http://schemas.microsoft.com/office/drawing/2014/main" id="{00000000-0008-0000-02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0</xdr:col>
      <xdr:colOff>0</xdr:colOff>
      <xdr:row>43</xdr:row>
      <xdr:rowOff>0</xdr:rowOff>
    </xdr:from>
    <xdr:to>
      <xdr:col>5</xdr:col>
      <xdr:colOff>12960</xdr:colOff>
      <xdr:row>65</xdr:row>
      <xdr:rowOff>9720</xdr:rowOff>
    </xdr:to>
    <xdr:graphicFrame macro="">
      <xdr:nvGraphicFramePr>
        <xdr:cNvPr id="4" name="Chart 3">
          <a:extLst>
            <a:ext uri="{FF2B5EF4-FFF2-40B4-BE49-F238E27FC236}">
              <a16:creationId xmlns:a16="http://schemas.microsoft.com/office/drawing/2014/main" id="{00000000-0008-0000-02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11</xdr:col>
      <xdr:colOff>0</xdr:colOff>
      <xdr:row>43</xdr:row>
      <xdr:rowOff>0</xdr:rowOff>
    </xdr:from>
    <xdr:to>
      <xdr:col>16</xdr:col>
      <xdr:colOff>356040</xdr:colOff>
      <xdr:row>65</xdr:row>
      <xdr:rowOff>9720</xdr:rowOff>
    </xdr:to>
    <xdr:graphicFrame macro="">
      <xdr:nvGraphicFramePr>
        <xdr:cNvPr id="5" name="Chart 4">
          <a:extLst>
            <a:ext uri="{FF2B5EF4-FFF2-40B4-BE49-F238E27FC236}">
              <a16:creationId xmlns:a16="http://schemas.microsoft.com/office/drawing/2014/main" id="{00000000-0008-0000-02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39</xdr:row>
      <xdr:rowOff>0</xdr:rowOff>
    </xdr:from>
    <xdr:to>
      <xdr:col>7</xdr:col>
      <xdr:colOff>932760</xdr:colOff>
      <xdr:row>57</xdr:row>
      <xdr:rowOff>53280</xdr:rowOff>
    </xdr:to>
    <xdr:graphicFrame macro="">
      <xdr:nvGraphicFramePr>
        <xdr:cNvPr id="6" name="Chart 5">
          <a:extLst>
            <a:ext uri="{FF2B5EF4-FFF2-40B4-BE49-F238E27FC236}">
              <a16:creationId xmlns:a16="http://schemas.microsoft.com/office/drawing/2014/main" id="{00000000-0008-0000-02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imageurl">
      <keyFlags>
        <key name="Blip Identifier">
          <flag name="ShowInCardView" value="0"/>
        </key>
      </keyFlags>
    </type>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197">
  <rv s="0">
    <v>https://www.bing.com/financeapi/forcetrigger?t=a259jc&amp;q=XNYS%3aVEEV&amp;form=skydnc</v>
    <v>Learn more on Bing</v>
  </rv>
  <rv s="1">
    <v>es-ES</v>
    <v>a259jc</v>
    <v>268435456</v>
    <v>1</v>
    <v>Con tecnología de Refinitiv</v>
    <v>0</v>
    <v>1</v>
    <v>VEEVA SYSTEMS INC. (XNYS:VEEV)</v>
    <v>3</v>
    <v>4</v>
    <v>Finance</v>
    <v>5</v>
    <v>XNYS</v>
    <v>163198700</v>
    <v>2007</v>
    <v>166.15</v>
    <v>0.93120000000000003</v>
    <v>0.27</v>
    <v>1.6479999999999999E-3</v>
    <v>26784170644</v>
    <v>163.85</v>
    <v>Veeva Systems Inc. Es un proveedor de soluciones en la nube para la industria global de las ciencias de la vida. Ofrece software SPAN Cloud, datos y consultoría empresarial, y está diseñado para satisfacer las necesidades de sus clientes y las funciones estratégicas de negocio, desde la investigación y el desarrollo (I+D) hasta la comercialización. Sus cuatro categorías de productos incluyen Veeva Development Cloud, Veeva Quality Cloud, Veeva Commercial Cloud y Veeva Data Cloud. Veeva Development Cloud incluye paquetes de aplicaciones para las funciones clínicas, regulatorias y de seguridad de las empresas de ciencias de la vida, todo construido en su plataforma Veeva Vault. Veeva Quality Cloud unifica aplicaciones, procesos y socios en las soluciones de gestión de contenido, capacitación, gestión de calidad, garantía y laboratorio de control en la plataforma Veeva Vault. Veeva Commercial Cloud es una categoría de producto compuesta por soluciones de software y análisis. Veeva Data Cloud es una plataforma de datos compuesta por datos de referencia conectados, datos profundos y datos de transacciones.</v>
    <v>7928</v>
    <v>XNYS</v>
    <v>46161.796944941409</v>
    <v>New York Stock Exchange</v>
    <v>0</v>
    <v>169.935</v>
    <v>310.5</v>
    <v>162.85</v>
    <v>148.05000000000001</v>
    <v>USD</v>
    <v>VEEVA SYSTEMS INC.</v>
    <v>VEEVA SYSTEMS INC.</v>
    <v>30.094999999999999</v>
    <v>164.12</v>
    <v>Healthcare Equipment &amp; Supplies</v>
    <v>4280 Hacienda Drive, PLEASANTON, CA, 94588 US</v>
    <v>VEEV</v>
    <v>Acciones</v>
    <v>VEEVA SYSTEMS INC. (XNYS:VEEV)</v>
    <v>1466165</v>
    <v>3908036</v>
  </rv>
  <rv s="2">
    <v>1</v>
  </rv>
  <rv s="0">
    <v>http://en.wikipedia.org/wiki/Public_domain</v>
    <v>Public domain</v>
  </rv>
  <rv s="0">
    <v>https://en.wikipedia.org/wiki/Microsoft</v>
    <v>Wikipedia</v>
  </rv>
  <rv s="3">
    <v>3</v>
    <v>4</v>
  </rv>
  <rv s="4">
    <v>11</v>
    <v>https://www.bing.com/th?id=AMMS_e6e837c7bf3a77408619758b7447855a&amp;qlt=95</v>
    <v>5</v>
    <v>0</v>
    <v>https://www.bing.com/images/search?form=xlimg&amp;q=microsoft</v>
    <v>Image of MICROSOFT CORPORATION</v>
  </rv>
  <rv s="0">
    <v>https://www.bing.com/financeapi/forcetrigger?t=a1xzim&amp;q=XNAS%3aMSFT&amp;form=skydnc</v>
    <v>Learn more on Bing</v>
  </rv>
  <rv s="5">
    <v>es-ES</v>
    <v>a1xzim</v>
    <v>268435456</v>
    <v>1</v>
    <v>Con tecnología de Refinitiv</v>
    <v>6</v>
    <v>7</v>
    <v>MICROSOFT CORPORATION (XNAS:MSFT)</v>
    <v>9</v>
    <v>10</v>
    <v>Finance</v>
    <v>5</v>
    <v>XNAS</v>
    <v>7428435000</v>
    <v>1993</v>
    <v>429.98</v>
    <v>1.0938000000000001</v>
    <v>-5.38</v>
    <v>-1.2702E-2</v>
    <v>3106274379600</v>
    <v>423.54</v>
    <v>Microsoft Corporation es una empresa de tecnología. La Compañía desarrolla y apoya software, servicios, dispositivos y soluciones. Los segmentos de la compañía incluyen Productividad y Procesos de Negocio, Nube Inteligente y más Informática Personal. El segmento Productividad y Procesos de Negocio está formado por productos y servicios en su cartera de servicios de productividad, comunicación e información. Este segmento comprende principalmente: Office Commercial, Office Consumer, LinkedIn y soluciones empresariales de Dynamics. El segmento de la nube inteligente consiste en productos de servidor y servicios en la nube, incluidos Azure y otros servicios en la nube, SQL Server, Windows Server, Visual Studio, System Center y Windows Server. licencias de acceso de clientes (CAL) relacionadas, Nuance y GitHub; y Servicios empresariales, incluidos los servicios de soporte empresarial, las soluciones de la industria y los servicios profesionales de Nuance. El segmento más personal de Computación comprende principalmente Windows, dispositivos, juegos y publicidad de búsqueda y noticias.</v>
    <v>228000</v>
    <v>XNAS</v>
    <v>46161.797015995311</v>
    <v>6</v>
    <v>Nasdaq Stock Market</v>
    <v>7</v>
    <v>432.7</v>
    <v>555.45000000000005</v>
    <v>417.1</v>
    <v>356.28</v>
    <v>USD</v>
    <v>MICROSOFT CORPORATION</v>
    <v>MICROSOFT CORPORATION</v>
    <v>24.905899999999999</v>
    <v>418.16</v>
    <v>Software &amp; IT Services</v>
    <v>One Microsoft Way, REDMOND, WA, 98052 US</v>
    <v>MSFT</v>
    <v>Acciones</v>
    <v>MICROSOFT CORPORATION (XNAS:MSFT)</v>
    <v>21783225</v>
    <v>35845592</v>
  </rv>
  <rv s="2">
    <v>8</v>
  </rv>
  <rv s="0">
    <v>https://www.bing.com/financeapi/forcetrigger?t=b1ao52&amp;q=XAMS%3aADYEN&amp;form=skydnc</v>
    <v>Learn more on Bing</v>
  </rv>
  <rv s="1">
    <v>es-ES</v>
    <v>b1ao52</v>
    <v>268435456</v>
    <v>1</v>
    <v>Con tecnología de Refinitiv</v>
    <v>0</v>
    <v>1</v>
    <v>Adyen NV (XAMS:ADYEN)</v>
    <v>3</v>
    <v>12</v>
    <v>Finance</v>
    <v>13</v>
    <v>XAMS</v>
    <v>31547680</v>
    <v>2006</v>
    <v>910</v>
    <v>2.4156</v>
    <v>43.3</v>
    <v>4.7618999999999995E-2</v>
    <v>44081990000</v>
    <v>909.3</v>
    <v>Adyen NV, antes Adyen BV, es un proveedor de soluciones de pago por móvil, en línea y en punto de venta (TPV) con sede en los Países Bajos. Opera una plataforma online que permite a los comerciantes aceptar pagos a nivel internacional y desde todos los canales de venta, como tiendas online, pagos móviles desde aplicaciones y sitios web, y puntos de venta, como mostradores, terminales móviles, tabletas y cajas registradoras, entre otros. La plataforma cubre toda la cadena de pagos, incluidos los procesos técnicos, contractuales, de conciliación y de liquidación. La plataforma está disponible en forma de páginas de pago listas para usar (HPP), interfaz de programación de aplicaciones (API) y solución de cifrado del lado del cliente (EE). Entre los clientes de la Empresa se encuentran Mango, KLM, Netflix, Superdry, Uber, Groupon y Crocs, entre otros. Tiene oficinas en los Países Bajos, el Reino Unido, Francia, Alemania, Bélgica, Brasil, China, Australia, México, Singapur, España, Suecia y Estados Unidos.</v>
    <v>4771</v>
    <v>XAMS</v>
    <v>46161.666666666664</v>
    <v>Euronext Amsterdam</v>
    <v>10</v>
    <v>956.1</v>
    <v>1750.4</v>
    <v>909</v>
    <v>824.4</v>
    <v>EUR</v>
    <v>Adyen NV</v>
    <v>Adyen NV</v>
    <v>28.252500000000001</v>
    <v>952.6</v>
    <v>Financial Technology (Fintech) &amp; Infrastructure</v>
    <v>Simon Carmiggeltstraat 6-50, AMSTERDAM, NOORD-HOLLAND, 1011DJ NL</v>
    <v>ADYEN</v>
    <v>Acciones</v>
    <v>Adyen NV (XAMS:ADYEN)</v>
    <v>144289</v>
    <v>140530</v>
  </rv>
  <rv s="2">
    <v>11</v>
  </rv>
  <rv s="0">
    <v>https://www.bing.com/financeapi/forcetrigger?t=a1o5ur&amp;q=XNYS%3aBAM&amp;form=skydnc</v>
    <v>Learn more on Bing</v>
  </rv>
  <rv s="1">
    <v>es-ES</v>
    <v>a1o5ur</v>
    <v>268435456</v>
    <v>1</v>
    <v>Con tecnología de Refinitiv</v>
    <v>0</v>
    <v>1</v>
    <v>Brookfield Corporation (XNYS:BN)</v>
    <v>3</v>
    <v>4</v>
    <v>Finance</v>
    <v>5</v>
    <v>XNYS</v>
    <v>2450877000</v>
    <v>2005</v>
    <v>45.02</v>
    <v>1.5601</v>
    <v>-0.43990000000000001</v>
    <v>-9.7629999999999991E-3</v>
    <v>109358376827</v>
    <v>45.06</v>
    <v>Brookfield Corporation es una firma de inversión global con sede en Canadá enfocada en la construcción de riqueza a largo plazo para instituciones e individuos de todo el mundo. La Compañía tiene tres negocios principales: Gestión de activos alternativos, Soluciones de patrimonio y sus negocios operativos, que se encuentran en energía renovable, infraestructura, servicios empresariales e industriales, y bienes raíces. Su negocio de gestión de activos incluye la gestión de fondos privados a largo plazo, estrategias perpetuas y estrategias líquidas en nombre de sus inversores y de sí mismo. El negocio de Wealth Solutions de la Compañía incluye su participación contabilizada en Brookfield Wealth Solutions Ltd. Su negocio de energía renovable y transición incluye la propiedad, operación y desarrollo de activos de generación de energía solar hidroeléctrica, eólica, a escala de servicios públicos, energía distribuida y soluciones sostenibles. El negocio de infraestructura de la Compañía incluye la propiedad, operación y desarrollo de servicios públicos, transporte, midstream y activos de datos.</v>
    <v>250000</v>
    <v>XNYS</v>
    <v>46161.796983135937</v>
    <v>New York Stock Exchange</v>
    <v>13</v>
    <v>45.36</v>
    <v>49.564999999999998</v>
    <v>44.58</v>
    <v>37.54</v>
    <v>USD</v>
    <v>Brookfield Corporation</v>
    <v>Brookfield Corporation</v>
    <v>94.6143</v>
    <v>44.620100000000001</v>
    <v>Investment Banking &amp; Investment Services</v>
    <v>Suite 100, Brookfield Place, 181 Bay Street, M5J 2T3 CA</v>
    <v>BN</v>
    <v>Acciones</v>
    <v>Brookfield Corporation (XNYS:BN)</v>
    <v>2456543</v>
    <v>5744906</v>
  </rv>
  <rv s="2">
    <v>14</v>
  </rv>
  <rv s="0">
    <v>https://www.bing.com/financeapi/forcetrigger?t=a1q6k2&amp;q=XNAS%3aCOST&amp;form=skydnc</v>
    <v>Learn more on Bing</v>
  </rv>
  <rv s="1">
    <v>es-ES</v>
    <v>a1q6k2</v>
    <v>268435456</v>
    <v>1</v>
    <v>Con tecnología de Refinitiv</v>
    <v>0</v>
    <v>1</v>
    <v>COSTCO WHOLESALE CORPORATION (XNAS:COST)</v>
    <v>3</v>
    <v>4</v>
    <v>Finance</v>
    <v>5</v>
    <v>XNAS</v>
    <v>443652500</v>
    <v>1987</v>
    <v>1077</v>
    <v>0.91820000000000002</v>
    <v>16.41</v>
    <v>1.5244000000000001E-2</v>
    <v>484858944200</v>
    <v>1076.47</v>
    <v>Costco Wholesale Corporation (Costco) opera almacenes de membresía y sitios de comercio electrónico que ofrecen una selección de productos de marca nacional y de marca privada en una amplia gama de categorías. La Compañía compra la mayoría de sus mercancías directamente a los proveedores y la dirige a puntos de consolidación de cross-docking (depósitos) o directamente a sus almacenes. Opera 891 almacenes, incluyendo 614 en los Estados Unidos y Puerto Rico, 108 en Canadá, 40 en México, 35 en Japón, 29 en el Reino Unido, 19 en Corea, 15 en Australia, 14 en Taiwán, siete en China, y más. cinco en España, dos en Francia, y uno en Islandia, Nueva Zelanda y Suecia. También opera sitios de comercio electrónico en los Estados Unidos, Canadá, el Reino Unido, México, Corea, Taiwán, Japón y Australia. La Compañía ofrece una amplia selección de mercancías, además de la conveniencia de departamentos especializados y servicios exclusivos para miembros.</v>
    <v>341000</v>
    <v>XNAS</v>
    <v>46161.797003726562</v>
    <v>Nasdaq Stock Market</v>
    <v>16</v>
    <v>1096.5</v>
    <v>1096.5</v>
    <v>1072.0999999999999</v>
    <v>844.06</v>
    <v>USD</v>
    <v>COSTCO WHOLESALE CORPORATION</v>
    <v>COSTCO WHOLESALE CORPORATION</v>
    <v>56.837400000000002</v>
    <v>1092.8800000000001</v>
    <v>Diversified Retail</v>
    <v>999 Lake Dr, ISSAQUAH, WA, 98027- US</v>
    <v>COST</v>
    <v>Acciones</v>
    <v>COSTCO WHOLESALE CORPORATION (XNAS:COST)</v>
    <v>1420539</v>
    <v>1808165</v>
  </rv>
  <rv s="2">
    <v>17</v>
  </rv>
  <rv s="0">
    <v>https://www.bing.com/financeapi/forcetrigger?t=a1rb5r&amp;q=XNAS%3aDSGX&amp;form=skydnc</v>
    <v>Learn more on Bing</v>
  </rv>
  <rv s="1">
    <v>es-ES</v>
    <v>a1rb5r</v>
    <v>268435456</v>
    <v>1</v>
    <v>Con tecnología de Refinitiv</v>
    <v>0</v>
    <v>1</v>
    <v>The Descartes Systems Group Inc. (XNAS:DSGX)</v>
    <v>3</v>
    <v>14</v>
    <v>Finance</v>
    <v>5</v>
    <v>XNAS</v>
    <v>86020600</v>
    <v>2023</v>
    <v>71.84</v>
    <v>0.21179999999999999</v>
    <v>0.43</v>
    <v>6.0689999999999997E-3</v>
    <v>10503770000</v>
    <v>70.849999999999994</v>
    <v>Descartes Systems Group Inc. Se centra en los procesos de negocio de logística y gestión de la cadena de suministro. Proporciona soluciones de software como servicio (SaaS) bajo demanda enfocadas en mejorar la productividad, seguridad y sostenibilidad de las empresas con un uso intensivo de logística. Permite a los clientes utilizar sus soluciones modulares SaaS para enrutar, rastrear y ayudar a mejorar la seguridad y el cumplimiento de los recursos de entrega; planificar, asignar y ejecutar envíos; clasificar, auditar y pagar facturas de transporte; acceder a datos comerciales globales; archivar documentos aduaneros y de seguridad para importaciones y exportaciones; y completar otros procesos logísticos participando en la comunidad logística multimodal. Sus soluciones incluyen soluciones basadas en la nube y consisten en conectividad y mensajería de servicios B2B, sistemas empresariales de corredores y forwarder, inteligencia comercial global, cumplimiento normativo, envío de comercio electrónico, gestión de transporte y enrutamiento. También proporciona software de declaración de aduanas para proveedores de servicios logísticos y expedidores.</v>
    <v>2403</v>
    <v>XNAS</v>
    <v>46161.796814131252</v>
    <v>Nasdaq Stock Market</v>
    <v>19</v>
    <v>72.474999999999994</v>
    <v>117.35</v>
    <v>70.420100000000005</v>
    <v>62.555</v>
    <v>USD</v>
    <v>The Descartes Systems Group Inc.</v>
    <v>The Descartes Systems Group Inc.</v>
    <v>38.119700000000002</v>
    <v>71.28</v>
    <v>Software &amp; IT Services</v>
    <v>120 Randall Drive, WATERLOO, ON, N2V 1C6 CA</v>
    <v>DSGX</v>
    <v>Acciones</v>
    <v>The Descartes Systems Group Inc. (XNAS:DSGX)</v>
    <v>294214</v>
    <v>527607</v>
  </rv>
  <rv s="2">
    <v>20</v>
  </rv>
  <rv s="0">
    <v>https://www.bing.com/financeapi/forcetrigger?t=afjdk2&amp;q=XFRA%3aRAA&amp;form=skydnc</v>
    <v>Learn more on Bing</v>
  </rv>
  <rv s="1">
    <v>es-ES</v>
    <v>afjdk2</v>
    <v>268435456</v>
    <v>1</v>
    <v>Con tecnología de Refinitiv</v>
    <v>0</v>
    <v>1</v>
    <v>Rational (XFRA:RAA)</v>
    <v>3</v>
    <v>12</v>
    <v>Finance</v>
    <v>13</v>
    <v>XFRA</v>
    <v>11370000</v>
    <v>1999</v>
    <v>642.5</v>
    <v>1.3293999999999999</v>
    <v>-3</v>
    <v>-4.594E-3</v>
    <v>7691805000</v>
    <v>653</v>
    <v>Rational AG is a Germany-based company that provides technology products for thermal food preparation for industrial and commercial kitchens. It operates through two segments: Through the RATIONAL segment, the Company offers the SelfCookingCenter 5 Senses, a steamer that works as hot air oven, stove or boiling pan. The FRIMA segment provides the complementary steamer VarioCookingCenter. The Company markets its products around the globe through a network of subsidiaries, including sales companies. It also offers related accessories, such as granite enameled containers, roasting and baking trays, grilling and roasting plates, potato bakers and muffin and timbale molds, among others.</v>
    <v>2887</v>
    <v>XFRA</v>
    <v>46161.757060185184</v>
    <v>Deutsche Boerse AG</v>
    <v>22</v>
    <v>659</v>
    <v>1028</v>
    <v>642.5</v>
    <v>388.4</v>
    <v>EUR</v>
    <v>Rational</v>
    <v>Rational</v>
    <v>28.8504</v>
    <v>650</v>
    <v>Household Goods</v>
    <v>Siegfried-Meister-Strasse 1, BAYERN, 86899 DE</v>
    <v>RAA</v>
    <v>Acciones</v>
    <v>Rational (XFRA:RAA)</v>
    <v>150</v>
    <v>15230</v>
  </rv>
  <rv s="2">
    <v>23</v>
  </rv>
  <rv s="0">
    <v>https://www.bing.com/financeapi/forcetrigger?t=azbtyc&amp;q=XNAS%3aZS&amp;form=skydnc</v>
    <v>Learn more on Bing</v>
  </rv>
  <rv s="1">
    <v>es-ES</v>
    <v>azbtyc</v>
    <v>268435456</v>
    <v>1</v>
    <v>Con tecnología de Refinitiv</v>
    <v>0</v>
    <v>1</v>
    <v>ZSCALER, INC. (XNAS:ZS)</v>
    <v>3</v>
    <v>4</v>
    <v>Finance</v>
    <v>5</v>
    <v>XNAS</v>
    <v>160790700</v>
    <v>2007</v>
    <v>178.14</v>
    <v>1.006</v>
    <v>1.02</v>
    <v>5.8389999999999996E-3</v>
    <v>28252533897</v>
    <v>174.69</v>
    <v>Zscaler, Inc. Es una compañía de seguridad en la nube. La Compañía ha desarrollado una plataforma que incorpora funcionalidades de seguridad básicas necesarias para permitir un acceso rápido y seguro a los recursos de la nube basado en la identidad, el contexto y las políticas de una organización. Su plataforma Zscaler Zero Trust Exchange protege a miles de clientes de ciberataques y pérdida de datos conectando de forma segura a usuarios, dispositivos y aplicaciones en cualquier ubicación. Su solución es una plataforma en la nube distribuida, multiusuario y diseñada específicamente que incorpora la funcionalidad de seguridad necesaria para permitir que los usuarios, aplicaciones y dispositivos utilicen de manera segura y eficiente aplicaciones y servicios autorizados basados en las políticas de negocio de una organización. Ofrece sus soluciones utilizando un modelo de negocio de software como servicio (SaaS) y vende suscripciones a los clientes para acceder a su plataforma en la nube, junto con los servicios de soporte relacionados. Ofrece una plataforma de seguridad que combina su plataforma con operaciones de seguridad automatizadas.</v>
    <v>7923</v>
    <v>XNAS</v>
    <v>46161.796998946091</v>
    <v>Nasdaq Stock Market</v>
    <v>25</v>
    <v>182.9699</v>
    <v>336.99</v>
    <v>173.95</v>
    <v>114.625</v>
    <v>USD</v>
    <v>ZSCALER, INC.</v>
    <v>ZSCALER, INC.</v>
    <v>0</v>
    <v>175.71</v>
    <v>Software &amp; IT Services</v>
    <v>120 Holger Way, SAN JOSE, CA, 95134 US</v>
    <v>ZS</v>
    <v>Acciones</v>
    <v>ZSCALER, INC. (XNAS:ZS)</v>
    <v>3326638</v>
    <v>2921928</v>
  </rv>
  <rv s="2">
    <v>26</v>
  </rv>
  <rv s="0">
    <v>https://www.bing.com/financeapi/forcetrigger?t=afgyk2&amp;q=XFRA%3aNTO&amp;form=skydnc</v>
    <v>Learn more on Bing</v>
  </rv>
  <rv s="1">
    <v>es-ES</v>
    <v>afgyk2</v>
    <v>268435456</v>
    <v>1</v>
    <v>Con tecnología de Refinitiv</v>
    <v>0</v>
    <v>1</v>
    <v>Nintendo Co., Ltd. (XFRA:NTO)</v>
    <v>3</v>
    <v>15</v>
    <v>Finance</v>
    <v>13</v>
    <v>XFRA</v>
    <v>1287260000</v>
    <v>1947</v>
    <v>40.700000000000003</v>
    <v>0.20960000000000001</v>
    <v>2.0699999999999998</v>
    <v>5.2504999999999996E-2</v>
    <v>12921970000000</v>
    <v>39.424999999999997</v>
    <v>Nintendo Co Ltd es una empresa con sede en Japón dedicada principalmente al desarrollo, fabricación y venta de productos de entretenimiento en el campo del entretenimiento en el hogar. La Compañía desarrolla, fabrica y vende hardware y software para juegos de consola portátiles y domésticos. Sus productos principales son las consolas de juegos, que son dispositivos de entretenimiento basados en computadora, y los bienes de carácter y las cartas de juego. Las consolas de juegos son hardware y software para juegos de consola portátil y doméstica, que son desarrollados por la Compañía y sus afiliados, fabricados por la Compañía y vendidos principalmente por sus afiliados en Japón y en el extranjero. La Compañía también desarrolla negocios que utilizan su propiedad intelectual (IP), como contenido de video y aplicaciones móviles.</v>
    <v>8205</v>
    <v>XFRA</v>
    <v>46161.782638888886</v>
    <v>Deutsche Boerse AG</v>
    <v>28</v>
    <v>41.494999999999997</v>
    <v>546.1</v>
    <v>40.564999999999998</v>
    <v>34.6</v>
    <v>EUR</v>
    <v>Nintendo Co., Ltd.</v>
    <v>Nintendo Co., Ltd.</v>
    <v>19.37</v>
    <v>41.494999999999997</v>
    <v>Leisure Products</v>
    <v>11-1, Kamitoba Hokotate-cho, Minami-ku, KYOTO-SHI, KYOTO-FU, 601-8501 JP</v>
    <v>NTO</v>
    <v>Acciones</v>
    <v>Nintendo Co., Ltd. (XFRA:NTO)</v>
    <v>1689</v>
    <v>14763220</v>
  </rv>
  <rv s="2">
    <v>29</v>
  </rv>
  <rv s="0">
    <v>https://www.bing.com/financeapi/forcetrigger?t=a1nhlh&amp;q=XNAS%3aAMZN&amp;form=skydnc</v>
    <v>Learn more on Bing</v>
  </rv>
  <rv s="1">
    <v>es-ES</v>
    <v>a1nhlh</v>
    <v>268435456</v>
    <v>1</v>
    <v>Con tecnología de Refinitiv</v>
    <v>0</v>
    <v>1</v>
    <v>AMAZON.COM, INC. (XNAS:AMZN)</v>
    <v>3</v>
    <v>4</v>
    <v>Finance</v>
    <v>5</v>
    <v>XNAS</v>
    <v>10757110000</v>
    <v>1996</v>
    <v>262.07</v>
    <v>1.4598</v>
    <v>-5.74</v>
    <v>-2.1671999999999997E-2</v>
    <v>2787382343200</v>
    <v>264.86</v>
    <v>Amazon.com, Inc. Ofrece una gama de productos y servicios a los clientes. Los productos ofrecidos a través de sus tiendas incluyen mercancía y contenido que ha adquirido para su reventa y productos ofrecidos por terceros vendedores. Los segmentos de la compañía incluyen Norteamérica, International y Amazon Web Services (AWS). Sirve a los consumidores a través de sus tiendas en línea y físicas y se centra en la selección, el precio y la conveniencia. Los clientes acceden a sus ofertas a través de sus sitios web, aplicaciones móviles, Alexa, dispositivos, streaming, y visitando físicamente sus tiendas. También fabrica y vende dispositivos electrónicos, incluyendo Kindle, tableta de fuego, Fire TV, Echo, Ring, Blink y eero, y desarrolla y produce contenido multimedia. Presta servicios a desarrolladores y empresas de todos los tamaños, incluidas empresas emergentes, agencias gubernamentales e instituciones académicas, a través de AWS, que ofrece un conjunto de servicios de tecnología bajo demanda, incluyendo computación, almacenamiento, base de datos, análisis, y el aprendizaje automático, y otros servicios.</v>
    <v>1575000</v>
    <v>XNAS</v>
    <v>46161.797047707812</v>
    <v>Nasdaq Stock Market</v>
    <v>31</v>
    <v>262.21499999999997</v>
    <v>278.56</v>
    <v>255.19</v>
    <v>196</v>
    <v>USD</v>
    <v>AMAZON.COM, INC.</v>
    <v>AMAZON.COM, INC.</v>
    <v>30.966699999999999</v>
    <v>259.12</v>
    <v>Diversified Retail</v>
    <v>410 Terry Avenue North, SEATTLE, WA, 98109 US</v>
    <v>AMZN</v>
    <v>Acciones</v>
    <v>AMAZON.COM, INC. (XNAS:AMZN)</v>
    <v>28654823</v>
    <v>46353879</v>
  </rv>
  <rv s="2">
    <v>32</v>
  </rv>
  <rv s="0">
    <v>https://www.bing.com/financeapi/forcetrigger?t=aea5k2&amp;q=XPAR%3aSU&amp;form=skydnc</v>
    <v>Learn more on Bing</v>
  </rv>
  <rv s="1">
    <v>es-ES</v>
    <v>aea5k2</v>
    <v>268435456</v>
    <v>1</v>
    <v>Con tecnología de Refinitiv</v>
    <v>0</v>
    <v>1</v>
    <v>Schneider Electric SE (XPAR:SU)</v>
    <v>3</v>
    <v>12</v>
    <v>Finance</v>
    <v>13</v>
    <v>XPAR</v>
    <v>577122500</v>
    <v>1988</v>
    <v>258.7</v>
    <v>1.4200999999999999</v>
    <v>-5.15</v>
    <v>-1.9736E-2</v>
    <v>137614900000</v>
    <v>260.95</v>
    <v>Schneider Electric SE es una empresa con sede en Francia. La Compañía está especializada en la transformación digital de la gestión de energía y la automatización en hogares, edificios, centros de datos, infraestructuras y entornos industriales. Ofrece soluciones que abarcan la gestión de energía de media y baja tensión, sistemas energéticos seguros y tecnologías avanzadas de automatización. Sus ofertas integradas de eficiencia combinan gestión de energía, automatización y software, respaldadas por un ecosistema abierto que permite la colaboración con socios, integradores y desarrolladores para proporcionar control operativo en tiempo real y un rendimiento mejorado. Opera en más de 115 países, incluidos Francia, Europa Occidental, Estados Unidos, Norteamérica, China, la región de Asia-Pacífico y otros mercados globales.</v>
    <v>162970</v>
    <v>XPAR</v>
    <v>46161.666666666664</v>
    <v>Euronext Paris</v>
    <v>34</v>
    <v>263.55</v>
    <v>287.89999999999998</v>
    <v>253.05</v>
    <v>208.8</v>
    <v>EUR</v>
    <v>Schneider Electric SE</v>
    <v>Schneider Electric SE</v>
    <v>34.549799999999998</v>
    <v>255.8</v>
    <v>Machinery, Equipment &amp; Components</v>
    <v>35 rue Joseph Monier, RUEIL-MALMAISON, ILE-DE-FRANCE, 92500 FR</v>
    <v>SU</v>
    <v>Acciones</v>
    <v>Schneider Electric SE (XPAR:SU)</v>
    <v>814796</v>
    <v>1008770</v>
  </rv>
  <rv s="2">
    <v>35</v>
  </rv>
  <rv s="0">
    <v>https://www.bing.com/financeapi/forcetrigger?t=amfy2w&amp;q=BMEX%3aITX&amp;form=skydnc</v>
    <v>Learn more on Bing</v>
  </rv>
  <rv s="1">
    <v>es-ES</v>
    <v>amfy2w</v>
    <v>268435456</v>
    <v>1</v>
    <v>Con tecnología de Refinitiv</v>
    <v>0</v>
    <v>1</v>
    <v>Industria de Diseño Textil, S.A. (BMEX:ITX)</v>
    <v>3</v>
    <v>12</v>
    <v>Finance</v>
    <v>13</v>
    <v>BMEX</v>
    <v>3116652000</v>
    <v>1985</v>
    <v>50.36</v>
    <v>1.1573</v>
    <v>-0.34</v>
    <v>-6.7779999999999993E-3</v>
    <v>178023200000</v>
    <v>50.16</v>
    <v>Industria de Diseno Textil SA, conocida como Inditex SA, es una empresa con sede en España dedicada principalmente a la industria textil. Las actividades de la Compañía incluyen el diseño, confección, fabricación, distribución y venta al por menor de ropa para hombres, mujeres y niños, calzado y accesorios de moda, así como mobiliario para el hogar y productos textiles para el hogar. El negocio de la Compañía se divide en tres segmentos: Zara, que ofrece moda, con una amplia gama de productos para la ropa y el hogar; Bershka, que se dirige al segmento de consumidores jóvenes con artículos de moda y otros que comercializa ropa al por menor. La compañía opera en todo el mundo a través de ocho marcas: Zara, Pull&amp;Bear, Massimo Dutti, Bershka, Stradivarius, Oysho, Zara Hogar y Uterque. Ofrece sus productos en aproximadamente 215 mercados a través de su plataforma online y a través de sus tiendas físicas en 95 países. La empresa está controlada por Pontegadea Inversiones SL.</v>
    <v>163047</v>
    <v>BMEX</v>
    <v>46161.666666666664</v>
    <v>Bolsas y Mercados Espanoles</v>
    <v>37</v>
    <v>50.66</v>
    <v>58.28</v>
    <v>49.82</v>
    <v>40.799999999999997</v>
    <v>EUR</v>
    <v>Industria de Diseño Textil, S.A.</v>
    <v>Industria de Diseño Textil, S.A.</v>
    <v>24.961200000000002</v>
    <v>49.82</v>
    <v>Specialty Retailers</v>
    <v>Edificio Inditex, Avda. Diputacion, s/n, ARTEIXO, LA CORUNA, 15143 ES</v>
    <v>ITX</v>
    <v>Acciones</v>
    <v>Industria de Diseño Textil, S.A. (BMEX:ITX)</v>
    <v>1378402</v>
    <v>1991420</v>
  </rv>
  <rv s="2">
    <v>38</v>
  </rv>
  <rv s="0">
    <v>https://www.bing.com/financeapi/forcetrigger?t=aaq652&amp;q=XBRU%3aLOTB&amp;form=skydnc</v>
    <v>Learn more on Bing</v>
  </rv>
  <rv s="1">
    <v>es-ES</v>
    <v>aaq652</v>
    <v>268435456</v>
    <v>1</v>
    <v>Con tecnología de Refinitiv</v>
    <v>0</v>
    <v>1</v>
    <v>Lotus Bakeries (XBRU:LOTB)</v>
    <v>3</v>
    <v>12</v>
    <v>Finance</v>
    <v>13</v>
    <v>XBRU</v>
    <v>816010</v>
    <v>1934</v>
    <v>10520</v>
    <v>0.83930000000000005</v>
    <v>60</v>
    <v>5.6710000000000007E-3</v>
    <v>7442039000</v>
    <v>10580</v>
    <v>Lotus Bakeries NV is a Belgium-based company that produces and sells biscuits and cakes. Its product portfolio is divided into six product lines. The Caramelized Biscuits line includes caramelized biscuits, caramelized biscuit spread and caramelized biscuit ice cream sold under the Lotus brand. The Waffles and Galettes line consists of Liege, soft, filled, galettes and vanilla waffles also sold under the Lotus brand. The Cake Specialties line comprises frangipane, madeleine, carre confiture and Zebra in Belgium, Glaces and Enkhuizer cookies in the Netherlands, as well as Breton butter. The Gingerbread line includes the sale of gingerbread products under the Peijnenburg and Snelle Jelle brands. The Pepparkakor Biscuits line encompasses a range of traditional Swedish biscuits sold under the Annas Pepparkakor brand in Sweden, Finland, the United States, Canada as well as other countries. The Dinosaurs Biscuits line includes the sale of children’s biscuit through the Dinosaurs brand.</v>
    <v>4164</v>
    <v>XBRU</v>
    <v>46161.666666666664</v>
    <v>Euronext Brussels</v>
    <v>40</v>
    <v>10740</v>
    <v>10980</v>
    <v>10520</v>
    <v>7230</v>
    <v>EUR</v>
    <v>Lotus Bakeries</v>
    <v>Lotus Bakeries</v>
    <v>50.1736</v>
    <v>10640</v>
    <v>Food &amp; Tobacco</v>
    <v>Gentstraat 1, Lembeke, 9971 BE</v>
    <v>LOTB</v>
    <v>Acciones</v>
    <v>Lotus Bakeries (XBRU:LOTB)</v>
    <v>476</v>
    <v>550</v>
  </rv>
  <rv s="2">
    <v>41</v>
  </rv>
  <rv s="0">
    <v>https://www.bing.com/financeapi/forcetrigger?t=ao9bxm&amp;q=XLON%3aHLMA&amp;form=skydnc</v>
    <v>Learn more on Bing</v>
  </rv>
  <rv s="1">
    <v>es-ES</v>
    <v>ao9bxm</v>
    <v>268435456</v>
    <v>1</v>
    <v>Con tecnología de Refinitiv</v>
    <v>0</v>
    <v>1</v>
    <v>HALMA PUBLIC LIMITED COMPANY (XLON:HLMA)</v>
    <v>3</v>
    <v>16</v>
    <v>Finance</v>
    <v>17</v>
    <v>XLON</v>
    <v>379645300</v>
    <v>1894</v>
    <v>4472</v>
    <v>1.2</v>
    <v>-88</v>
    <v>-1.9608E-2</v>
    <v>13796310000</v>
    <v>4488</v>
    <v>Halma plc es una compañía global de tecnología que salva vidas. Los segmentos de la Compañía incluyen Seguridad, Medio Ambiente y Salud. Segmento de seguridad ofrece productos que protegen a las personas, los activos y la infraestructura en espacios comerciales, industriales y públicos. Las soluciones de este segmento incluyen soluciones de seguridad contra incendios, tecnologías de seguridad pública, soluciones de seguridad de los trabajadores y tecnologías de seguridad de infraestructura y activos. El segmento de Medio Ambiente y Análisis proporciona soluciones que monitorean el medio ambiente y mejoran la disponibilidad de recursos naturales críticos para la vida, se utilizan en el análisis de materiales y aplicaciones optoelectrónicas. Este segmento incluye análisis óptico, sistemas de análisis y tratamiento de agua y tecnologías de monitoreo ambiental. Los segmentos de atención médica proporcionan tecnologías para ayudar a la calidad de vida de los pacientes y mejorar la calidad de la atención prestada por los proveedores de atención médica. También diseña y fabrica dispositivos de notificación, iniciación y detección de alto rendimiento.</v>
    <v>9286</v>
    <v>XLON</v>
    <v>46161.639028738282</v>
    <v>London Stock Exchange</v>
    <v>43</v>
    <v>4538</v>
    <v>4714</v>
    <v>4400</v>
    <v>2822</v>
    <v>GBp</v>
    <v>HALMA PUBLIC LIMITED COMPANY</v>
    <v>HALMA PUBLIC LIMITED COMPANY</v>
    <v>48.214300000000001</v>
    <v>4400</v>
    <v>Electronic Equipment &amp; Parts</v>
    <v>MISBOURNE COURT RECTORY WAY, BUCKINGHAMSHIRE, HP7 0DE GB</v>
    <v>HLMA</v>
    <v>Acciones</v>
    <v>HALMA PUBLIC LIMITED COMPANY (XLON:HLMA)</v>
    <v>948594</v>
    <v>1225480</v>
  </rv>
  <rv s="2">
    <v>44</v>
  </rv>
  <rv s="0">
    <v>https://www.bing.com/financeapi/forcetrigger?t=a1svnm&amp;q=XNYS%3aFICO&amp;form=skydnc</v>
    <v>Learn more on Bing</v>
  </rv>
  <rv s="1">
    <v>es-ES</v>
    <v>a1svnm</v>
    <v>268435456</v>
    <v>1</v>
    <v>Con tecnología de Refinitiv</v>
    <v>0</v>
    <v>1</v>
    <v>FAIR ISAAC CORPORATION (XNYS:FICO)</v>
    <v>3</v>
    <v>4</v>
    <v>Finance</v>
    <v>5</v>
    <v>XNYS</v>
    <v>23190910</v>
    <v>1987</v>
    <v>1207.78</v>
    <v>1.2444999999999999</v>
    <v>9.5250000000000004</v>
    <v>8.0600000000000012E-3</v>
    <v>27628374673</v>
    <v>1181.82</v>
    <v>Fair Isaac Corporation es una empresa de software de análisis aplicado. La compañía se centra en el uso de análisis predictivos y ciencia de datos para mejorar las decisiones operativas. La Compañía opera a través de dos segmentos: Puntajes y Software. El segmento de puntajes incluye las soluciones y servicios de puntaje de negocios a negocios de la Compañía que dan a sus clientes acceso a crédito predictivo y otros puntajes. Este segmento incluye sus soluciones de puntuación entre empresas y consumidores, incluidas sus ofertas de suscripción de myFICO.com. El segmento de software de la compañía incluye soluciones de análisis y gestión de decisiones preconfiguradas diseñadas para un tipo específico de necesidad o proceso de negocio, como originación de cuentas, gestión de clientes, participación de clientes, detección de fraude y marketing, así como servicios profesionales asociados. Este segmento incluye FICO Platform, una oferta de software modular diseñada para soportar casos de uso analítico y de decisión avanzados, así como software analítico y de toma de decisiones independiente.</v>
    <v>3758</v>
    <v>XNYS</v>
    <v>46161.797010508591</v>
    <v>New York Stock Exchange</v>
    <v>46</v>
    <v>1245.94</v>
    <v>2217.6</v>
    <v>1171.06</v>
    <v>870.01</v>
    <v>USD</v>
    <v>FAIR ISAAC CORPORATION</v>
    <v>FAIR ISAAC CORPORATION</v>
    <v>37.742600000000003</v>
    <v>1191.345</v>
    <v>Software &amp; IT Services</v>
    <v>5 West Mendenhall, Suites 105, BOZEMAN, MT, 59715 US</v>
    <v>FICO</v>
    <v>Acciones</v>
    <v>FAIR ISAAC CORPORATION (XNYS:FICO)</v>
    <v>308111</v>
    <v>391756</v>
  </rv>
  <rv s="2">
    <v>47</v>
  </rv>
  <rv s="0">
    <v>https://www.bing.com/financeapi/forcetrigger?t=amwtu2&amp;q=XSTO%3aLIFCO+B&amp;form=skydnc</v>
    <v>Learn more on Bing</v>
  </rv>
  <rv s="6">
    <v>es-ES</v>
    <v>amwtu2</v>
    <v>268435456</v>
    <v>1</v>
    <v>Con tecnología de Refinitiv</v>
    <v>18</v>
    <v>19</v>
    <v>Lifco (XSTO:LIFCO B)</v>
    <v>3</v>
    <v>20</v>
    <v>Finance</v>
    <v>21</v>
    <v>XSTO</v>
    <v>423836500</v>
    <v>1993</v>
    <v>282.60000000000002</v>
    <v>1.3874</v>
    <v>6.8</v>
    <v>0</v>
    <v>2.4062E-2</v>
    <v>0</v>
    <v>140205100000</v>
    <v>282.60000000000002</v>
    <v>Lifco AB (publ), formerly Lifco AB, is a Sweden-based conglomerate of small and medium-sized companies. The Company offers a safe haven for small and medium-sized businesses. Business concept is to acquire and develop sustainable, niche businesses with the potential to deliver sustainable earnings growth and robust cash flows. Lifco AB (publ) operates in three segments: Dental, Demolition &amp; Tools and Systems Solutions. Systems Solutions consists of a merger of those business areas which have similar economic characteristics and which do not individually meet the defined quantitative limits. The Company is involved in the distribution of dental equipment, such as denture attachments, disinfectants, saliva ejectors, bite registration and dental impression materials, bonding agents, and other consumables, as well as develops and sells medical record systems.</v>
    <v>7912</v>
    <v>XSTO</v>
    <v>46161.666666666664</v>
    <v>NASDAQ Stockholm</v>
    <v>49</v>
    <v>291.60000000000002</v>
    <v>956.5</v>
    <v>282.60000000000002</v>
    <v>140.30000000000001</v>
    <v>SEK</v>
    <v>Lifco</v>
    <v>Lifco</v>
    <v>35.552799999999998</v>
    <v>289.39999999999998</v>
    <v>289.39999999999998</v>
    <v>Consumer Goods Conglomerates</v>
    <v>Verkmastaregatan 1, UPPSALA, 745 85 SE</v>
    <v>LIFCO B</v>
    <v>Acciones</v>
    <v>Lifco (XSTO:LIFCO B)</v>
    <v>471358</v>
    <v>484380</v>
  </rv>
  <rv s="2">
    <v>50</v>
  </rv>
  <rv s="0">
    <v>https://www.bing.com/financeapi/forcetrigger?t=af9n8m&amp;q=XFRA%3aEVD&amp;form=skydnc</v>
    <v>Learn more on Bing</v>
  </rv>
  <rv s="1">
    <v>es-ES</v>
    <v>af9n8m</v>
    <v>268435456</v>
    <v>1</v>
    <v>Con tecnología de Refinitiv</v>
    <v>0</v>
    <v>1</v>
    <v>Eventim (XFRA:EVD)</v>
    <v>3</v>
    <v>12</v>
    <v>Finance</v>
    <v>13</v>
    <v>XFRA</v>
    <v>96000000</v>
    <v>2014</v>
    <v>55.2</v>
    <v>1.3277000000000001</v>
    <v>0.55000000000000004</v>
    <v>9.8740000000000008E-3</v>
    <v>7502400000</v>
    <v>55.7</v>
    <v>Cts Eventim AG &amp; Co KgaA is a Germany-based company. The Company provides e ticketing and live entertainment sectors and operates in the leisure events market. The Company operates in two segments namely Ticketing and Live Entertainment. The objects of the Ticketing segment are to promote, sell, broker, distribute, and market tickets for cinema, concert, theatre, art, sports and other events in Germany and abroad, using data processing and data transmission technologies. Its tickets are marketed through its network platform (eventim.net), its in-house ticketing product (eventim.inhouse), the sports ticketing product (eventim.tixx) and a solution for ticket sales and admission control in stadiums and arenas. The objects of the Live Entertainment segment are to plan, prepare and execute tours and events, especially music events and concerts, and to market music productions. Internationally venues are also operated. The Company operates kinoheld GmbH as a majority owned subsidiary.</v>
    <v>5329</v>
    <v>XFRA</v>
    <v>46161.770833333336</v>
    <v>Deutsche Boerse AG</v>
    <v>52</v>
    <v>56.65</v>
    <v>113.8</v>
    <v>55.2</v>
    <v>25.98</v>
    <v>EUR</v>
    <v>Eventim</v>
    <v>Eventim</v>
    <v>19.531300000000002</v>
    <v>56.25</v>
    <v>Software &amp; IT Services</v>
    <v>Contrescarpe 75 A, BREMEN, 28195 DE</v>
    <v>EVD</v>
    <v>Acciones</v>
    <v>Eventim (XFRA:EVD)</v>
    <v>170</v>
    <v>278000</v>
  </rv>
  <rv s="2">
    <v>53</v>
  </rv>
  <rv s="0">
    <v>https://www.bing.com/financeapi/forcetrigger?t=a1xth7&amp;q=XNAS%3aMNST&amp;form=skydnc</v>
    <v>Learn more on Bing</v>
  </rv>
  <rv s="1">
    <v>es-ES</v>
    <v>a1xth7</v>
    <v>268435456</v>
    <v>1</v>
    <v>Con tecnología de Refinitiv</v>
    <v>0</v>
    <v>1</v>
    <v>MONSTER BEVERAGE CORPORATION (XNAS:MNST)</v>
    <v>3</v>
    <v>4</v>
    <v>Finance</v>
    <v>5</v>
    <v>XNAS</v>
    <v>978008100</v>
    <v>2014</v>
    <v>87.53</v>
    <v>0.51780000000000004</v>
    <v>-2.2149999999999999</v>
    <v>-2.5017000000000001E-2</v>
    <v>84426549232</v>
    <v>88.54</v>
    <v>Monster Beverage Corporation es una sociedad holding. La Compañía, a través de sus subsidiarias, desarrolla, comercializa, vende y distribuye bebidas de bebidas energéticas y concentrados para bebidas energéticas bajo diversas marcas. Su segmento de bebidas Monster Energy consiste principalmente en sus bebidas energéticas Monster Energy, bebidas energéticas de alto rendimiento Reign Total Body Fuel, bebidas energéticas de bienestar total Reign Storm y bebidas energéticas Bang Energy. Su segmento de Marcas Estratégicas consiste principalmente en varias marcas de bebidas energéticas adquiridas de The Coca-Cola Company, así como sus marcas de energía asequibles, Predator y Fury. Su segmento de marcas de alcohol consiste en varias cervezas artesanales, seltzers duros y bebidas de malta con sabor. Su otro segmento consiste en ciertos productos vendidos por American Fruits and Flavors LLC, una subsidiaria de propiedad total de la Compañía, a clientes independientes de terceros. También desarrolla, comercializa, vende y distribuye aguas tranquilas y chispeantes bajo la marca Monster Tour Water.</v>
    <v>6891</v>
    <v>XNAS</v>
    <v>46161.79704356406</v>
    <v>Nasdaq Stock Market</v>
    <v>55</v>
    <v>88.034999999999997</v>
    <v>88.77</v>
    <v>86.21</v>
    <v>58.09</v>
    <v>USD</v>
    <v>MONSTER BEVERAGE CORPORATION</v>
    <v>MONSTER BEVERAGE CORPORATION</v>
    <v>41.895200000000003</v>
    <v>86.325000000000003</v>
    <v>Beverages</v>
    <v>1 Monster Way, CORONA, CA, 92879-7101 US</v>
    <v>MNST</v>
    <v>Acciones</v>
    <v>MONSTER BEVERAGE CORPORATION (XNAS:MNST)</v>
    <v>2324632</v>
    <v>5336618</v>
  </rv>
  <rv s="2">
    <v>56</v>
  </rv>
  <rv s="0">
    <v>https://www.bing.com/financeapi/forcetrigger?t=bwvem7&amp;q=XNAS%3aABNB&amp;form=skydnc</v>
    <v>Learn more on Bing</v>
  </rv>
  <rv s="1">
    <v>es-ES</v>
    <v>bwvem7</v>
    <v>268435456</v>
    <v>1</v>
    <v>Con tecnología de Refinitiv</v>
    <v>0</v>
    <v>1</v>
    <v>AIRBNB, INC. (XNAS:ABNB)</v>
    <v>3</v>
    <v>4</v>
    <v>Finance</v>
    <v>5</v>
    <v>XNAS</v>
    <v>593504900</v>
    <v>2008</v>
    <v>133.07</v>
    <v>1.1910000000000001</v>
    <v>-3.45</v>
    <v>-2.5689000000000003E-2</v>
    <v>77660116165</v>
    <v>134.30000000000001</v>
    <v>Airbnb, Inc. Opera una plataforma global para estancias y experiencias. El modelo de mercado de la Compañía conecta a anfitriones y huéspedes en línea o a través de dispositivos móviles para reservar espacios y experiencias en todo el mundo. La Compañía ha construido su plataforma para incorporar nuevos hosts, especialmente aquellos que anteriormente no habían considerado hosting. Se asocia con los anfitriones durante todo el proceso de configuración de su listado y les proporciona un conjunto de herramientas para administrar sus listados, incluyendo programación, merchandising, pagos integrados, soporte comunitario, etc. protección del anfitrión, orientación de precios y comentarios de las revisiones. Su sitio web y aplicaciones móviles ofrecen a sus huéspedes una manera de explorar una variedad de hogares y experiencias y una manera fácil de reservarlos. Su plataforma tecnológica impulsa su mercado de dos caras y permite su red global de anfitriones e invitados. Posee una cartera de marcas con protección en 220 países en los que opera para sus marcas principales, AIRBNB, y su logotipo de Belo.</v>
    <v>8200</v>
    <v>XNAS</v>
    <v>46161.797069907028</v>
    <v>Nasdaq Stock Market</v>
    <v>58</v>
    <v>135.5</v>
    <v>147.25</v>
    <v>130.01</v>
    <v>110.81</v>
    <v>USD</v>
    <v>AIRBNB, INC.</v>
    <v>AIRBNB, INC.</v>
    <v>32.242600000000003</v>
    <v>130.85</v>
    <v>Software &amp; IT Services</v>
    <v>888 Brannan St., SAN FRANCISCO, CA, 94103 US</v>
    <v>ABNB</v>
    <v>Acciones</v>
    <v>AIRBNB, INC. (XNAS:ABNB)</v>
    <v>2232279</v>
    <v>3712420</v>
  </rv>
  <rv s="2">
    <v>59</v>
  </rv>
  <rv s="0">
    <v>https://www.bing.com/financeapi/forcetrigger?t=aqbzjc&amp;q=XWAR%3aDNP&amp;form=skydnc</v>
    <v>Learn more on Bing</v>
  </rv>
  <rv s="1">
    <v>es-ES</v>
    <v>aqbzjc</v>
    <v>268435456</v>
    <v>1</v>
    <v>Con tecnología de Refinitiv</v>
    <v>0</v>
    <v>1</v>
    <v>Dino Polska (XWAR:DNP)</v>
    <v>3</v>
    <v>22</v>
    <v>Finance</v>
    <v>23</v>
    <v>XWAR</v>
    <v>980400000</v>
    <v>2012</v>
    <v>32.630000000000003</v>
    <v>1.0214000000000001</v>
    <v>-0.03</v>
    <v>-9.2789999999999995E-4</v>
    <v>41353270000</v>
    <v>32.33</v>
    <v>Dino Polska SA is a Poland-based company primarily engaged in the food retail. The Company focuses on operating a supermarkets chain under the Dino brand name. Its offer includes dairy and bakery products, chocolate and non-chocolate confectionary, fruits and vegetables, alcoholic and non-alcoholic beverages, as well as pet food, among others. In addition, the Company provides meat stalls under the Agro-Rydzyna brand name, as well as sells non-food goods, such as cosmetics, household products, kitchen appliances and toys. It also offers mobile phone recharge, cash back service and vouchers. The Company's supermarkets are located in a number of Polish voivodeships, including wielkopolskie, dolnoslaskie, lodzkie, mazowieckie and pomorskie, among others.</v>
    <v>56715</v>
    <v>XWAR</v>
    <v>46161.627705613282</v>
    <v>Warsaw Stock Exchange</v>
    <v>61</v>
    <v>32.75</v>
    <v>55.8</v>
    <v>31.9</v>
    <v>28.24</v>
    <v>PLN</v>
    <v>Dino Polska</v>
    <v>Dino Polska</v>
    <v>20.259699999999999</v>
    <v>32.299999999999997</v>
    <v>Food &amp; Drug Retailing</v>
    <v>ul. Ostrowska 122, KROTOSZYN, WOJ. WIELKOPOLSKIE, 63-700 PL</v>
    <v>DNP</v>
    <v>Acciones</v>
    <v>Dino Polska (XWAR:DNP)</v>
    <v>4834683</v>
    <v>5938520</v>
  </rv>
  <rv s="2">
    <v>62</v>
  </rv>
  <rv s="7">
    <v>es-ES</v>
    <v>caydcw</v>
    <v>268435456</v>
    <v>1</v>
    <v>Con tecnología de Refinitiv</v>
    <v>24</v>
    <v>25</v>
    <v>VERALTO CORPORATION (XNYS:VLTO)</v>
    <v>26</v>
    <v>4</v>
    <v>Finance</v>
    <v>5</v>
    <v>XNYS</v>
    <v>245599300</v>
    <v>2022</v>
    <v>86.905000000000001</v>
    <v>0.73099999999999998</v>
    <v>-0.01</v>
    <v>-1.153E-4</v>
    <v>21293459310</v>
    <v>86.71</v>
    <v>Veralto Corporation proporciona soluciones tecnológicas esenciales que monitorean, mejoran y protegen los recursos clave en todo el mundo. Sus segmentos incluyen Calidad del Agua (WQ) y Calidad e Innovación del Producto (PQI). WQ Segment ofrece carteras de análisis de agua y soluciones de tratamiento de agua diferenciadas que permiten el suministro de agua potable segura por parte de empresas públicas y privadas. Bajo sus marcas Hach, Trojan Technologies, ChemTreat y otras marcas WQ reconocidas mundialmente, proporciona instrumentación de precisión y tecnologías avanzadas de tratamiento de agua en las que sus clientes confían para medir, analizar y tratar el agua en aplicaciones residenciales, comerciales, municipales, industriales, de investigación y de recursos naturales. El segmento PQI proporciona un conjunto de soluciones esenciales para los propietarios de marcas y las empresas de bienes de consumo envasados. Bajo sus marcas Videojet, Linx, Esko, X-Rite, Pantone y otras marcas PQI reconocidas a nivel mundial, proporciona marcado y codificación, así como embalaje e instrumentación de color y consumibles relacionados.</v>
    <v>17000</v>
    <v>XNYS</v>
    <v>46161.797035103904</v>
    <v>New York Stock Exchange</v>
    <v>87.76</v>
    <v>110.11</v>
    <v>85.754999999999995</v>
    <v>84.45</v>
    <v>USD</v>
    <v>VERALTO CORPORATION</v>
    <v>VERALTO CORPORATION</v>
    <v>22.3748</v>
    <v>86.7</v>
    <v>Professional &amp; Commercial Services</v>
    <v>225 Wyman Street, Suite 250, WALTHAM, MA, 02451 US</v>
    <v>VLTO</v>
    <v>Acciones</v>
    <v>VERALTO CORPORATION (XNYS:VLTO)</v>
    <v>796834</v>
    <v>2043137</v>
  </rv>
  <rv s="2">
    <v>64</v>
  </rv>
  <rv s="0">
    <v>https://www.bing.com/financeapi/forcetrigger?t=ae94vh&amp;q=XPAR%3aLR&amp;form=skydnc</v>
    <v>Learn more on Bing</v>
  </rv>
  <rv s="1">
    <v>es-ES</v>
    <v>ae94vh</v>
    <v>268435456</v>
    <v>1</v>
    <v>Con tecnología de Refinitiv</v>
    <v>0</v>
    <v>1</v>
    <v>Legrand SA (XPAR:LR)</v>
    <v>3</v>
    <v>12</v>
    <v>Finance</v>
    <v>13</v>
    <v>XPAR</v>
    <v>262245700</v>
    <v>1998</v>
    <v>147.75</v>
    <v>1.2805</v>
    <v>-3.35</v>
    <v>-2.2490999999999997E-2</v>
    <v>33318320000</v>
    <v>148.94999999999999</v>
    <v>Legrand SA, anteriormente Legrand SNC, es una empresa con sede en Francia. La compañía se especializa predominantemente en infraestructura eléctrica y digital de edificios. Su gama de productos es adecuada para los segmentos comercial, industrial y residencial del mercado de baja tensión. La Compañía tiene operaciones comerciales e industriales en más de 90 países. Se beneficia de palancas de crecimiento sólidas y a largo plazo. Sus productos lanzados por la Compañía se utilizan para la eficiencia energética: Dimmer avanzado de diodo emisor de luz radiante (led) y medidor trifásico conectado con Netatmo, entre otros; productos conectados en el programa Eliot: Dispositivo portátil de teleasistencia NOVO GO y sistema de alarma contra incendios T4 inalámbrico, entre otros; y centros de datos: Bandeja de cable CABLOFIL Wiremesh CF 150/900 BS, y UPS Keor SPE RT, entre otros.</v>
    <v>37768</v>
    <v>XPAR</v>
    <v>46161.666666666664</v>
    <v>Euronext Paris</v>
    <v>66</v>
    <v>149.85</v>
    <v>166.95</v>
    <v>144.5</v>
    <v>104.9</v>
    <v>EUR</v>
    <v>Legrand SA</v>
    <v>Legrand SA</v>
    <v>29.642299999999999</v>
    <v>145.6</v>
    <v>Machinery, Equipment &amp; Components</v>
    <v>128, av. du Marechal de Lattre de Tassigny, LIMOGES, NOUVELLE-AQUITAINE, 87000 FR</v>
    <v>LR</v>
    <v>Acciones</v>
    <v>Legrand SA (XPAR:LR)</v>
    <v>646470</v>
    <v>494770</v>
  </rv>
  <rv s="2">
    <v>67</v>
  </rv>
  <rv s="0">
    <v>https://www.bing.com/financeapi/forcetrigger?t=aoaorw&amp;q=XLON%3aJDG&amp;form=skydnc</v>
    <v>Learn more on Bing</v>
  </rv>
  <rv s="1">
    <v>es-ES</v>
    <v>aoaorw</v>
    <v>268435456</v>
    <v>1</v>
    <v>Con tecnología de Refinitiv</v>
    <v>0</v>
    <v>1</v>
    <v>Judges (XLON:JDG)</v>
    <v>3</v>
    <v>16</v>
    <v>Finance</v>
    <v>17</v>
    <v>XLON</v>
    <v>6660440</v>
    <v>2002</v>
    <v>5000</v>
    <v>0.79259999999999997</v>
    <v>-20</v>
    <v>-4.0239999999999998E-3</v>
    <v>383100600</v>
    <v>4970</v>
    <v>Judges Scientific plc is a United Kingdom-based company, which is focused on acquiring and developing companies within the scientific instrument sector. The principal activities of the Company and its subsidiaries comprise the design, manufacture and sale of scientific instruments. The Company’s segments include Materials Sciences and Vacuum. Its subsidiaries are primarily United Kingdom-based with products sold around the world to a diverse range of markets, including higher education institutions, the scientific communities, manufacturers, and regulatory authorities. It is engaged in operating approximately 25 businesses. Its subsidiaries include Fire Testing Technology Limited, PE.fiberoptics Limited, UHV Design Limited, Aitchee Engineering Limited, Quorum Technologies Limited, Deben UK Limited, Oxford Cryosystems Limited, Global Digital Systems Limited, Scientifica Limited, Dia-Stron Limited, Geotek Coring Limited, EWB Solutions Limited, among others.</v>
    <v>791</v>
    <v>XLON</v>
    <v>46161.461886574078</v>
    <v>London Stock Exchange</v>
    <v>69</v>
    <v>4975</v>
    <v>9120</v>
    <v>4900</v>
    <v>3480</v>
    <v>GBp</v>
    <v>Judges</v>
    <v>Judges</v>
    <v>60.195799999999998</v>
    <v>4950</v>
    <v>Machinery, Equipment &amp; Components</v>
    <v>52c Borough High Street, LONDON, SE1 1XN GB</v>
    <v>JDG</v>
    <v>Acciones</v>
    <v>Judges (XLON:JDG)</v>
    <v>46415</v>
    <v>13020</v>
  </rv>
  <rv s="2">
    <v>70</v>
  </rv>
  <rv s="0">
    <v>https://www.bing.com/financeapi/forcetrigger?t=an3gc7&amp;q=XSWX%3aSTMN&amp;form=skydnc</v>
    <v>Learn more on Bing</v>
  </rv>
  <rv s="6">
    <v>es-ES</v>
    <v>an3gc7</v>
    <v>268435456</v>
    <v>1</v>
    <v>Con tecnología de Refinitiv</v>
    <v>18</v>
    <v>19</v>
    <v>Straumann Holding Ltd (XSWX:STMN)</v>
    <v>3</v>
    <v>27</v>
    <v>Finance</v>
    <v>28</v>
    <v>XSWX</v>
    <v>159455200</v>
    <v>2005</v>
    <v>85.3</v>
    <v>1.3347</v>
    <v>1.6</v>
    <v>2.085E-3</v>
    <v>1.8886E-2</v>
    <v>0.18</v>
    <v>15961470000</v>
    <v>84.72</v>
    <v>Straumann Holding AG es una compañía con sede en Suiza activa en el campo de la implantología y odontología restauradora y la regeneración de tejidos orales. En colaboración con clínicas, institutos de investigación y universidades, el Grupo investiga y desarrolla implantes, instrumentos, diseño/ fabricación de prótesis por ordenador y productos de regeneración de tejidos para usar en soluciones de reemplazo y restauración de dientes o para prevenir la perdida de dientes. Straumann Holding AG también ofrece una serie de servicios profesionales dentales a lo largo del mundo, incluye capacitación y educación, provisto por Equipo Internacional de implantología Sus productos y servicios están disponibles en varios países a través de las sedes del grupo y por una red de subsidiarias y socios tecnológicos ubicados en Europa, Norte América, Asia/la región del pacifico y en Latino América, incluyendo Dental Wings Inc localizado en Canadá y Createch Medical SL en Espana.</v>
    <v>11821</v>
    <v>XSWX</v>
    <v>46161.695104166669</v>
    <v>SIX Swiss Exchange</v>
    <v>72</v>
    <v>86.54</v>
    <v>112.65</v>
    <v>85.22</v>
    <v>73.02</v>
    <v>CHF</v>
    <v>Straumann Holding Ltd</v>
    <v>Straumann Holding Ltd</v>
    <v>38.708500000000001</v>
    <v>86.32</v>
    <v>86.5</v>
    <v>Healthcare Equipment &amp; Supplies</v>
    <v>Peter Merian-Weg 12, BASEL, BASEL-STADT, 4002 CH</v>
    <v>STMN</v>
    <v>Acciones</v>
    <v>Straumann Holding Ltd (XSWX:STMN)</v>
    <v>335740</v>
    <v>408450</v>
  </rv>
  <rv s="2">
    <v>73</v>
  </rv>
  <rv s="0">
    <v>https://www.bing.com/financeapi/forcetrigger?t=a1slm7&amp;q=XNAS%3aMETA&amp;form=skydnc</v>
    <v>Learn more on Bing</v>
  </rv>
  <rv s="1">
    <v>es-ES</v>
    <v>a1slm7</v>
    <v>268435456</v>
    <v>1</v>
    <v>Con tecnología de Refinitiv</v>
    <v>0</v>
    <v>1</v>
    <v>META PLATFORMS, INC. (XNAS:META)</v>
    <v>3</v>
    <v>4</v>
    <v>Finance</v>
    <v>5</v>
    <v>XNAS</v>
    <v>2538423000</v>
    <v>2004</v>
    <v>608.91999999999996</v>
    <v>1.2372000000000001</v>
    <v>-10.015000000000001</v>
    <v>-1.6386000000000001E-2</v>
    <v>1526087215485</v>
    <v>611.21</v>
    <v>Meta Platforms, Inc. Está construyendo conexiones humanas, impulsadas por inteligencia artificial y tecnologías inmersivas. Los productos de la Compañía permiten a las personas conectarse y compartir con amigos y familiares a través de dispositivos móviles, computadoras personales, auriculares de realidad virtual (VR) y realidad mixta (MR), realidad aumentada (AR) y wearables. También ayuda a las personas a descubrir y aprender sobre lo que está sucediendo en el mundo que les rodea, permitiendo a las personas compartir sus experiencias, ideas, fotos, videos y otros contenidos con audiencias que van desde sus familiares y amigos más cercanos hasta el público en general. Los segmentos de la compañía incluyen Family of Apps (FOA) y Reality Labs (RL). El segmento FOA incluye Facebook, Instagram, Messenger, WhatsApp e hilos. El segmento de RL incluye su hardware, software y contenido de consumo relacionado con la realidad virtual, aumentada y mixta. Sus ofertas de productos en realidad virtual incluyen sus dispositivos Meta Quest, así como software y contenido disponible a través de la Tienda Meta Horizon.</v>
    <v>77986</v>
    <v>XNAS</v>
    <v>46161.797060543751</v>
    <v>Nasdaq Stock Market</v>
    <v>75</v>
    <v>613.92999999999995</v>
    <v>796.25</v>
    <v>600.55999999999995</v>
    <v>520.26</v>
    <v>USD</v>
    <v>META PLATFORMS, INC.</v>
    <v>META PLATFORMS, INC.</v>
    <v>18.235199999999999</v>
    <v>601.19500000000005</v>
    <v>Software &amp; IT Services</v>
    <v>1 Meta Way, MENLO PARK, CA, 94025 US</v>
    <v>META</v>
    <v>Acciones</v>
    <v>META PLATFORMS, INC. (XNAS:META)</v>
    <v>8041528</v>
    <v>15573199</v>
  </rv>
  <rv s="2">
    <v>76</v>
  </rv>
  <rv s="0">
    <v>https://www.bing.com/financeapi/forcetrigger?t=a1wj9c&amp;q=XNYS%3aKKR&amp;form=skydnc</v>
    <v>Learn more on Bing</v>
  </rv>
  <rv s="1">
    <v>es-ES</v>
    <v>a1wj9c</v>
    <v>268435456</v>
    <v>1</v>
    <v>Con tecnología de Refinitiv</v>
    <v>0</v>
    <v>1</v>
    <v>KKR &amp; CO. INC. (XNYS:KKR)</v>
    <v>3</v>
    <v>4</v>
    <v>Finance</v>
    <v>5</v>
    <v>XNYS</v>
    <v>897872900</v>
    <v>2021</v>
    <v>95.655000000000001</v>
    <v>1.8328</v>
    <v>-3.4249999999999998</v>
    <v>-3.5687999999999998E-2</v>
    <v>83093647530</v>
    <v>95.97</v>
    <v>KKR &amp; Co. Inc. Es una empresa de inversión global que ofrece gestión alternativa de activos, mercados de capital y soluciones de seguros. Los segmentos de la Compañía incluyen Gestión de Activos, Seguros y Holdings Estratégicos. El segmento de gestión de activos ofrece una gama de servicios de gestión de inversiones a fondos de inversión, vehículos y cuentas y proporciona servicios de mercados de capitales a empresas de cartera y terceros. El segmento de Gestión de Activos incluye cinco líneas de negocio: Capital Privado, Activos Inmobiliarios, Estrategias de Crédito y Líquido, Mercados de Capitales y Actividades Principales. El segmento de seguros es operado por Global Atlantic, que es una compañía de seguros de vida y jubilación de los Estados Unidos que ofrece un conjunto de productos de protección, herencia y ahorro y soluciones de reaseguro a clientes en los mercados individuales e institucionales. Global Atlantic ofrece anualidades de tasa fija a individuos y otras. El segmento Estratégico Holdings representa su participación en su estrategia básica de capital riesgo.</v>
    <v>5043</v>
    <v>XNYS</v>
    <v>46161.797069189066</v>
    <v>New York Stock Exchange</v>
    <v>78</v>
    <v>95.88</v>
    <v>153.87</v>
    <v>92.480099999999993</v>
    <v>82.67</v>
    <v>USD</v>
    <v>KKR &amp; CO. INC.</v>
    <v>KKR &amp; CO. INC.</v>
    <v>31.361599999999999</v>
    <v>92.545000000000002</v>
    <v>Investment Banking &amp; Investment Services</v>
    <v>30 Hudson Yards, NEW YORK, NY, 10001 US</v>
    <v>KKR</v>
    <v>Acciones</v>
    <v>KKR &amp; CO. INC. (XNYS:KKR)</v>
    <v>3034557</v>
    <v>4942180</v>
  </rv>
  <rv s="2">
    <v>79</v>
  </rv>
  <rv s="0">
    <v>https://www.bing.com/financeapi/forcetrigger?t=brh6oc&amp;q=XNYS%3aNET&amp;form=skydnc</v>
    <v>Learn more on Bing</v>
  </rv>
  <rv s="8">
    <v>es-ES</v>
    <v>brh6oc</v>
    <v>268435456</v>
    <v>1</v>
    <v>Con tecnología de Refinitiv</v>
    <v>29</v>
    <v>30</v>
    <v>CLOUDFLARE, INC. (XNYS:NET)</v>
    <v>3</v>
    <v>31</v>
    <v>Finance</v>
    <v>5</v>
    <v>XNYS</v>
    <v>353466200</v>
    <v>2009</v>
    <v>203.66</v>
    <v>1.66</v>
    <v>2.59</v>
    <v>1.2838E-2</v>
    <v>72227283308</v>
    <v>201.75</v>
    <v>Cloudflare, Inc. Es una compañía de conectividad en la nube. Su conjunto completo de productos consiste en sus servicios de sitio web y aplicaciones para ofrecer seguridad, rendimiento y confiabilidad para los sitios web, aplicaciones e interfaces de programación de aplicaciones (API) de una organización; su plataforma Secure Access Service Edge (SASE), que contiene su conjunto de soluciones Zero Trust y servicios de red para ayudar a garantizar que el tráfico de entrada y salida de la red interna y los dispositivos de una organización se verifique y autorice, así como para conectar de forma segura centros de datos, servicios en la nube y sucursales a una organización con su Connectivity Cloud; sus soluciones basadas en desarrolladores para crear e implementar aplicaciones sin servidor con escala, rendimiento, seguridad y confiabilidad, y sus ofertas para consumidores. Sus ofertas de productos de seguridad de sitios web y aplicaciones incluyen firewall de aplicaciones web, gestión de bots, protección de denegación de servicio distribuida, seguridad de API, cifrado SSL/TLS, administración de scripts y centro de seguridad.</v>
    <v>5483</v>
    <v>XNYS</v>
    <v>46161.796965231253</v>
    <v>New York Stock Exchange</v>
    <v>81</v>
    <v>208.67</v>
    <v>260</v>
    <v>200.42</v>
    <v>154.03</v>
    <v>USD</v>
    <v>CLOUDFLARE, INC.</v>
    <v>CLOUDFLARE, INC.</v>
    <v>204.34</v>
    <v>Software &amp; IT Services</v>
    <v>101 Townsend St, SAN FRANCISCO, CA, 94107-1934 US</v>
    <v>NET</v>
    <v>Acciones</v>
    <v>CLOUDFLARE, INC. (XNYS:NET)</v>
    <v>2360595</v>
    <v>4638298</v>
  </rv>
  <rv s="2">
    <v>82</v>
  </rv>
  <rv s="0">
    <v>https://www.bing.com/financeapi/forcetrigger?t=bq8rqh&amp;q=XNAS%3aCRWD&amp;form=skydnc</v>
    <v>Learn more on Bing</v>
  </rv>
  <rv s="1">
    <v>es-ES</v>
    <v>bq8rqh</v>
    <v>268435456</v>
    <v>1</v>
    <v>Con tecnología de Refinitiv</v>
    <v>0</v>
    <v>1</v>
    <v>CROWDSTRIKE HOLDINGS, INC. (XNAS:CRWD)</v>
    <v>3</v>
    <v>4</v>
    <v>Finance</v>
    <v>5</v>
    <v>XNAS</v>
    <v>254536500</v>
    <v>2011</v>
    <v>620</v>
    <v>1.1093999999999999</v>
    <v>1</v>
    <v>1.616E-3</v>
    <v>157769358795</v>
    <v>618.83000000000004</v>
    <v>CrowdStrike Holdings, Inc. Es una compañía global de ciberseguridad que proporciona protección en la nube para endpoints, cargas de trabajo en la nube, identidad y datos. Su plataforma Falcon está diseñada para la consolidación de la ciberseguridad, diseñada específicamente para detener las brechas. Las plataformas recopilan e integran datos de toda la empresa, incluidos puntos finales, cargas de trabajo en la nube, identidades y fuentes de terceros. Ofrece 29 módulos en la nube en su plataforma Falcon a través de un modelo basado en suscripción de software como servicio (SaaS) que abarca múltiples mercados grandes, incluyendo seguridad de endpoints corporativos y cargas de trabajo en la nube, servicios de seguridad gestionada, gestión de operaciones de tecnología de la información (TI), protección de identidades, gestión de información de seguridad de próxima generación y gestión de eventos (SIEM) y gestión de registros, servicios de inteligencia contra amenazas, protección de datos, gestión de posturas de seguridad SaaS, automatización y respuesta (SOAR) y automatización de flujo de trabajo impulsada por inteligencia artificial, entre otros.</v>
    <v>10698</v>
    <v>XNAS</v>
    <v>46161.797011503906</v>
    <v>Nasdaq Stock Market</v>
    <v>84</v>
    <v>634.24</v>
    <v>634.24</v>
    <v>613.29</v>
    <v>342.72</v>
    <v>USD</v>
    <v>CROWDSTRIKE HOLDINGS, INC.</v>
    <v>CROWDSTRIKE HOLDINGS, INC.</v>
    <v>0</v>
    <v>619.83000000000004</v>
    <v>Software &amp; IT Services</v>
    <v>206 E. 9TH STREET, SUITE 1400, AUSTIN, TX, 78701 US</v>
    <v>CRWD</v>
    <v>Acciones</v>
    <v>CROWDSTRIKE HOLDINGS, INC. (XNAS:CRWD)</v>
    <v>3353197</v>
    <v>2938621</v>
  </rv>
  <rv s="2">
    <v>85</v>
  </rv>
  <rv s="0">
    <v>https://www.bing.com/financeapi/forcetrigger?t=a1u3p2&amp;q=XNAS%3aGOOG&amp;form=skydnc</v>
    <v>Learn more on Bing</v>
  </rv>
  <rv s="1">
    <v>es-ES</v>
    <v>a1u3p2</v>
    <v>268435456</v>
    <v>1</v>
    <v>Con tecnología de Refinitiv</v>
    <v>0</v>
    <v>1</v>
    <v>ALPHABET INC. (XNAS:GOOG)</v>
    <v>3</v>
    <v>4</v>
    <v>Finance</v>
    <v>5</v>
    <v>XNAS</v>
    <v>12116000000</v>
    <v>2015</v>
    <v>393.12</v>
    <v>1.2641</v>
    <v>-7.78</v>
    <v>-1.9791E-2</v>
    <v>4668658280000</v>
    <v>393.11</v>
    <v>Alphabet Inc. Es una compañía holding. Los segmentos de la Compañía incluyen Google Services, Google Cloud y otras apuestas. El segmento de Servicios de Google incluye productos y servicios como anuncios, Android, Chrome, dispositivos, Google Maps, Google Maps, etc. Google Play, Búsqueda y YouTube. El segmento de Google Cloud incluye servicios de infraestructura y plataforma, herramientas de colaboración y otros servicios para clientes empresariales. Su otro segmento de apuestas se dedica a la venta de servicios relacionados con la salud y servicios de Internet. Google Cloud ofrece servicios en la nube listos para la empresa, incluidos Google Cloud Platform y Google Workspace. Google Cloud Platform proporciona acceso a soluciones como las ofertas de inteligencia artificial (IA), incluida su infraestructura de IA, la plataforma Vertex AI y Gemini para Google Cloud; ciberseguridad y datos y análisis. Google Workspace incluye herramientas de comunicación y colaboración basadas en la nube para empresas, como Calendar, Gmail, Docs, Drive, y reunirse.</v>
    <v>194668</v>
    <v>XNAS</v>
    <v>46161.797069860935</v>
    <v>Nasdaq Stock Market</v>
    <v>87</v>
    <v>393.36270000000002</v>
    <v>404.47</v>
    <v>383</v>
    <v>163.33000000000001</v>
    <v>USD</v>
    <v>ALPHABET INC.</v>
    <v>ALPHABET INC.</v>
    <v>29.4282</v>
    <v>385.33</v>
    <v>Software &amp; IT Services</v>
    <v>1600 Amphitheatre Parkway, MOUNTAIN VIEW, CA, 94043 US</v>
    <v>GOOG</v>
    <v>Acciones</v>
    <v>ALPHABET INC. (XNAS:GOOG)</v>
    <v>13846625</v>
    <v>18230772</v>
  </rv>
  <rv s="2">
    <v>88</v>
  </rv>
  <rv s="9">
    <v>es-ES</v>
    <v>cjjy9c</v>
    <v>268435456</v>
    <v>1</v>
    <v>Con tecnología de Refinitiv</v>
    <v>32</v>
    <v>33</v>
    <v>Abb Ltd (XSWX:ABBNE)</v>
    <v>26</v>
    <v>34</v>
    <v>Finance</v>
    <v>13</v>
    <v>XSWX</v>
    <v>1823154000</v>
    <v>1999</v>
    <v>80.459999999999994</v>
    <v>1.1315999999999999</v>
    <v>-1.4</v>
    <v>-1.7330999999999999E-2</v>
    <v>122992200000</v>
    <v>80.78</v>
    <v>Abb Ltd es una sociedad de cartera. Los segmentos de la Compañía incluyen productos de electrificación, robótica y movimiento, automatización industrial, redes eléctricas y corporativos y otros. Opera a través de cuatro divisiones: Productos de Electrificación , Robótica y movimiento, Automatización industrial y Redes eléctricas. Se dedica a servir a los clientes en los servicios públicos, la industria y el transporte y la infraestructura. El segmento de Productos de Electrificación fabrica y vende productos y servicios que incluyen dispositivos de conmutación, interruptores, interruptores y productos de control de baja y media tensión. El segmento de Robótica y movimiento fabrica y vende motores, generadores, unidades de velocidad variable y robots y robots. El segmento de Automatización industrial desarrolla y vende sistemas de control y optimización de planta, y productos y soluciones de automatización. El segmento de Redes eléctricas suministra productos de energía y automatización, sistemas y soluciones de software y servicio.</v>
    <v>112700</v>
    <v>XSWX</v>
    <v>46161.630162037036</v>
    <v>SIX Swiss Exchange</v>
    <v>81.760000000000005</v>
    <v>79.099999999999994</v>
    <v>CHF</v>
    <v>Abb Ltd</v>
    <v>Abb Ltd</v>
    <v>79.38</v>
    <v>Machinery, Equipment &amp; Components</v>
    <v>Affolternstrasse 44, ZUERICH, ZUERICH, 8050 CH</v>
    <v>ABBNE</v>
    <v>Acciones</v>
    <v>Abb Ltd (XSWX:ABBNE)</v>
    <v>23000</v>
    <v>2423220</v>
  </rv>
  <rv s="2">
    <v>90</v>
  </rv>
  <rv s="0">
    <v>https://www.bing.com/financeapi/forcetrigger?t=a1u6sm&amp;q=XNYS%3aGRMN&amp;form=skydnc</v>
    <v>Learn more on Bing</v>
  </rv>
  <rv s="1">
    <v>es-ES</v>
    <v>a1u6sm</v>
    <v>268435456</v>
    <v>1</v>
    <v>Con tecnología de Refinitiv</v>
    <v>0</v>
    <v>1</v>
    <v>Garmin Ltd (XNYS:GRMN)</v>
    <v>3</v>
    <v>4</v>
    <v>Finance</v>
    <v>5</v>
    <v>XNYS</v>
    <v>192856200</v>
    <v>2010</v>
    <v>225.77500000000001</v>
    <v>0.9405</v>
    <v>3.1749999999999998</v>
    <v>1.3993999999999999E-2</v>
    <v>44369461653</v>
    <v>226.89</v>
    <v>Garmin Ltd. (Garmin) es una entidad con sede en Suiza. La Compañía y sus filiales ofrecen sistemas de posicionamiento global (GPS) y dispositivos y aplicaciones inalámbricas. La Compañía opera a través de cinco segmentos: Fitness, outdoor, aviación, marina y auto. Ofrece una gama de productos de navegación automática, así como una gama de productos y aplicaciones diseñados para el mercado de GPS móvil. Ofrece Handhelds al aire libre, dispositivos portables, dispositivos de golf y dispositivos de seguimiento de perros y entrenamiento / obediencia de mascotas. Garmin ofrece varios productos diseñados para su uso en el seguimiento de fitness y actividad. El segmento de negocios de aviación de la compañía es un proveedor de soluciones para fabricantes de aeronaves, propietarios y operadores de aeronaves existentes, así como clientes militares y gubernamentales, y sirve a una gama de aeronaves, incluyendo aviones de transporte, aviación de negocios, aviación general, deportes experimentales / ligeros, etc. helicópteros, vehículos pilotados opcionalmente y vehículos aéreos no tripulados. La compañía opera en todo el mundo.</v>
    <v>23000</v>
    <v>XNYS</v>
    <v>46161.797040335157</v>
    <v>New York Stock Exchange</v>
    <v>92</v>
    <v>230.36</v>
    <v>273.32</v>
    <v>224.58</v>
    <v>186.67</v>
    <v>USD</v>
    <v>Garmin Ltd</v>
    <v>Garmin Ltd</v>
    <v>25.653700000000001</v>
    <v>230.065</v>
    <v>Communications &amp; Networking</v>
    <v>Muehlentalstrasse 2, SCHAFFHAUSEN, SCHAFFHAUSEN, 8200 CH</v>
    <v>GRMN</v>
    <v>Acciones</v>
    <v>Garmin Ltd (XNYS:GRMN)</v>
    <v>380506</v>
    <v>794042</v>
  </rv>
  <rv s="2">
    <v>93</v>
  </rv>
  <rv s="0">
    <v>https://www.bing.com/financeapi/forcetrigger?t=azfd2w&amp;q=XFRA%3aKRX&amp;form=skydnc</v>
    <v>Learn more on Bing</v>
  </rv>
  <rv s="1">
    <v>es-ES</v>
    <v>azfd2w</v>
    <v>268435456</v>
    <v>1</v>
    <v>Con tecnología de Refinitiv</v>
    <v>0</v>
    <v>1</v>
    <v>KINGSPAN GROUP PUBLIC LIMITED COMPANY (XFRA:KRX)</v>
    <v>3</v>
    <v>12</v>
    <v>Finance</v>
    <v>13</v>
    <v>XFRA</v>
    <v>180339100</v>
    <v>1979</v>
    <v>72.95</v>
    <v>1.2408999999999999</v>
    <v>-0.25</v>
    <v>-3.4150000000000001E-3</v>
    <v>12847890000</v>
    <v>73.2</v>
    <v>Kingspan Group PLC es una empresa con sede en Irlanda, que participa en la fabricación de soluciones de aislamiento y envolvente de edificios de alto rendimiento. Sus segmentos incluyen paneles aislados; Aislamiento; Luz, aire + agua; Datos + pisos, y techos + impermeabilización. El segmento de paneles aislados fabrica paneles aislados, marcos estructurales y fachadas metálicas. El segmento de aislamiento fabrica placas de aislamiento rígido, aislamiento técnico y sistemas de madera de ingeniería. El segmento Luz, Aire + Agua fabrica soluciones de energía y agua, iluminación diurna, gestión de humos y sistemas de ventilación y actividades de servicio relacionadas. El segmento Data + Flooring se dedica a la fabricación de soluciones de almacenamiento de centros de datos y pisos de acceso elevados. El segmento Roofing + Waterproofing se dedica a la fabricación de soluciones de techos e impermeabilización para la renovación y nueva construcción de edificios. También ofrece soluciones de membrana de cloruro de polivinilo (PVC) para techos no residenciales.</v>
    <v>27955</v>
    <v>XFRA</v>
    <v>46161.716666666667</v>
    <v>Deutsche Boerse AG</v>
    <v>95</v>
    <v>72.95</v>
    <v>108.4</v>
    <v>72.95</v>
    <v>32.01</v>
    <v>EUR</v>
    <v>KINGSPAN GROUP PUBLIC LIMITED COMPANY</v>
    <v>KINGSPAN GROUP PUBLIC LIMITED COMPANY</v>
    <v>19.716200000000001</v>
    <v>72.95</v>
    <v>Homebuilding &amp; Construction Supplies</v>
    <v>Dublin Road,, KINGSCOURT, CAVAN, A82 XY31 IE</v>
    <v>KRX</v>
    <v>Acciones</v>
    <v>KINGSPAN GROUP PUBLIC LIMITED COMPANY (XFRA:KRX)</v>
    <v>180</v>
    <v>450790</v>
  </rv>
  <rv s="2">
    <v>96</v>
  </rv>
  <rv s="0">
    <v>https://www.bing.com/financeapi/forcetrigger?t=bpiour&amp;q=OTCM%3aKAKZF&amp;form=skydnc</v>
    <v>Learn more on Bing</v>
  </rv>
  <rv s="1">
    <v>es-ES</v>
    <v>bpiour</v>
    <v>268435456</v>
    <v>1</v>
    <v>Con tecnología de Refinitiv</v>
    <v>0</v>
    <v>1</v>
    <v>Kaspi.kz AO (XNAS:KSPI)</v>
    <v>3</v>
    <v>4</v>
    <v>Finance</v>
    <v>5</v>
    <v>XNAS</v>
    <v>189333500</v>
    <v>2008</v>
    <v>88.4</v>
    <v>0.18809999999999999</v>
    <v>0.61499999999999999</v>
    <v>6.9169999999999995E-3</v>
    <v>16949134920</v>
    <v>88.905000000000001</v>
    <v>Kaspi.kz AO (Joint Stock Company Kaspi.kz), formerly Aktsionernoe obshchestvo kaspi, is a Kazakhstan-based financial technology company, which provide a range of services such as online payments, e-commerce, and digital banking. The Company operates as holding company for Kaspi Group AO and Kaspi Magazin TOO. The Company operates through two segments. Mass retail offers a wide range of products and financial services to retail customers through a network of branches, offices, and automated teller machine (ATM). These products include savings and current accounts, credit cards, car loans and commodity loans, as well as a wide range of insurance policies. Financial services for corporate, middle, and small, and other businesses segment, including deposits, overdrafts, loans and other credit services and currency exchange.</v>
    <v>7700</v>
    <v>XNAS</v>
    <v>46161.796779710159</v>
    <v>Nasdaq Stock Market</v>
    <v>98</v>
    <v>90.347999999999999</v>
    <v>99.2</v>
    <v>87</v>
    <v>68.59</v>
    <v>USD</v>
    <v>Kaspi.kz AO</v>
    <v>Kaspi.kz AO</v>
    <v>7.6341999999999999</v>
    <v>89.52</v>
    <v>Financial Technology (Fintech) &amp; Infrastructure</v>
    <v>Bostandykskiy Rayon, Ul. Nauryzbay Batyra, 154A, ALMATY, 050013 KZ</v>
    <v>KSPI</v>
    <v>Acciones</v>
    <v>Kaspi.kz AO (XNAS:KSPI)</v>
    <v>454981</v>
    <v>569806</v>
  </rv>
  <rv s="2">
    <v>99</v>
  </rv>
  <rv s="0">
    <v>https://www.bing.com/financeapi/forcetrigger?t=amft3m&amp;q=BMEX%3aCBAV&amp;form=skydnc</v>
    <v>Learn more on Bing</v>
  </rv>
  <rv s="10">
    <v>es-ES</v>
    <v>amft3m</v>
    <v>268435456</v>
    <v>1</v>
    <v>Con tecnología de Refinitiv</v>
    <v>35</v>
    <v>36</v>
    <v>CLINICA BAVIERA S.A (BMEX:CBAV)</v>
    <v>3</v>
    <v>37</v>
    <v>Finance</v>
    <v>13</v>
    <v>BMEX</v>
    <v>16307580</v>
    <v>56.6</v>
    <v>0.76829999999999998</v>
    <v>-1.2</v>
    <v>-2.1277000000000001E-2</v>
    <v>844732700</v>
    <v>56.4</v>
    <v>Clínica Baviera SA es una empresa con sede en España dedicada al sector sanitario. La Compañía se centra en la prestación de servicios dentro del campo de la medicina oftálmica. La Compañía está especializada en el diagnóstico y tratamiento de trastornos oculares, incluyendo miopía, hipermetropía, astigmatismo, cataratas, etc. glaucoma, retina vítrea y estrabismo, entre otros. La Compañía opera una red de clínicas ubicadas en varios países europeos, como España, Alemania, Austria e Italia. La Compañía es una matriz del Grupo Baviera, un grupo que comprende varias entidades controladas, entre ellas Clinica Baviera Italia Srl, Clinica Baviera Mallorca SL, Care Visión Germany GmbH y Castellana de INTERMEDIACION Sanitaria SL, entre otras.</v>
    <v>1910</v>
    <v>BMEX</v>
    <v>46161.666666666664</v>
    <v>Bolsas y Mercados Espanoles</v>
    <v>101</v>
    <v>56.6</v>
    <v>58</v>
    <v>55</v>
    <v>37.700000000000003</v>
    <v>EUR</v>
    <v>CLINICA BAVIERA S.A</v>
    <v>CLINICA BAVIERA S.A</v>
    <v>21.489000000000001</v>
    <v>55.2</v>
    <v>Healthcare Providers &amp; Services</v>
    <v>Paseo de la Castellana 20, MADRID, MADRID, 28046 ES</v>
    <v>CBAV</v>
    <v>Acciones</v>
    <v>CLINICA BAVIERA S.A (BMEX:CBAV)</v>
    <v>1908</v>
    <v>2230</v>
  </rv>
  <rv s="2">
    <v>102</v>
  </rv>
  <rv s="0">
    <v>https://www.bing.com/financeapi/forcetrigger?t=a1yv52&amp;q=XNAS%3aNVDA&amp;form=skydnc</v>
    <v>Learn more on Bing</v>
  </rv>
  <rv s="1">
    <v>es-ES</v>
    <v>a1yv52</v>
    <v>268435456</v>
    <v>1</v>
    <v>Con tecnología de Refinitiv</v>
    <v>0</v>
    <v>1</v>
    <v>NVIDIA CORPORATION (XNAS:NVDA)</v>
    <v>3</v>
    <v>4</v>
    <v>Finance</v>
    <v>5</v>
    <v>XNAS</v>
    <v>24220530000</v>
    <v>1998</v>
    <v>219.8</v>
    <v>2.2479</v>
    <v>-0.4199</v>
    <v>-1.8890000000000001E-3</v>
    <v>5374538029053</v>
    <v>222.32</v>
    <v>NVIDIA Corporation es una empresa de infraestructura de computación completa. La Compañía se dedica a la computación acelerada para ayudar a resolver los problemas computacionales desafiantes. Los segmentos de la Compañía incluyen Compute &amp; Networking y Gráficos. El segmento Compute &amp; Networking incluye sus plataformas de computación acelerada de centros de datos y soluciones y software de inteligencia artificial (IA); redes; plataformas automotrices y soluciones de vehículos autónomos y eléctricos; Jetson para robótica y otras plataformas integradas, y servicios de computación en la nube DGX. El segmento de gráficos incluye GPU GeForce para juegos y PC, el servicio de streaming de juegos GeForce NOW e infraestructura relacionada, y soluciones para plataformas de juegos; GPU Quadro/NVIDIA RTX para gráficos de estaciones de trabajo empresariales; software de GPU virtual para computación visual y virtual basada en la nube; plataformas automotrices para sistemas de infoentretenimiento y software Omniverse Enterprise para construir y operar aplicaciones industriales de IA y gemelas digitales.</v>
    <v>42000</v>
    <v>XNAS</v>
    <v>46161.797056885938</v>
    <v>Nasdaq Stock Market</v>
    <v>104</v>
    <v>224.48</v>
    <v>236.54</v>
    <v>217.91</v>
    <v>129.16</v>
    <v>USD</v>
    <v>NVIDIA CORPORATION</v>
    <v>NVIDIA CORPORATION</v>
    <v>45.269100000000002</v>
    <v>221.90010000000001</v>
    <v>Semiconductors &amp; Semiconductor Equipment</v>
    <v>2788 San Tomas Expressway, SANTA CLARA, CA, 95051 US</v>
    <v>NVDA</v>
    <v>Acciones</v>
    <v>NVIDIA CORPORATION (XNAS:NVDA)</v>
    <v>95278561</v>
    <v>154349134</v>
  </rv>
  <rv s="2">
    <v>105</v>
  </rv>
  <rv s="0">
    <v>https://www.bing.com/financeapi/forcetrigger?t=alwkk2&amp;q=XLIS%3aCOR&amp;form=skydnc</v>
    <v>Learn more on Bing</v>
  </rv>
  <rv s="1">
    <v>es-ES</v>
    <v>alwkk2</v>
    <v>268435456</v>
    <v>1</v>
    <v>Con tecnología de Refinitiv</v>
    <v>0</v>
    <v>1</v>
    <v>Corticeira Amori (XLIS:COR)</v>
    <v>3</v>
    <v>12</v>
    <v>Finance</v>
    <v>13</v>
    <v>XLIS</v>
    <v>133000000</v>
    <v>1963</v>
    <v>6.96</v>
    <v>0.44379999999999997</v>
    <v>-0.03</v>
    <v>-4.3230000000000005E-3</v>
    <v>911050000</v>
    <v>6.94</v>
    <v>Corticeira Amorim SGPS SA (Corticeira Amorim) is a Portugal-based holding company engaged in the cork industry. The Company organizes its activities into five business divisions: Raw Materials, Cork Stoppers, Coverings, Cork Composites and Isolations. In the Raw Materials division, the Company is active in the purchase, storage and initial preparation of cork. The Cork Stoppers division produces and supplies various types of bottle caps, mainly for the wine industry. The Coverings division is active in the production of cork-based laminates. The Cork Composites and the Isolations units produce thermal, acoustic and anti-vibration insulation products, among others. The Company and its subsidiaries operate in Portugal, Spain, Tunisia, the United States, Australia, Germany, China, Italy, Argentina, France and Netherlands, among others. The Company is a subsidiary of Amorim Capital SGPS SA.</v>
    <v>4637</v>
    <v>XLIS</v>
    <v>46161.666666666664</v>
    <v>Euronext Lisbon</v>
    <v>107</v>
    <v>7.05</v>
    <v>8.52</v>
    <v>6.89</v>
    <v>6.04</v>
    <v>EUR</v>
    <v>Corticeira Amori</v>
    <v>Corticeira Amori</v>
    <v>16.539000000000001</v>
    <v>6.91</v>
    <v>Paper &amp; Forest Products</v>
    <v>Rua Comendador Americo Ferreira Amorim, N 380, Apartado 20, Mozelos, AVEIRO, 4536-902 PT</v>
    <v>COR</v>
    <v>Acciones</v>
    <v>Corticeira Amori (XLIS:COR)</v>
    <v>434691</v>
    <v>246970</v>
  </rv>
  <rv s="2">
    <v>108</v>
  </rv>
  <rv s="0">
    <v>https://www.bing.com/financeapi/forcetrigger?t=a24kjc&amp;q=XNYS%3aTSM&amp;form=skydnc</v>
    <v>Learn more on Bing</v>
  </rv>
  <rv s="1">
    <v>es-ES</v>
    <v>a24kjc</v>
    <v>268435456</v>
    <v>1</v>
    <v>Con tecnología de Refinitiv</v>
    <v>0</v>
    <v>1</v>
    <v>Taiwan Semiconductor Manufacturing Company Limited (XNYS:TSM)</v>
    <v>3</v>
    <v>4</v>
    <v>Finance</v>
    <v>5</v>
    <v>XNYS</v>
    <v>5186505000</v>
    <v>1987</v>
    <v>389.18</v>
    <v>1.3940999999999999</v>
    <v>-1.59</v>
    <v>-4.0160000000000005E-3</v>
    <v>2045350111800</v>
    <v>395.95</v>
    <v>Taiwan Semiconductor Manufacturing Co Ltd es una empresa con sede en Taiwán dedicada principalmente a la prestación de servicios de fabricación de circuitos integrados. Los servicios integrados de fabricación de circuitos incluyen tecnología de proceso, tecnología de proceso especial, soporte del ecosistema de diseño, tecnología de máscara, embalaje avanzado 3DFabricTM y servicios de tecnología de apilamiento de silicio. La compañía ha completado la transferencia y la producción en masa de la tecnología 5nm, y se dedica a la investigación y desarrollo de la tecnología de proceso 3nm y la tecnología de proceso 2nm. La gama de aplicaciones de productos cubre toda la industria de aplicaciones electrónicas, incluyendo computadoras personales y productos periféricos, productos de aplicaciones de información, productos de sistemas de comunicación cableados e inalámbricos, servidores y centros de datos.</v>
    <v>52045</v>
    <v>XNYS</v>
    <v>46161.797093564062</v>
    <v>New York Stock Exchange</v>
    <v>110</v>
    <v>398.875</v>
    <v>421.97</v>
    <v>385.07499999999999</v>
    <v>188.8107</v>
    <v>USD</v>
    <v>Taiwan Semiconductor Manufacturing Company Limited</v>
    <v>Taiwan Semiconductor Manufacturing Company Limited</v>
    <v>33.366300000000003</v>
    <v>394.36</v>
    <v>Semiconductors &amp; Semiconductor Equipment</v>
    <v>No.8, Li-Hsin 6th Road, Hsinchu Science Park, HSINCHU, HSINCHU, 300 TW</v>
    <v>TSM</v>
    <v>Acciones</v>
    <v>Taiwan Semiconductor Manufacturing Company Limited (XNYS:TSM)</v>
    <v>10550429</v>
    <v>14850305</v>
  </rv>
  <rv s="2">
    <v>111</v>
  </rv>
  <rv s="0">
    <v>https://www.bing.com/financeapi/forcetrigger?t=azgv7w&amp;q=XNYS%3aSPOT&amp;form=skydnc</v>
    <v>Learn more on Bing</v>
  </rv>
  <rv s="1">
    <v>es-ES</v>
    <v>azgv7w</v>
    <v>268435456</v>
    <v>1</v>
    <v>Con tecnología de Refinitiv</v>
    <v>0</v>
    <v>1</v>
    <v>Spotify Technology SA (XNYS:SPOT)</v>
    <v>3</v>
    <v>4</v>
    <v>Finance</v>
    <v>5</v>
    <v>XNYS</v>
    <v>209741300</v>
    <v>2007</v>
    <v>443.26499999999999</v>
    <v>1.5451999999999999</v>
    <v>-6.77</v>
    <v>-1.5213000000000001E-2</v>
    <v>91917027312</v>
    <v>445.01</v>
    <v>Spotify Technology SA es una empresa con sede en Luxemburgo que ofrece servicios de música digital en streaming. La Compañía permite a los usuarios descubrir nuevos lanzamientos, que incluyen los últimos singles y álbumes; listas de reproducción, que incluye listas de reproducción preparadas por fanáticos de la música y expertos, y más de millones de canciones para que los usuarios puedan reproducir sus favoritos, descubrir nuevas pistas y construir una colección personalizada. Sus usuarios pueden seleccionar Spotify Free, que incluye solo reproducción aleatoria o Spotify Premium, que abarca una gama de características, como reproducción aleatoria, publicidad gratuita, saltos ilimitados, escuchar sin conexión, reproducir cualquier pista y audio. La Compañía opera a través de una serie de subsidiarias, incluyendo Spotify LTD y está presente en más de 20 países. Su servicio ofrece una experiencia de escucha de música sin pausas comerciales.</v>
    <v>7287</v>
    <v>XNYS</v>
    <v>46161.797047534375</v>
    <v>New York Stock Exchange</v>
    <v>113</v>
    <v>449.51</v>
    <v>785</v>
    <v>435.04</v>
    <v>405</v>
    <v>USD</v>
    <v>Spotify Technology SA</v>
    <v>Spotify Technology SA</v>
    <v>29.5946</v>
    <v>438.24</v>
    <v>Software &amp; IT Services</v>
    <v>33, Boulevard Prince Henri, LUXEMBOURG, 1724 LU</v>
    <v>SPOT</v>
    <v>Acciones</v>
    <v>Spotify Technology SA (XNYS:SPOT)</v>
    <v>1176134</v>
    <v>2266558</v>
  </rv>
  <rv s="2">
    <v>114</v>
  </rv>
  <rv s="0">
    <v>https://www.bing.com/financeapi/forcetrigger?t=ajg6ec&amp;q=XMIL%3aPRY&amp;form=skydnc</v>
    <v>Learn more on Bing</v>
  </rv>
  <rv s="10">
    <v>es-ES</v>
    <v>ajg6ec</v>
    <v>268435456</v>
    <v>1</v>
    <v>Con tecnología de Refinitiv</v>
    <v>35</v>
    <v>36</v>
    <v>Prysmian SpA (XMIL:PRY)</v>
    <v>3</v>
    <v>37</v>
    <v>Finance</v>
    <v>38</v>
    <v>XMIL</v>
    <v>296403800</v>
    <v>144.4</v>
    <v>0.95860000000000001</v>
    <v>-7.45</v>
    <v>-5.0354999999999997E-2</v>
    <v>25573720000</v>
    <v>147.94999999999999</v>
    <v>PRYSMIAN S.P.A. es una empresa con sede en Italia activa en el desarrollo, diseño, producción, suministro y montaje de cables. Las actividades de negocio de la Empresa se dividen en dos sectores principales: Energía y Telecomunicaciones. El segmento de Energía se divide en cuatro líneas de negocio, que incluyen los Servicios Públicos, que consta de sistemas de transmisión de potencia, transmisión submarina de energía y cables y sistemas para distribución de energía, así como componentes y accesorios; Comercio e Instaladores, ofrece cables de distribución de energía hasta y dentro de edificios; Industrial, que incluye cables para los sectores de energías renovables, automotriz, ascensor y petróleo y gas, y Otros, que está activa en la venta de productos semiacabados, materias primas u otros bienes. El segmento de Telecomunicaciones hace sistemas de cable y productos de conectividad utilizados en las redes de telecomunicaciones, incluyendo fibra óptica, cables ópticos, componentes de conectividad, cables ópticos terrestres y cables de cobre, entre otros.</v>
    <v>33824</v>
    <v>XMIL</v>
    <v>46161.666666666664</v>
    <v>Borsa Italiana</v>
    <v>116</v>
    <v>146.55000000000001</v>
    <v>157.25</v>
    <v>137.30000000000001</v>
    <v>53.04</v>
    <v>EUR</v>
    <v>Prysmian SpA</v>
    <v>Prysmian SpA</v>
    <v>29.597000000000001</v>
    <v>140.5</v>
    <v>Machinery, Equipment &amp; Components</v>
    <v>Via Chiese 6, MILANO, MILANO, 20126 IT</v>
    <v>PRY</v>
    <v>Acciones</v>
    <v>Prysmian SpA (XMIL:PRY)</v>
    <v>2385988</v>
    <v>1333860</v>
  </rv>
  <rv s="2">
    <v>117</v>
  </rv>
  <rv s="0">
    <v>https://www.bing.com/financeapi/forcetrigger?t=an2bf2&amp;q=XSWX%3aJFN&amp;form=skydnc</v>
    <v>Learn more on Bing</v>
  </rv>
  <rv s="6">
    <v>es-ES</v>
    <v>an2bf2</v>
    <v>268435456</v>
    <v>1</v>
    <v>Con tecnología de Refinitiv</v>
    <v>18</v>
    <v>19</v>
    <v>Jungfraubahn (XSWX:JFN)</v>
    <v>3</v>
    <v>27</v>
    <v>Finance</v>
    <v>28</v>
    <v>XSWX</v>
    <v>5835000</v>
    <v>1952</v>
    <v>249.5</v>
    <v>0.60740000000000005</v>
    <v>3.5</v>
    <v>-3.9450000000000006E-3</v>
    <v>1.3999999999999999E-2</v>
    <v>-1</v>
    <v>1639635000</v>
    <v>250</v>
    <v>Jungfraubahn Holding AG is a Switzerland-based holding company engaged in the operation of excursion railways and winter sports facilities in the Eiger Monch &amp; Jungfrau Region and the marketing of the Jungfraujoch-Top of Europe experience, as well as the trip to the Jungfraujoch. The Company’s destinations include Jungfraujoch-Top of Europe, Kleine Scheidegg, Harder Kulm, Schynige Platte, Grindelwald First and Murren and Winteregg. The Company owns various restaurants and lodges along the railway trails. Jungfraubahn Holding AG's activities are carried out through a number of subsidiaries, including Jungfraubahn AG, Wengernalpbahn AG, Firstbahn AG, Bergbahn Lauterbrunnen-Muerren AG, Harderbahn AG, Parkhaus Lauterbrunnen AG and Jungfraubahnen Management AG, among others.</v>
    <v>757</v>
    <v>XSWX</v>
    <v>46161.679016203707</v>
    <v>SIX Swiss Exchange</v>
    <v>119</v>
    <v>254</v>
    <v>327</v>
    <v>249</v>
    <v>192.2</v>
    <v>CHF</v>
    <v>Jungfraubahn</v>
    <v>Jungfraubahn</v>
    <v>18.639700000000001</v>
    <v>253.5</v>
    <v>252.5</v>
    <v>Hotels &amp; Entertainment Services</v>
    <v>Harderstrasse 14, BERN, 3800 CH</v>
    <v>JFN</v>
    <v>Acciones</v>
    <v>Jungfraubahn (XSWX:JFN)</v>
    <v>5748</v>
    <v>6520</v>
  </rv>
  <rv s="2">
    <v>120</v>
  </rv>
  <rv s="0">
    <v>https://www.bing.com/financeapi/forcetrigger?t=ajejhw&amp;q=XMIL%3aCPR&amp;form=skydnc</v>
    <v>Learn more on Bing</v>
  </rv>
  <rv s="1">
    <v>es-ES</v>
    <v>ajejhw</v>
    <v>268435456</v>
    <v>1</v>
    <v>Con tecnología de Refinitiv</v>
    <v>0</v>
    <v>1</v>
    <v>Davide Campari Milano NV (XMIL:CPR)</v>
    <v>3</v>
    <v>12</v>
    <v>Finance</v>
    <v>38</v>
    <v>XMIL</v>
    <v>1231268000</v>
    <v>2020</v>
    <v>5.44</v>
    <v>0.35199999999999998</v>
    <v>0.11799999999999999</v>
    <v>2.1844000000000002E-2</v>
    <v>6927112000</v>
    <v>5.4020000000000001</v>
    <v>Davide Campari Milano NV, constituida en los Países Bajos, es una empresa activa en la industria de las bebidas espirituosas de marca. Posee una amplia y variada cartera de productos de más de 50 marcas, incluidas Aperol, Appleton Estate, Campari, Grand Marnier, SKYY Vodka y Wild Turkey. Opera a través de cuatro segmentos geográficos: América; Sur de Europa, Medio Oriente y África; Europa del Norte, Central y del Este; Asia-Pacífico. La Compañía es un alcance de distribución global, que opera en más de 190 países de todo el mundo con un enfoque en Europa y las Américas. Cuenta con 21 plantas productivas y red de distribución propia en 20 países.</v>
    <v>4837</v>
    <v>XMIL</v>
    <v>46161.666666666664</v>
    <v>Borsa Italiana</v>
    <v>122</v>
    <v>5.5460000000000003</v>
    <v>6.83</v>
    <v>5.4219999999999997</v>
    <v>5.27</v>
    <v>EUR</v>
    <v>Davide Campari Milano NV</v>
    <v>Davide Campari Milano NV</v>
    <v>19.173300000000001</v>
    <v>5.52</v>
    <v>Beverages</v>
    <v>Via Sacchetti, 20, SESTO SAN GIOVANNI, MILANO, 20099 IT</v>
    <v>CPR</v>
    <v>Acciones</v>
    <v>Davide Campari Milano NV (XMIL:CPR)</v>
    <v>7982874</v>
    <v>14113300</v>
  </rv>
  <rv s="2">
    <v>123</v>
  </rv>
  <rv s="0">
    <v>https://www.bing.com/financeapi/forcetrigger?t=b1lbp2&amp;q=XSWX%3aSIKA&amp;form=skydnc</v>
    <v>Learn more on Bing</v>
  </rv>
  <rv s="6">
    <v>es-ES</v>
    <v>b1lbp2</v>
    <v>268435456</v>
    <v>1</v>
    <v>Con tecnología de Refinitiv</v>
    <v>18</v>
    <v>19</v>
    <v>Sika Ltd (XSWX:SIKA)</v>
    <v>3</v>
    <v>27</v>
    <v>Finance</v>
    <v>28</v>
    <v>XSWX</v>
    <v>160479300</v>
    <v>1971</v>
    <v>139.80000000000001</v>
    <v>1.5988</v>
    <v>0.5</v>
    <v>-3.2140000000000003E-3</v>
    <v>3.5839999999999999E-3</v>
    <v>-0.45</v>
    <v>23927460000</v>
    <v>139.5</v>
    <v>Sika AG es una compañía con base en Suiza activa en la industria química. La Compañía produce productos principalmente para las industrias de automóviles y autopartes, energía renovable y equipos y componentes. Las actividades de la Compañía se dividen en dos áreas de negocio: la División de Construcción ofrece una gama de productos, que incluyen mezclas de hormigón, morteros listos para usar, sistemas de techado, sistemas de impermeabilización, sistemas de pisos y soluciones de protección de acero, entre otros y la División Industria desarrolla soluciones de unión, sellado, amortiguación, acristalamiento y refuerzo, entre otros. Las marcas de la Compañía incluye Sarnafil, Sika, Sikadur, Sikaflex, SikaGrout, SikaPower, SikaHydroPrep, SikaReinforcer, Sika ViscoCrete, Sikaplan y SikaRapid, entre otros. La Compañía tiene una actividad global, con actividades divididas en regiones geográficas, a saber, Europa, Medio Oriente y África (EMEA), América del Norte, América Latina y Asia/ Pacifico. La Compañía opera a través de numerosas filiales.</v>
    <v>33707</v>
    <v>XSWX</v>
    <v>46161.784351851849</v>
    <v>SIX Swiss Exchange</v>
    <v>125</v>
    <v>141.80000000000001</v>
    <v>226.8</v>
    <v>137.9</v>
    <v>120.35</v>
    <v>CHF</v>
    <v>Sika Ltd</v>
    <v>Sika Ltd</v>
    <v>21.538499999999999</v>
    <v>140</v>
    <v>139.55000000000001</v>
    <v>Chemicals</v>
    <v>Zugerstrasse 50, BAAR, ZUG, 6340 CH</v>
    <v>SIKA</v>
    <v>Acciones</v>
    <v>Sika Ltd (XSWX:SIKA)</v>
    <v>531299</v>
    <v>413590</v>
  </rv>
  <rv s="2">
    <v>126</v>
  </rv>
  <rv s="0">
    <v>https://www.bing.com/financeapi/forcetrigger?t=a1pmur&amp;q=XNAS%3aCHKP&amp;form=skydnc</v>
    <v>Learn more on Bing</v>
  </rv>
  <rv s="1">
    <v>es-ES</v>
    <v>a1pmur</v>
    <v>268435456</v>
    <v>1</v>
    <v>Con tecnología de Refinitiv</v>
    <v>0</v>
    <v>1</v>
    <v>CHECK POINT SOFTWARE TECHNOLOGIES LTD. (XNAS:CHKP)</v>
    <v>3</v>
    <v>4</v>
    <v>Finance</v>
    <v>5</v>
    <v>XNAS</v>
    <v>104027800</v>
    <v>1993</v>
    <v>129.19</v>
    <v>0.44429999999999997</v>
    <v>-0.46</v>
    <v>-3.614E-3</v>
    <v>13192805596</v>
    <v>127.28</v>
    <v>Check Point Software Technologies Ltd es una empresa con sede en Israel dedicada principalmente a la industria de la ciberseguridad. La compañía se centra en proporcionar soluciones de seguridad basadas en IA y entregadas en la nube para proteger a las empresas corporativas y los gobiernos de todo el mundo. Su producto clave es Check Point Infinity Architecture, que es una plataforma integral de ciberseguridad. La Plataforma tiene como objetivo defenderse contra los ciberataques de quinta generación en varias redes, endpoints, entornos de nube, cargas de trabajo, Internet de las Cosas (IoT) y dispositivos móviles. Aparte de eso, la Compañía ofrece una gama de productos y servicios diseñados para proteger la infraestructura de TI. Integra tecnologías avanzadas de prevención de amenazas, incluyendo firewall, sistema de prevención de intrusiones (IPS), antivirus, anti-bot y capacidades de sandboxing.</v>
    <v>6825</v>
    <v>XNAS</v>
    <v>46161.796995450779</v>
    <v>Nasdaq Stock Market</v>
    <v>128</v>
    <v>130.07</v>
    <v>233.78</v>
    <v>126.0001</v>
    <v>112.23</v>
    <v>USD</v>
    <v>CHECK POINT SOFTWARE TECHNOLOGIES LTD.</v>
    <v>CHECK POINT SOFTWARE TECHNOLOGIES LTD.</v>
    <v>13.039</v>
    <v>126.82</v>
    <v>Software &amp; IT Services</v>
    <v>5 Shlomo Kaplan Street, 6789159 IL</v>
    <v>CHKP</v>
    <v>Acciones</v>
    <v>CHECK POINT SOFTWARE TECHNOLOGIES LTD. (XNAS:CHKP)</v>
    <v>896256</v>
    <v>1971899</v>
  </rv>
  <rv s="2">
    <v>129</v>
  </rv>
  <rv s="0">
    <v>https://www.bing.com/financeapi/forcetrigger?t=ajgoa2&amp;q=XMIL%3aTGYM&amp;form=skydnc</v>
    <v>Learn more on Bing</v>
  </rv>
  <rv s="10">
    <v>es-ES</v>
    <v>ajgoa2</v>
    <v>268435456</v>
    <v>1</v>
    <v>Con tecnología de Refinitiv</v>
    <v>35</v>
    <v>36</v>
    <v>Technogym SpA (XMIL:TGYM)</v>
    <v>3</v>
    <v>37</v>
    <v>Finance</v>
    <v>38</v>
    <v>XMIL</v>
    <v>201327500</v>
    <v>20.58</v>
    <v>0.88360000000000005</v>
    <v>0.18</v>
    <v>8.7799999999999996E-3</v>
    <v>3480952000</v>
    <v>20.5</v>
    <v>Technogym SpA es una empresa con sede en Italia que se dedica a la industria de productos recreativos. La Empresa fabrica equipos fitness. Diseña y fabrica equipos fitness para particulares, empresas, centros de fitness, hoteles y spas, y centros médicos. La oferta de productos de la Empresa incluye cintas de correr, bicicletas estáticas, entrenadores de cross, entrenamiento en circuito, equipos para ejercicios de core, accesorios de fitness, bancos de gimnasio, kinesis, equipos para ejercicios de piernas, multigimnasios, equipos de carga de placas, software y hardware, steppers, máquinas de estiramiento, equipos para la parte superior del cuerpo y pesas, mancuernas y barras para entrenamiento cardiovascular, fitness en grupo, entrenamiento de resistencia y funcional, y entrenamiento de fuerza, entre otros.</v>
    <v>2639</v>
    <v>XMIL</v>
    <v>46161.666666666664</v>
    <v>Borsa Italiana</v>
    <v>131</v>
    <v>20.96</v>
    <v>21.82</v>
    <v>20.56</v>
    <v>11.24</v>
    <v>EUR</v>
    <v>Technogym SpA</v>
    <v>Technogym SpA</v>
    <v>36.034199999999998</v>
    <v>20.68</v>
    <v>Leisure Products</v>
    <v>Via Calcinaro, 2861, CESENA, FORLI-CESENA, 47521 IT</v>
    <v>TGYM</v>
    <v>Acciones</v>
    <v>Technogym SpA (XMIL:TGYM)</v>
    <v>137236</v>
    <v>243070</v>
  </rv>
  <rv s="2">
    <v>132</v>
  </rv>
  <rv s="0">
    <v>https://www.bing.com/financeapi/forcetrigger?t=amg4gh&amp;q=BMEX%3aVID&amp;form=skydnc</v>
    <v>Learn more on Bing</v>
  </rv>
  <rv s="10">
    <v>es-ES</v>
    <v>amg4gh</v>
    <v>268435456</v>
    <v>1</v>
    <v>Con tecnología de Refinitiv</v>
    <v>35</v>
    <v>36</v>
    <v>VIDRALA, S.A. (BMEX:VID)</v>
    <v>3</v>
    <v>37</v>
    <v>Finance</v>
    <v>13</v>
    <v>BMEX</v>
    <v>35206260</v>
    <v>74.400000000000006</v>
    <v>0.96199999999999997</v>
    <v>0.9</v>
    <v>1.2081E-2</v>
    <v>3207290000</v>
    <v>74.5</v>
    <v>VIDRALA, S.A. es una empresa española dedicada principalmente a la industria del vidrio. La empresa opera a través de dos segmentos: España y la Unión Europea. Las actividades de la empresa incluyen la producción, distribución y venta de botellas y envases de vidrio en las industrias de alimentos y bebidas. La empresa realiza sus propias operaciones de investigación y desarrollo (I+D). Opera plantas de producción y hornos de fusión situados en países como Portugal, Francia, Bélgica e Italia. La empresa posee las siguientes subsidiarias: Crisnova Vidrio, S. A., Inverbeira Sociedad de Promoción de Empresas, S. A., Gallo Vidro, S. A., Castellar Vidrio, S. A., Corsico Vetro SRL, MD Verre, S. A., Omega Immobiliere et Financiere, S. A., Investverre, S. A. y CD Verre, S. A.</v>
    <v>4771</v>
    <v>BMEX</v>
    <v>46161.666666666664</v>
    <v>Bolsas y Mercados Espanoles</v>
    <v>134</v>
    <v>76</v>
    <v>95.81</v>
    <v>74.400000000000006</v>
    <v>70.400000000000006</v>
    <v>EUR</v>
    <v>VIDRALA, S.A.</v>
    <v>VIDRALA, S.A.</v>
    <v>12.3126</v>
    <v>75.400000000000006</v>
    <v>Containers &amp; Packaging</v>
    <v>Barrio Munegazo, 22, LLODIO, ALAVA, 01400 ES</v>
    <v>VID</v>
    <v>Acciones</v>
    <v>VIDRALA, S.A. (BMEX:VID)</v>
    <v>43051</v>
    <v>36850</v>
  </rv>
  <rv s="2">
    <v>135</v>
  </rv>
  <rv s="0">
    <v>https://www.bing.com/financeapi/forcetrigger?t=c276a2&amp;q=XTSE%3aTFPM&amp;form=skydnc</v>
    <v>Learn more on Bing</v>
  </rv>
  <rv s="1">
    <v>es-ES</v>
    <v>c276a2</v>
    <v>268435456</v>
    <v>1</v>
    <v>Con tecnología de Refinitiv</v>
    <v>0</v>
    <v>1</v>
    <v>Triple Flag Prec (XTSE:TFPM)</v>
    <v>3</v>
    <v>39</v>
    <v>Finance</v>
    <v>40</v>
    <v>XTSE</v>
    <v>206603900</v>
    <v>2019</v>
    <v>43.56</v>
    <v>0.29659999999999997</v>
    <v>-1.36</v>
    <v>-3.0922999999999999E-2</v>
    <v>8805458218</v>
    <v>43.98</v>
    <v>Triple Flag Precious Metals Corp. is a precious metal streaming and royalty company. It offers investors exposure to gold and silver from a total of 237 assets, consisting of 17 streams and 220 royalties, primarily from the Americas and Australia. These streams and royalties are tied to mining assets at various stages of the mine life cycle, including about 30 producing mines and 207 development and exploration stage projects. It has a diversified portfolio of properties in Australia, Canada, Colombia, Cote d’Ivoire, Mexico, Mongolia, Peru, South Africa and the United States. Its diversified portfolio of streams and royalties provides exposure to production from a suite of long-life mining assets, including the Northparkes copper-gold mine in Australia (Evolution Mining), the Cerro Lindo polymetallic mine in Peru (Nexa), the Fosterville gold mine in Australia (Agnico Eagle), the Buritica gold mine in Colombia (Zijin) and the Impala Bafokeng Operations in South Africa (Implats).</v>
    <v>19</v>
    <v>XTSE</v>
    <v>46161.785868055558</v>
    <v>Toronto Stock Exchange</v>
    <v>137</v>
    <v>43.56</v>
    <v>57.26</v>
    <v>42.24</v>
    <v>28.29</v>
    <v>CAD</v>
    <v>Triple Flag Prec</v>
    <v>Triple Flag Prec</v>
    <v>20.253</v>
    <v>42.62</v>
    <v>Metals &amp; Mining</v>
    <v>TD Canada Trust Tower, 161 Bay Street, Suite 4535, Toronto, ON, M5J 2S1 CA</v>
    <v>TFPM</v>
    <v>Acciones</v>
    <v>Triple Flag Prec (XTSE:TFPM)</v>
    <v>140825</v>
    <v>219890</v>
  </rv>
  <rv s="2">
    <v>138</v>
  </rv>
  <rv s="0">
    <v>https://www.bing.com/financeapi/forcetrigger?t=a1ygoc&amp;q=XNAS%3aNFLX&amp;form=skydnc</v>
    <v>Learn more on Bing</v>
  </rv>
  <rv s="1">
    <v>es-ES</v>
    <v>a1ygoc</v>
    <v>268435456</v>
    <v>1</v>
    <v>Con tecnología de Refinitiv</v>
    <v>0</v>
    <v>1</v>
    <v>NETFLIX, INC. (XNAS:NFLX)</v>
    <v>3</v>
    <v>4</v>
    <v>Finance</v>
    <v>5</v>
    <v>XNAS</v>
    <v>4210798000</v>
    <v>1997</v>
    <v>90</v>
    <v>1.5348999999999999</v>
    <v>-0.68</v>
    <v>-7.5849999999999997E-3</v>
    <v>374634698060</v>
    <v>89.65</v>
    <v>Netflix, Inc. Es un proveedor de servicios de entretenimiento. La Compañía adquiere, concede licencias y produce contenido, incluida la programación original. Ofrece membresías pagadas en más de 190 países que ofrecen series de televisión (TV), películas y juegos en una variedad de géneros e idiomas. Permite a los miembros jugar, pausar y reanudar la mirada tanto como quieran, en cualquier momento y en cualquier lugar, y puede cambiar sus planes en cualquier momento. La Compañía ofrece a los miembros la posibilidad de recibir contenido en streaming a través de una serie de dispositivos conectados a Internet, incluidos televisores, reproductores de video digital, decodificadores de TV y dispositivos móviles. Se dedica a escalar su servicio de streaming, como la introducción de juegos y publicidad en su servicio, así como ofrecer programación en vivo. Está desarrollando tecnología y utilizando computación en la nube de terceros, tecnología y otros servicios. La Compañía también se dedica a escalar sus propias operaciones de estudio para producir contenido original.</v>
    <v>16000</v>
    <v>XNAS</v>
    <v>46161.797084096877</v>
    <v>Nasdaq Stock Market</v>
    <v>140</v>
    <v>91.46</v>
    <v>134.11500000000001</v>
    <v>88.69</v>
    <v>75.010000000000005</v>
    <v>USD</v>
    <v>NETFLIX, INC.</v>
    <v>NETFLIX, INC.</v>
    <v>28.749199999999998</v>
    <v>88.97</v>
    <v>Software &amp; IT Services</v>
    <v>121 Albright Way, LOS GATOS, CA, 95032 US</v>
    <v>NFLX</v>
    <v>Acciones</v>
    <v>NETFLIX, INC. (XNAS:NFLX)</v>
    <v>24510832</v>
    <v>42301164</v>
  </rv>
  <rv s="2">
    <v>141</v>
  </rv>
  <rv s="0">
    <v>https://www.bing.com/financeapi/forcetrigger?t=a1yjxm&amp;q=XNYS%3aNKE&amp;form=skydnc</v>
    <v>Learn more on Bing</v>
  </rv>
  <rv s="1">
    <v>es-ES</v>
    <v>a1yjxm</v>
    <v>268435456</v>
    <v>1</v>
    <v>Con tecnología de Refinitiv</v>
    <v>0</v>
    <v>1</v>
    <v>NIKE, INC. (XNYS:NKE)</v>
    <v>3</v>
    <v>4</v>
    <v>Finance</v>
    <v>5</v>
    <v>XNYS</v>
    <v>1480887000</v>
    <v>1969</v>
    <v>42.56</v>
    <v>1.1189</v>
    <v>-0.29210000000000003</v>
    <v>-6.862E-3</v>
    <v>62608792497</v>
    <v>42.57</v>
    <v>NIKE, Inc. Se dedica al diseño, comercialización y distribución de calzado deportivo, ropa, equipos y accesorios y servicios para actividades deportivas y de fitness. Los segmentos operativos de la compañía incluyen América del Norte, Europa, Oriente Medio y África (EMEA), Gran China y Asia Pacífico y América Latina (APLA). Vende una línea de equipos y accesorios bajo la marca NIKE, incluyendo bolsos, calcetines, bolas deportivas, gafas, relojes, dispositivos digitales, murciélagos, guantes, equipos de protección y otros equipos diseñados para actividades deportivas. También diseña productos específicamente para la marca Jordan y Converse. La marca Jordan diseña, distribuye y otorga licencias de calzado deportivo y casual, ropa y accesorios principalmente centrados en el rendimiento y la cultura del baloncesto utilizando la marca Jumpman. La Compañía también diseña, distribuye y otorga licencias de zapatillas de deporte casuales, ropa y accesorios bajo las marcas registradas Chuck Taylor, All Star, One Star, Star Chevron y Jack Purcell.</v>
    <v>77800</v>
    <v>XNYS</v>
    <v>46161.797020335158</v>
    <v>New York Stock Exchange</v>
    <v>143</v>
    <v>43.2</v>
    <v>80.165000000000006</v>
    <v>41.811999999999998</v>
    <v>41.35</v>
    <v>USD</v>
    <v>NIKE, INC.</v>
    <v>NIKE, INC.</v>
    <v>27.8126</v>
    <v>42.277900000000002</v>
    <v>Textiles &amp; Apparel</v>
    <v>One Bowerman Dr, BEAVERTON, OR, 97005-6453 US</v>
    <v>NKE</v>
    <v>Acciones</v>
    <v>NIKE, INC. (XNYS:NKE)</v>
    <v>14536628</v>
    <v>20420731</v>
  </rv>
  <rv s="2">
    <v>144</v>
  </rv>
  <rv s="0">
    <v>https://www.bing.com/financeapi/forcetrigger?t=amwwgh&amp;q=XSTO%3aMIPS&amp;form=skydnc</v>
    <v>Learn more on Bing</v>
  </rv>
  <rv s="11">
    <v>es-ES</v>
    <v>amwwgh</v>
    <v>268435456</v>
    <v>1</v>
    <v>Con tecnología de Refinitiv</v>
    <v>41</v>
    <v>42</v>
    <v>MIPS (XSTO:MIPS)</v>
    <v>3</v>
    <v>43</v>
    <v>Finance</v>
    <v>21</v>
    <v>XSTO</v>
    <v>26491120</v>
    <v>2001</v>
    <v>255.2</v>
    <v>2.0289999999999999</v>
    <v>-3.8</v>
    <v>0</v>
    <v>-1.4914E-2</v>
    <v>0</v>
    <v>8599019000</v>
    <v>254.8</v>
    <v>Mips AB is a Sweden-based company, which specializes in helmet safety and brain protection. The Company offers its MIPS Brain Protection System (BPS) that implies solutions protecting against rotational motion transferred to the brain from angled impacts to the head. BPS is designed to add protection in helmets due to the low friction layer, which enables a relative movement between the head and the helmet, mimicking the brain’s own protection system. The technology implements into bicycle, snow, motorcycle and equestrian helmets. More than 40 helmet brands use BPS, including Bell, Fox Head, Giro, Scott, Smith and Trek, among others. The Company determines only one segment as operations solely comprise sales of the component kit included in consumer products.</v>
    <v>125</v>
    <v>XSTO</v>
    <v>46161.666666666664</v>
    <v>NASDAQ Stockholm</v>
    <v>146</v>
    <v>263</v>
    <v>250.2</v>
    <v>SEK</v>
    <v>MIPS</v>
    <v>MIPS</v>
    <v>51.224499999999999</v>
    <v>251</v>
    <v>251</v>
    <v>Leisure Products</v>
    <v>Kemistvagen 1B, STOCKHOLM, 183 79 SE</v>
    <v>MIPS</v>
    <v>Acciones</v>
    <v>MIPS (XSTO:MIPS)</v>
    <v>112794</v>
    <v>120920</v>
  </rv>
  <rv s="2">
    <v>147</v>
  </rv>
  <rv s="0">
    <v>https://www.bing.com/financeapi/forcetrigger?t=a325ur&amp;q=XNYS%3aFERG&amp;form=skydnc</v>
    <v>Learn more on Bing</v>
  </rv>
  <rv s="1">
    <v>es-ES</v>
    <v>a325ur</v>
    <v>268435456</v>
    <v>1</v>
    <v>Con tecnología de Refinitiv</v>
    <v>0</v>
    <v>1</v>
    <v>FERGUSON ENTERPRISES INC. (XNYS:FERG)</v>
    <v>3</v>
    <v>4</v>
    <v>Finance</v>
    <v>5</v>
    <v>XNYS</v>
    <v>193937800</v>
    <v>2024</v>
    <v>217.36</v>
    <v>1.1721999999999999</v>
    <v>0.94499999999999995</v>
    <v>4.2959999999999995E-3</v>
    <v>42839890331</v>
    <v>219.95</v>
    <v>Ferguson Enterprises Inc. Es un distribuidor de valor agregado que sirve a profesionales especializados en el mercado de la construcción residencial y no residencial de América del Norte. Los segmentos geográficos de la Compañía incluyen Estados Unidos y Canadá. La Compañía ofrece una amplia gama de productos y servicios, tales como plomería, calefacción, ventilación y aire acondicionado (HVAC), electrodomésticos e iluminación para tuberías, válvulas y accesorios (PVF), soluciones de agua y aguas residuales, y más. Se vende a través de una red común de centros de distribución, sucursales, servicio de mostrador y asociados de ventas especializados, consultores de showroom y canales de comercio electrónico. La compañía sirve a diversas industrias, tales como plomería, HVAC, comercial / mecánica, suministro de instalaciones, fuego y fabricación, industrial, constructor, obras de agua. Las marcas de la compañía incluyen Armateck, Durastar, FNW, National Fire Products, Pollardwater, PROFLO, PROSELECT, Raptor, Hardware de firma y Westcraft.</v>
    <v>35000</v>
    <v>XNYS</v>
    <v>46161.797097001559</v>
    <v>New York Stock Exchange</v>
    <v>149</v>
    <v>222.02</v>
    <v>271.64</v>
    <v>214.44</v>
    <v>176.26</v>
    <v>USD</v>
    <v>FERGUSON ENTERPRISES INC.</v>
    <v>FERGUSON ENTERPRISES INC.</v>
    <v>21.737100000000002</v>
    <v>220.89500000000001</v>
    <v>Homebuilding &amp; Construction Supplies</v>
    <v>751 Lakefront Commons, NEWPORT NEWS, VA, 23606 US</v>
    <v>FERG</v>
    <v>Acciones</v>
    <v>FERGUSON ENTERPRISES INC. (XNYS:FERG)</v>
    <v>773955</v>
    <v>1379602</v>
  </rv>
  <rv s="2">
    <v>150</v>
  </rv>
  <rv s="0">
    <v>https://www.bing.com/financeapi/forcetrigger?t=c2kadm&amp;q=XNYS%3aS&amp;form=skydnc</v>
    <v>Learn more on Bing</v>
  </rv>
  <rv s="8">
    <v>es-ES</v>
    <v>c2kadm</v>
    <v>268435456</v>
    <v>1</v>
    <v>Con tecnología de Refinitiv</v>
    <v>29</v>
    <v>30</v>
    <v>SENTINELONE, INC. (XNYS:S)</v>
    <v>3</v>
    <v>31</v>
    <v>Finance</v>
    <v>5</v>
    <v>XNYS</v>
    <v>341482100</v>
    <v>2013</v>
    <v>17.88</v>
    <v>0.81689999999999996</v>
    <v>-0.01</v>
    <v>-5.7010000000000003E-4</v>
    <v>5986181213</v>
    <v>17.54</v>
    <v>SentinelOne, Inc. Es un proveedor de ciberseguridad impulsado por inteligencia artificial (IA). La Plataforma Singularity de la compañía ofrece capacidades autónomas de prevención, detección, respuesta y administración de exposición de amenazas impulsadas por IA en los endpoints, cargas de trabajo en la nube y credenciales de identidad de una organización. La plataforma Singularity de la compañía ingiere, correlaciona y consulta petabytes de datos estructurados y no estructurados de una miríada de fuentes externas e internas dispares en constante expansión en tiempo real. Sus modelos de IA distribuida se ejecutan tanto localmente en cada endpoint y cada carga de trabajo en la nube, así como en su plataforma en la nube. La compañía a través de PingSafe Pte. Ltd. (PingSafe), que es una plataforma de protección de aplicaciones nativa en la nube (CNAPP) para reforzar su paquete de productos de seguridad en la nube. Al agregar CNAPP de PingSafe a su Cloud Workload Security (CWS), proporciona a las empresas una cobertura de seguridad en la nube integral que impulsa la seguridad, la postura mejorada y la protección autónoma.</v>
    <v>2900</v>
    <v>XNYS</v>
    <v>46161.797086087499</v>
    <v>New York Stock Exchange</v>
    <v>152</v>
    <v>18.1191</v>
    <v>21.4</v>
    <v>17.399999999999999</v>
    <v>11.81</v>
    <v>USD</v>
    <v>SENTINELONE, INC.</v>
    <v>SENTINELONE, INC.</v>
    <v>17.53</v>
    <v>Software &amp; IT Services</v>
    <v>444 Castro Street, Suite 400, MOUNTAIN VIEW, CA, 94041 US</v>
    <v>S</v>
    <v>Acciones</v>
    <v>SENTINELONE, INC. (XNYS:S)</v>
    <v>6002993</v>
    <v>6920592</v>
  </rv>
  <rv s="2">
    <v>153</v>
  </rv>
  <rv s="0">
    <v>https://www.bing.com/financeapi/forcetrigger?t=a24grw&amp;q=XNYS%3aTREX&amp;form=skydnc</v>
    <v>Learn more on Bing</v>
  </rv>
  <rv s="1">
    <v>es-ES</v>
    <v>a24grw</v>
    <v>268435456</v>
    <v>1</v>
    <v>Con tecnología de Refinitiv</v>
    <v>0</v>
    <v>1</v>
    <v>TREX COMPANY, INC. (XNYS:TREX)</v>
    <v>3</v>
    <v>4</v>
    <v>Finance</v>
    <v>5</v>
    <v>XNYS</v>
    <v>103898700</v>
    <v>1998</v>
    <v>38.299999999999997</v>
    <v>1.5044999999999999</v>
    <v>-1.61</v>
    <v>-4.2168999999999998E-2</v>
    <v>3799575459</v>
    <v>38.18</v>
    <v>Trex Company, Inc. Es un fabricante de terrazas alternativas de madera y barandillas residenciales y productos y accesorios para vivir al aire libre, comercializados bajo la marca Trex. El segmento de la compañía es Trex Residential. Sus categorías de productos incluyen cubiertas y accesorios, barandillas y cercas. Sus productos de terrazas están hechos en un proceso patentado que combina fibras de madera recuperadas y película de polietileno reciclado. Sus cubiertas y accesorios incluyen cubiertas Trex Signature, cubiertas Trex Transcend Lineage, cubiertas Trex Transcend, cubiertas Trex Select, cubiertas Trex Enhance, colección de sujetadores Trex Hideaway y sistema de iluminación exterior Trex DeckLighting. Su producto de decking Trex Transcend también se puede utilizar como revestimiento. Sus productos de barandilla incluyen barandilla Trex Signature X-Series, barandilla de aluminio Trex Signature, barandilla Trex Transcend, barandilla Trex Select, carril T Trex Select y barandilla Trex Enhance. Su producto compuesto de esgrima Trex Seclusions se ofrece a través de dos distribuidores especializados.</v>
    <v>1839</v>
    <v>XNYS</v>
    <v>46161.797109235937</v>
    <v>New York Stock Exchange</v>
    <v>155</v>
    <v>38.299999999999997</v>
    <v>68.78</v>
    <v>36.130000000000003</v>
    <v>29.77</v>
    <v>USD</v>
    <v>TREX COMPANY, INC.</v>
    <v>TREX COMPANY, INC.</v>
    <v>20.344899999999999</v>
    <v>36.57</v>
    <v>Homebuilding &amp; Construction Supplies</v>
    <v>2500 TREX WAY, WINCHESTER, VA, 22601 US</v>
    <v>TREX</v>
    <v>Acciones</v>
    <v>TREX COMPANY, INC. (XNYS:TREX)</v>
    <v>1697028</v>
    <v>2080645</v>
  </rv>
  <rv s="2">
    <v>156</v>
  </rv>
  <rv s="0">
    <v>https://www.bing.com/financeapi/forcetrigger?t=aea12w&amp;q=XPAR%3aSGO&amp;form=skydnc</v>
    <v>Learn more on Bing</v>
  </rv>
  <rv s="1">
    <v>es-ES</v>
    <v>aea12w</v>
    <v>268435456</v>
    <v>1</v>
    <v>Con tecnología de Refinitiv</v>
    <v>0</v>
    <v>1</v>
    <v>Compagnie de Saint Gobain SA (XPAR:SGO)</v>
    <v>3</v>
    <v>12</v>
    <v>Finance</v>
    <v>13</v>
    <v>XPAR</v>
    <v>494825300</v>
    <v>1981</v>
    <v>74.86</v>
    <v>1.4187000000000001</v>
    <v>-1.74</v>
    <v>-2.3274E-2</v>
    <v>41397000000</v>
    <v>74.760000000000005</v>
    <v>Compagnie de Saint Gobain SA es un grupo con sede en Francia especializado en el diseño, fabricación, distribución de materiales para la construcción, la movilidad, la salud y soluciones industriales con el objetivo de mejorar el bienestar de la vida en todo el mundo. El Grupo, a través de sus filiales, opera a través de tres sectores: Distribución de Edificios (BD), Productos de Construcción (CP) y Materiales (IM). El sector BD cubre las actividades de distribución de la Compañía a los proveedores. El sector CP ofrece tanto soluciones interiores (aislantes y yeso) como soluciones exteriores (morteros industriales, tuberías y productos exteriores). El sector IM proporciona vidrio plano y materiales de alto rendimiento. Sus soluciones abarcan desde ventanas autolimpiables y vidrio fotovoltaico hasta sistemas de aislamiento inteligentes, sistemas de suministro de agua con muchas aplicaciones industriales.</v>
    <v>161688</v>
    <v>XPAR</v>
    <v>46161.666666666664</v>
    <v>Euronext Paris</v>
    <v>158</v>
    <v>75.959999999999994</v>
    <v>104.65</v>
    <v>72.88</v>
    <v>65.88</v>
    <v>EUR</v>
    <v>Compagnie de Saint Gobain SA</v>
    <v>Compagnie de Saint Gobain SA</v>
    <v>12.520799999999999</v>
    <v>73.02</v>
    <v>Homebuilding &amp; Construction Supplies</v>
    <v>Tour Saint-Gobain, 12 place de l'Iris, La Defense Cedex, 92096 FR</v>
    <v>SGO</v>
    <v>Acciones</v>
    <v>Compagnie de Saint Gobain SA (XPAR:SGO)</v>
    <v>1184463</v>
    <v>1191970</v>
  </rv>
  <rv s="2">
    <v>159</v>
  </rv>
  <rv s="0">
    <v>https://www.bing.com/financeapi/forcetrigger?t=aea7cw&amp;q=XPAR%3aTFF&amp;form=skydnc</v>
    <v>Learn more on Bing</v>
  </rv>
  <rv s="1">
    <v>es-ES</v>
    <v>aea7cw</v>
    <v>268435456</v>
    <v>1</v>
    <v>Con tecnología de Refinitiv</v>
    <v>0</v>
    <v>1</v>
    <v>Tonnellerie FF (XPAR:TFF)</v>
    <v>3</v>
    <v>12</v>
    <v>Finance</v>
    <v>13</v>
    <v>XPAR</v>
    <v>21680000</v>
    <v>1956</v>
    <v>16.8</v>
    <v>0.56930000000000003</v>
    <v>0</v>
    <v>0</v>
    <v>379400000</v>
    <v>17</v>
    <v>Tonnellerie Francois Freres SA, formerly Tonnellerie Francois Freres SA, is a France-based company that manufactures and distributes oak barrels that are used to conserve and transport liquids. The Company has four core businesses: stave milling, cooperage, cask manufacturing and oak wine-aging products. Tonnellerie Francois Freres SA also offers oak products for oenology, where the wine is put in contact with wood in varied forms and has developed products for the alcohol maturing and aging market, especially the whisky market. The Company offers four brands of barrels: Exclusif, Privilege, Classique and Horizon. The Company operated through its subsidiaries, including Sogibois, Bouyoud, Treuil, Francois Inc, Classic Oak New Zealand, Demptos Napa, among others. The Company has operating units in France, the United States, Spain, Hungary, South Africa, China, New Zealand, Australia and Ireland.</v>
    <v>1613</v>
    <v>XPAR</v>
    <v>46161.666666666664</v>
    <v>Euronext Paris</v>
    <v>161</v>
    <v>17</v>
    <v>25.3</v>
    <v>16.739999999999998</v>
    <v>14.65</v>
    <v>EUR</v>
    <v>Tonnellerie FF</v>
    <v>Tonnellerie FF</v>
    <v>15.7349</v>
    <v>17</v>
    <v>Containers &amp; Packaging</v>
    <v>Route departementale 17, Saint-Romain, SAINT-ROMAIN-AU-MONT-D OR, AUVERGNE-RHONE-ALPES, 21190 FR</v>
    <v>TFF</v>
    <v>Acciones</v>
    <v>Tonnellerie FF (XPAR:TFF)</v>
    <v>645</v>
    <v>3360</v>
  </rv>
  <rv s="2">
    <v>162</v>
  </rv>
  <rv s="0">
    <v>https://www.bing.com/financeapi/forcetrigger?t=a1pghw&amp;q=XNAS%3aCELH&amp;form=skydnc</v>
    <v>Learn more on Bing</v>
  </rv>
  <rv s="1">
    <v>es-ES</v>
    <v>a1pghw</v>
    <v>268435456</v>
    <v>1</v>
    <v>Con tecnología de Refinitiv</v>
    <v>0</v>
    <v>1</v>
    <v>CELSIUS HOLDINGS, INC. (XNAS:CELH)</v>
    <v>3</v>
    <v>4</v>
    <v>Finance</v>
    <v>5</v>
    <v>XNAS</v>
    <v>255640400</v>
    <v>2005</v>
    <v>29.7</v>
    <v>0.91720000000000002</v>
    <v>0.01</v>
    <v>3.4090000000000005E-4</v>
    <v>7500489336</v>
    <v>29.33</v>
    <v>Celsius Holdings, Inc. Se dedica al desarrollo, procesamiento, comercialización, venta y distribución de bebidas energéticas funcionales a una amplia gama de consumidores. El activo insignia de la Compañía, CELSIUS, se comercializa como un estilo de vida y bebida energética. Esta línea de productos viene en dos versiones: Una forma lista para beber y una forma de polvo en movimiento. También ofrece una nueva línea CELSIUS Essentials, disponible en latas de 16 onzas y una línea de hidratación de polvos con cero azúcar que se infunden con electrolitos y están disponibles en una variedad de sabores frutales. Los productos Celsius se ofrecen en canales minoristas a través de los Estados Unidos, incluyendo comestibles convencionales, naturales, conveniencia, fitness, etc. mercado masivo, especialidad de vitaminas y plataformas de comercio electrónico. Sus productos también se ofrecen en mercados seleccionados de Europa, Oriente Medio y la región de Asia-Pacífico. La formulación de su producto incluye ingredientes y suplementos como el té verde (EGCG), jengibre (de la raíz), calcio, cromo, vitaminas B y vitamina C.</v>
    <v>1497</v>
    <v>XNAS</v>
    <v>46161.797115474219</v>
    <v>Nasdaq Stock Market</v>
    <v>164</v>
    <v>30.139900000000001</v>
    <v>66.739999999999995</v>
    <v>29.27</v>
    <v>27.66</v>
    <v>USD</v>
    <v>CELSIUS HOLDINGS, INC.</v>
    <v>CELSIUS HOLDINGS, INC.</v>
    <v>69.840500000000006</v>
    <v>29.34</v>
    <v>Beverages</v>
    <v>2424 N. Federal Hwy, Suite 208, BOCA RATON, FL, 33431 US</v>
    <v>CELH</v>
    <v>Acciones</v>
    <v>CELSIUS HOLDINGS, INC. (XNAS:CELH)</v>
    <v>3235798</v>
    <v>9802690</v>
  </rv>
  <rv s="2">
    <v>165</v>
  </rv>
  <rv s="0">
    <v>https://www.bing.com/financeapi/forcetrigger?t=alo1ar&amp;q=XAMS%3aBFIT&amp;form=skydnc</v>
    <v>Learn more on Bing</v>
  </rv>
  <rv s="1">
    <v>es-ES</v>
    <v>alo1ar</v>
    <v>268435456</v>
    <v>1</v>
    <v>Con tecnología de Refinitiv</v>
    <v>0</v>
    <v>1</v>
    <v>Basic-Fit NV (XAMS:BFIT)</v>
    <v>3</v>
    <v>12</v>
    <v>Finance</v>
    <v>13</v>
    <v>XAMS</v>
    <v>66000000</v>
    <v>2016</v>
    <v>29.86</v>
    <v>0.81540000000000001</v>
    <v>0.08</v>
    <v>2.6939999999999998E-3</v>
    <v>1974720000</v>
    <v>29.7</v>
    <v>Basic-Fit N.V. es una compañía con sede en Holanda que es propietario de una red de gimnasios en la industria del fitness. La compañía ofrece una variedad de opciones de membresía, adaptadas a las necesidades individuales. Basic-Fit desarrolló una aplicación de fitness que ofrece consejos de nutrición, lecciones grupales virtuales y programas de entrenamiento para diversas necesidades o poblaciones. La aplicación ofrece seguimiento de los servicios de progreso de la capacitación.</v>
    <v>9432</v>
    <v>XAMS</v>
    <v>46161.666666666664</v>
    <v>Euronext Amsterdam</v>
    <v>167</v>
    <v>30.2</v>
    <v>34.76</v>
    <v>29.44</v>
    <v>20.94</v>
    <v>EUR</v>
    <v>Basic-Fit NV</v>
    <v>Basic-Fit NV</v>
    <v>132.35560000000001</v>
    <v>29.78</v>
    <v>Hotels &amp; Entertainment Services</v>
    <v>Wegalaan 60, HOOFDDORP, NOORD-HOLLAND, 2132JC NL</v>
    <v>BFIT</v>
    <v>Acciones</v>
    <v>Basic-Fit NV (XAMS:BFIT)</v>
    <v>144059</v>
    <v>126410</v>
  </rv>
  <rv s="2">
    <v>168</v>
  </rv>
  <rv s="0">
    <v>https://www.bing.com/financeapi/forcetrigger?t=bscvur&amp;q=XWBO%3aVRLA&amp;form=skydnc</v>
    <v>Learn more on Bing</v>
  </rv>
  <rv s="12">
    <v>es-ES</v>
    <v>bscvur</v>
    <v>268435456</v>
    <v>1</v>
    <v>Con tecnología de Refinitiv</v>
    <v>44</v>
    <v>45</v>
    <v>Verallia SA (XWBO:VRLA)</v>
    <v>3</v>
    <v>46</v>
    <v>Finance</v>
    <v>13</v>
    <v>XWBO</v>
    <v>120805100</v>
    <v>2015</v>
    <v>19.68</v>
    <v>1.137</v>
    <v>-0.41</v>
    <v>-2.0357E-2</v>
    <v>2800262000</v>
    <v>20.14</v>
    <v>Verallia SASU es una empresa con sede en Francia, que opera como productora de soluciones de embalaje de vidrio. La Compañía fabrica una serie de frascos y botellas para diversos mercados, incluyendo los vinos tranquilos y espumosos, licores, alimentos, así como los sectores de la cerveza y no alcohólicos. Además de Francia, la Compañía también opera en muchos países de Europa Occidental, Europa del Este y América del Sur, entre otros.</v>
    <v>10801</v>
    <v>XWBO</v>
    <v>46150</v>
    <v>Wiener Boerse</v>
    <v>170</v>
    <v>19.78</v>
    <v>19.68</v>
    <v>EUR</v>
    <v>Verallia SA</v>
    <v>Verallia SA</v>
    <v>25.69</v>
    <v>19.73</v>
    <v>Containers &amp; Packaging</v>
    <v>TOUR CARPE DIEM - ESPLANADE NORD, 31 PLACE DES COROLLES, COURBEVOIE, ILE-DE-FRANCE, 92400 FR</v>
    <v>VRLA</v>
    <v>Acciones</v>
    <v>Verallia SA (XWBO:VRLA)</v>
    <v>213</v>
    <v>24030</v>
  </rv>
  <rv s="2">
    <v>171</v>
  </rv>
  <rv s="7">
    <v>es-ES</v>
    <v>c8f4a2</v>
    <v>268435456</v>
    <v>1</v>
    <v>Con tecnología de Refinitiv</v>
    <v>24</v>
    <v>25</v>
    <v>Kistos Holdings (XLON:KIST)</v>
    <v>26</v>
    <v>16</v>
    <v>Finance</v>
    <v>17</v>
    <v>XLON</v>
    <v>83117650</v>
    <v>2022</v>
    <v>297.5</v>
    <v>1.1485000000000001</v>
    <v>-10</v>
    <v>-3.3333000000000002E-2</v>
    <v>170389700</v>
    <v>300</v>
    <v>Kistos Holdings Plc is an independent energy company focused on generating value across the upstream and midstream markets. The principal area of activity is the acquisition and operation of companies or businesses in the energy sector. Its operations are based in the Netherlands, Norway and the United Kingdom. In Netherlands, it is engaged in the production and sale of gas and other hydrocarbons from the Q10-A field, and the appraisal and development of other Dutch licenses. In Norway, it is engaged in the production of oil from interests in the Balder and Ringhorne Ost fields offshore Norway. In the United Kingdom, it is involved in the production and sale of gas and other hydrocarbons from its interest in the GLA, and the appraisal and development of other licenses in the United Kingdom North Sea, as well as the United Kingdom gas storage assets, which comprise two facilities, Hill Top and Hole House. The facilities are located two kilometers to the north of Crewe in Cheshire.</v>
    <v>52</v>
    <v>XLON</v>
    <v>46161.649454050785</v>
    <v>London Stock Exchange</v>
    <v>295</v>
    <v>335</v>
    <v>290</v>
    <v>137</v>
    <v>GBp</v>
    <v>Kistos Holdings</v>
    <v>Kistos Holdings</v>
    <v>0</v>
    <v>290</v>
    <v>Oil &amp; Gas</v>
    <v>2nd Floor, 3 St James Square, NaN, LONDON, SW1Y 4JU GB</v>
    <v>KIST</v>
    <v>Acciones</v>
    <v>Kistos Holdings (XLON:KIST)</v>
    <v>86416</v>
    <v>232100</v>
  </rv>
  <rv s="2">
    <v>173</v>
  </rv>
  <rv s="0">
    <v>https://www.bing.com/financeapi/forcetrigger?t=bq9y7w&amp;q=XLON%3aWOSG&amp;form=skydnc</v>
    <v>Learn more on Bing</v>
  </rv>
  <rv s="1">
    <v>es-ES</v>
    <v>bq9y7w</v>
    <v>268435456</v>
    <v>1</v>
    <v>Con tecnología de Refinitiv</v>
    <v>0</v>
    <v>1</v>
    <v>Watches of CH (XLON:WOSG)</v>
    <v>3</v>
    <v>16</v>
    <v>Finance</v>
    <v>17</v>
    <v>XLON</v>
    <v>233301600</v>
    <v>2019</v>
    <v>662</v>
    <v>2.3532000000000002</v>
    <v>-14.5</v>
    <v>-2.2136999999999997E-2</v>
    <v>1100250000</v>
    <v>655</v>
    <v>Watches of Switzerland Group PLC is a United Kingdom-based luxury watch retailer. The Company operates in the United Kingdom and the United States comprising eight brands, such as Watches of Switzerland (United Kingdom and United States), Mappin &amp; Webb (United Kingdom), Goldsmiths (United Kingdom ), Mayors (United States), Betteridge (United States), Deutsch &amp; Deutsch (the United States), Analog:Shift and Hodinkee (United States) with a complementary jewelry offering. It also owns the exclusive distribution rights for Roberto Coin in the United States, Canada, Central America and the Caribbean. Its estate includes multi-brand showrooms and mono-brand boutiques in the United Kingdom, Europe and the United States. It operates two watches of Switzerland flagship showrooms in New York. The watches of Switzerland Group operate mono-brand boutiques on behalf of Rolex, OMEGA, TAG Heuer, Breitling, TUDOR, Grand Seiko, BVLGARI and Fope.</v>
    <v>2907</v>
    <v>XLON</v>
    <v>46161.693831018521</v>
    <v>London Stock Exchange</v>
    <v>175</v>
    <v>668.5</v>
    <v>668.5</v>
    <v>636</v>
    <v>316.2</v>
    <v>GBp</v>
    <v>Watches of CH</v>
    <v>Watches of CH</v>
    <v>21.7514</v>
    <v>640.5</v>
    <v>Specialty Retailers</v>
    <v>CARLTON PARK KING EDWARD AVENUE, Narborough, LE19 0AL GB</v>
    <v>WOSG</v>
    <v>Acciones</v>
    <v>Watches of CH (XLON:WOSG)</v>
    <v>1163322</v>
    <v>1034710</v>
  </rv>
  <rv s="2">
    <v>176</v>
  </rv>
  <rv s="0">
    <v>https://www.bing.com/financeapi/forcetrigger?t=aayx5r&amp;q=XTSE%3aIPCO&amp;form=skydnc</v>
    <v>Learn more on Bing</v>
  </rv>
  <rv s="1">
    <v>es-ES</v>
    <v>aayx5r</v>
    <v>268435456</v>
    <v>1</v>
    <v>Con tecnología de Refinitiv</v>
    <v>0</v>
    <v>1</v>
    <v>INTERNATIONAL PETROLEUM CORPORATION (XTSE:IPCO)</v>
    <v>3</v>
    <v>47</v>
    <v>Finance</v>
    <v>40</v>
    <v>XTSE</v>
    <v>112826800</v>
    <v>2017</v>
    <v>39.229999999999997</v>
    <v>0.3584</v>
    <v>0.52</v>
    <v>1.3399000000000001E-2</v>
    <v>19431310000</v>
    <v>38.81</v>
    <v>INTERNATIONAL PETROLEUM CORPORATION es una compañía spin-off con sede en Canadá para activos no noruegos de Lundin Petroleum AB. La Compañía se dedica a la producción y exploración de petróleo y gas natural, así como a líquidos de gas natural. La Compañía es propietaria directa o indirecta de varias subsidiarias de Lundin Petroleum AB. La Compañía tiene una cartera de activos en tres jurisdicciones: Malasia (Bertam), Francia (París y Cuenca de Aquitania) y los Países Bajos. La cartera está orientada hacia el petróleo ligero, con líquidos que representan el 94% de las reservas 2P y con la producción de gas generada principalmente a partir de los activos de petróleo y gas en los Países Bajos. La Compañía opera la mayoría de sus volúmenes producidos en la Cuenca de París y Malasia y posee intereses no operados en la Cuenca de Aquitania y los Países Bajos.</v>
    <v>131</v>
    <v>XTSE</v>
    <v>46161.785925925928</v>
    <v>Toronto Stock Exchange</v>
    <v>178</v>
    <v>39.340000000000003</v>
    <v>39.340000000000003</v>
    <v>38.619999999999997</v>
    <v>18.8</v>
    <v>CAD</v>
    <v>INTERNATIONAL PETROLEUM CORPORATION</v>
    <v>INTERNATIONAL PETROLEUM CORPORATION</v>
    <v>131.94890000000001</v>
    <v>39.33</v>
    <v>Oil &amp; Gas</v>
    <v>Suite 2800, 1055 Dunsmuir Street, VANCOUVER, BC, V7X 1L2 CA</v>
    <v>IPCO</v>
    <v>Acciones</v>
    <v>INTERNATIONAL PETROLEUM CORPORATION (XTSE:IPCO)</v>
    <v>59916</v>
    <v>206400</v>
  </rv>
  <rv s="2">
    <v>179</v>
  </rv>
  <rv s="0">
    <v>https://www.bing.com/financeapi/forcetrigger?t=c1w41h&amp;q=XNAS%3aOTLY&amp;form=skydnc</v>
    <v>Learn more on Bing</v>
  </rv>
  <rv s="1">
    <v>es-ES</v>
    <v>c1w41h</v>
    <v>268435456</v>
    <v>1</v>
    <v>Con tecnología de Refinitiv</v>
    <v>0</v>
    <v>1</v>
    <v>Oatly Group (XNAS:OTLY)</v>
    <v>3</v>
    <v>4</v>
    <v>Finance</v>
    <v>5</v>
    <v>XNAS</v>
    <v>31225000</v>
    <v>2016</v>
    <v>9.84</v>
    <v>1.8801000000000001</v>
    <v>-3.1E-2</v>
    <v>-3.1280000000000001E-3</v>
    <v>308471775</v>
    <v>9.91</v>
    <v>Oatly Group AB (publ) is a Sweden-based company that is primarily focused on manufacture, distribution and sale oat-based products. The Company's scope of activity concentrates on developing the know-how around oats, and what follows - the alternatives to milk, ice cream, yogurt, cooking creams, spreads and on-the-go drinks. Moreover, the Company distributes their oat-based dairy substitute products primarily under its own brand, Oatly. Apart from oatmilk production, Oatly Group AB (publ) also handles the administration of Oatly Group and its financing. The major operations in the Group take place in underlying companies, primarily in Oatly AB. Oatly Group AB (publ) products are available in over 20 countries.</v>
    <v>1379</v>
    <v>XNAS</v>
    <v>46161.795225474219</v>
    <v>Nasdaq Stock Market</v>
    <v>181</v>
    <v>9.9795999999999996</v>
    <v>18.84</v>
    <v>9.74</v>
    <v>9.4</v>
    <v>USD</v>
    <v>Oatly Group</v>
    <v>Oatly Group</v>
    <v>0</v>
    <v>9.8789999999999996</v>
    <v>Food &amp; Tobacco</v>
    <v>Angfarjekajen 8, MALMO, SKANE, 211 36 SE</v>
    <v>OTLY</v>
    <v>Acciones</v>
    <v>Oatly Group (XNAS:OTLY)</v>
    <v>19369</v>
    <v>64393</v>
  </rv>
  <rv s="2">
    <v>182</v>
  </rv>
  <rv s="0">
    <v>https://www.bing.com/financeapi/forcetrigger?t=aaxn6h&amp;q=XTSE%3aCSU&amp;form=skydnc</v>
    <v>Learn more on Bing</v>
  </rv>
  <rv s="1">
    <v>es-ES</v>
    <v>aaxn6h</v>
    <v>268435456</v>
    <v>1</v>
    <v>Con tecnología de Refinitiv</v>
    <v>0</v>
    <v>1</v>
    <v>Constellation Software Inc. (XTSE:CSU)</v>
    <v>3</v>
    <v>39</v>
    <v>Finance</v>
    <v>40</v>
    <v>XTSE</v>
    <v>21191530</v>
    <v>2002</v>
    <v>2625</v>
    <v>0.67800000000000005</v>
    <v>140.16999999999999</v>
    <v>5.3657000000000003E-2</v>
    <v>58329898240</v>
    <v>2612.34</v>
    <v>Constellation Software Inc. Es un proveedor de software y servicios con sede en Canadá para varias industrias. La Compañía adquiere, administra y construye negocios de software de mercado vertical (VMS) que proporcionan soluciones de software de misión crítica. Se dedica principalmente al desarrollo, instalación y personalización de software, así como en el suministro de servicios profesionales relacionados y soporte para clientes de todo el mundo. Sus servicios profesionales incluyen la instalación, implementación, capacitación y personalización de software y otros servicios. La Compañía vende licencias de software en las instalaciones tanto a perpetuo como a plazo especificado. Cuenta con seis grupos operativos, que dan servicio a clientes en más de 100 mercados diferentes en todo el mundo. Los seis grupos operativos incluyen Volaris, Harris, Topicus.com, Vela, Jonas, y Grupo Perseus. Opera oficinas en América del Norte, Europa Continental, Reino Unido, América del Sur, África, y Australia.</v>
    <v>64000</v>
    <v>XTSE</v>
    <v>46161.786180555559</v>
    <v>Toronto Stock Exchange</v>
    <v>184</v>
    <v>2880.35</v>
    <v>5124.8999999999996</v>
    <v>2625</v>
    <v>2196</v>
    <v>CAD</v>
    <v>Constellation Software Inc.</v>
    <v>Constellation Software Inc.</v>
    <v>56.4223</v>
    <v>2752.51</v>
    <v>Software &amp; IT Services</v>
    <v>#66 Wellington Street West, Suite 5300, TD Bank Tower, TORONTO, ON, M5K 1E6 CA</v>
    <v>CSU</v>
    <v>Acciones</v>
    <v>Constellation Software Inc. (XTSE:CSU)</v>
    <v>92697</v>
    <v>56290</v>
  </rv>
  <rv s="2">
    <v>185</v>
  </rv>
  <rv s="13">
    <v>es-ES</v>
    <v>av8wim</v>
    <v>268435456</v>
    <v>1</v>
    <v>Con tecnología de Refinitiv</v>
    <v>48</v>
    <v>49</v>
    <v>EUR/JPY</v>
    <v>50</v>
    <v>51</v>
    <v>Finance</v>
    <v>52</v>
    <v>185.12</v>
    <v>-0.59</v>
    <v>-3.1869999999999997E-3</v>
    <v>185.12</v>
    <v>EUR</v>
    <v>46161.797118055554</v>
    <v>185.2</v>
    <v>187.93</v>
    <v>184.25</v>
    <v>161.03</v>
    <v>JPY</v>
    <v>Euro/Japanese Yen FX Cross Rate</v>
    <v>184.53</v>
    <v>EURJPY</v>
    <v>Par de divisa</v>
    <v>EUR/JPY</v>
  </rv>
  <rv s="2">
    <v>187</v>
  </rv>
  <rv s="13">
    <v>es-ES</v>
    <v>avv7r7</v>
    <v>268435456</v>
    <v>1</v>
    <v>Con tecnología de Refinitiv</v>
    <v>48</v>
    <v>49</v>
    <v>CHF/USD</v>
    <v>50</v>
    <v>53</v>
    <v>Finance</v>
    <v>52</v>
    <v>1.2746999999999999</v>
    <v>-7.6E-3</v>
    <v>-5.9650000000000007E-3</v>
    <v>1.2742</v>
    <v>CHF</v>
    <v>46161.797048611108</v>
    <v>1.2753000000000001</v>
    <v>1.3149</v>
    <v>1.2648999999999999</v>
    <v>1.1850000000000001</v>
    <v>USD</v>
    <v>Swiss Franc/US Dollar FX Cross Rate</v>
    <v>1.2665999999999999</v>
    <v>CHFUSD</v>
    <v>Par de divisa</v>
    <v>CHF/USD</v>
  </rv>
  <rv s="2">
    <v>189</v>
  </rv>
  <rv s="13">
    <v>es-ES</v>
    <v>avyosm</v>
    <v>268435456</v>
    <v>1</v>
    <v>Con tecnología de Refinitiv</v>
    <v>48</v>
    <v>49</v>
    <v>USD/KZT</v>
    <v>50</v>
    <v>54</v>
    <v>Finance</v>
    <v>52</v>
    <v>468.02</v>
    <v>2.65</v>
    <v>5.6630000000000005E-3</v>
    <v>467.98</v>
    <v>USD</v>
    <v>46161.775462962964</v>
    <v>473.69</v>
    <v>549.66</v>
    <v>468.58</v>
    <v>455.33</v>
    <v>KZT</v>
    <v>US Dollar/Kazakhstan Tenge FX Spot Rate</v>
    <v>470.63</v>
    <v>USDKZT</v>
    <v>Par de divisa</v>
    <v>USD/KZT</v>
  </rv>
  <rv s="2">
    <v>191</v>
  </rv>
  <rv s="13">
    <v>es-ES</v>
    <v>av3wnm</v>
    <v>268435456</v>
    <v>1</v>
    <v>Con tecnología de Refinitiv</v>
    <v>48</v>
    <v>49</v>
    <v>CAD/USD</v>
    <v>50</v>
    <v>53</v>
    <v>Finance</v>
    <v>52</v>
    <v>0.72770000000000001</v>
    <v>-5.0000000000000001E-4</v>
    <v>-6.8709999999999995E-4</v>
    <v>0.72770000000000001</v>
    <v>CAD</v>
    <v>46161.796944444446</v>
    <v>0.72799999999999998</v>
    <v>0.74170000000000003</v>
    <v>0.72609999999999997</v>
    <v>0.70709999999999995</v>
    <v>USD</v>
    <v>Canadian Dollar/US Dollar FX Cross Rate</v>
    <v>0.72719999999999996</v>
    <v>CADUSD</v>
    <v>Par de divisa</v>
    <v>CAD/USD</v>
  </rv>
  <rv s="2">
    <v>193</v>
  </rv>
  <rv s="13">
    <v>es-ES</v>
    <v>avyn9c</v>
    <v>268435456</v>
    <v>1</v>
    <v>Con tecnología de Refinitiv</v>
    <v>48</v>
    <v>49</v>
    <v>USD/EUR</v>
    <v>50</v>
    <v>55</v>
    <v>Finance</v>
    <v>52</v>
    <v>0.85780000000000001</v>
    <v>3.8999999999999998E-3</v>
    <v>4.5459999999999997E-3</v>
    <v>0.8579</v>
    <v>USD</v>
    <v>46161.797106481485</v>
    <v>0.86260000000000003</v>
    <v>0.89829999999999999</v>
    <v>0.85760000000000003</v>
    <v>0.82779999999999998</v>
    <v>EUR</v>
    <v>US Dollar/Euro FX Cross Rate</v>
    <v>0.86180000000000001</v>
    <v>USDEUR</v>
    <v>Par de divisa</v>
    <v>USD/EUR</v>
  </rv>
  <rv s="2">
    <v>195</v>
  </rv>
</rvData>
</file>

<file path=xl/richData/rdrichvaluestructure.xml><?xml version="1.0" encoding="utf-8"?>
<rvStructures xmlns="http://schemas.microsoft.com/office/spreadsheetml/2017/richdata" count="14">
  <s t="_hyperlink">
    <k n="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
    <k n="%cvi" t="r"/>
  </s>
  <s t="_sourceattribution">
    <k n="License" t="r"/>
    <k n="Source" t="r"/>
  </s>
  <s t="_imageurl">
    <k n="_Provider" t="spb"/>
    <k n="Address" t="s"/>
    <k n="Attribution" t="r"/>
    <k n="ComputedImage" t="b"/>
    <k n="More Images Address" t="s"/>
    <k n="Text" t="s"/>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magen" t="r"/>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Máximo"/>
    <k n="Mínimo"/>
    <k n="Moneda" t="s"/>
    <k n="Nombre" t="s"/>
    <k n="Nombre oficial" t="s"/>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pertura"/>
    <k n="Beta"/>
    <k n="Cambio"/>
    <k n="Cambio (%)"/>
    <k n="Capitalización de mercado"/>
    <k n="Cierre anterior"/>
    <k n="Descripción" t="s"/>
    <k n="Empleados"/>
    <k n="ExchangeID" t="s"/>
    <k n="Hora de la última operación"/>
    <k n="Intercambio" t="s"/>
    <k n="LearnMoreOnLink" t="r"/>
    <k n="Máximo"/>
    <k n="Máximo en 52 semanas"/>
    <k n="Mínimo"/>
    <k n="Mínimo en 52 semanas"/>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horario ampliado)"/>
    <k n="Cambio (%)"/>
    <k n="Cambio (horario ampliado)"/>
    <k n="Capitalización de mercado"/>
    <k n="Cierre anterior"/>
    <k n="Descripción" t="s"/>
    <k n="Empleados"/>
    <k n="ExchangeID" t="s"/>
    <k n="Hora de la última operación"/>
    <k n="Intercambio" t="s"/>
    <k n="LearnMoreOnLink" t="r"/>
    <k n="Máximo"/>
    <k n="Mínimo"/>
    <k n="Moneda" t="s"/>
    <k n="Nombre" t="s"/>
    <k n="Nombre oficial" t="s"/>
    <k n="P/I"/>
    <k n="Precio"/>
    <k n="Precio (horario ampliad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breviatura de intercambio" t="s"/>
    <k n="Acciones en circulación"/>
    <k n="Año de constitución"/>
    <k n="Apertura"/>
    <k n="Beta"/>
    <k n="Cambio"/>
    <k n="Cambio (%)"/>
    <k n="Capitalización de mercado"/>
    <k n="Cierre anterior"/>
    <k n="Descripción" t="s"/>
    <k n="Empleados"/>
    <k n="ExchangeID" t="s"/>
    <k n="Hora de la última operación"/>
    <k n="Intercambio" t="s"/>
    <k n="LearnMoreOnLink" t="r"/>
    <k n="Máximo"/>
    <k n="Mínimo"/>
    <k n="Moneda" t="s"/>
    <k n="Nombre" t="s"/>
    <k n="Nombre oficial" t="s"/>
    <k n="P/I"/>
    <k n="Precio"/>
    <k n="Sector" t="s"/>
    <k n="Sede central" t="s"/>
    <k n="Símbolo bursátil" t="s"/>
    <k n="Tipo de instrumento" t="s"/>
    <k n="UniqueName" t="s"/>
    <k n="Volumen"/>
    <k n="Volumen promedio"/>
  </s>
  <s t="_linkedentitycore">
    <k n="%EntityCulture" t="s"/>
    <k n="%EntityId" t="s"/>
    <k n="%EntityServiceId"/>
    <k n="%IsRefreshable" t="b"/>
    <k n="%ProviderInfo" t="s"/>
    <k n="_CanonicalPropertyNames" t="spb"/>
    <k n="_Display" t="spb"/>
    <k n="_DisplayString" t="s"/>
    <k n="_Flags" t="spb"/>
    <k n="_Format" t="spb"/>
    <k n="_Icon" t="s"/>
    <k n="_SubLabel" t="spb"/>
    <k n="Apertura"/>
    <k n="Cambio"/>
    <k n="Cambio (%)"/>
    <k n="Cierre anterior"/>
    <k n="De la moneda" t="s"/>
    <k n="Hora de la última operación"/>
    <k n="Máximo"/>
    <k n="Máximo en 52 semanas"/>
    <k n="Mínimo"/>
    <k n="Mínimo en 52 semanas"/>
    <k n="Moneda" t="s"/>
    <k n="Nombre" t="s"/>
    <k n="Precio"/>
    <k n="Símbolo bursátil" t="s"/>
    <k n="Tipo de instrumento" t="s"/>
    <k n="UniqueName" t="s"/>
  </s>
</rvStructures>
</file>

<file path=xl/richData/rdsupportingpropertybag.xml><?xml version="1.0" encoding="utf-8"?>
<supportingPropertyBags xmlns="http://schemas.microsoft.com/office/spreadsheetml/2017/richdata2">
  <spbArrays count="10">
    <a count="43">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Imagen</v>
      <v t="s">ExchangeID</v>
      <v t="s">%ProviderInfo</v>
    </a>
    <a count="46">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Acciones en circulación</v>
      <v t="s">Descripción</v>
      <v t="s">Empleados</v>
      <v t="s">Sede central</v>
      <v t="s">Sector</v>
      <v t="s">Tipo de instrumento</v>
      <v t="s">Año de constitución</v>
      <v t="s">_Flags</v>
      <v t="s">UniqueName</v>
      <v t="s">_DisplayString</v>
      <v t="s">LearnMoreOnLink</v>
      <v t="s">ExchangeID</v>
      <v t="s">%ProviderInfo</v>
    </a>
    <a count="39">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Acciones en circulación</v>
      <v t="s">Descripción</v>
      <v t="s">Empleados</v>
      <v t="s">Sede central</v>
      <v t="s">Sector</v>
      <v t="s">Tipo de instrumento</v>
      <v t="s">Año de constitución</v>
      <v t="s">_Flags</v>
      <v t="s">UniqueName</v>
      <v t="s">_DisplayString</v>
      <v t="s">ExchangeID</v>
      <v t="s">%ProviderInfo</v>
    </a>
    <a count="42">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Máximo en 52 semanas</v>
      <v t="s">Mínimo en 52 semanas</v>
      <v t="s">Volumen</v>
      <v t="s">Volumen promedio</v>
      <v t="s">Capitalización de mercado</v>
      <v t="s">Beta</v>
      <v t="s">P/I</v>
      <v t="s">Acciones en circulación</v>
      <v t="s">Descripción</v>
      <v t="s">Empleados</v>
      <v t="s">Sede central</v>
      <v t="s">Sector</v>
      <v t="s">Tipo de instrumento</v>
      <v t="s">_Flags</v>
      <v t="s">UniqueName</v>
      <v t="s">_DisplayString</v>
      <v t="s">LearnMoreOnLink</v>
      <v t="s">ExchangeID</v>
      <v t="s">%ProviderInfo</v>
    </a>
    <a count="44">
      <v t="s">%EntityServiceId</v>
      <v t="s">_Format</v>
      <v t="s">%IsRefreshable</v>
      <v t="s">_CanonicalPropertyNames</v>
      <v t="s">%EntityCulture</v>
      <v t="s">%EntityId</v>
      <v t="s">_Icon</v>
      <v t="s">_Display</v>
      <v t="s">Nombre</v>
      <v t="s">_SubLabel</v>
      <v t="s">Precio</v>
      <v t="s">Precio (horario ampliado)</v>
      <v t="s">Intercambio</v>
      <v t="s">Nombre oficial</v>
      <v t="s">Hora de la última operación</v>
      <v t="s">Símbolo bursátil</v>
      <v t="s">Abreviatura de intercambio</v>
      <v t="s">Cambio</v>
      <v t="s">Cambio (horario ampliado)</v>
      <v t="s">Cambio (%)</v>
      <v t="s">Cambio % (horario ampliado)</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41">
      <v t="s">%EntityServiceId</v>
      <v t="s">_Format</v>
      <v t="s">%IsRefreshable</v>
      <v t="s">_CanonicalPropertyNames</v>
      <v t="s">%EntityCulture</v>
      <v t="s">%EntityId</v>
      <v t="s">_Icon</v>
      <v t="s">_Display</v>
      <v t="s">Nombre</v>
      <v t="s">_SubLabel</v>
      <v t="s">Precio</v>
      <v t="s">Intercambio</v>
      <v t="s">Nombre oficial</v>
      <v t="s">Hora de la última operación</v>
      <v t="s">Símbolo bursátil</v>
      <v t="s">Abreviatura de intercambio</v>
      <v t="s">Cambio</v>
      <v t="s">Cambio (%)</v>
      <v t="s">Moneda</v>
      <v t="s">Cierre anterior</v>
      <v t="s">Apertura</v>
      <v t="s">Máximo</v>
      <v t="s">Mínimo</v>
      <v t="s">Volumen</v>
      <v t="s">Volumen promedio</v>
      <v t="s">Capitalización de mercado</v>
      <v t="s">Beta</v>
      <v t="s">P/I</v>
      <v t="s">Acciones en circulación</v>
      <v t="s">Descripción</v>
      <v t="s">Empleados</v>
      <v t="s">Sede central</v>
      <v t="s">Sector</v>
      <v t="s">Tipo de instrumento</v>
      <v t="s">Año de constitución</v>
      <v t="s">_Flags</v>
      <v t="s">UniqueName</v>
      <v t="s">_DisplayString</v>
      <v t="s">LearnMoreOnLink</v>
      <v t="s">ExchangeID</v>
      <v t="s">%ProviderInfo</v>
    </a>
    <a count="28">
      <v t="s">%EntityServiceId</v>
      <v t="s">_Format</v>
      <v t="s">%IsRefreshable</v>
      <v t="s">_CanonicalPropertyNames</v>
      <v t="s">%EntityCulture</v>
      <v t="s">%EntityId</v>
      <v t="s">_Icon</v>
      <v t="s">_Display</v>
      <v t="s">Nombre</v>
      <v t="s">Precio</v>
      <v t="s">_SubLabel</v>
      <v t="s">Hora de la última operación</v>
      <v t="s">Símbolo bursátil</v>
      <v t="s">Cambio</v>
      <v t="s">Cambio (%)</v>
      <v t="s">Moneda</v>
      <v t="s">De la moneda</v>
      <v t="s">Cierre anterior</v>
      <v t="s">Apertura</v>
      <v t="s">Máximo</v>
      <v t="s">Mínimo</v>
      <v t="s">Máximo en 52 semanas</v>
      <v t="s">Mínimo en 52 semanas</v>
      <v t="s">Tipo de instrumento</v>
      <v t="s">_Flags</v>
      <v t="s">UniqueName</v>
      <v t="s">_DisplayString</v>
      <v t="s">%ProviderInfo</v>
    </a>
  </spbArrays>
  <spbData count="56">
    <spb s="0">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0</v>
      <v>Name</v>
      <v>LearnMoreOnLink</v>
    </spb>
    <spb s="2">
      <v>0</v>
      <v>0</v>
      <v>0</v>
    </spb>
    <spb s="3">
      <v>2</v>
      <v>2</v>
      <v>2</v>
      <v>2</v>
    </spb>
    <spb s="4">
      <v>1</v>
      <v>1</v>
      <v>2</v>
      <v>2</v>
      <v>2</v>
      <v>3</v>
      <v>2</v>
      <v>4</v>
      <v>2</v>
      <v>4</v>
      <v>5</v>
      <v>2</v>
      <v>4</v>
      <v>6</v>
      <v>7</v>
      <v>2</v>
      <v>2</v>
      <v>4</v>
      <v>8</v>
      <v>9</v>
    </spb>
    <spb s="5">
      <v xml:space="preserve">desde el cierre anterior </v>
      <v>Tiempo real Nasdaq Última venta</v>
      <v xml:space="preserve">desde el cierre anterior </v>
      <v>Origen: Nasdaq Última venta</v>
      <v>GMT</v>
    </spb>
    <spb s="6">
      <v>P/E</v>
      <v>Beta</v>
      <v>Change</v>
      <v>Image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1</v>
      <v>Name</v>
      <v>LearnMoreOnLink</v>
    </spb>
    <spb s="7">
      <v>0</v>
      <v>0</v>
    </spb>
    <spb s="8">
      <v>8</v>
      <v>2</v>
      <v>2</v>
      <v>2</v>
      <v>2</v>
    </spb>
    <spb s="9">
      <v>1</v>
      <v>1</v>
      <v>2</v>
      <v>10</v>
      <v>2</v>
      <v>2</v>
      <v>3</v>
      <v>2</v>
      <v>4</v>
      <v>2</v>
      <v>4</v>
      <v>5</v>
      <v>2</v>
      <v>4</v>
      <v>6</v>
      <v>7</v>
      <v>2</v>
      <v>2</v>
      <v>4</v>
      <v>8</v>
      <v>9</v>
    </spb>
    <spb s="10">
      <v>Con tecnología de Refinitiv</v>
    </spb>
    <spb s="4">
      <v>1</v>
      <v>1</v>
      <v>11</v>
      <v>11</v>
      <v>11</v>
      <v>3</v>
      <v>11</v>
      <v>4</v>
      <v>11</v>
      <v>4</v>
      <v>5</v>
      <v>11</v>
      <v>4</v>
      <v>6</v>
      <v>7</v>
      <v>11</v>
      <v>11</v>
      <v>4</v>
      <v>12</v>
      <v>9</v>
    </spb>
    <spb s="11">
      <v xml:space="preserve">desde el cierre anterior </v>
      <v>Retrasado 15 minutos</v>
      <v xml:space="preserve">desde el cierre anterior </v>
      <v>GMT</v>
    </spb>
    <spb s="4">
      <v>1</v>
      <v>1</v>
      <v>2</v>
      <v>2</v>
      <v>2</v>
      <v>3</v>
      <v>2</v>
      <v>4</v>
      <v>2</v>
      <v>4</v>
      <v>5</v>
      <v>2</v>
      <v>4</v>
      <v>6</v>
      <v>7</v>
      <v>2</v>
      <v>2</v>
      <v>4</v>
      <v>13</v>
      <v>9</v>
    </spb>
    <spb s="4">
      <v>1</v>
      <v>1</v>
      <v>11</v>
      <v>11</v>
      <v>11</v>
      <v>3</v>
      <v>11</v>
      <v>4</v>
      <v>11</v>
      <v>4</v>
      <v>5</v>
      <v>11</v>
      <v>4</v>
      <v>6</v>
      <v>7</v>
      <v>11</v>
      <v>11</v>
      <v>4</v>
      <v>14</v>
      <v>9</v>
    </spb>
    <spb s="4">
      <v>1</v>
      <v>1</v>
      <v>15</v>
      <v>15</v>
      <v>15</v>
      <v>3</v>
      <v>15</v>
      <v>4</v>
      <v>15</v>
      <v>4</v>
      <v>5</v>
      <v>15</v>
      <v>4</v>
      <v>6</v>
      <v>7</v>
      <v>15</v>
      <v>15</v>
      <v>4</v>
      <v>16</v>
      <v>9</v>
    </spb>
    <spb s="5">
      <v xml:space="preserve">desde el cierre anterior </v>
      <v>Retrasado 15 minutos</v>
      <v xml:space="preserve">desde el cierre anterior </v>
      <v>LSE</v>
      <v>GMT</v>
    </spb>
    <spb s="12">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Change (Extended hours)</v>
      <v>Market cap</v>
      <v>Price (Extended hours)</v>
      <v>Exchange abbreviation</v>
      <v>Change % (Extended hours)</v>
      <v>Last trade time</v>
    </spb>
    <spb s="1">
      <v>2</v>
      <v>Name</v>
      <v>LearnMoreOnLink</v>
    </spb>
    <spb s="13">
      <v>1</v>
      <v>1</v>
      <v>17</v>
      <v>17</v>
      <v>17</v>
      <v>3</v>
      <v>17</v>
      <v>4</v>
      <v>17</v>
      <v>4</v>
      <v>5</v>
      <v>17</v>
      <v>4</v>
      <v>6</v>
      <v>7</v>
      <v>17</v>
      <v>17</v>
      <v>4</v>
      <v>17</v>
      <v>18</v>
      <v>17</v>
      <v>5</v>
      <v>9</v>
    </spb>
    <spb s="14">
      <v xml:space="preserve">desde el cierre anterior </v>
      <v xml:space="preserve">al cierre </v>
      <v xml:space="preserve">desde el cierre anterior </v>
      <v>Origen: Nasdaq Nordic</v>
      <v xml:space="preserve">desde el cierre </v>
      <v>Retrasado 15 minutos</v>
      <v xml:space="preserve">desde el cierre </v>
      <v>GMT</v>
    </spb>
    <spb s="4">
      <v>1</v>
      <v>1</v>
      <v>19</v>
      <v>19</v>
      <v>19</v>
      <v>3</v>
      <v>19</v>
      <v>4</v>
      <v>19</v>
      <v>4</v>
      <v>5</v>
      <v>19</v>
      <v>4</v>
      <v>6</v>
      <v>7</v>
      <v>19</v>
      <v>19</v>
      <v>4</v>
      <v>20</v>
      <v>9</v>
    </spb>
    <spb s="11">
      <v xml:space="preserve">desde el cierre anterior </v>
      <v>Final del día</v>
      <v xml:space="preserve">desde el cierre anterior </v>
      <v>GMT</v>
    </spb>
    <spb s="15">
      <v>P/E</v>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52 week high</v>
      <v>52 week low</v>
      <v>Shares outstanding</v>
      <v>Market cap</v>
      <v>Exchange abbreviation</v>
      <v>Last trade time</v>
    </spb>
    <spb s="16">
      <v>3</v>
      <v>Name</v>
    </spb>
    <spb s="17">
      <v>2</v>
      <v>2</v>
      <v>2</v>
    </spb>
    <spb s="13">
      <v>1</v>
      <v>1</v>
      <v>21</v>
      <v>21</v>
      <v>21</v>
      <v>3</v>
      <v>21</v>
      <v>4</v>
      <v>21</v>
      <v>4</v>
      <v>5</v>
      <v>21</v>
      <v>4</v>
      <v>6</v>
      <v>7</v>
      <v>21</v>
      <v>21</v>
      <v>4</v>
      <v>21</v>
      <v>22</v>
      <v>21</v>
      <v>5</v>
      <v>9</v>
    </spb>
    <spb s="18">
      <v xml:space="preserve">desde el cierre anterior </v>
      <v xml:space="preserve">al cierre </v>
      <v xml:space="preserve">desde el cierre anterior </v>
      <v xml:space="preserve">desde el cierre </v>
      <v>Retrasado 15 minutos</v>
      <v xml:space="preserve">desde el cierre </v>
      <v>GMT</v>
    </spb>
    <spb s="19">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52 week high</v>
      <v>52 week low</v>
      <v>Shares outstanding</v>
      <v>Market cap</v>
      <v>Exchange abbreviation</v>
      <v>Last trade time</v>
    </spb>
    <spb s="1">
      <v>4</v>
      <v>Name</v>
      <v>LearnMoreOnLink</v>
    </spb>
    <spb s="20">
      <v>1</v>
      <v>2</v>
      <v>2</v>
      <v>2</v>
      <v>3</v>
      <v>2</v>
      <v>4</v>
      <v>2</v>
      <v>4</v>
      <v>5</v>
      <v>2</v>
      <v>4</v>
      <v>6</v>
      <v>7</v>
      <v>2</v>
      <v>2</v>
      <v>4</v>
      <v>8</v>
      <v>9</v>
    </spb>
    <spb s="21">
      <v>Beta</v>
      <v>Change</v>
      <v>Currency</v>
      <v>High</v>
      <v>Low</v>
      <v>Name</v>
      <v>Price</v>
      <v>Industry</v>
      <v>Volume</v>
      <v>Open</v>
      <v>Employees</v>
      <v>Change (%)</v>
      <v>ExchangeID</v>
      <v>UniqueName</v>
      <v>Description</v>
      <v>Exchange</v>
      <v>Headquarters</v>
      <v>%ProviderInfo</v>
      <v>Official name</v>
      <v>Previous close</v>
      <v>Ticker symbol</v>
      <v>Volume average</v>
      <v>Year incorporated</v>
      <v>Instrument type</v>
      <v>Shares outstanding</v>
      <v>Market cap</v>
      <v>Exchange abbreviation</v>
      <v>Last trade time</v>
    </spb>
    <spb s="16">
      <v>5</v>
      <v>Name</v>
    </spb>
    <spb s="22">
      <v>1</v>
      <v>21</v>
      <v>21</v>
      <v>21</v>
      <v>3</v>
      <v>21</v>
      <v>4</v>
      <v>21</v>
      <v>4</v>
      <v>5</v>
      <v>21</v>
      <v>4</v>
      <v>6</v>
      <v>7</v>
      <v>4</v>
      <v>22</v>
      <v>9</v>
    </spb>
    <spb s="23">
      <v>P/E</v>
      <v>Beta</v>
      <v>Change</v>
      <v>Currency</v>
      <v>High</v>
      <v>Low</v>
      <v>Name</v>
      <v>Price</v>
      <v>Industry</v>
      <v>Volume</v>
      <v>Open</v>
      <v>Employees</v>
      <v>Change (%)</v>
      <v>ExchangeID</v>
      <v>UniqueName</v>
      <v>Description</v>
      <v>Exchange</v>
      <v>Headquarters</v>
      <v>%ProviderInfo</v>
      <v>Official name</v>
      <v>Previous close</v>
      <v>LearnMoreOnLink</v>
      <v>Ticker symbol</v>
      <v>Volume average</v>
      <v>Instrument type</v>
      <v>52 week high</v>
      <v>52 week low</v>
      <v>Shares outstanding</v>
      <v>Market cap</v>
      <v>Exchange abbreviation</v>
      <v>Last trade time</v>
    </spb>
    <spb s="1">
      <v>6</v>
      <v>Name</v>
      <v>LearnMoreOnLink</v>
    </spb>
    <spb s="24">
      <v>1</v>
      <v>1</v>
      <v>11</v>
      <v>11</v>
      <v>11</v>
      <v>3</v>
      <v>11</v>
      <v>4</v>
      <v>11</v>
      <v>4</v>
      <v>5</v>
      <v>11</v>
      <v>4</v>
      <v>6</v>
      <v>11</v>
      <v>11</v>
      <v>4</v>
      <v>12</v>
      <v>9</v>
    </spb>
    <spb s="5">
      <v xml:space="preserve">desde el cierre anterior </v>
      <v>Retrasado 15 minutos</v>
      <v xml:space="preserve">desde el cierre anterior </v>
      <v>Borsa Italia</v>
      <v>GMT</v>
    </spb>
    <spb s="4">
      <v>1</v>
      <v>1</v>
      <v>23</v>
      <v>23</v>
      <v>23</v>
      <v>3</v>
      <v>23</v>
      <v>4</v>
      <v>23</v>
      <v>4</v>
      <v>5</v>
      <v>23</v>
      <v>4</v>
      <v>6</v>
      <v>7</v>
      <v>23</v>
      <v>23</v>
      <v>4</v>
      <v>13</v>
      <v>9</v>
    </spb>
    <spb s="11">
      <v xml:space="preserve">desde el cierre anterior </v>
      <v>Retrasado 20 minutos</v>
      <v xml:space="preserve">desde el cierre anterior </v>
      <v>GMT</v>
    </spb>
    <spb s="25">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Change (Extended hours)</v>
      <v>Market cap</v>
      <v>Price (Extended hours)</v>
      <v>Exchange abbreviation</v>
      <v>Change % (Extended hours)</v>
      <v>Last trade time</v>
    </spb>
    <spb s="1">
      <v>7</v>
      <v>Name</v>
      <v>LearnMoreOnLink</v>
    </spb>
    <spb s="26">
      <v>1</v>
      <v>1</v>
      <v>17</v>
      <v>17</v>
      <v>17</v>
      <v>3</v>
      <v>17</v>
      <v>4</v>
      <v>17</v>
      <v>4</v>
      <v>5</v>
      <v>17</v>
      <v>4</v>
      <v>6</v>
      <v>7</v>
      <v>4</v>
      <v>17</v>
      <v>18</v>
      <v>17</v>
      <v>5</v>
      <v>9</v>
    </spb>
    <spb s="27">
      <v>P/E</v>
      <v>Beta</v>
      <v>Change</v>
      <v>Currency</v>
      <v>High</v>
      <v>Low</v>
      <v>Name</v>
      <v>Price</v>
      <v>Industry</v>
      <v>Volume</v>
      <v>Open</v>
      <v>Employees</v>
      <v>Change (%)</v>
      <v>ExchangeID</v>
      <v>UniqueName</v>
      <v>Description</v>
      <v>Exchange</v>
      <v>Headquarters</v>
      <v>%ProviderInfo</v>
      <v>Official name</v>
      <v>Previous close</v>
      <v>LearnMoreOnLink</v>
      <v>Ticker symbol</v>
      <v>Volume average</v>
      <v>Year incorporated</v>
      <v>Instrument type</v>
      <v>Shares outstanding</v>
      <v>Market cap</v>
      <v>Exchange abbreviation</v>
      <v>Last trade time</v>
    </spb>
    <spb s="1">
      <v>8</v>
      <v>Name</v>
      <v>LearnMoreOnLink</v>
    </spb>
    <spb s="28">
      <v>1</v>
      <v>1</v>
      <v>11</v>
      <v>11</v>
      <v>11</v>
      <v>3</v>
      <v>11</v>
      <v>4</v>
      <v>11</v>
      <v>4</v>
      <v>5</v>
      <v>11</v>
      <v>4</v>
      <v>6</v>
      <v>7</v>
      <v>4</v>
      <v>12</v>
      <v>24</v>
    </spb>
    <spb s="4">
      <v>1</v>
      <v>1</v>
      <v>23</v>
      <v>23</v>
      <v>23</v>
      <v>3</v>
      <v>23</v>
      <v>4</v>
      <v>23</v>
      <v>4</v>
      <v>5</v>
      <v>23</v>
      <v>4</v>
      <v>6</v>
      <v>7</v>
      <v>23</v>
      <v>23</v>
      <v>4</v>
      <v>18</v>
      <v>9</v>
    </spb>
    <spb s="29">
      <v>Change</v>
      <v>Currency</v>
      <v>High</v>
      <v>Low</v>
      <v>Name</v>
      <v>Price</v>
      <v>Open</v>
      <v>Change (%)</v>
      <v>UniqueName</v>
      <v>From currency</v>
      <v>%ProviderInfo</v>
      <v>Previous close</v>
      <v>Ticker symbol</v>
      <v>Instrument type</v>
      <v>52 week high</v>
      <v>52 week low</v>
      <v>Last trade time</v>
    </spb>
    <spb s="16">
      <v>9</v>
      <v>Name</v>
    </spb>
    <spb s="30">
      <v>2</v>
      <v>2</v>
    </spb>
    <spb s="31">
      <v>25</v>
      <v>25</v>
      <v>25</v>
      <v>3</v>
      <v>25</v>
      <v>25</v>
      <v>5</v>
      <v>25</v>
      <v>6</v>
      <v>25</v>
      <v>25</v>
      <v>9</v>
    </spb>
    <spb s="32">
      <v>GMT</v>
    </spb>
    <spb s="31">
      <v>2</v>
      <v>2</v>
      <v>2</v>
      <v>3</v>
      <v>2</v>
      <v>2</v>
      <v>5</v>
      <v>2</v>
      <v>6</v>
      <v>2</v>
      <v>2</v>
      <v>9</v>
    </spb>
    <spb s="31">
      <v>26</v>
      <v>26</v>
      <v>26</v>
      <v>3</v>
      <v>26</v>
      <v>26</v>
      <v>5</v>
      <v>26</v>
      <v>6</v>
      <v>26</v>
      <v>26</v>
      <v>9</v>
    </spb>
    <spb s="31">
      <v>11</v>
      <v>11</v>
      <v>11</v>
      <v>3</v>
      <v>11</v>
      <v>11</v>
      <v>5</v>
      <v>11</v>
      <v>6</v>
      <v>11</v>
      <v>11</v>
      <v>9</v>
    </spb>
  </spbData>
</supportingPropertyBags>
</file>

<file path=xl/richData/rdsupportingpropertybagstructure.xml><?xml version="1.0" encoding="utf-8"?>
<spbStructures xmlns="http://schemas.microsoft.com/office/spreadsheetml/2017/richdata2" count="33">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k n="SubTitleProperty" t="s"/>
  </s>
  <s>
    <k n="ShowInCardView" t="b"/>
    <k n="ShowInDotNotation" t="b"/>
    <k n="ShowInAutoComplete" t="b"/>
  </s>
  <s>
    <k n="ExchangeID" t="spb"/>
    <k n="UniqueName" t="spb"/>
    <k n="`%ProviderInfo" t="spb"/>
    <k n="LearnMoreOnLink" t="spb"/>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Cambio" t="s"/>
    <k n="Precio" t="s"/>
    <k n="Cambio (%)" t="s"/>
    <k n="ExchangeID" t="s"/>
    <k n="Hora de la última operación" t="s"/>
  </s>
  <s>
    <k n="P/I" t="s"/>
    <k n="Beta" t="s"/>
    <k n="Cambio" t="s"/>
    <k n="Imagen"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ShowInDotNotation" t="b"/>
    <k n="ShowInAutoComplete" t="b"/>
  </s>
  <s>
    <k n="Imagen" t="spb"/>
    <k n="ExchangeID" t="spb"/>
    <k n="UniqueName" t="spb"/>
    <k n="`%ProviderInfo" t="spb"/>
    <k n="LearnMoreOnLink" t="spb"/>
  </s>
  <s>
    <k n="P/I" t="i"/>
    <k n="Beta" t="i"/>
    <k n="Cambio" t="i"/>
    <k n="Imagen"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name" t="s"/>
  </s>
  <s>
    <k n="Cambio" t="s"/>
    <k n="Precio" t="s"/>
    <k n="Cambio (%)"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mbio (horario ampliado)" t="i"/>
    <k n="Capitalización de mercado" t="i"/>
    <k n="Precio (horario ampliado)" t="i"/>
    <k n="Cambio % (horario ampliado)" t="i"/>
    <k n="Hora de la última operación" t="i"/>
  </s>
  <s>
    <k n="Cambio" t="s"/>
    <k n="Precio" t="s"/>
    <k n="Cambio (%)" t="s"/>
    <k n="ExchangeID" t="s"/>
    <k n="Cambio (horario ampliado)" t="s"/>
    <k n="Precio (horario ampliado)" t="s"/>
    <k n="Cambio % (horario ampliado)" t="s"/>
    <k n="Hora de la última operación" t="s"/>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Order" t="spba"/>
    <k n="TitleProperty" t="s"/>
  </s>
  <s>
    <k n="ExchangeID" t="spb"/>
    <k n="UniqueName" t="spb"/>
    <k n="`%ProviderInfo" t="spb"/>
  </s>
  <s>
    <k n="Cambio" t="s"/>
    <k n="Precio" t="s"/>
    <k n="Cambio (%)" t="s"/>
    <k n="Cambio (horario ampliado)" t="s"/>
    <k n="Precio (horario ampliado)" t="s"/>
    <k n="Cambio % (horario ampliado)" t="s"/>
    <k n="Hora de la última operación" t="s"/>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Máximo en 52 semanas" t="s"/>
    <k n="Mínimo en 52 semanas"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Máximo en 52 semanas" t="i"/>
    <k n="Mínimo en 52 semanas" t="i"/>
    <k n="Acciones en circulación" t="i"/>
    <k n="Capitalización de mercado" t="i"/>
    <k n="Hora de la última operación" t="i"/>
  </s>
  <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Símbolo bursátil" t="s"/>
    <k n="Volumen promedio" t="s"/>
    <k n="Año de constitución" t="s"/>
    <k n="Tipo de instrumento" t="s"/>
    <k n="Acciones en circulación" t="s"/>
    <k n="Capitalización de mercado" t="s"/>
    <k n="Abreviatura de intercambio" t="s"/>
    <k n="Hora de la última operación" t="s"/>
  </s>
  <s>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Tipo de instrumento" t="s"/>
    <k n="Máximo en 52 semanas" t="s"/>
    <k n="Mínimo en 52 semanas"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Máximo en 52 semanas" t="i"/>
    <k n="Mínimo en 52 semanas" t="i"/>
    <k n="Acciones en circulación" t="i"/>
    <k n="Capitalización de merc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mbio (horario ampliado)" t="s"/>
    <k n="Capitalización de mercado" t="s"/>
    <k n="Precio (horario ampliado)" t="s"/>
    <k n="Abreviatura de intercambio" t="s"/>
    <k n="Cambio % (horario ampliad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mbio (horario ampliado)" t="i"/>
    <k n="Capitalización de mercado" t="i"/>
    <k n="Precio (horario ampliado)" t="i"/>
    <k n="Cambio % (horario ampliado)" t="i"/>
    <k n="Hora de la última operación" t="i"/>
  </s>
  <s>
    <k n="P/I" t="s"/>
    <k n="Beta" t="s"/>
    <k n="Cambio" t="s"/>
    <k n="Moneda" t="s"/>
    <k n="Máximo" t="s"/>
    <k n="Mínimo" t="s"/>
    <k n="Nombre" t="s"/>
    <k n="Precio" t="s"/>
    <k n="Sector" t="s"/>
    <k n="Volumen" t="s"/>
    <k n="Apertura" t="s"/>
    <k n="Empleados" t="s"/>
    <k n="Cambio (%)" t="s"/>
    <k n="ExchangeID" t="s"/>
    <k n="UniqueName" t="s"/>
    <k n="Descripción" t="s"/>
    <k n="Intercambio" t="s"/>
    <k n="Sede central" t="s"/>
    <k n="%ProviderInfo" t="s"/>
    <k n="Nombre oficial" t="s"/>
    <k n="Cierre anterior" t="s"/>
    <k n="LearnMoreOnLink" t="s"/>
    <k n="Símbolo bursátil" t="s"/>
    <k n="Volumen promedio" t="s"/>
    <k n="Año de constitución" t="s"/>
    <k n="Tipo de instrumento" t="s"/>
    <k n="Acciones en circulación" t="s"/>
    <k n="Capitalización de mercado" t="s"/>
    <k n="Abreviatura de intercambio" t="s"/>
    <k n="Hora de la última operación" t="s"/>
  </s>
  <s>
    <k n="P/I" t="i"/>
    <k n="Beta" t="i"/>
    <k n="Cambio" t="i"/>
    <k n="Máximo" t="i"/>
    <k n="Mínimo" t="i"/>
    <k n="Nombre" t="i"/>
    <k n="Precio" t="i"/>
    <k n="Volumen" t="i"/>
    <k n="Apertura" t="i"/>
    <k n="Empleados" t="i"/>
    <k n="Cambio (%)" t="i"/>
    <k n="Cierre anterior" t="i"/>
    <k n="Volumen promedio" t="i"/>
    <k n="`%EntityServiceId" t="i"/>
    <k n="Año de constitución" t="i"/>
    <k n="Acciones en circulación" t="i"/>
    <k n="Capitalización de mercado" t="i"/>
    <k n="Hora de la última operación" t="i"/>
  </s>
  <s>
    <k n="Cambio" t="s"/>
    <k n="Moneda" t="s"/>
    <k n="Máximo" t="s"/>
    <k n="Mínimo" t="s"/>
    <k n="Nombre" t="s"/>
    <k n="Precio" t="s"/>
    <k n="Apertura" t="s"/>
    <k n="Cambio (%)" t="s"/>
    <k n="UniqueName" t="s"/>
    <k n="De la moneda" t="s"/>
    <k n="%ProviderInfo" t="s"/>
    <k n="Cierre anterior" t="s"/>
    <k n="Símbolo bursátil" t="s"/>
    <k n="Tipo de instrumento" t="s"/>
    <k n="Máximo en 52 semanas" t="s"/>
    <k n="Mínimo en 52 semanas" t="s"/>
    <k n="Hora de la última operación" t="s"/>
  </s>
  <s>
    <k n="UniqueName" t="spb"/>
    <k n="`%ProviderInfo" t="spb"/>
  </s>
  <s>
    <k n="Cambio" t="i"/>
    <k n="Máximo" t="i"/>
    <k n="Mínimo" t="i"/>
    <k n="Nombre" t="i"/>
    <k n="Precio" t="i"/>
    <k n="Apertura" t="i"/>
    <k n="Cambio (%)" t="i"/>
    <k n="Cierre anterior" t="i"/>
    <k n="`%EntityServiceId" t="i"/>
    <k n="Máximo en 52 semanas" t="i"/>
    <k n="Mínimo en 52 semanas" t="i"/>
    <k n="Hora de la última operación" t="i"/>
  </s>
  <s>
    <k n="Hora de la última operación"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9">
    <x:dxf>
      <x:numFmt numFmtId="2" formatCode="0.00"/>
    </x:dxf>
    <x:dxf>
      <x:numFmt numFmtId="0" formatCode="General"/>
    </x:dxf>
    <x:dxf>
      <x:numFmt numFmtId="27" formatCode="dd/mm/yyyy\ h:mm"/>
    </x:dxf>
    <x:dxf>
      <x:numFmt numFmtId="14" formatCode="0.00%"/>
    </x:dxf>
    <x:dxf>
      <x:numFmt numFmtId="3" formatCode="#,##0"/>
    </x:dxf>
    <x:dxf>
      <x:numFmt numFmtId="4" formatCode="#,##0.00"/>
    </x:dxf>
    <x:dxf>
      <x:numFmt numFmtId="1" formatCode="0"/>
    </x:dxf>
    <x:dxf>
      <x:numFmt numFmtId="35" formatCode="_-* #,##0.00_-;\-* #,##0.00_-;_-* &quot;-&quot;??_-;_-@_-"/>
    </x:dxf>
    <x:dxf>
      <x:numFmt numFmtId="19" formatCode="dd/mm/yyyy"/>
    </x:dxf>
  </dxfs>
  <richProperties>
    <rPr n="NumberFormat" t="s"/>
    <rPr n="IsTitleField" t="b"/>
    <rPr n="IsHeroField" t="b"/>
  </richProperties>
  <richStyles>
    <rSty dxfid="5">
      <rpv i="0">#,##0.00</rpv>
    </rSty>
    <rSty dxfid="1">
      <rpv i="0">_([$$-en-US]* #,##0.00_);_([$$-en-US]* (#,##0.00);_([$$-en-US]* "-"??_);_(@_)</rpv>
    </rSty>
    <rSty>
      <rpv i="1">1</rpv>
    </rSty>
    <rSty dxfid="4">
      <rpv i="0">#,##0</rpv>
    </rSty>
    <rSty dxfid="3"/>
    <rSty dxfid="0">
      <rpv i="0">0.00</rpv>
    </rSty>
    <rSty dxfid="6">
      <rpv i="0">0</rpv>
    </rSty>
    <rSty dxfid="1">
      <rpv i="0">_([$$-en-US]* #,##0_);_([$$-en-US]* (#,##0);_([$$-en-US]* "-"_);_(@_)</rpv>
    </rSty>
    <rSty dxfid="2"/>
    <rSty>
      <rpv i="2">1</rpv>
    </rSty>
    <rSty dxfid="1">
      <rpv i="0">_([$€-x-euro2] * #,##0.00_);_([$€-x-euro2] * (#,##0.00);_([$€-x-euro2] * "-"??_);_(@_)</rpv>
    </rSty>
    <rSty dxfid="1">
      <rpv i="0">_([$€-x-euro2] * #,##0_);_([$€-x-euro2] * (#,##0);_([$€-x-euro2] * "-"_);_(@_)</rpv>
    </rSty>
    <rSty dxfid="1">
      <rpv i="0">_-[$$-en-CA]* #,##0_-;-[$$-en-CA]* #,##0_-;_-[$$-en-CA]* "-"_-;_-@_-</rpv>
    </rSty>
    <rSty dxfid="1">
      <rpv i="0">_-[$¥-ja-JP]* #,##0_-;-[$¥-ja-JP]* #,##0_-;_-[$¥-ja-JP]* "-"_-;_-@_-</rpv>
    </rSty>
    <rSty dxfid="7">
      <rpv i="0">_(* #,##0.00_);_(* (#,##0.00);_(* "-"??_);_(@_)</rpv>
    </rSty>
    <rSty dxfid="1">
      <rpv i="0">_-[$£-en-GB]* #,##0_-;-[$£-en-GB]* #,##0_-;_-[$£-en-GB]* "-"_-;_-@_-</rpv>
    </rSty>
    <rSty dxfid="1">
      <rpv i="0">_-* #,##0.00 [$kr-smj-SE]_-;-* #,##0.00 [$kr-smj-SE]_-;_-* "-"?? [$kr-smj-SE]_-;_-@_-</rpv>
    </rSty>
    <rSty dxfid="1">
      <rpv i="0">_-* #,##0 [$kr-smj-SE]_-;-* #,##0 [$kr-smj-SE]_-;_-* "-" [$kr-smj-SE]_-;_-@_-</rpv>
    </rSty>
    <rSty dxfid="1">
      <rpv i="0">_-* #,##0.00 [$zł-pl-PL]_-;-* #,##0.00 [$zł-pl-PL]_-;_-* "-"?? [$zł-pl-PL]_-;_-@_-</rpv>
    </rSty>
    <rSty dxfid="1">
      <rpv i="0">_-* #,##0 [$zł-pl-PL]_-;-* #,##0 [$zł-pl-PL]_-;_-* "-" [$zł-pl-PL]_-;_-@_-</rpv>
    </rSty>
    <rSty dxfid="1">
      <rpv i="0">_-* #,##0.00 [$CHF-fr-CH]_-;-* #,##0.00 [$CHF-fr-CH]_-;_-* "-"?? [$CHF-fr-CH]_-;_-@_-</rpv>
    </rSty>
    <rSty dxfid="1">
      <rpv i="0">_-* #,##0 [$CHF-fr-CH]_-;-* #,##0 [$CHF-fr-CH]_-;_-* "-" [$CHF-fr-CH]_-;_-@_-</rpv>
    </rSty>
    <rSty dxfid="1">
      <rpv i="0">_-[$$-en-CA]* #,##0.00_-;-[$$-en-CA]* #,##0.00_-;_-[$$-en-CA]* "-"??_-;_-@_-</rpv>
    </rSty>
    <rSty dxfid="8"/>
    <rSty dxfid="1">
      <rpv i="0">_-[$¥-ja-JP]* #,##0.00_-;-[$¥-ja-JP]* #,##0.00_-;_-[$¥-ja-JP]* "-"??_-;_-@_-</rpv>
    </rSty>
    <rSty dxfid="1">
      <rpv i="0">_-* #,##0.00 [$₸-kk-KZ]_-;-* #,##0.00 [$₸-kk-KZ]_-;_-* "-"?? [$₸-kk-KZ]_-;_-@_-</rpv>
    </rSty>
  </richStyles>
</richStyleShee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ns1="http://schemas.openxmlformats.org/markup-compatibility/2006" xmlns:ns2="http://schemas.microsoft.com/office/spreadsheetml/2014/revision" xmlns:ns3="http://schemas.microsoft.com/office/spreadsheetml/2009/9/ac" xmlns:ns4="http://schemas.openxmlformats.org/officeDocument/2006/relationships" ns1:Ignorable="x14ac xr xr2 xr3" ns2:uid="{00000000-0001-0000-0000-000000000000}">
  <dimension ref="A1:BP65"/>
  <sheetViews>
    <sheetView tabSelected="1" zoomScaleNormal="100" workbookViewId="0">
      <pane xSplit="2" ySplit="3" topLeftCell="C49" activePane="bottomRight" state="frozen"/>
      <selection pane="topRight" activeCell="C1" sqref="C1"/>
      <selection pane="bottomLeft" activeCell="A4" sqref="A4"/>
      <selection pane="bottomRight" activeCell="M65" sqref="M65"/>
    </sheetView>
  </sheetViews>
  <sheetFormatPr baseColWidth="10" defaultColWidth="8.5703125" defaultRowHeight="15" ns3:dyDescent="0.25"/>
  <cols>
    <col min="1" max="1" width="27" customWidth="1"/>
    <col min="2" max="2" width="10" customWidth="1"/>
    <col min="3" max="3" width="12.140625" bestFit="1" customWidth="1"/>
    <col min="4" max="4" width="14.7109375" bestFit="1" customWidth="1"/>
    <col min="5" max="5" width="22" customWidth="1"/>
    <col min="6" max="6" width="9" customWidth="1"/>
    <col min="7" max="7" width="11" customWidth="1"/>
    <col min="8" max="9" width="14" customWidth="1"/>
    <col min="10" max="10" width="9" customWidth="1"/>
    <col min="11" max="11" width="7" customWidth="1"/>
    <col min="12" max="13" width="10" customWidth="1"/>
    <col min="14" max="14" width="12" customWidth="1"/>
    <col min="15" max="17" width="10" customWidth="1"/>
    <col min="18" max="18" width="8" customWidth="1"/>
    <col min="19" max="20" width="10" customWidth="1"/>
    <col min="21" max="21" width="7" customWidth="1"/>
    <col min="22" max="23" width="10" customWidth="1"/>
    <col min="24" max="26" width="12" customWidth="1"/>
    <col min="27" max="28" width="8" customWidth="1"/>
    <col min="29" max="30" width="10" customWidth="1"/>
    <col min="31" max="31" width="12" customWidth="1"/>
    <col min="32" max="32" width="11" customWidth="1"/>
    <col min="33" max="33" width="12" customWidth="1"/>
    <col min="34" max="34" width="11" customWidth="1"/>
    <col min="35" max="35" width="10" customWidth="1"/>
    <col min="36" max="37" width="11" customWidth="1"/>
    <col min="38" max="38" width="8" customWidth="1"/>
    <col min="39" max="39" width="10" customWidth="1"/>
    <col min="40" max="40" width="11" customWidth="1"/>
    <col min="41" max="41" width="7.85546875" customWidth="1"/>
    <col min="42" max="42" width="9.140625" customWidth="1"/>
    <col min="43" max="43" width="7.5703125" customWidth="1"/>
    <col min="44" max="44" width="10.28515625" customWidth="1"/>
    <col min="46" max="47" width="7.5703125" customWidth="1"/>
    <col min="48" max="48" width="9.140625" customWidth="1"/>
    <col min="49" max="49" width="10.140625" bestFit="1" customWidth="1"/>
    <col min="50" max="50" width="11.85546875" customWidth="1"/>
    <col min="52" max="52" width="9.140625" customWidth="1"/>
    <col min="56" max="56" width="10" customWidth="1"/>
    <col min="57" max="57" width="7.85546875" customWidth="1"/>
    <col min="58" max="58" width="9.140625" customWidth="1"/>
    <col min="59" max="59" width="8.85546875" bestFit="1" customWidth="1"/>
    <col min="60" max="61" width="11.28515625" customWidth="1"/>
    <col min="62" max="62" width="9.5703125" customWidth="1"/>
    <col min="63" max="63" width="10.5703125" customWidth="1"/>
    <col min="64" max="65" width="10.140625" bestFit="1" customWidth="1"/>
    <col min="66" max="66" width="9.5703125" customWidth="1"/>
    <col min="67" max="67" width="11.85546875" customWidth="1"/>
  </cols>
  <sheetData>
    <row r="1" spans="1:68" ht="27.75" customHeight="1" ns3:dyDescent="0.25">
      <c r="A1" s="100" t="s">
        <v>0</v>
      </c>
      <c r="B1" s="96"/>
      <c r="C1" s="96"/>
      <c r="D1" s="96"/>
      <c r="E1" s="96"/>
      <c r="F1" s="96"/>
      <c r="G1" s="96"/>
      <c r="H1" s="96"/>
      <c r="I1" s="96"/>
      <c r="J1" s="96"/>
      <c r="K1" s="96"/>
      <c r="L1" s="96"/>
      <c r="M1" s="96"/>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row>
    <row r="2" spans="1:68" ht="21.75" customHeight="1" ns3:dyDescent="0.25">
      <c r="A2" s="103" t="s">
        <v>1</v>
      </c>
      <c r="B2" s="96"/>
      <c r="C2" s="96"/>
      <c r="D2" s="96"/>
      <c r="E2" s="96"/>
      <c r="F2" s="96"/>
      <c r="G2" s="96"/>
      <c r="H2" s="96"/>
      <c r="I2" s="96"/>
      <c r="J2" s="99" t="s">
        <v>2</v>
      </c>
      <c r="K2" s="96"/>
      <c r="L2" s="96"/>
      <c r="M2" s="96"/>
      <c r="N2" s="96"/>
      <c r="O2" s="96"/>
      <c r="P2" s="96"/>
      <c r="Q2" s="96"/>
      <c r="R2" s="96"/>
      <c r="S2" s="96"/>
      <c r="T2" s="98" t="s">
        <v>3</v>
      </c>
      <c r="U2" s="96"/>
      <c r="V2" s="96"/>
      <c r="W2" s="96"/>
      <c r="X2" s="96"/>
      <c r="Y2" s="96"/>
      <c r="Z2" s="96"/>
      <c r="AA2" s="96"/>
      <c r="AB2" s="96"/>
      <c r="AC2" s="96"/>
      <c r="AD2" s="101" t="s">
        <v>4</v>
      </c>
      <c r="AE2" s="96"/>
      <c r="AF2" s="96"/>
      <c r="AG2" s="96"/>
      <c r="AH2" s="96"/>
      <c r="AI2" s="96"/>
      <c r="AJ2" s="96"/>
      <c r="AK2" s="96"/>
      <c r="AL2" s="96"/>
      <c r="AM2" s="96"/>
      <c r="AN2" s="97" t="s">
        <v>5</v>
      </c>
      <c r="AO2" s="104" t="s">
        <v>6</v>
      </c>
      <c r="AP2" s="96"/>
      <c r="AQ2" s="96"/>
      <c r="AR2" s="96"/>
      <c r="AS2" s="96"/>
      <c r="AT2" s="96"/>
      <c r="AU2" s="96"/>
      <c r="AV2" s="96"/>
      <c r="AW2" s="96"/>
      <c r="AX2" s="96"/>
      <c r="AY2" s="96"/>
      <c r="AZ2" s="96"/>
      <c r="BA2" s="96"/>
      <c r="BB2" s="96"/>
      <c r="BC2" s="96"/>
      <c r="BD2" s="96"/>
      <c r="BE2" s="96"/>
      <c r="BF2" s="96"/>
      <c r="BG2" s="1"/>
      <c r="BH2" s="1"/>
      <c r="BI2" s="1"/>
      <c r="BJ2" s="102" t="s">
        <v>7</v>
      </c>
      <c r="BK2" s="96"/>
      <c r="BL2" s="96"/>
      <c r="BM2" s="96"/>
      <c r="BN2" s="95" t="s">
        <v>8</v>
      </c>
      <c r="BO2" s="96"/>
      <c r="BP2" s="96"/>
    </row>
    <row r="3" spans="1:68" ht="45" customHeight="1" ns3:dyDescent="0.25">
      <c r="A3" s="3" t="s">
        <v>9</v>
      </c>
      <c r="B3" s="3" t="s">
        <v>10</v>
      </c>
      <c r="C3" s="3" t="s">
        <v>11</v>
      </c>
      <c r="D3" s="89" t="s">
        <v>12</v>
      </c>
      <c r="E3" s="3" t="s">
        <v>13</v>
      </c>
      <c r="F3" s="3" t="s">
        <v>14</v>
      </c>
      <c r="G3" s="3" t="s">
        <v>15</v>
      </c>
      <c r="H3" s="3" t="s">
        <v>16</v>
      </c>
      <c r="I3" s="3" t="s">
        <v>17</v>
      </c>
      <c r="J3" s="4" t="s">
        <v>18</v>
      </c>
      <c r="K3" s="4" t="s">
        <v>19</v>
      </c>
      <c r="L3" s="4" t="s">
        <v>20</v>
      </c>
      <c r="M3" s="4" t="s">
        <v>21</v>
      </c>
      <c r="N3" s="4" t="s">
        <v>22</v>
      </c>
      <c r="O3" s="4" t="s">
        <v>23</v>
      </c>
      <c r="P3" s="4" t="s">
        <v>24</v>
      </c>
      <c r="Q3" s="4" t="s">
        <v>25</v>
      </c>
      <c r="R3" s="4" t="s">
        <v>26</v>
      </c>
      <c r="S3" s="4" t="s">
        <v>27</v>
      </c>
      <c r="T3" s="5" t="s">
        <v>28</v>
      </c>
      <c r="U3" s="5" t="s">
        <v>29</v>
      </c>
      <c r="V3" s="5" t="s">
        <v>30</v>
      </c>
      <c r="W3" s="5" t="s">
        <v>31</v>
      </c>
      <c r="X3" s="5" t="s">
        <v>32</v>
      </c>
      <c r="Y3" s="5" t="s">
        <v>33</v>
      </c>
      <c r="Z3" s="5" t="s">
        <v>34</v>
      </c>
      <c r="AA3" s="5" t="s">
        <v>35</v>
      </c>
      <c r="AB3" s="5" t="s">
        <v>36</v>
      </c>
      <c r="AC3" s="5" t="s">
        <v>37</v>
      </c>
      <c r="AD3" s="6" t="s">
        <v>38</v>
      </c>
      <c r="AE3" s="6" t="s">
        <v>39</v>
      </c>
      <c r="AF3" s="6" t="s">
        <v>40</v>
      </c>
      <c r="AG3" s="6" t="s">
        <v>41</v>
      </c>
      <c r="AH3" s="6" t="s">
        <v>42</v>
      </c>
      <c r="AI3" s="6" t="s">
        <v>43</v>
      </c>
      <c r="AJ3" s="6" t="s">
        <v>44</v>
      </c>
      <c r="AK3" s="6" t="s">
        <v>45</v>
      </c>
      <c r="AL3" s="6" t="s">
        <v>46</v>
      </c>
      <c r="AM3" s="6" t="s">
        <v>47</v>
      </c>
      <c r="AN3" s="96"/>
      <c r="AO3" s="7" t="s">
        <v>48</v>
      </c>
      <c r="AP3" s="7" t="s">
        <v>49</v>
      </c>
      <c r="AQ3" s="7" t="s">
        <v>50</v>
      </c>
      <c r="AR3" s="7" t="s">
        <v>51</v>
      </c>
      <c r="AS3" s="8" t="s">
        <v>52</v>
      </c>
      <c r="AT3" s="8" t="s">
        <v>53</v>
      </c>
      <c r="AU3" s="8" t="s">
        <v>54</v>
      </c>
      <c r="AV3" s="8" t="s">
        <v>55</v>
      </c>
      <c r="AW3" s="7" t="s">
        <v>56</v>
      </c>
      <c r="AX3" s="7" t="s">
        <v>57</v>
      </c>
      <c r="AY3" s="7" t="s">
        <v>58</v>
      </c>
      <c r="AZ3" s="7" t="s">
        <v>59</v>
      </c>
      <c r="BA3" s="8" t="s">
        <v>60</v>
      </c>
      <c r="BB3" s="8" t="s">
        <v>61</v>
      </c>
      <c r="BC3" s="7" t="s">
        <v>62</v>
      </c>
      <c r="BD3" s="7" t="s">
        <v>63</v>
      </c>
      <c r="BE3" s="8" t="s">
        <v>64</v>
      </c>
      <c r="BF3" s="7" t="s">
        <v>65</v>
      </c>
      <c r="BG3" s="8" t="s">
        <v>66</v>
      </c>
      <c r="BH3" s="7" t="s">
        <v>67</v>
      </c>
      <c r="BI3" s="7" t="s">
        <v>68</v>
      </c>
      <c r="BJ3" s="9" t="s">
        <v>69</v>
      </c>
      <c r="BK3" s="9" t="s">
        <v>70</v>
      </c>
      <c r="BL3" s="9" t="s">
        <v>71</v>
      </c>
      <c r="BM3" s="2" t="s">
        <v>72</v>
      </c>
      <c r="BN3" s="92" t="s">
        <v>73</v>
      </c>
      <c r="BO3" s="92" t="s">
        <v>74</v>
      </c>
      <c r="BP3" s="92" t="s">
        <v>75</v>
      </c>
    </row>
    <row r="4" spans="1:68" ht="15" customHeight="1" ns3:dyDescent="0.25">
      <c r="A4" s="86" t="e" vm="1">
        <v>#VALUE!</v>
      </c>
      <c r="B4" s="10" t="str">
        <f t="array" aca="1" ref="B4" ca="1">_FV(A4,"Símbolo bursátil",TRUE())</f>
        <v>VEEV</v>
      </c>
      <c r="C4" s="88" t="s">
        <v>76</v>
      </c>
      <c r="D4" s="88" t="s">
        <v>77</v>
      </c>
      <c r="E4" s="11" t="str">
        <f t="array" aca="1" ref="E4" ca="1">_FV(A4,"Abreviatura de intercambio",TRUE())</f>
        <v>XNYS</v>
      </c>
      <c r="F4" s="11" t="str">
        <f t="array" aca="1" ref="F4" ca="1">_FV(A4,"Moneda")</f>
        <v>USD</v>
      </c>
      <c r="G4" s="12">
        <f t="array" aca="1" ref="G4" ca="1">_FV(A4,"Precio")</f>
        <v>164.12</v>
      </c>
      <c r="H4" s="13">
        <f t="array" aca="1" ref="H4" ca="1">_FV(A4,"Acciones en circulación",TRUE())/1000000</f>
        <v>163.1987</v>
      </c>
      <c r="I4" s="14">
        <f t="shared" ref="I4:I16" ca="1" si="0">G4*H4</f>
        <v>26784.170644000002</v>
      </c>
      <c r="J4" s="90">
        <v>1.5</v>
      </c>
      <c r="K4" s="90">
        <v>8</v>
      </c>
      <c r="L4" s="90">
        <v>2</v>
      </c>
      <c r="M4" s="90">
        <v>1</v>
      </c>
      <c r="N4" s="90">
        <v>-1.5</v>
      </c>
      <c r="O4" s="90">
        <v>0.72</v>
      </c>
      <c r="P4" s="90">
        <v>1</v>
      </c>
      <c r="Q4" s="90">
        <v>1</v>
      </c>
      <c r="R4" s="15">
        <f t="shared" ref="R4:R35" si="1">SUM(J4:Q4)</f>
        <v>13.72</v>
      </c>
      <c r="S4" s="16">
        <f t="shared" ref="S4:S35" si="2">ROUND(R4/17*10,2)</f>
        <v>8.07</v>
      </c>
      <c r="T4" s="90">
        <v>17</v>
      </c>
      <c r="U4" s="90">
        <v>18</v>
      </c>
      <c r="V4" s="90">
        <v>16</v>
      </c>
      <c r="W4" s="90">
        <v>8</v>
      </c>
      <c r="X4" s="90">
        <v>9</v>
      </c>
      <c r="Y4" s="90">
        <v>12</v>
      </c>
      <c r="Z4" s="90">
        <v>10</v>
      </c>
      <c r="AA4" s="90">
        <v>-8</v>
      </c>
      <c r="AB4" s="15">
        <f t="shared" ref="AB4:AB35" si="3">SUM(T4:AA4)</f>
        <v>82</v>
      </c>
      <c r="AC4" s="16">
        <f t="shared" ref="AC4:AC35" si="4">ROUND(AB4/10,2)</f>
        <v>8.1999999999999993</v>
      </c>
      <c r="AD4" s="90">
        <v>14</v>
      </c>
      <c r="AE4" s="90">
        <v>0</v>
      </c>
      <c r="AF4" s="90">
        <v>10</v>
      </c>
      <c r="AG4" s="90">
        <v>14</v>
      </c>
      <c r="AH4" s="90">
        <v>5</v>
      </c>
      <c r="AI4" s="90">
        <v>8</v>
      </c>
      <c r="AJ4" s="90">
        <v>14</v>
      </c>
      <c r="AK4" s="90">
        <v>-5</v>
      </c>
      <c r="AL4" s="15">
        <f t="shared" ref="AL4:AL35" si="5">SUM(AD4:AK4)</f>
        <v>60</v>
      </c>
      <c r="AM4" s="16">
        <f t="shared" ref="AM4:AM35" si="6">ROUND(AL4/70*10,2)</f>
        <v>8.57</v>
      </c>
      <c r="AN4" s="17">
        <f t="shared" ref="AN4:AN35" si="7">ROUND((S4+AC4+AM4)/3,2)</f>
        <v>8.2799999999999994</v>
      </c>
      <c r="AO4" s="18" t="s">
        <v>78</v>
      </c>
      <c r="AP4" s="19">
        <v>5100</v>
      </c>
      <c r="AQ4" s="19">
        <v>0</v>
      </c>
      <c r="AR4" s="19">
        <f t="shared" ref="AR4:AR11" ca="1" si="8">I4-AP4+AQ4</f>
        <v>21684.170644000002</v>
      </c>
      <c r="AS4" s="19">
        <v>1100</v>
      </c>
      <c r="AT4" s="19">
        <v>810</v>
      </c>
      <c r="AU4" s="19">
        <v>1050</v>
      </c>
      <c r="AV4" s="19">
        <v>3200</v>
      </c>
      <c r="AW4" s="20">
        <f t="shared" ref="AW4:AW35" ca="1" si="9">AR4/AS4</f>
        <v>19.712882403636364</v>
      </c>
      <c r="AX4" s="20">
        <f t="shared" ref="AX4:AX35" ca="1" si="10">AR4/AU4</f>
        <v>20.651591089523812</v>
      </c>
      <c r="AY4" s="20">
        <f t="shared" ref="AY4:AY35" ca="1" si="11">AR4/AV4</f>
        <v>6.7763033262500008</v>
      </c>
      <c r="AZ4" s="21">
        <v>1500</v>
      </c>
      <c r="BA4" s="22">
        <f t="shared" ref="BA4:BA35" si="12">AT4/AV4</f>
        <v>0.25312499999999999</v>
      </c>
      <c r="BB4" s="22">
        <f t="shared" ref="BB4:BB35" si="13">AV4/AZ4</f>
        <v>2.1333333333333333</v>
      </c>
      <c r="BC4" s="23">
        <f t="shared" ref="BC4:BC35" si="14">BA4*BB4</f>
        <v>0.53999999999999992</v>
      </c>
      <c r="BD4" t="s">
        <v>79</v>
      </c>
      <c r="BE4" s="23">
        <f t="shared" ref="BE4:BE35" si="15">(BD4/AS4)^(1/5)-1</f>
        <v>7.9965132679460593E-2</v>
      </c>
      <c r="BF4" t="s">
        <v>80</v>
      </c>
      <c r="BG4" s="23">
        <f t="shared" ref="BG4:BG35" si="16">(BF4/AS4)^(1/5)-1</f>
        <v>0.19998667198228226</v>
      </c>
      <c r="BH4" s="24">
        <v>18</v>
      </c>
      <c r="BI4" s="24">
        <v>30</v>
      </c>
      <c r="BJ4" s="25">
        <f t="shared" ref="BJ4:BJ11" ca="1" si="17">(BD4*BH4+$AP4-$AQ4)/$H4</f>
        <v>209.48696282507152</v>
      </c>
      <c r="BK4" s="25">
        <f t="shared" ref="BK4:BK11" ca="1" si="18">(BF4*BI4+$AP4-$AQ4)/$H4</f>
        <v>534.37925669751041</v>
      </c>
      <c r="BL4" s="23">
        <f t="shared" ref="BL4:BL35" ca="1" si="19">($BJ4/G4)^(1/5)-1</f>
        <v>5.0023692268371889E-2</v>
      </c>
      <c r="BM4" s="23">
        <f t="shared" ref="BM4:BM35" ca="1" si="20">(BK4/G4)^(1/4)-1</f>
        <v>0.34329692568943093</v>
      </c>
      <c r="BN4" t="inlineStr">
        <is>
          <t>2026-06-10</t>
        </is>
      </c>
      <c r="BO4" t="inlineStr">
        <is>
          <t>03/06/2026</t>
        </is>
      </c>
      <c r="BP4" t="inlineStr">
        <is>
          <t>02/09/2026</t>
        </is>
      </c>
    </row>
    <row r="5" spans="1:68" ht="15" customHeight="1" ns3:dyDescent="0.25">
      <c r="A5" s="86" t="e" vm="2">
        <v>#VALUE!</v>
      </c>
      <c r="B5" s="10" t="str">
        <f t="array" aca="1" ref="B5" ca="1">_FV(A5,"Símbolo bursátil",TRUE())</f>
        <v>MSFT</v>
      </c>
      <c r="C5" s="88" t="s">
        <v>84</v>
      </c>
      <c r="D5" s="88" t="s">
        <v>77</v>
      </c>
      <c r="E5" s="11" t="str">
        <f t="array" aca="1" ref="E5" ca="1">_FV(A5,"Abreviatura de intercambio",TRUE())</f>
        <v>XNAS</v>
      </c>
      <c r="F5" s="11" t="str">
        <f t="array" aca="1" ref="F5" ca="1">_FV(A5,"Moneda")</f>
        <v>USD</v>
      </c>
      <c r="G5" s="12">
        <f t="array" aca="1" ref="G5" ca="1">_FV(A5,"Precio")</f>
        <v>418.16</v>
      </c>
      <c r="H5" s="13">
        <f t="array" aca="1" ref="H5" ca="1">_FV(A5,"Acciones en circulación",TRUE())/1000000</f>
        <v>7428.4350000000004</v>
      </c>
      <c r="I5" s="14">
        <f t="shared" ca="1" si="0"/>
        <v>3106274.3796000006</v>
      </c>
      <c r="J5" s="91">
        <v>1</v>
      </c>
      <c r="K5" s="91">
        <v>8</v>
      </c>
      <c r="L5" s="91">
        <v>3</v>
      </c>
      <c r="M5" s="91">
        <v>1</v>
      </c>
      <c r="N5" s="91">
        <v>0</v>
      </c>
      <c r="O5" s="91">
        <v>0.8</v>
      </c>
      <c r="P5" s="91">
        <v>1</v>
      </c>
      <c r="Q5" s="91">
        <v>0</v>
      </c>
      <c r="R5" s="26">
        <f t="shared" si="1"/>
        <v>14.8</v>
      </c>
      <c r="S5" s="16">
        <f t="shared" si="2"/>
        <v>8.7100000000000009</v>
      </c>
      <c r="T5" s="91">
        <v>16</v>
      </c>
      <c r="U5" s="91">
        <v>19</v>
      </c>
      <c r="V5" s="91">
        <v>14</v>
      </c>
      <c r="W5" s="91">
        <v>10</v>
      </c>
      <c r="X5" s="91">
        <v>9</v>
      </c>
      <c r="Y5" s="91">
        <v>13</v>
      </c>
      <c r="Z5" s="91">
        <v>7</v>
      </c>
      <c r="AA5" s="91">
        <v>-12</v>
      </c>
      <c r="AB5" s="26">
        <f t="shared" si="3"/>
        <v>76</v>
      </c>
      <c r="AC5" s="16">
        <f t="shared" si="4"/>
        <v>7.6</v>
      </c>
      <c r="AD5" s="91">
        <v>14</v>
      </c>
      <c r="AE5" s="91">
        <v>0</v>
      </c>
      <c r="AF5" s="91">
        <v>5</v>
      </c>
      <c r="AG5" s="91">
        <v>14</v>
      </c>
      <c r="AH5" s="91">
        <v>5</v>
      </c>
      <c r="AI5" s="91">
        <v>9</v>
      </c>
      <c r="AJ5" s="91">
        <v>13</v>
      </c>
      <c r="AK5" s="91">
        <v>-6</v>
      </c>
      <c r="AL5" s="26">
        <f t="shared" si="5"/>
        <v>54</v>
      </c>
      <c r="AM5" s="16">
        <f t="shared" si="6"/>
        <v>7.71</v>
      </c>
      <c r="AN5" s="17">
        <f t="shared" si="7"/>
        <v>8.01</v>
      </c>
      <c r="AO5" s="18" t="s">
        <v>78</v>
      </c>
      <c r="AP5" s="19">
        <v>78000</v>
      </c>
      <c r="AQ5" s="19">
        <v>45000</v>
      </c>
      <c r="AR5" s="19">
        <f t="shared" ca="1" si="8"/>
        <v>3073274.3796000006</v>
      </c>
      <c r="AS5" s="19">
        <v>70000</v>
      </c>
      <c r="AT5" s="19">
        <v>90000</v>
      </c>
      <c r="AU5" s="19">
        <v>144000</v>
      </c>
      <c r="AV5" s="19">
        <v>270000</v>
      </c>
      <c r="AW5" s="20">
        <f t="shared" ca="1" si="9"/>
        <v>43.903919708571436</v>
      </c>
      <c r="AX5" s="20">
        <f t="shared" ca="1" si="10"/>
        <v>21.34218319166667</v>
      </c>
      <c r="AY5" s="20">
        <f t="shared" ca="1" si="11"/>
        <v>11.382497702222224</v>
      </c>
      <c r="AZ5" s="21">
        <v>280000</v>
      </c>
      <c r="BA5" s="22">
        <f t="shared" si="12"/>
        <v>0.33333333333333331</v>
      </c>
      <c r="BB5" s="22">
        <f t="shared" si="13"/>
        <v>0.9642857142857143</v>
      </c>
      <c r="BC5" s="23">
        <f t="shared" si="14"/>
        <v>0.3214285714285714</v>
      </c>
      <c r="BD5" t="s">
        <v>85</v>
      </c>
      <c r="BE5" s="23">
        <f t="shared" si="15"/>
        <v>8.0000072713343418E-2</v>
      </c>
      <c r="BF5" t="s">
        <v>86</v>
      </c>
      <c r="BG5" s="23">
        <f t="shared" si="16"/>
        <v>0.1699994472920241</v>
      </c>
      <c r="BH5" s="24">
        <v>20</v>
      </c>
      <c r="BI5" s="24">
        <v>30</v>
      </c>
      <c r="BJ5" s="25">
        <f t="shared" ca="1" si="17"/>
        <v>281.35939804279099</v>
      </c>
      <c r="BK5" s="25">
        <f t="shared" ca="1" si="18"/>
        <v>624.24050287846626</v>
      </c>
      <c r="BL5" s="23">
        <f t="shared" ca="1" si="19"/>
        <v>-7.6187598967572323E-2</v>
      </c>
      <c r="BM5" s="23">
        <f t="shared" ca="1" si="20"/>
        <v>0.10535648659769592</v>
      </c>
      <c r="BN5" s="93" t="s">
        <v>81</v>
      </c>
      <c r="BO5" s="93" t="s">
        <v>87</v>
      </c>
      <c r="BP5" s="93" t="s">
        <v>88</v>
      </c>
    </row>
    <row r="6" spans="1:68" ht="15" customHeight="1" ns3:dyDescent="0.25">
      <c r="A6" s="86" t="e" vm="3">
        <v>#VALUE!</v>
      </c>
      <c r="B6" s="10" t="str">
        <f t="array" aca="1" ref="B6" ca="1">_FV(A6,"Símbolo bursátil",TRUE())</f>
        <v>ADYEN</v>
      </c>
      <c r="C6" s="88" t="s">
        <v>89</v>
      </c>
      <c r="D6" s="88" t="s">
        <v>77</v>
      </c>
      <c r="E6" s="11" t="str">
        <f t="array" aca="1" ref="E6" ca="1">_FV(A6,"Abreviatura de intercambio",TRUE())</f>
        <v>XAMS</v>
      </c>
      <c r="F6" s="11" t="str">
        <f t="array" aca="1" ref="F6" ca="1">_FV(A6,"Moneda")</f>
        <v>EUR</v>
      </c>
      <c r="G6" s="12">
        <f t="array" aca="1" ref="G6" ca="1">_FV(A6,"Precio")</f>
        <v>952.6</v>
      </c>
      <c r="H6" s="13">
        <f t="array" aca="1" ref="H6" ca="1">_FV(A6,"Acciones en circulación",TRUE())/1000000</f>
        <v>31.54768</v>
      </c>
      <c r="I6" s="14">
        <f t="shared" ca="1" si="0"/>
        <v>30052.319968</v>
      </c>
      <c r="J6" s="90">
        <v>1</v>
      </c>
      <c r="K6" s="90">
        <v>7</v>
      </c>
      <c r="L6" s="90">
        <v>2</v>
      </c>
      <c r="M6" s="90">
        <v>1</v>
      </c>
      <c r="N6" s="90">
        <v>-1</v>
      </c>
      <c r="O6" s="90">
        <v>0.74</v>
      </c>
      <c r="P6" s="90">
        <v>1</v>
      </c>
      <c r="Q6" s="90">
        <v>1</v>
      </c>
      <c r="R6" s="15">
        <f t="shared" si="1"/>
        <v>12.74</v>
      </c>
      <c r="S6" s="16">
        <f t="shared" si="2"/>
        <v>7.49</v>
      </c>
      <c r="T6" s="90">
        <v>15.5</v>
      </c>
      <c r="U6" s="90">
        <v>18</v>
      </c>
      <c r="V6" s="90">
        <v>13</v>
      </c>
      <c r="W6" s="90">
        <v>8</v>
      </c>
      <c r="X6" s="90">
        <v>7.5</v>
      </c>
      <c r="Y6" s="90">
        <v>12</v>
      </c>
      <c r="Z6" s="90">
        <v>10</v>
      </c>
      <c r="AA6" s="90">
        <v>-10</v>
      </c>
      <c r="AB6" s="15">
        <f t="shared" si="3"/>
        <v>74</v>
      </c>
      <c r="AC6" s="16">
        <f t="shared" si="4"/>
        <v>7.4</v>
      </c>
      <c r="AD6" s="90">
        <v>13</v>
      </c>
      <c r="AE6" s="90">
        <v>-1</v>
      </c>
      <c r="AF6" s="90">
        <v>9</v>
      </c>
      <c r="AG6" s="90">
        <v>14</v>
      </c>
      <c r="AH6" s="90">
        <v>5</v>
      </c>
      <c r="AI6" s="90">
        <v>10</v>
      </c>
      <c r="AJ6" s="90">
        <v>14</v>
      </c>
      <c r="AK6" s="90">
        <v>-6</v>
      </c>
      <c r="AL6" s="15">
        <f t="shared" si="5"/>
        <v>58</v>
      </c>
      <c r="AM6" s="16">
        <f t="shared" si="6"/>
        <v>8.2899999999999991</v>
      </c>
      <c r="AN6" s="17">
        <f t="shared" si="7"/>
        <v>7.73</v>
      </c>
      <c r="AO6" s="18" t="s">
        <v>90</v>
      </c>
      <c r="AP6" s="19">
        <v>9000</v>
      </c>
      <c r="AQ6" s="19">
        <v>500</v>
      </c>
      <c r="AR6" s="19">
        <f t="shared" ca="1" si="8"/>
        <v>21552.319968</v>
      </c>
      <c r="AS6" s="19">
        <v>790</v>
      </c>
      <c r="AT6" s="19">
        <v>600</v>
      </c>
      <c r="AU6" s="19">
        <v>1050</v>
      </c>
      <c r="AV6" s="19">
        <v>2050</v>
      </c>
      <c r="AW6" s="20">
        <f t="shared" ca="1" si="9"/>
        <v>27.281417681012659</v>
      </c>
      <c r="AX6" s="20">
        <f t="shared" ca="1" si="10"/>
        <v>20.526019017142858</v>
      </c>
      <c r="AY6" s="20">
        <f t="shared" ca="1" si="11"/>
        <v>10.513326813658537</v>
      </c>
      <c r="AZ6" s="21">
        <v>2500</v>
      </c>
      <c r="BA6" s="22">
        <f t="shared" si="12"/>
        <v>0.29268292682926828</v>
      </c>
      <c r="BB6" s="22">
        <f t="shared" si="13"/>
        <v>0.82</v>
      </c>
      <c r="BC6" s="23">
        <f t="shared" si="14"/>
        <v>0.23999999999999996</v>
      </c>
      <c r="BD6" t="s">
        <v>91</v>
      </c>
      <c r="BE6" s="23">
        <f t="shared" si="15"/>
        <v>0.11995978575519017</v>
      </c>
      <c r="BF6" t="s">
        <v>92</v>
      </c>
      <c r="BG6" s="23">
        <f t="shared" si="16"/>
        <v>0.27996044996171676</v>
      </c>
      <c r="BH6" s="24">
        <v>17.5</v>
      </c>
      <c r="BI6" s="24">
        <v>28</v>
      </c>
      <c r="BJ6" s="25">
        <f t="shared" ca="1" si="17"/>
        <v>1041.5979875540768</v>
      </c>
      <c r="BK6" s="25">
        <f t="shared" ca="1" si="18"/>
        <v>2678.2318065860945</v>
      </c>
      <c r="BL6" s="23">
        <f t="shared" ca="1" si="19"/>
        <v>1.8023752328891529E-2</v>
      </c>
      <c r="BM6" s="23">
        <f t="shared" ca="1" si="20"/>
        <v>0.29489453079395211</v>
      </c>
      <c r="BN6" s="93" t="s">
        <v>81</v>
      </c>
      <c r="BO6" s="93" t="s">
        <v>93</v>
      </c>
      <c r="BP6" s="93" t="s">
        <v>94</v>
      </c>
    </row>
    <row r="7" spans="1:68" ht="15" customHeight="1" ns3:dyDescent="0.25">
      <c r="A7" s="86" t="e" vm="4">
        <v>#VALUE!</v>
      </c>
      <c r="B7" s="10" t="str">
        <f t="array" aca="1" ref="B7" ca="1">_FV(A7,"Símbolo bursátil",TRUE())</f>
        <v>BN</v>
      </c>
      <c r="C7" s="88" t="s">
        <v>95</v>
      </c>
      <c r="D7" s="88" t="s">
        <v>77</v>
      </c>
      <c r="E7" s="11" t="str">
        <f t="array" aca="1" ref="E7" ca="1">_FV(A7,"Abreviatura de intercambio",TRUE())</f>
        <v>XNYS</v>
      </c>
      <c r="F7" s="11" t="str">
        <f t="array" aca="1" ref="F7" ca="1">_FV(A7,"Moneda")</f>
        <v>USD</v>
      </c>
      <c r="G7" s="12">
        <f t="array" aca="1" ref="G7" ca="1">_FV(A7,"Precio")</f>
        <v>44.620100000000001</v>
      </c>
      <c r="H7" s="13">
        <f t="array" aca="1" ref="H7" ca="1">_FV(A7,"Acciones en circulación",TRUE())/1000000</f>
        <v>2450.877</v>
      </c>
      <c r="I7" s="14">
        <f t="shared" ca="1" si="0"/>
        <v>109358.37682770001</v>
      </c>
      <c r="J7" s="91">
        <v>1</v>
      </c>
      <c r="K7" s="91">
        <v>7</v>
      </c>
      <c r="L7" s="91">
        <v>3</v>
      </c>
      <c r="M7" s="91">
        <v>0.5</v>
      </c>
      <c r="N7" s="91">
        <v>0</v>
      </c>
      <c r="O7" s="91">
        <v>0.66</v>
      </c>
      <c r="P7" s="91">
        <v>1</v>
      </c>
      <c r="Q7" s="91">
        <v>1</v>
      </c>
      <c r="R7" s="26">
        <f t="shared" si="1"/>
        <v>14.16</v>
      </c>
      <c r="S7" s="16">
        <f t="shared" si="2"/>
        <v>8.33</v>
      </c>
      <c r="T7" s="91">
        <v>13</v>
      </c>
      <c r="U7" s="91">
        <v>17</v>
      </c>
      <c r="V7" s="91">
        <v>15</v>
      </c>
      <c r="W7" s="91">
        <v>10</v>
      </c>
      <c r="X7" s="91">
        <v>9</v>
      </c>
      <c r="Y7" s="91">
        <v>13</v>
      </c>
      <c r="Z7" s="91">
        <v>10</v>
      </c>
      <c r="AA7" s="91">
        <v>-8</v>
      </c>
      <c r="AB7" s="26">
        <f t="shared" si="3"/>
        <v>79</v>
      </c>
      <c r="AC7" s="16">
        <f t="shared" si="4"/>
        <v>7.9</v>
      </c>
      <c r="AD7" s="91">
        <v>14</v>
      </c>
      <c r="AE7" s="91">
        <v>-1</v>
      </c>
      <c r="AF7" s="91">
        <v>5</v>
      </c>
      <c r="AG7" s="91">
        <v>15</v>
      </c>
      <c r="AH7" s="91">
        <v>1</v>
      </c>
      <c r="AI7" s="91">
        <v>10</v>
      </c>
      <c r="AJ7" s="91">
        <v>14</v>
      </c>
      <c r="AK7" s="91">
        <v>-5</v>
      </c>
      <c r="AL7" s="26">
        <f t="shared" si="5"/>
        <v>53</v>
      </c>
      <c r="AM7" s="16">
        <f t="shared" si="6"/>
        <v>7.57</v>
      </c>
      <c r="AN7" s="17">
        <f t="shared" si="7"/>
        <v>7.93</v>
      </c>
      <c r="AO7" s="18" t="s">
        <v>78</v>
      </c>
      <c r="AP7" s="19">
        <v>10000</v>
      </c>
      <c r="AQ7" s="19">
        <v>17000</v>
      </c>
      <c r="AR7" s="19">
        <f t="shared" ca="1" si="8"/>
        <v>116358.37682770001</v>
      </c>
      <c r="AS7" s="19">
        <v>5000</v>
      </c>
      <c r="AT7" s="19">
        <v>5500</v>
      </c>
      <c r="AU7" s="19">
        <v>15000</v>
      </c>
      <c r="AV7" s="19">
        <v>98000</v>
      </c>
      <c r="AW7" s="20">
        <f t="shared" ca="1" si="9"/>
        <v>23.271675365540002</v>
      </c>
      <c r="AX7" s="20">
        <f t="shared" ca="1" si="10"/>
        <v>7.757225121846667</v>
      </c>
      <c r="AY7" s="20">
        <f t="shared" ca="1" si="11"/>
        <v>1.1873303757928573</v>
      </c>
      <c r="AZ7" s="21">
        <v>90000</v>
      </c>
      <c r="BA7" s="22">
        <f t="shared" si="12"/>
        <v>5.6122448979591837E-2</v>
      </c>
      <c r="BB7" s="22">
        <f t="shared" si="13"/>
        <v>1.0888888888888888</v>
      </c>
      <c r="BC7" s="23">
        <f t="shared" si="14"/>
        <v>6.1111111111111109E-2</v>
      </c>
      <c r="BD7" t="s">
        <v>96</v>
      </c>
      <c r="BE7" s="23">
        <f t="shared" si="15"/>
        <v>7.0007364782187942E-2</v>
      </c>
      <c r="BF7" t="s">
        <v>97</v>
      </c>
      <c r="BG7" s="23">
        <f t="shared" si="16"/>
        <v>0.16999487310434414</v>
      </c>
      <c r="BH7" s="24">
        <v>18</v>
      </c>
      <c r="BI7" s="24">
        <v>25</v>
      </c>
      <c r="BJ7" s="25">
        <f t="shared" ca="1" si="17"/>
        <v>48.649524231530187</v>
      </c>
      <c r="BK7" s="25">
        <f t="shared" ca="1" si="18"/>
        <v>108.96099641067259</v>
      </c>
      <c r="BL7" s="23">
        <f t="shared" ca="1" si="19"/>
        <v>1.7441883555142645E-2</v>
      </c>
      <c r="BM7" s="23">
        <f t="shared" ca="1" si="20"/>
        <v>0.25007229949436627</v>
      </c>
      <c r="BN7" t="inlineStr">
        <is>
          <t>2026-06-10</t>
        </is>
      </c>
      <c r="BO7" t="inlineStr">
        <is>
          <t>14/05/2026</t>
        </is>
      </c>
      <c r="BP7" t="inlineStr">
        <is>
          <t>13/08/2026</t>
        </is>
      </c>
    </row>
    <row r="8" spans="1:68" ht="15" customHeight="1" ns3:dyDescent="0.25">
      <c r="A8" s="86" t="e" vm="5">
        <v>#VALUE!</v>
      </c>
      <c r="B8" s="10" t="str">
        <f t="array" aca="1" ref="B8" ca="1">_FV(A8,"Símbolo bursátil",TRUE())</f>
        <v>COST</v>
      </c>
      <c r="C8" s="88" t="s">
        <v>100</v>
      </c>
      <c r="D8" s="88" t="s">
        <v>100</v>
      </c>
      <c r="E8" s="11" t="str">
        <f t="array" aca="1" ref="E8" ca="1">_FV(A8,"Abreviatura de intercambio",TRUE())</f>
        <v>XNAS</v>
      </c>
      <c r="F8" s="11" t="str">
        <f t="array" aca="1" ref="F8" ca="1">_FV(A8,"Moneda")</f>
        <v>USD</v>
      </c>
      <c r="G8" s="12">
        <f t="array" aca="1" ref="G8" ca="1">_FV(A8,"Precio")</f>
        <v>1092.8800000000001</v>
      </c>
      <c r="H8" s="13">
        <f t="array" aca="1" ref="H8" ca="1">_FV(A8,"Acciones en circulación",TRUE())/1000000</f>
        <v>443.65249999999997</v>
      </c>
      <c r="I8" s="14">
        <f t="shared" ca="1" si="0"/>
        <v>484858.94420000003</v>
      </c>
      <c r="J8" s="90">
        <v>1.5</v>
      </c>
      <c r="K8" s="90">
        <v>8</v>
      </c>
      <c r="L8" s="90">
        <v>1</v>
      </c>
      <c r="M8" s="90">
        <v>1</v>
      </c>
      <c r="N8" s="90">
        <v>0</v>
      </c>
      <c r="O8" s="90">
        <v>0.78</v>
      </c>
      <c r="P8" s="90">
        <v>1</v>
      </c>
      <c r="Q8" s="90">
        <v>0</v>
      </c>
      <c r="R8" s="15">
        <f t="shared" si="1"/>
        <v>13.28</v>
      </c>
      <c r="S8" s="16">
        <f t="shared" si="2"/>
        <v>7.81</v>
      </c>
      <c r="T8" s="90">
        <v>15</v>
      </c>
      <c r="U8" s="90">
        <v>19</v>
      </c>
      <c r="V8" s="90">
        <v>11</v>
      </c>
      <c r="W8" s="90">
        <v>10</v>
      </c>
      <c r="X8" s="90">
        <v>10</v>
      </c>
      <c r="Y8" s="90">
        <v>13</v>
      </c>
      <c r="Z8" s="90">
        <v>7</v>
      </c>
      <c r="AA8" s="90">
        <v>-7</v>
      </c>
      <c r="AB8" s="15">
        <f t="shared" si="3"/>
        <v>78</v>
      </c>
      <c r="AC8" s="16">
        <f t="shared" si="4"/>
        <v>7.8</v>
      </c>
      <c r="AD8" s="90">
        <v>15</v>
      </c>
      <c r="AE8" s="90">
        <v>0</v>
      </c>
      <c r="AF8" s="90">
        <v>6</v>
      </c>
      <c r="AG8" s="90">
        <v>13</v>
      </c>
      <c r="AH8" s="90">
        <v>5</v>
      </c>
      <c r="AI8" s="90">
        <v>9</v>
      </c>
      <c r="AJ8" s="90">
        <v>14</v>
      </c>
      <c r="AK8" s="90">
        <v>-3</v>
      </c>
      <c r="AL8" s="15">
        <f t="shared" si="5"/>
        <v>59</v>
      </c>
      <c r="AM8" s="16">
        <f t="shared" si="6"/>
        <v>8.43</v>
      </c>
      <c r="AN8" s="17">
        <f t="shared" si="7"/>
        <v>8.01</v>
      </c>
      <c r="AO8" s="18" t="s">
        <v>78</v>
      </c>
      <c r="AP8" s="19">
        <v>12500</v>
      </c>
      <c r="AQ8" s="19">
        <v>7500</v>
      </c>
      <c r="AR8" s="19">
        <f t="shared" ca="1" si="8"/>
        <v>479858.94420000003</v>
      </c>
      <c r="AS8" s="19">
        <v>8500</v>
      </c>
      <c r="AT8" s="19">
        <v>7500</v>
      </c>
      <c r="AU8" s="19">
        <v>11800</v>
      </c>
      <c r="AV8" s="19">
        <v>262000</v>
      </c>
      <c r="AW8" s="20">
        <f t="shared" ca="1" si="9"/>
        <v>56.453993435294123</v>
      </c>
      <c r="AX8" s="20">
        <f t="shared" ca="1" si="10"/>
        <v>40.666012220338985</v>
      </c>
      <c r="AY8" s="20">
        <f t="shared" ca="1" si="11"/>
        <v>1.8315226877862596</v>
      </c>
      <c r="AZ8" s="21">
        <v>40000</v>
      </c>
      <c r="BA8" s="22">
        <f t="shared" si="12"/>
        <v>2.8625954198473282E-2</v>
      </c>
      <c r="BB8" s="22">
        <f t="shared" si="13"/>
        <v>6.55</v>
      </c>
      <c r="BC8" s="23">
        <f t="shared" si="14"/>
        <v>0.1875</v>
      </c>
      <c r="BD8" t="s">
        <v>101</v>
      </c>
      <c r="BE8" s="23">
        <f t="shared" si="15"/>
        <v>6.0001539273940807E-2</v>
      </c>
      <c r="BF8" t="s">
        <v>102</v>
      </c>
      <c r="BG8" s="23">
        <f t="shared" si="16"/>
        <v>0.12000143092585835</v>
      </c>
      <c r="BH8" s="24">
        <v>20</v>
      </c>
      <c r="BI8" s="24">
        <v>30</v>
      </c>
      <c r="BJ8" s="25">
        <f t="shared" ca="1" si="17"/>
        <v>524.05880728723503</v>
      </c>
      <c r="BK8" s="25">
        <f t="shared" ca="1" si="18"/>
        <v>1024.2250409949229</v>
      </c>
      <c r="BL8" s="23">
        <f t="shared" ca="1" si="19"/>
        <v>-0.13670046069207387</v>
      </c>
      <c r="BM8" s="23">
        <f t="shared" ca="1" si="20"/>
        <v>-1.6089199691735612E-2</v>
      </c>
      <c r="BN8" t="inlineStr">
        <is>
          <t>2026-06-10</t>
        </is>
      </c>
      <c r="BO8" t="inlineStr">
        <is>
          <t>28/05/2026</t>
        </is>
      </c>
      <c r="BP8" t="inlineStr">
        <is>
          <t>24/09/2026</t>
        </is>
      </c>
    </row>
    <row r="9" spans="1:68" ht="15" customHeight="1" ns3:dyDescent="0.25">
      <c r="A9" s="86" t="e" vm="6">
        <v>#VALUE!</v>
      </c>
      <c r="B9" s="10" t="str">
        <f t="array" aca="1" ref="B9" ca="1">_FV(A9,"Símbolo bursátil",TRUE())</f>
        <v>DSGX</v>
      </c>
      <c r="C9" s="88" t="s">
        <v>76</v>
      </c>
      <c r="D9" s="88" t="s">
        <v>77</v>
      </c>
      <c r="E9" s="11" t="str">
        <f t="array" aca="1" ref="E9" ca="1">_FV(A9,"Abreviatura de intercambio",TRUE())</f>
        <v>XNAS</v>
      </c>
      <c r="F9" s="11" t="str">
        <f t="array" aca="1" ref="F9" ca="1">_FV(A9,"Moneda")</f>
        <v>USD</v>
      </c>
      <c r="G9" s="12">
        <f t="array" aca="1" ref="G9" ca="1">_FV(A9,"Precio")</f>
        <v>71.28</v>
      </c>
      <c r="H9" s="13">
        <f t="array" aca="1" ref="H9" ca="1">_FV(A9,"Acciones en circulación",TRUE())/1000000</f>
        <v>86.020600000000002</v>
      </c>
      <c r="I9" s="14">
        <f t="shared" ca="1" si="0"/>
        <v>6131.5483680000007</v>
      </c>
      <c r="J9" s="91">
        <v>1</v>
      </c>
      <c r="K9" s="91">
        <v>7</v>
      </c>
      <c r="L9" s="91">
        <v>2</v>
      </c>
      <c r="M9" s="91">
        <v>1</v>
      </c>
      <c r="N9" s="91">
        <v>0</v>
      </c>
      <c r="O9" s="91">
        <v>0.8</v>
      </c>
      <c r="P9" s="91">
        <v>0.5</v>
      </c>
      <c r="Q9" s="91">
        <v>0</v>
      </c>
      <c r="R9" s="26">
        <f t="shared" si="1"/>
        <v>12.3</v>
      </c>
      <c r="S9" s="16">
        <f t="shared" si="2"/>
        <v>7.24</v>
      </c>
      <c r="T9" s="91">
        <v>16</v>
      </c>
      <c r="U9" s="91">
        <v>17</v>
      </c>
      <c r="V9" s="91">
        <v>11</v>
      </c>
      <c r="W9" s="91">
        <v>10</v>
      </c>
      <c r="X9" s="91">
        <v>9</v>
      </c>
      <c r="Y9" s="91">
        <v>13</v>
      </c>
      <c r="Z9" s="91">
        <v>6</v>
      </c>
      <c r="AA9" s="91">
        <v>-7</v>
      </c>
      <c r="AB9" s="26">
        <f t="shared" si="3"/>
        <v>75</v>
      </c>
      <c r="AC9" s="16">
        <f t="shared" si="4"/>
        <v>7.5</v>
      </c>
      <c r="AD9" s="91">
        <v>14</v>
      </c>
      <c r="AE9" s="91">
        <v>0</v>
      </c>
      <c r="AF9" s="91">
        <v>10</v>
      </c>
      <c r="AG9" s="91">
        <v>13</v>
      </c>
      <c r="AH9" s="91">
        <v>5</v>
      </c>
      <c r="AI9" s="91">
        <v>8</v>
      </c>
      <c r="AJ9" s="91">
        <v>14</v>
      </c>
      <c r="AK9" s="91">
        <v>-3</v>
      </c>
      <c r="AL9" s="26">
        <f t="shared" si="5"/>
        <v>61</v>
      </c>
      <c r="AM9" s="16">
        <f t="shared" si="6"/>
        <v>8.7100000000000009</v>
      </c>
      <c r="AN9" s="17">
        <f t="shared" si="7"/>
        <v>7.82</v>
      </c>
      <c r="AO9" s="18" t="s">
        <v>78</v>
      </c>
      <c r="AP9" s="19">
        <v>356</v>
      </c>
      <c r="AQ9" s="19">
        <v>0</v>
      </c>
      <c r="AR9" s="19">
        <f t="shared" ca="1" si="8"/>
        <v>5775.5483680000007</v>
      </c>
      <c r="AS9" s="19">
        <v>240</v>
      </c>
      <c r="AT9" s="19">
        <v>160</v>
      </c>
      <c r="AU9" s="19">
        <v>329</v>
      </c>
      <c r="AV9" s="19">
        <v>729</v>
      </c>
      <c r="AW9" s="20">
        <f t="shared" ca="1" si="9"/>
        <v>24.06478486666667</v>
      </c>
      <c r="AX9" s="20">
        <f t="shared" ca="1" si="10"/>
        <v>17.554858261398177</v>
      </c>
      <c r="AY9" s="20">
        <f t="shared" ca="1" si="11"/>
        <v>7.9225629190672162</v>
      </c>
      <c r="AZ9" s="21">
        <v>950</v>
      </c>
      <c r="BA9" s="22">
        <f t="shared" si="12"/>
        <v>0.21947873799725651</v>
      </c>
      <c r="BB9" s="22">
        <f t="shared" si="13"/>
        <v>0.76736842105263159</v>
      </c>
      <c r="BC9" s="23">
        <f t="shared" si="14"/>
        <v>0.16842105263157894</v>
      </c>
      <c r="BD9" t="s">
        <v>105</v>
      </c>
      <c r="BE9" s="23">
        <f t="shared" si="15"/>
        <v>8.022119107630199E-2</v>
      </c>
      <c r="BF9" t="s">
        <v>106</v>
      </c>
      <c r="BG9" s="23">
        <f t="shared" si="16"/>
        <v>0.15996225865400127</v>
      </c>
      <c r="BH9" s="24">
        <v>17.5</v>
      </c>
      <c r="BI9" s="24">
        <v>27</v>
      </c>
      <c r="BJ9" s="25">
        <f t="shared" ca="1" si="17"/>
        <v>75.952736902555898</v>
      </c>
      <c r="BK9" s="25">
        <f t="shared" ca="1" si="18"/>
        <v>162.33320855702007</v>
      </c>
      <c r="BL9" s="23">
        <f t="shared" ca="1" si="19"/>
        <v>1.2780072095005313E-2</v>
      </c>
      <c r="BM9" s="23">
        <f t="shared" ca="1" si="20"/>
        <v>0.22845688983290469</v>
      </c>
      <c r="BN9" t="inlineStr">
        <is>
          <t>2026-06-10</t>
        </is>
      </c>
      <c r="BO9" t="inlineStr">
        <is>
          <t>03/06/2026</t>
        </is>
      </c>
      <c r="BP9" t="inlineStr">
        <is>
          <t>09/09/2026</t>
        </is>
      </c>
    </row>
    <row r="10" spans="1:68" ht="15" customHeight="1" ns3:dyDescent="0.25">
      <c r="A10" s="86" t="e" vm="7">
        <v>#VALUE!</v>
      </c>
      <c r="B10" s="10" t="str">
        <f t="array" aca="1" ref="B10" ca="1">_FV(A10,"Símbolo bursátil",TRUE())</f>
        <v>RAA</v>
      </c>
      <c r="C10" s="88" t="s">
        <v>109</v>
      </c>
      <c r="D10" s="88" t="s">
        <v>77</v>
      </c>
      <c r="E10" s="11" t="str">
        <f t="array" aca="1" ref="E10" ca="1">_FV(A10,"Abreviatura de intercambio",TRUE())</f>
        <v>XFRA</v>
      </c>
      <c r="F10" s="11" t="str">
        <f t="array" aca="1" ref="F10" ca="1">_FV(A10,"Moneda")</f>
        <v>EUR</v>
      </c>
      <c r="G10" s="12">
        <f t="array" aca="1" ref="G10" ca="1">_FV(A10,"Precio")</f>
        <v>650</v>
      </c>
      <c r="H10" s="13">
        <f t="array" aca="1" ref="H10" ca="1">_FV(A10,"Acciones en circulación",TRUE())/1000000</f>
        <v>11.37</v>
      </c>
      <c r="I10" s="14">
        <f t="shared" ca="1" si="0"/>
        <v>7390.4999999999991</v>
      </c>
      <c r="J10" s="90">
        <v>1</v>
      </c>
      <c r="K10" s="90">
        <v>7</v>
      </c>
      <c r="L10" s="90">
        <v>2</v>
      </c>
      <c r="M10" s="90">
        <v>1</v>
      </c>
      <c r="N10" s="90">
        <v>0</v>
      </c>
      <c r="O10" s="90">
        <v>0.82</v>
      </c>
      <c r="P10" s="90">
        <v>1</v>
      </c>
      <c r="Q10" s="90">
        <v>1</v>
      </c>
      <c r="R10" s="15">
        <f t="shared" si="1"/>
        <v>13.82</v>
      </c>
      <c r="S10" s="16">
        <f t="shared" si="2"/>
        <v>8.1300000000000008</v>
      </c>
      <c r="T10" s="90">
        <v>15</v>
      </c>
      <c r="U10" s="90">
        <v>17</v>
      </c>
      <c r="V10" s="90">
        <v>10</v>
      </c>
      <c r="W10" s="90">
        <v>9</v>
      </c>
      <c r="X10" s="90">
        <v>8</v>
      </c>
      <c r="Y10" s="90">
        <v>13</v>
      </c>
      <c r="Z10" s="90">
        <v>10</v>
      </c>
      <c r="AA10" s="90">
        <v>-7</v>
      </c>
      <c r="AB10" s="15">
        <f t="shared" si="3"/>
        <v>75</v>
      </c>
      <c r="AC10" s="16">
        <f t="shared" si="4"/>
        <v>7.5</v>
      </c>
      <c r="AD10" s="90">
        <v>14</v>
      </c>
      <c r="AE10" s="90">
        <v>-1</v>
      </c>
      <c r="AF10" s="90">
        <v>8</v>
      </c>
      <c r="AG10" s="90">
        <v>13</v>
      </c>
      <c r="AH10" s="90">
        <v>5</v>
      </c>
      <c r="AI10" s="90">
        <v>9</v>
      </c>
      <c r="AJ10" s="90">
        <v>13</v>
      </c>
      <c r="AK10" s="90">
        <v>-3</v>
      </c>
      <c r="AL10" s="15">
        <f t="shared" si="5"/>
        <v>58</v>
      </c>
      <c r="AM10" s="16">
        <f t="shared" si="6"/>
        <v>8.2899999999999991</v>
      </c>
      <c r="AN10" s="17">
        <f t="shared" si="7"/>
        <v>7.97</v>
      </c>
      <c r="AO10" s="18" t="s">
        <v>90</v>
      </c>
      <c r="AP10" s="19">
        <v>280</v>
      </c>
      <c r="AQ10" s="19">
        <v>20</v>
      </c>
      <c r="AR10" s="19">
        <f t="shared" ca="1" si="8"/>
        <v>7130.4999999999991</v>
      </c>
      <c r="AS10" s="19">
        <v>260</v>
      </c>
      <c r="AT10" s="19">
        <v>230</v>
      </c>
      <c r="AU10" s="19">
        <v>320</v>
      </c>
      <c r="AV10" s="19">
        <v>1200</v>
      </c>
      <c r="AW10" s="20">
        <f t="shared" ca="1" si="9"/>
        <v>27.424999999999997</v>
      </c>
      <c r="AX10" s="20">
        <f t="shared" ca="1" si="10"/>
        <v>22.282812499999999</v>
      </c>
      <c r="AY10" s="20">
        <f t="shared" ca="1" si="11"/>
        <v>5.9420833333333327</v>
      </c>
      <c r="AZ10" s="21">
        <v>600</v>
      </c>
      <c r="BA10" s="22">
        <f t="shared" si="12"/>
        <v>0.19166666666666668</v>
      </c>
      <c r="BB10" s="22">
        <f t="shared" si="13"/>
        <v>2</v>
      </c>
      <c r="BC10" s="23">
        <f t="shared" si="14"/>
        <v>0.38333333333333336</v>
      </c>
      <c r="BD10" t="s">
        <v>110</v>
      </c>
      <c r="BE10" s="23">
        <f t="shared" si="15"/>
        <v>5.0105533884466924E-2</v>
      </c>
      <c r="BF10" t="s">
        <v>111</v>
      </c>
      <c r="BG10" s="23">
        <f t="shared" si="16"/>
        <v>0.12998436153517012</v>
      </c>
      <c r="BH10" s="24">
        <v>15</v>
      </c>
      <c r="BI10" s="24">
        <v>27</v>
      </c>
      <c r="BJ10" s="25">
        <f t="shared" ca="1" si="17"/>
        <v>460.86191732629732</v>
      </c>
      <c r="BK10" s="25">
        <f t="shared" ca="1" si="18"/>
        <v>1160.3342128408092</v>
      </c>
      <c r="BL10" s="23">
        <f t="shared" ca="1" si="19"/>
        <v>-6.6463091170055888E-2</v>
      </c>
      <c r="BM10" s="23">
        <f t="shared" ca="1" si="20"/>
        <v>0.1558924719250312</v>
      </c>
      <c r="BN10" s="93" t="s">
        <v>81</v>
      </c>
      <c r="BO10" s="93" t="s">
        <v>112</v>
      </c>
      <c r="BP10" s="93" t="s">
        <v>113</v>
      </c>
    </row>
    <row r="11" spans="1:68" ht="15" customHeight="1" ns3:dyDescent="0.25">
      <c r="A11" s="86" t="e" vm="8">
        <v>#VALUE!</v>
      </c>
      <c r="B11" s="10" t="str">
        <f t="array" aca="1" ref="B11" ca="1">_FV(A11,"Símbolo bursátil",TRUE())</f>
        <v>ZS</v>
      </c>
      <c r="C11" s="88" t="s">
        <v>114</v>
      </c>
      <c r="D11" s="88" t="s">
        <v>115</v>
      </c>
      <c r="E11" s="11" t="str">
        <f t="array" aca="1" ref="E11" ca="1">_FV(A11,"Abreviatura de intercambio",TRUE())</f>
        <v>XNAS</v>
      </c>
      <c r="F11" s="11" t="str">
        <f t="array" aca="1" ref="F11" ca="1">_FV(A11,"Moneda")</f>
        <v>USD</v>
      </c>
      <c r="G11" s="12">
        <f t="array" aca="1" ref="G11" ca="1">_FV(A11,"Precio")</f>
        <v>175.71</v>
      </c>
      <c r="H11" s="13">
        <f t="array" aca="1" ref="H11" ca="1">_FV(A11,"Acciones en circulación",TRUE())/1000000</f>
        <v>160.79069999999999</v>
      </c>
      <c r="I11" s="14">
        <f t="shared" ca="1" si="0"/>
        <v>28252.533896999998</v>
      </c>
      <c r="J11" s="91">
        <v>2</v>
      </c>
      <c r="K11" s="91">
        <v>6</v>
      </c>
      <c r="L11" s="91">
        <v>2</v>
      </c>
      <c r="M11" s="91">
        <v>1</v>
      </c>
      <c r="N11" s="91">
        <v>0</v>
      </c>
      <c r="O11" s="91">
        <v>0.72</v>
      </c>
      <c r="P11" s="91">
        <v>1</v>
      </c>
      <c r="Q11" s="91">
        <v>1</v>
      </c>
      <c r="R11" s="26">
        <f t="shared" si="1"/>
        <v>13.72</v>
      </c>
      <c r="S11" s="16">
        <f t="shared" si="2"/>
        <v>8.07</v>
      </c>
      <c r="T11" s="91">
        <v>13</v>
      </c>
      <c r="U11" s="91">
        <v>15</v>
      </c>
      <c r="V11" s="91">
        <v>14</v>
      </c>
      <c r="W11" s="91">
        <v>8</v>
      </c>
      <c r="X11" s="91">
        <v>9</v>
      </c>
      <c r="Y11" s="91">
        <v>12</v>
      </c>
      <c r="Z11" s="91">
        <v>10</v>
      </c>
      <c r="AA11" s="91">
        <v>-11</v>
      </c>
      <c r="AB11" s="26">
        <f t="shared" si="3"/>
        <v>70</v>
      </c>
      <c r="AC11" s="16">
        <f t="shared" si="4"/>
        <v>7</v>
      </c>
      <c r="AD11" s="91">
        <v>13</v>
      </c>
      <c r="AE11" s="91">
        <v>-2</v>
      </c>
      <c r="AF11" s="91">
        <v>9</v>
      </c>
      <c r="AG11" s="91">
        <v>11</v>
      </c>
      <c r="AH11" s="91">
        <v>4</v>
      </c>
      <c r="AI11" s="91">
        <v>9</v>
      </c>
      <c r="AJ11" s="91">
        <v>12</v>
      </c>
      <c r="AK11" s="91">
        <v>-5</v>
      </c>
      <c r="AL11" s="26">
        <f t="shared" si="5"/>
        <v>51</v>
      </c>
      <c r="AM11" s="16">
        <f t="shared" si="6"/>
        <v>7.29</v>
      </c>
      <c r="AN11" s="17">
        <f t="shared" si="7"/>
        <v>7.45</v>
      </c>
      <c r="AO11" s="18" t="s">
        <v>78</v>
      </c>
      <c r="AP11" s="19">
        <v>2400</v>
      </c>
      <c r="AQ11" s="19">
        <v>0</v>
      </c>
      <c r="AR11" s="19">
        <f t="shared" ca="1" si="8"/>
        <v>25852.533896999998</v>
      </c>
      <c r="AS11" s="19">
        <v>730</v>
      </c>
      <c r="AT11" s="19">
        <v>300</v>
      </c>
      <c r="AU11" s="19">
        <v>550</v>
      </c>
      <c r="AV11" s="19">
        <v>2700</v>
      </c>
      <c r="AW11" s="20">
        <f t="shared" ca="1" si="9"/>
        <v>35.414429995890409</v>
      </c>
      <c r="AX11" s="20">
        <f t="shared" ca="1" si="10"/>
        <v>47.004607085454538</v>
      </c>
      <c r="AY11" s="20">
        <f t="shared" ca="1" si="11"/>
        <v>9.5750125544444433</v>
      </c>
      <c r="AZ11" s="21">
        <v>2000</v>
      </c>
      <c r="BA11" s="22">
        <f t="shared" si="12"/>
        <v>0.1111111111111111</v>
      </c>
      <c r="BB11" s="22">
        <f t="shared" si="13"/>
        <v>1.35</v>
      </c>
      <c r="BC11" s="23">
        <f t="shared" si="14"/>
        <v>0.15</v>
      </c>
      <c r="BD11" t="s">
        <v>116</v>
      </c>
      <c r="BE11" s="23">
        <f t="shared" si="15"/>
        <v>0.10006131467358759</v>
      </c>
      <c r="BF11" t="s">
        <v>117</v>
      </c>
      <c r="BG11" s="23">
        <f t="shared" si="16"/>
        <v>0.23998999963593159</v>
      </c>
      <c r="BH11" s="24">
        <v>20</v>
      </c>
      <c r="BI11" s="24">
        <v>30</v>
      </c>
      <c r="BJ11" s="25">
        <f t="shared" ca="1" si="17"/>
        <v>161.2033531790085</v>
      </c>
      <c r="BK11" s="25">
        <f t="shared" ca="1" si="18"/>
        <v>414.20306025161904</v>
      </c>
      <c r="BL11" s="23">
        <f t="shared" ca="1" si="19"/>
        <v>-1.7086005469886589E-2</v>
      </c>
      <c r="BM11" s="23">
        <f t="shared" ca="1" si="20"/>
        <v>0.23909386335572558</v>
      </c>
      <c r="BN11" t="inlineStr">
        <is>
          <t>2026-06-10</t>
        </is>
      </c>
      <c r="BO11" t="inlineStr">
        <is>
          <t>28/05/2026</t>
        </is>
      </c>
      <c r="BP11" t="inlineStr">
        <is>
          <t>02/09/2026</t>
        </is>
      </c>
    </row>
    <row r="12" spans="1:68" ht="15" customHeight="1" ns3:dyDescent="0.25">
      <c r="A12" s="86" t="e" vm="9">
        <v>#VALUE!</v>
      </c>
      <c r="B12" s="10" t="str">
        <f t="array" aca="1" ref="B12" ca="1">_FV(A12,"Símbolo bursátil",TRUE())</f>
        <v>NTO</v>
      </c>
      <c r="C12" s="88" t="s">
        <v>119</v>
      </c>
      <c r="D12" s="88" t="s">
        <v>77</v>
      </c>
      <c r="E12" s="11" t="str">
        <f t="array" aca="1" ref="E12" ca="1">_FV(A12,"Abreviatura de intercambio",TRUE())</f>
        <v>XFRA</v>
      </c>
      <c r="F12" s="11" t="str">
        <f t="array" aca="1" ref="F12" ca="1">_FV(A12,"Moneda")</f>
        <v>EUR</v>
      </c>
      <c r="G12" s="12">
        <f t="array" aca="1" ref="G12" ca="1">_FV(A12,"Precio")</f>
        <v>41.494999999999997</v>
      </c>
      <c r="H12" s="13">
        <f t="array" aca="1" ref="H12" ca="1">_FV(A12,"Acciones en circulación",TRUE())/1000000</f>
        <v>1287.26</v>
      </c>
      <c r="I12" s="14">
        <f t="shared" ca="1" si="0"/>
        <v>53414.8537</v>
      </c>
      <c r="J12" s="90">
        <v>1</v>
      </c>
      <c r="K12" s="90">
        <v>7</v>
      </c>
      <c r="L12" s="90">
        <v>3</v>
      </c>
      <c r="M12" s="90">
        <v>1</v>
      </c>
      <c r="N12" s="90">
        <v>0</v>
      </c>
      <c r="O12" s="90">
        <v>0.82</v>
      </c>
      <c r="P12" s="90">
        <v>1</v>
      </c>
      <c r="Q12" s="90">
        <v>0</v>
      </c>
      <c r="R12" s="15">
        <f t="shared" si="1"/>
        <v>13.82</v>
      </c>
      <c r="S12" s="16">
        <f t="shared" si="2"/>
        <v>8.1300000000000008</v>
      </c>
      <c r="T12" s="90">
        <v>16</v>
      </c>
      <c r="U12" s="90">
        <v>17</v>
      </c>
      <c r="V12" s="90">
        <v>14</v>
      </c>
      <c r="W12" s="90">
        <v>10</v>
      </c>
      <c r="X12" s="90">
        <v>8</v>
      </c>
      <c r="Y12" s="90">
        <v>12</v>
      </c>
      <c r="Z12" s="90">
        <v>6</v>
      </c>
      <c r="AA12" s="90">
        <v>-8</v>
      </c>
      <c r="AB12" s="15">
        <f t="shared" si="3"/>
        <v>75</v>
      </c>
      <c r="AC12" s="16">
        <f t="shared" si="4"/>
        <v>7.5</v>
      </c>
      <c r="AD12" s="90">
        <v>14</v>
      </c>
      <c r="AE12" s="90">
        <v>-1</v>
      </c>
      <c r="AF12" s="90">
        <v>9</v>
      </c>
      <c r="AG12" s="90">
        <v>12</v>
      </c>
      <c r="AH12" s="90">
        <v>5</v>
      </c>
      <c r="AI12" s="90">
        <v>7</v>
      </c>
      <c r="AJ12" s="90">
        <v>14</v>
      </c>
      <c r="AK12" s="90">
        <v>-3</v>
      </c>
      <c r="AL12" s="15">
        <f t="shared" si="5"/>
        <v>57</v>
      </c>
      <c r="AM12" s="16">
        <f t="shared" si="6"/>
        <v>8.14</v>
      </c>
      <c r="AN12" s="17">
        <f t="shared" si="7"/>
        <v>7.92</v>
      </c>
      <c r="AO12" s="18" t="s">
        <v>120</v>
      </c>
      <c r="AP12" s="19">
        <v>1950000</v>
      </c>
      <c r="AQ12" s="19">
        <v>20000</v>
      </c>
      <c r="AR12" s="19">
        <f ca="1">I12*'Framework Notes'!E4-AP12+AQ12</f>
        <v>7926642.9532609992</v>
      </c>
      <c r="AS12" s="19">
        <v>330000</v>
      </c>
      <c r="AT12" s="19">
        <v>350000</v>
      </c>
      <c r="AU12" s="19">
        <v>550000</v>
      </c>
      <c r="AV12" s="19">
        <v>2000000</v>
      </c>
      <c r="AW12" s="20">
        <f t="shared" ca="1" si="9"/>
        <v>24.020130161396967</v>
      </c>
      <c r="AX12" s="20">
        <f t="shared" ca="1" si="10"/>
        <v>14.412078096838181</v>
      </c>
      <c r="AY12" s="20">
        <f t="shared" ca="1" si="11"/>
        <v>3.9633214766304996</v>
      </c>
      <c r="AZ12" s="21">
        <v>1600000</v>
      </c>
      <c r="BA12" s="22">
        <f t="shared" si="12"/>
        <v>0.17499999999999999</v>
      </c>
      <c r="BB12" s="22">
        <f t="shared" si="13"/>
        <v>1.25</v>
      </c>
      <c r="BC12" s="23">
        <f t="shared" si="14"/>
        <v>0.21875</v>
      </c>
      <c r="BD12" t="s">
        <v>121</v>
      </c>
      <c r="BE12" s="23">
        <f t="shared" si="15"/>
        <v>0</v>
      </c>
      <c r="BF12" t="s">
        <v>122</v>
      </c>
      <c r="BG12" s="23">
        <f t="shared" si="16"/>
        <v>0.13000014527509696</v>
      </c>
      <c r="BH12" s="24">
        <v>15</v>
      </c>
      <c r="BI12" s="24">
        <v>22.5</v>
      </c>
      <c r="BJ12" s="25">
        <f ca="1">((BD12*BH12+$AP12-$AQ12)/$H12)/'Framework Notes'!E4</f>
        <v>28.963776140998302</v>
      </c>
      <c r="BK12" s="25">
        <f ca="1">((BF12*BI12+$AP12-$AQ12)/$H12)/'Framework Notes'!E4</f>
        <v>65.716155857679681</v>
      </c>
      <c r="BL12" s="23">
        <f t="shared" ca="1" si="19"/>
        <v>-6.9381069461507461E-2</v>
      </c>
      <c r="BM12" s="23">
        <f t="shared" ca="1" si="20"/>
        <v>0.1218094535347829</v>
      </c>
      <c r="BN12" s="93" t="s">
        <v>81</v>
      </c>
      <c r="BO12" s="94" t="s">
        <v>123</v>
      </c>
      <c r="BP12" s="93" t="s">
        <v>124</v>
      </c>
    </row>
    <row r="13" spans="1:68" ht="15" customHeight="1" ns3:dyDescent="0.25">
      <c r="A13" s="86" t="e" vm="10">
        <v>#VALUE!</v>
      </c>
      <c r="B13" s="10" t="str">
        <f t="array" aca="1" ref="B13" ca="1">_FV(A13,"Símbolo bursátil",TRUE())</f>
        <v>AMZN</v>
      </c>
      <c r="C13" s="88" t="s">
        <v>84</v>
      </c>
      <c r="D13" s="88" t="s">
        <v>77</v>
      </c>
      <c r="E13" s="11" t="str">
        <f t="array" aca="1" ref="E13" ca="1">_FV(A13,"Abreviatura de intercambio",TRUE())</f>
        <v>XNAS</v>
      </c>
      <c r="F13" s="11" t="str">
        <f t="array" aca="1" ref="F13" ca="1">_FV(A13,"Moneda")</f>
        <v>USD</v>
      </c>
      <c r="G13" s="12">
        <f t="array" aca="1" ref="G13" ca="1">_FV(A13,"Precio")</f>
        <v>259.12</v>
      </c>
      <c r="H13" s="13">
        <f t="array" aca="1" ref="H13" ca="1">_FV(A13,"Acciones en circulación",TRUE())/1000000</f>
        <v>10757.11</v>
      </c>
      <c r="I13" s="14">
        <f t="shared" ca="1" si="0"/>
        <v>2787382.3432</v>
      </c>
      <c r="J13" s="91">
        <v>1.5</v>
      </c>
      <c r="K13" s="91">
        <v>8</v>
      </c>
      <c r="L13" s="91">
        <v>3</v>
      </c>
      <c r="M13" s="91">
        <v>1</v>
      </c>
      <c r="N13" s="91">
        <v>0</v>
      </c>
      <c r="O13" s="91">
        <v>0.72</v>
      </c>
      <c r="P13" s="91">
        <v>1</v>
      </c>
      <c r="Q13" s="91">
        <v>0.5</v>
      </c>
      <c r="R13" s="26">
        <f t="shared" si="1"/>
        <v>15.72</v>
      </c>
      <c r="S13" s="16">
        <f t="shared" si="2"/>
        <v>9.25</v>
      </c>
      <c r="T13" s="91">
        <v>14</v>
      </c>
      <c r="U13" s="91">
        <v>19</v>
      </c>
      <c r="V13" s="91">
        <v>15</v>
      </c>
      <c r="W13" s="91">
        <v>10</v>
      </c>
      <c r="X13" s="91">
        <v>9</v>
      </c>
      <c r="Y13" s="91">
        <v>12</v>
      </c>
      <c r="Z13" s="91">
        <v>6</v>
      </c>
      <c r="AA13" s="91">
        <v>-8</v>
      </c>
      <c r="AB13" s="26">
        <f t="shared" si="3"/>
        <v>77</v>
      </c>
      <c r="AC13" s="16">
        <f t="shared" si="4"/>
        <v>7.7</v>
      </c>
      <c r="AD13" s="91">
        <v>14</v>
      </c>
      <c r="AE13" s="91">
        <v>-1</v>
      </c>
      <c r="AF13" s="91">
        <v>4</v>
      </c>
      <c r="AG13" s="91">
        <v>13</v>
      </c>
      <c r="AH13" s="91">
        <v>4</v>
      </c>
      <c r="AI13" s="91">
        <v>8</v>
      </c>
      <c r="AJ13" s="91">
        <v>14</v>
      </c>
      <c r="AK13" s="91">
        <v>-5</v>
      </c>
      <c r="AL13" s="26">
        <f t="shared" si="5"/>
        <v>51</v>
      </c>
      <c r="AM13" s="16">
        <f t="shared" si="6"/>
        <v>7.29</v>
      </c>
      <c r="AN13" s="17">
        <f t="shared" si="7"/>
        <v>8.08</v>
      </c>
      <c r="AO13" s="18" t="s">
        <v>78</v>
      </c>
      <c r="AP13" s="19">
        <v>80000</v>
      </c>
      <c r="AQ13" s="19">
        <v>65000</v>
      </c>
      <c r="AR13" s="19">
        <f t="shared" ref="AR13:AR32" ca="1" si="21">I13-AP13+AQ13</f>
        <v>2772382.3432</v>
      </c>
      <c r="AS13" s="19">
        <v>52000</v>
      </c>
      <c r="AT13" s="19">
        <v>55000</v>
      </c>
      <c r="AU13" s="19">
        <v>138000</v>
      </c>
      <c r="AV13" s="19">
        <v>637000</v>
      </c>
      <c r="AW13" s="20">
        <f t="shared" ca="1" si="9"/>
        <v>53.315045061538463</v>
      </c>
      <c r="AX13" s="20">
        <f t="shared" ca="1" si="10"/>
        <v>20.08972712463768</v>
      </c>
      <c r="AY13" s="20">
        <f t="shared" ca="1" si="11"/>
        <v>4.3522485764521193</v>
      </c>
      <c r="AZ13" s="21">
        <v>300000</v>
      </c>
      <c r="BA13" s="22">
        <f t="shared" si="12"/>
        <v>8.6342229199372053E-2</v>
      </c>
      <c r="BB13" s="22">
        <f t="shared" si="13"/>
        <v>2.1233333333333335</v>
      </c>
      <c r="BC13" s="23">
        <f t="shared" si="14"/>
        <v>0.18333333333333335</v>
      </c>
      <c r="BD13" t="s">
        <v>125</v>
      </c>
      <c r="BE13" s="23">
        <f t="shared" si="15"/>
        <v>7.0000909614846396E-2</v>
      </c>
      <c r="BF13" t="s">
        <v>126</v>
      </c>
      <c r="BG13" s="23">
        <f t="shared" si="16"/>
        <v>0.16000049664691973</v>
      </c>
      <c r="BH13" s="24">
        <v>22.5</v>
      </c>
      <c r="BI13" s="24">
        <v>30</v>
      </c>
      <c r="BJ13" s="25">
        <f ca="1">(BD13*BH13+$AP13-$AQ13)/$H13</f>
        <v>153.94399611047947</v>
      </c>
      <c r="BK13" s="25">
        <f ca="1">(BF13*BI13+$AP13-$AQ13)/$H13</f>
        <v>305.98738880610125</v>
      </c>
      <c r="BL13" s="23">
        <f t="shared" ca="1" si="19"/>
        <v>-9.8901297854279036E-2</v>
      </c>
      <c r="BM13" s="23">
        <f t="shared" ca="1" si="20"/>
        <v>4.2438993232079225E-2</v>
      </c>
      <c r="BN13" s="93" t="s">
        <v>81</v>
      </c>
      <c r="BO13" s="93" t="s">
        <v>98</v>
      </c>
      <c r="BP13" s="93" t="s">
        <v>88</v>
      </c>
    </row>
    <row r="14" spans="1:68" ht="15" customHeight="1" ns3:dyDescent="0.25">
      <c r="A14" s="86" t="e" vm="11">
        <v>#VALUE!</v>
      </c>
      <c r="B14" s="10" t="str">
        <f t="array" aca="1" ref="B14" ca="1">_FV(A14,"Símbolo bursátil",TRUE())</f>
        <v>SU</v>
      </c>
      <c r="C14" s="88" t="s">
        <v>127</v>
      </c>
      <c r="D14" s="88" t="s">
        <v>77</v>
      </c>
      <c r="E14" s="11" t="str">
        <f t="array" aca="1" ref="E14" ca="1">_FV(A14,"Abreviatura de intercambio",TRUE())</f>
        <v>XPAR</v>
      </c>
      <c r="F14" s="11" t="str">
        <f t="array" aca="1" ref="F14" ca="1">_FV(A14,"Moneda")</f>
        <v>EUR</v>
      </c>
      <c r="G14" s="12">
        <f t="array" aca="1" ref="G14" ca="1">_FV(A14,"Precio")</f>
        <v>255.8</v>
      </c>
      <c r="H14" s="13">
        <f t="array" aca="1" ref="H14" ca="1">_FV(A14,"Acciones en circulación",TRUE())/1000000</f>
        <v>577.12249999999995</v>
      </c>
      <c r="I14" s="14">
        <f t="shared" ca="1" si="0"/>
        <v>147627.93549999999</v>
      </c>
      <c r="J14" s="90">
        <v>1</v>
      </c>
      <c r="K14" s="90">
        <v>7</v>
      </c>
      <c r="L14" s="90">
        <v>3</v>
      </c>
      <c r="M14" s="90">
        <v>1</v>
      </c>
      <c r="N14" s="90">
        <v>0</v>
      </c>
      <c r="O14" s="90">
        <v>0.84</v>
      </c>
      <c r="P14" s="90">
        <v>1</v>
      </c>
      <c r="Q14" s="90">
        <v>0</v>
      </c>
      <c r="R14" s="15">
        <f t="shared" si="1"/>
        <v>13.84</v>
      </c>
      <c r="S14" s="16">
        <f t="shared" si="2"/>
        <v>8.14</v>
      </c>
      <c r="T14" s="90">
        <v>15</v>
      </c>
      <c r="U14" s="90">
        <v>17</v>
      </c>
      <c r="V14" s="90">
        <v>15</v>
      </c>
      <c r="W14" s="90">
        <v>10</v>
      </c>
      <c r="X14" s="90">
        <v>9</v>
      </c>
      <c r="Y14" s="90">
        <v>13</v>
      </c>
      <c r="Z14" s="90">
        <v>5</v>
      </c>
      <c r="AA14" s="90">
        <v>-7</v>
      </c>
      <c r="AB14" s="15">
        <f t="shared" si="3"/>
        <v>77</v>
      </c>
      <c r="AC14" s="16">
        <f t="shared" si="4"/>
        <v>7.7</v>
      </c>
      <c r="AD14" s="90">
        <v>14</v>
      </c>
      <c r="AE14" s="90">
        <v>-1</v>
      </c>
      <c r="AF14" s="90">
        <v>6</v>
      </c>
      <c r="AG14" s="90">
        <v>13</v>
      </c>
      <c r="AH14" s="90">
        <v>4</v>
      </c>
      <c r="AI14" s="90">
        <v>8</v>
      </c>
      <c r="AJ14" s="90">
        <v>13</v>
      </c>
      <c r="AK14" s="90">
        <v>-3</v>
      </c>
      <c r="AL14" s="15">
        <f t="shared" si="5"/>
        <v>54</v>
      </c>
      <c r="AM14" s="16">
        <f t="shared" si="6"/>
        <v>7.71</v>
      </c>
      <c r="AN14" s="17">
        <f t="shared" si="7"/>
        <v>7.85</v>
      </c>
      <c r="AO14" s="18" t="s">
        <v>90</v>
      </c>
      <c r="AP14" s="19">
        <v>3500</v>
      </c>
      <c r="AQ14" s="19">
        <v>12500</v>
      </c>
      <c r="AR14" s="19">
        <f t="shared" ca="1" si="21"/>
        <v>156627.93549999999</v>
      </c>
      <c r="AS14" s="19">
        <v>4500</v>
      </c>
      <c r="AT14" s="19">
        <v>4800</v>
      </c>
      <c r="AU14" s="19">
        <v>8800</v>
      </c>
      <c r="AV14" s="19">
        <v>39500</v>
      </c>
      <c r="AW14" s="20">
        <f t="shared" ca="1" si="9"/>
        <v>34.806207888888885</v>
      </c>
      <c r="AX14" s="20">
        <f t="shared" ca="1" si="10"/>
        <v>17.798629034090908</v>
      </c>
      <c r="AY14" s="20">
        <f t="shared" ca="1" si="11"/>
        <v>3.9652641898734173</v>
      </c>
      <c r="AZ14" s="21">
        <v>38000</v>
      </c>
      <c r="BA14" s="22">
        <f t="shared" si="12"/>
        <v>0.12151898734177215</v>
      </c>
      <c r="BB14" s="22">
        <f t="shared" si="13"/>
        <v>1.0394736842105263</v>
      </c>
      <c r="BC14" s="23">
        <f t="shared" si="14"/>
        <v>0.12631578947368421</v>
      </c>
      <c r="BD14" t="s">
        <v>128</v>
      </c>
      <c r="BE14" s="23">
        <f t="shared" si="15"/>
        <v>4.9990235939731065E-2</v>
      </c>
      <c r="BF14" t="s">
        <v>129</v>
      </c>
      <c r="BG14" s="23">
        <f t="shared" si="16"/>
        <v>0.13000113649503442</v>
      </c>
      <c r="BH14" s="24">
        <v>17.5</v>
      </c>
      <c r="BI14" s="24">
        <v>25</v>
      </c>
      <c r="BJ14" s="25">
        <f ca="1">(BD14*BH14+$AP14-$AQ14)/$H14</f>
        <v>158.54952804647195</v>
      </c>
      <c r="BK14" s="25">
        <f ca="1">(BF14*BI14+$AP14-$AQ14)/$H14</f>
        <v>343.5579101490585</v>
      </c>
      <c r="BL14" s="23">
        <f t="shared" ca="1" si="19"/>
        <v>-9.1232299954577156E-2</v>
      </c>
      <c r="BM14" s="23">
        <f t="shared" ca="1" si="20"/>
        <v>7.6526817433812955E-2</v>
      </c>
      <c r="BN14" s="93" t="s">
        <v>81</v>
      </c>
      <c r="BO14" s="93" t="s">
        <v>118</v>
      </c>
      <c r="BP14" s="93" t="s">
        <v>130</v>
      </c>
    </row>
    <row r="15" spans="1:68" ht="15" customHeight="1" ns3:dyDescent="0.25">
      <c r="A15" s="86" t="e" vm="12">
        <v>#VALUE!</v>
      </c>
      <c r="B15" s="10" t="str">
        <f t="array" aca="1" ref="B15" ca="1">_FV(A15,"Símbolo bursátil",TRUE())</f>
        <v>ITX</v>
      </c>
      <c r="C15" s="88" t="s">
        <v>131</v>
      </c>
      <c r="D15" s="88" t="s">
        <v>77</v>
      </c>
      <c r="E15" s="11" t="str">
        <f t="array" aca="1" ref="E15" ca="1">_FV(A15,"Abreviatura de intercambio",TRUE())</f>
        <v>BMEX</v>
      </c>
      <c r="F15" s="11" t="str">
        <f t="array" aca="1" ref="F15" ca="1">_FV(A15,"Moneda")</f>
        <v>EUR</v>
      </c>
      <c r="G15" s="12">
        <f t="array" aca="1" ref="G15" ca="1">_FV(A15,"Precio")</f>
        <v>49.82</v>
      </c>
      <c r="H15" s="13">
        <f t="array" aca="1" ref="H15" ca="1">_FV(A15,"Acciones en circulación",TRUE())/1000000</f>
        <v>3116.652</v>
      </c>
      <c r="I15" s="14">
        <f t="shared" ca="1" si="0"/>
        <v>155271.60264</v>
      </c>
      <c r="J15" s="91">
        <v>0</v>
      </c>
      <c r="K15" s="91">
        <v>6.5</v>
      </c>
      <c r="L15" s="91">
        <v>2</v>
      </c>
      <c r="M15" s="91">
        <v>1</v>
      </c>
      <c r="N15" s="91">
        <v>0</v>
      </c>
      <c r="O15" s="91">
        <v>0.74</v>
      </c>
      <c r="P15" s="91">
        <v>1</v>
      </c>
      <c r="Q15" s="91">
        <v>1</v>
      </c>
      <c r="R15" s="26">
        <f t="shared" si="1"/>
        <v>12.24</v>
      </c>
      <c r="S15" s="16">
        <f t="shared" si="2"/>
        <v>7.2</v>
      </c>
      <c r="T15" s="91">
        <v>16</v>
      </c>
      <c r="U15" s="91">
        <v>17</v>
      </c>
      <c r="V15" s="91">
        <v>10</v>
      </c>
      <c r="W15" s="91">
        <v>10</v>
      </c>
      <c r="X15" s="91">
        <v>9</v>
      </c>
      <c r="Y15" s="91">
        <v>13</v>
      </c>
      <c r="Z15" s="91">
        <v>10</v>
      </c>
      <c r="AA15" s="91">
        <v>-8</v>
      </c>
      <c r="AB15" s="26">
        <f t="shared" si="3"/>
        <v>77</v>
      </c>
      <c r="AC15" s="16">
        <f t="shared" si="4"/>
        <v>7.7</v>
      </c>
      <c r="AD15" s="91">
        <v>14</v>
      </c>
      <c r="AE15" s="91">
        <v>-1</v>
      </c>
      <c r="AF15" s="91">
        <v>8</v>
      </c>
      <c r="AG15" s="91">
        <v>13</v>
      </c>
      <c r="AH15" s="91">
        <v>5</v>
      </c>
      <c r="AI15" s="91">
        <v>9</v>
      </c>
      <c r="AJ15" s="91">
        <v>13</v>
      </c>
      <c r="AK15" s="91">
        <v>-4</v>
      </c>
      <c r="AL15" s="26">
        <f t="shared" si="5"/>
        <v>57</v>
      </c>
      <c r="AM15" s="16">
        <f t="shared" si="6"/>
        <v>8.14</v>
      </c>
      <c r="AN15" s="17">
        <f t="shared" si="7"/>
        <v>7.68</v>
      </c>
      <c r="AO15" s="18" t="s">
        <v>90</v>
      </c>
      <c r="AP15" s="19">
        <v>11500</v>
      </c>
      <c r="AQ15" s="19">
        <v>0</v>
      </c>
      <c r="AR15" s="19">
        <f t="shared" ca="1" si="21"/>
        <v>143771.60264</v>
      </c>
      <c r="AS15" s="19">
        <v>6500</v>
      </c>
      <c r="AT15" s="19">
        <v>6500</v>
      </c>
      <c r="AU15" s="19">
        <v>11000</v>
      </c>
      <c r="AV15" s="19">
        <v>38600</v>
      </c>
      <c r="AW15" s="20">
        <f t="shared" ca="1" si="9"/>
        <v>22.118708098461539</v>
      </c>
      <c r="AX15" s="20">
        <f t="shared" ca="1" si="10"/>
        <v>13.070145694545454</v>
      </c>
      <c r="AY15" s="20">
        <f t="shared" ca="1" si="11"/>
        <v>3.7246529181347148</v>
      </c>
      <c r="AZ15" s="21">
        <v>18000</v>
      </c>
      <c r="BA15" s="22">
        <f t="shared" si="12"/>
        <v>0.16839378238341968</v>
      </c>
      <c r="BB15" s="22">
        <f t="shared" si="13"/>
        <v>2.1444444444444444</v>
      </c>
      <c r="BC15" s="23">
        <f t="shared" si="14"/>
        <v>0.36111111111111105</v>
      </c>
      <c r="BD15" t="s">
        <v>132</v>
      </c>
      <c r="BE15" s="23">
        <f t="shared" si="15"/>
        <v>3.9993585848977053E-2</v>
      </c>
      <c r="BF15" t="s">
        <v>133</v>
      </c>
      <c r="BG15" s="23">
        <f t="shared" si="16"/>
        <v>0.11999567960135571</v>
      </c>
      <c r="BH15" s="24">
        <v>16</v>
      </c>
      <c r="BI15" s="24">
        <v>24</v>
      </c>
      <c r="BJ15" s="25">
        <f ca="1">(BD15*BH15+$AP15-$AQ15)/$H15</f>
        <v>44.287267234198751</v>
      </c>
      <c r="BK15" s="25">
        <f ca="1">(BF15*BI15+$AP15-$AQ15)/$H15</f>
        <v>91.89989771074859</v>
      </c>
      <c r="BL15" s="23">
        <f t="shared" ca="1" si="19"/>
        <v>-2.3268864808639433E-2</v>
      </c>
      <c r="BM15" s="23">
        <f t="shared" ca="1" si="20"/>
        <v>0.16540754702958971</v>
      </c>
      <c r="BN15" t="inlineStr">
        <is>
          <t>2026-06-10</t>
        </is>
      </c>
      <c r="BO15" t="inlineStr">
        <is>
          <t>09/06/2026</t>
        </is>
      </c>
      <c r="BP15" t="inlineStr">
        <is>
          <t>09/09/2026</t>
        </is>
      </c>
    </row>
    <row r="16" spans="1:68" ht="15" customHeight="1" ns3:dyDescent="0.25">
      <c r="A16" s="86" t="e" vm="13">
        <v>#VALUE!</v>
      </c>
      <c r="B16" s="10" t="str">
        <f t="array" aca="1" ref="B16" ca="1">_FV(A16,"Símbolo bursátil",TRUE())</f>
        <v>LOTB</v>
      </c>
      <c r="C16" s="88" t="s">
        <v>131</v>
      </c>
      <c r="D16" s="88" t="s">
        <v>77</v>
      </c>
      <c r="E16" s="11" t="str">
        <f t="array" aca="1" ref="E16" ca="1">_FV(A16,"Abreviatura de intercambio",TRUE())</f>
        <v>XBRU</v>
      </c>
      <c r="F16" s="11" t="str">
        <f t="array" aca="1" ref="F16" ca="1">_FV(A16,"Moneda")</f>
        <v>EUR</v>
      </c>
      <c r="G16" s="12">
        <f t="array" aca="1" ref="G16" ca="1">_FV(A16,"Precio")</f>
        <v>10640</v>
      </c>
      <c r="H16" s="13">
        <f t="array" aca="1" ref="H16" ca="1">_FV(A16,"Acciones en circulación",TRUE())/1000000</f>
        <v>0.81601000000000001</v>
      </c>
      <c r="I16" s="14">
        <f t="shared" ca="1" si="0"/>
        <v>8682.3464000000004</v>
      </c>
      <c r="J16" s="90">
        <v>0</v>
      </c>
      <c r="K16" s="90">
        <v>7</v>
      </c>
      <c r="L16" s="90">
        <v>3</v>
      </c>
      <c r="M16" s="90">
        <v>1</v>
      </c>
      <c r="N16" s="90">
        <v>0</v>
      </c>
      <c r="O16" s="90">
        <v>0.76</v>
      </c>
      <c r="P16" s="90">
        <v>1</v>
      </c>
      <c r="Q16" s="90">
        <v>1</v>
      </c>
      <c r="R16" s="15">
        <f t="shared" si="1"/>
        <v>13.76</v>
      </c>
      <c r="S16" s="16">
        <f t="shared" si="2"/>
        <v>8.09</v>
      </c>
      <c r="T16" s="90">
        <v>16</v>
      </c>
      <c r="U16" s="90">
        <v>16</v>
      </c>
      <c r="V16" s="90">
        <v>13</v>
      </c>
      <c r="W16" s="90">
        <v>9</v>
      </c>
      <c r="X16" s="90">
        <v>9</v>
      </c>
      <c r="Y16" s="90">
        <v>13</v>
      </c>
      <c r="Z16" s="90">
        <v>10</v>
      </c>
      <c r="AA16" s="90">
        <v>-7</v>
      </c>
      <c r="AB16" s="15">
        <f t="shared" si="3"/>
        <v>79</v>
      </c>
      <c r="AC16" s="16">
        <f t="shared" si="4"/>
        <v>7.9</v>
      </c>
      <c r="AD16" s="90">
        <v>14</v>
      </c>
      <c r="AE16" s="90">
        <v>-1</v>
      </c>
      <c r="AF16" s="90">
        <v>7</v>
      </c>
      <c r="AG16" s="90">
        <v>13</v>
      </c>
      <c r="AH16" s="90">
        <v>4</v>
      </c>
      <c r="AI16" s="90">
        <v>9</v>
      </c>
      <c r="AJ16" s="90">
        <v>13</v>
      </c>
      <c r="AK16" s="90">
        <v>-3</v>
      </c>
      <c r="AL16" s="15">
        <f t="shared" si="5"/>
        <v>56</v>
      </c>
      <c r="AM16" s="16">
        <f t="shared" si="6"/>
        <v>8</v>
      </c>
      <c r="AN16" s="17">
        <f t="shared" si="7"/>
        <v>8</v>
      </c>
      <c r="AO16" s="18" t="s">
        <v>90</v>
      </c>
      <c r="AP16" s="19">
        <v>100</v>
      </c>
      <c r="AQ16" s="19">
        <v>200</v>
      </c>
      <c r="AR16" s="19">
        <f t="shared" ca="1" si="21"/>
        <v>8782.3464000000004</v>
      </c>
      <c r="AS16" s="19">
        <v>180</v>
      </c>
      <c r="AT16" s="19">
        <v>165</v>
      </c>
      <c r="AU16" s="19">
        <v>260</v>
      </c>
      <c r="AV16" s="19">
        <v>1200</v>
      </c>
      <c r="AW16" s="20">
        <f t="shared" ca="1" si="9"/>
        <v>48.790813333333332</v>
      </c>
      <c r="AX16" s="20">
        <f t="shared" ca="1" si="10"/>
        <v>33.778255384615385</v>
      </c>
      <c r="AY16" s="20">
        <f t="shared" ca="1" si="11"/>
        <v>7.3186220000000004</v>
      </c>
      <c r="AZ16" s="21">
        <v>800</v>
      </c>
      <c r="BA16" s="22">
        <f t="shared" si="12"/>
        <v>0.13750000000000001</v>
      </c>
      <c r="BB16" s="22">
        <f t="shared" si="13"/>
        <v>1.5</v>
      </c>
      <c r="BC16" s="23">
        <f t="shared" si="14"/>
        <v>0.20625000000000002</v>
      </c>
      <c r="BD16" t="s">
        <v>135</v>
      </c>
      <c r="BE16" s="23">
        <f t="shared" si="15"/>
        <v>6.9610375725068785E-2</v>
      </c>
      <c r="BF16" t="s">
        <v>136</v>
      </c>
      <c r="BG16" s="23">
        <f t="shared" si="16"/>
        <v>0.15996225865400127</v>
      </c>
      <c r="BH16" s="24">
        <v>15</v>
      </c>
      <c r="BI16" s="24">
        <v>25</v>
      </c>
      <c r="BJ16" s="25">
        <f ca="1">(BD16*BH16+$AP16-$AQ16)/$H16</f>
        <v>4509.7486550409922</v>
      </c>
      <c r="BK16" s="25">
        <f ca="1">(BF16*BI16+$AP16-$AQ16)/$H16</f>
        <v>11458.192914302521</v>
      </c>
      <c r="BL16" s="23">
        <f t="shared" ca="1" si="19"/>
        <v>-0.15774782346553951</v>
      </c>
      <c r="BM16" s="23">
        <f t="shared" ca="1" si="20"/>
        <v>1.8693712124910222E-2</v>
      </c>
      <c r="BN16" s="93" t="s">
        <v>81</v>
      </c>
      <c r="BO16" s="93" t="s">
        <v>137</v>
      </c>
      <c r="BP16" s="93" t="s">
        <v>138</v>
      </c>
    </row>
    <row r="17" spans="1:68" ht="15" customHeight="1" ns3:dyDescent="0.25">
      <c r="A17" s="86" t="e" vm="14">
        <v>#VALUE!</v>
      </c>
      <c r="B17" s="10" t="str">
        <f t="array" aca="1" ref="B17" ca="1">_FV(A17,"Símbolo bursátil",TRUE())</f>
        <v>HLMA</v>
      </c>
      <c r="C17" s="88" t="s">
        <v>139</v>
      </c>
      <c r="D17" s="88" t="s">
        <v>77</v>
      </c>
      <c r="E17" s="11" t="str">
        <f t="array" aca="1" ref="E17" ca="1">_FV(A17,"Abreviatura de intercambio",TRUE())</f>
        <v>XLON</v>
      </c>
      <c r="F17" s="11" t="str">
        <f t="array" aca="1" ref="F17" ca="1">_FV(A17,"Moneda")</f>
        <v>GBp</v>
      </c>
      <c r="G17" s="12">
        <f t="array" aca="1" ref="G17" ca="1">_FV(A17,"Precio")</f>
        <v>4400</v>
      </c>
      <c r="H17" s="13">
        <f t="array" aca="1" ref="H17" ca="1">_FV(A17,"Acciones en circulación",TRUE())/1000000</f>
        <v>379.64530000000002</v>
      </c>
      <c r="I17" s="14">
        <f ca="1">G17/100*H17</f>
        <v>16704.393200000002</v>
      </c>
      <c r="J17" s="91">
        <v>2</v>
      </c>
      <c r="K17" s="91">
        <v>6</v>
      </c>
      <c r="L17" s="91">
        <v>3</v>
      </c>
      <c r="M17" s="91">
        <v>1</v>
      </c>
      <c r="N17" s="91">
        <v>0</v>
      </c>
      <c r="O17" s="91">
        <v>0.86</v>
      </c>
      <c r="P17" s="91">
        <v>1</v>
      </c>
      <c r="Q17" s="91">
        <v>0</v>
      </c>
      <c r="R17" s="26">
        <f t="shared" si="1"/>
        <v>13.86</v>
      </c>
      <c r="S17" s="16">
        <f t="shared" si="2"/>
        <v>8.15</v>
      </c>
      <c r="T17" s="91">
        <v>14</v>
      </c>
      <c r="U17" s="91">
        <v>15</v>
      </c>
      <c r="V17" s="91">
        <v>12</v>
      </c>
      <c r="W17" s="91">
        <v>10</v>
      </c>
      <c r="X17" s="91">
        <v>10</v>
      </c>
      <c r="Y17" s="91">
        <v>12</v>
      </c>
      <c r="Z17" s="91">
        <v>6</v>
      </c>
      <c r="AA17" s="91">
        <v>-7</v>
      </c>
      <c r="AB17" s="26">
        <f t="shared" si="3"/>
        <v>72</v>
      </c>
      <c r="AC17" s="16">
        <f t="shared" si="4"/>
        <v>7.2</v>
      </c>
      <c r="AD17" s="91">
        <v>15</v>
      </c>
      <c r="AE17" s="91">
        <v>-1</v>
      </c>
      <c r="AF17" s="91">
        <v>8</v>
      </c>
      <c r="AG17" s="91">
        <v>14</v>
      </c>
      <c r="AH17" s="91">
        <v>4</v>
      </c>
      <c r="AI17" s="91">
        <v>8</v>
      </c>
      <c r="AJ17" s="91">
        <v>13</v>
      </c>
      <c r="AK17" s="91">
        <v>-3</v>
      </c>
      <c r="AL17" s="26">
        <f t="shared" si="5"/>
        <v>58</v>
      </c>
      <c r="AM17" s="16">
        <f t="shared" si="6"/>
        <v>8.2899999999999991</v>
      </c>
      <c r="AN17" s="17">
        <f t="shared" si="7"/>
        <v>7.88</v>
      </c>
      <c r="AO17" s="18" t="s">
        <v>140</v>
      </c>
      <c r="AP17" s="19">
        <v>100</v>
      </c>
      <c r="AQ17" s="19">
        <v>400</v>
      </c>
      <c r="AR17" s="19">
        <f t="shared" ca="1" si="21"/>
        <v>17004.393200000002</v>
      </c>
      <c r="AS17" s="19">
        <v>400</v>
      </c>
      <c r="AT17" s="19">
        <v>370</v>
      </c>
      <c r="AU17" s="19">
        <v>515</v>
      </c>
      <c r="AV17" s="19">
        <v>2340</v>
      </c>
      <c r="AW17" s="20">
        <f t="shared" ca="1" si="9"/>
        <v>42.510983000000003</v>
      </c>
      <c r="AX17" s="20">
        <f t="shared" ca="1" si="10"/>
        <v>33.018239223300974</v>
      </c>
      <c r="AY17" s="20">
        <f t="shared" ca="1" si="11"/>
        <v>7.2668347008547016</v>
      </c>
      <c r="AZ17" s="21">
        <v>2100</v>
      </c>
      <c r="BA17" s="22">
        <f t="shared" si="12"/>
        <v>0.15811965811965811</v>
      </c>
      <c r="BB17" s="22">
        <f t="shared" si="13"/>
        <v>1.1142857142857143</v>
      </c>
      <c r="BC17" s="23">
        <f t="shared" si="14"/>
        <v>0.1761904761904762</v>
      </c>
      <c r="BD17" t="s">
        <v>141</v>
      </c>
      <c r="BE17" s="23">
        <f t="shared" si="15"/>
        <v>5.0200405794756708E-2</v>
      </c>
      <c r="BF17" t="s">
        <v>142</v>
      </c>
      <c r="BG17" s="23">
        <f t="shared" si="16"/>
        <v>0.13000795103795748</v>
      </c>
      <c r="BH17" s="24">
        <v>18</v>
      </c>
      <c r="BI17" s="24">
        <v>28</v>
      </c>
      <c r="BJ17" s="25">
        <f ca="1">(BD17*BH17+$AP17-$AQ17)/$H17*100</f>
        <v>2343.766668519273</v>
      </c>
      <c r="BK17" s="25">
        <f ca="1">(BF17*BI17+$AP17-$AQ17)/$H17*100</f>
        <v>5356.5788908752456</v>
      </c>
      <c r="BL17" s="23">
        <f t="shared" ca="1" si="19"/>
        <v>-0.11835786122721392</v>
      </c>
      <c r="BM17" s="23">
        <f t="shared" ca="1" si="20"/>
        <v>5.0409660501293585E-2</v>
      </c>
      <c r="BN17" s="93" t="s">
        <v>81</v>
      </c>
      <c r="BO17" s="94" t="s">
        <v>143</v>
      </c>
      <c r="BP17" s="93" t="s">
        <v>144</v>
      </c>
    </row>
    <row r="18" spans="1:68" ht="15" customHeight="1" ns3:dyDescent="0.25">
      <c r="A18" s="86" t="e" vm="15">
        <v>#VALUE!</v>
      </c>
      <c r="B18" s="10" t="str">
        <f t="array" aca="1" ref="B18" ca="1">_FV(A18,"Símbolo bursátil",TRUE())</f>
        <v>FICO</v>
      </c>
      <c r="C18" s="88" t="s">
        <v>76</v>
      </c>
      <c r="D18" s="88" t="s">
        <v>77</v>
      </c>
      <c r="E18" s="11" t="str">
        <f t="array" aca="1" ref="E18" ca="1">_FV(A18,"Abreviatura de intercambio",TRUE())</f>
        <v>XNYS</v>
      </c>
      <c r="F18" s="11" t="str">
        <f t="array" aca="1" ref="F18" ca="1">_FV(A18,"Moneda")</f>
        <v>USD</v>
      </c>
      <c r="G18" s="12">
        <f t="array" aca="1" ref="G18" ca="1">_FV(A18,"Precio")</f>
        <v>1191.345</v>
      </c>
      <c r="H18" s="13">
        <f t="array" aca="1" ref="H18" ca="1">_FV(A18,"Acciones en circulación",TRUE())/1000000</f>
        <v>23.190909999999999</v>
      </c>
      <c r="I18" s="14">
        <f t="shared" ref="I18:I25" ca="1" si="22">G18*H18</f>
        <v>27628.374673949998</v>
      </c>
      <c r="J18" s="90">
        <v>0</v>
      </c>
      <c r="K18" s="90">
        <v>8</v>
      </c>
      <c r="L18" s="90">
        <v>2</v>
      </c>
      <c r="M18" s="90">
        <v>1</v>
      </c>
      <c r="N18" s="90">
        <v>-1</v>
      </c>
      <c r="O18" s="90">
        <v>0.78</v>
      </c>
      <c r="P18" s="90">
        <v>1</v>
      </c>
      <c r="Q18" s="90">
        <v>0</v>
      </c>
      <c r="R18" s="15">
        <f t="shared" si="1"/>
        <v>11.78</v>
      </c>
      <c r="S18" s="16">
        <f t="shared" si="2"/>
        <v>6.93</v>
      </c>
      <c r="T18" s="90">
        <v>16</v>
      </c>
      <c r="U18" s="90">
        <v>19</v>
      </c>
      <c r="V18" s="90">
        <v>10</v>
      </c>
      <c r="W18" s="90">
        <v>7</v>
      </c>
      <c r="X18" s="90">
        <v>10</v>
      </c>
      <c r="Y18" s="90">
        <v>12</v>
      </c>
      <c r="Z18" s="90">
        <v>5</v>
      </c>
      <c r="AA18" s="90">
        <v>-15</v>
      </c>
      <c r="AB18" s="15">
        <f t="shared" si="3"/>
        <v>64</v>
      </c>
      <c r="AC18" s="16">
        <f t="shared" si="4"/>
        <v>6.4</v>
      </c>
      <c r="AD18" s="90">
        <v>14</v>
      </c>
      <c r="AE18" s="90">
        <v>0</v>
      </c>
      <c r="AF18" s="90">
        <v>10</v>
      </c>
      <c r="AG18" s="90">
        <v>14</v>
      </c>
      <c r="AH18" s="90">
        <v>4</v>
      </c>
      <c r="AI18" s="90">
        <v>8</v>
      </c>
      <c r="AJ18" s="90">
        <v>13</v>
      </c>
      <c r="AK18" s="90">
        <v>-6</v>
      </c>
      <c r="AL18" s="15">
        <f t="shared" si="5"/>
        <v>57</v>
      </c>
      <c r="AM18" s="16">
        <f t="shared" si="6"/>
        <v>8.14</v>
      </c>
      <c r="AN18" s="17">
        <f t="shared" si="7"/>
        <v>7.16</v>
      </c>
      <c r="AO18" s="18" t="s">
        <v>78</v>
      </c>
      <c r="AP18" s="19">
        <v>200</v>
      </c>
      <c r="AQ18" s="19">
        <v>2400</v>
      </c>
      <c r="AR18" s="19">
        <f t="shared" ca="1" si="21"/>
        <v>29828.374673949998</v>
      </c>
      <c r="AS18" s="19">
        <v>730</v>
      </c>
      <c r="AT18" s="19">
        <v>640</v>
      </c>
      <c r="AU18" s="19">
        <v>875</v>
      </c>
      <c r="AV18" s="19">
        <v>1720</v>
      </c>
      <c r="AW18" s="20">
        <f t="shared" ca="1" si="9"/>
        <v>40.860787224589039</v>
      </c>
      <c r="AX18" s="20">
        <f t="shared" ca="1" si="10"/>
        <v>34.089571055942855</v>
      </c>
      <c r="AY18" s="20">
        <f t="shared" ca="1" si="11"/>
        <v>17.34207829880814</v>
      </c>
      <c r="AZ18" s="21">
        <v>2200</v>
      </c>
      <c r="BA18" s="22">
        <f t="shared" si="12"/>
        <v>0.37209302325581395</v>
      </c>
      <c r="BB18" s="22">
        <f t="shared" si="13"/>
        <v>0.78181818181818186</v>
      </c>
      <c r="BC18" s="23">
        <f t="shared" si="14"/>
        <v>0.29090909090909089</v>
      </c>
      <c r="BD18" t="s">
        <v>145</v>
      </c>
      <c r="BE18" s="23">
        <f t="shared" si="15"/>
        <v>8.0078627468473051E-2</v>
      </c>
      <c r="BF18" t="s">
        <v>146</v>
      </c>
      <c r="BG18" s="23">
        <f t="shared" si="16"/>
        <v>0.17999107424955563</v>
      </c>
      <c r="BH18" s="24">
        <v>18</v>
      </c>
      <c r="BI18" s="24">
        <v>26</v>
      </c>
      <c r="BJ18" s="25">
        <f t="shared" ref="BJ18:BJ25" ca="1" si="23">(BD18*BH18+$AP18-$AQ18)/$H18</f>
        <v>737.96155476434524</v>
      </c>
      <c r="BK18" s="25">
        <f t="shared" ref="BK18:BK25" ca="1" si="24">(BF18*BI18+$AP18-$AQ18)/$H18</f>
        <v>1777.420549689512</v>
      </c>
      <c r="BL18" s="23">
        <f t="shared" ca="1" si="19"/>
        <v>-9.134454503960554E-2</v>
      </c>
      <c r="BM18" s="23">
        <f t="shared" ca="1" si="20"/>
        <v>0.10519309436556035</v>
      </c>
      <c r="BN18" s="93" t="s">
        <v>81</v>
      </c>
      <c r="BO18" s="93" t="s">
        <v>87</v>
      </c>
      <c r="BP18" s="93" t="s">
        <v>147</v>
      </c>
    </row>
    <row r="19" spans="1:68" ht="15" customHeight="1" ns3:dyDescent="0.25">
      <c r="A19" s="86" t="e" vm="16">
        <v>#VALUE!</v>
      </c>
      <c r="B19" s="10" t="str">
        <f t="array" aca="1" ref="B19" ca="1">_FV(A19,"Símbolo bursátil",TRUE())</f>
        <v>LIFCO B</v>
      </c>
      <c r="C19" s="88" t="s">
        <v>148</v>
      </c>
      <c r="D19" s="88" t="s">
        <v>77</v>
      </c>
      <c r="E19" s="11" t="str">
        <f t="array" aca="1" ref="E19" ca="1">_FV(A19,"Abreviatura de intercambio",TRUE())</f>
        <v>XSTO</v>
      </c>
      <c r="F19" s="11" t="str">
        <f t="array" aca="1" ref="F19" ca="1">_FV(A19,"Moneda")</f>
        <v>SEK</v>
      </c>
      <c r="G19" s="12">
        <f t="array" aca="1" ref="G19" ca="1">_FV(A19,"Precio")</f>
        <v>289.39999999999998</v>
      </c>
      <c r="H19" s="13">
        <f t="array" aca="1" ref="H19" ca="1">_FV(A19,"Acciones en circulación",TRUE())/1000000</f>
        <v>423.8365</v>
      </c>
      <c r="I19" s="14">
        <f t="shared" ca="1" si="22"/>
        <v>122658.28309999999</v>
      </c>
      <c r="J19" s="91">
        <v>0</v>
      </c>
      <c r="K19" s="91">
        <v>7</v>
      </c>
      <c r="L19" s="91">
        <v>3</v>
      </c>
      <c r="M19" s="91">
        <v>1</v>
      </c>
      <c r="N19" s="91">
        <v>0</v>
      </c>
      <c r="O19" s="91">
        <v>0.7</v>
      </c>
      <c r="P19" s="91">
        <v>0.5</v>
      </c>
      <c r="Q19" s="91">
        <v>1</v>
      </c>
      <c r="R19" s="26">
        <f t="shared" si="1"/>
        <v>13.2</v>
      </c>
      <c r="S19" s="16">
        <f t="shared" si="2"/>
        <v>7.76</v>
      </c>
      <c r="T19" s="91">
        <v>15</v>
      </c>
      <c r="U19" s="91">
        <v>15</v>
      </c>
      <c r="V19" s="91">
        <v>13</v>
      </c>
      <c r="W19" s="91">
        <v>10</v>
      </c>
      <c r="X19" s="91">
        <v>9</v>
      </c>
      <c r="Y19" s="91">
        <v>13</v>
      </c>
      <c r="Z19" s="91">
        <v>10</v>
      </c>
      <c r="AA19" s="91">
        <v>-7</v>
      </c>
      <c r="AB19" s="26">
        <f t="shared" si="3"/>
        <v>78</v>
      </c>
      <c r="AC19" s="16">
        <f t="shared" si="4"/>
        <v>7.8</v>
      </c>
      <c r="AD19" s="91">
        <v>14</v>
      </c>
      <c r="AE19" s="91">
        <v>-1</v>
      </c>
      <c r="AF19" s="91">
        <v>7</v>
      </c>
      <c r="AG19" s="91">
        <v>14</v>
      </c>
      <c r="AH19" s="91">
        <v>4</v>
      </c>
      <c r="AI19" s="91">
        <v>9</v>
      </c>
      <c r="AJ19" s="91">
        <v>13</v>
      </c>
      <c r="AK19" s="91">
        <v>-3</v>
      </c>
      <c r="AL19" s="26">
        <f t="shared" si="5"/>
        <v>57</v>
      </c>
      <c r="AM19" s="16">
        <f t="shared" si="6"/>
        <v>8.14</v>
      </c>
      <c r="AN19" s="17">
        <f t="shared" si="7"/>
        <v>7.9</v>
      </c>
      <c r="AO19" s="18" t="s">
        <v>149</v>
      </c>
      <c r="AP19" s="19">
        <v>3000</v>
      </c>
      <c r="AQ19" s="19">
        <v>12500</v>
      </c>
      <c r="AR19" s="19">
        <f t="shared" ca="1" si="21"/>
        <v>132158.2831</v>
      </c>
      <c r="AS19" s="19">
        <v>3800</v>
      </c>
      <c r="AT19" s="19">
        <v>3400</v>
      </c>
      <c r="AU19" s="19">
        <v>5800</v>
      </c>
      <c r="AV19" s="19">
        <v>26500</v>
      </c>
      <c r="AW19" s="20">
        <f t="shared" ca="1" si="9"/>
        <v>34.778495552631576</v>
      </c>
      <c r="AX19" s="20">
        <f t="shared" ca="1" si="10"/>
        <v>22.785910879310347</v>
      </c>
      <c r="AY19" s="20">
        <f t="shared" ca="1" si="11"/>
        <v>4.9871050226415097</v>
      </c>
      <c r="AZ19" s="21">
        <v>22000</v>
      </c>
      <c r="BA19" s="22">
        <f t="shared" si="12"/>
        <v>0.12830188679245283</v>
      </c>
      <c r="BB19" s="22">
        <f t="shared" si="13"/>
        <v>1.2045454545454546</v>
      </c>
      <c r="BC19" s="23">
        <f t="shared" si="14"/>
        <v>0.15454545454545454</v>
      </c>
      <c r="BD19" t="s">
        <v>150</v>
      </c>
      <c r="BE19" s="23">
        <f t="shared" si="15"/>
        <v>7.001218289169242E-2</v>
      </c>
      <c r="BF19" t="s">
        <v>151</v>
      </c>
      <c r="BG19" s="23">
        <f t="shared" si="16"/>
        <v>0.1699915026044907</v>
      </c>
      <c r="BH19" s="24">
        <v>16</v>
      </c>
      <c r="BI19" s="24">
        <v>26</v>
      </c>
      <c r="BJ19" s="25">
        <f t="shared" ca="1" si="23"/>
        <v>178.79536094696894</v>
      </c>
      <c r="BK19" s="25">
        <f t="shared" ca="1" si="24"/>
        <v>488.64597551178343</v>
      </c>
      <c r="BL19" s="23">
        <f t="shared" ca="1" si="19"/>
        <v>-9.1820814922578653E-2</v>
      </c>
      <c r="BM19" s="23">
        <f t="shared" ca="1" si="20"/>
        <v>0.1399188881795328</v>
      </c>
      <c r="BN19" s="93" t="s">
        <v>81</v>
      </c>
      <c r="BO19" s="93" t="s">
        <v>152</v>
      </c>
      <c r="BP19" s="93" t="s">
        <v>153</v>
      </c>
    </row>
    <row r="20" spans="1:68" ht="15" customHeight="1" ns3:dyDescent="0.25">
      <c r="A20" s="86" t="e" vm="17">
        <v>#VALUE!</v>
      </c>
      <c r="B20" s="10" t="str">
        <f t="array" aca="1" ref="B20" ca="1">_FV(A20,"Símbolo bursátil",TRUE())</f>
        <v>EVD</v>
      </c>
      <c r="C20" s="88" t="s">
        <v>131</v>
      </c>
      <c r="D20" s="88" t="s">
        <v>77</v>
      </c>
      <c r="E20" s="11" t="str">
        <f t="array" aca="1" ref="E20" ca="1">_FV(A20,"Abreviatura de intercambio",TRUE())</f>
        <v>XFRA</v>
      </c>
      <c r="F20" s="11" t="str">
        <f t="array" aca="1" ref="F20" ca="1">_FV(A20,"Moneda")</f>
        <v>EUR</v>
      </c>
      <c r="G20" s="12">
        <f t="array" aca="1" ref="G20" ca="1">_FV(A20,"Precio")</f>
        <v>56.25</v>
      </c>
      <c r="H20" s="13">
        <f t="array" aca="1" ref="H20" ca="1">_FV(A20,"Acciones en circulación",TRUE())/1000000</f>
        <v>96</v>
      </c>
      <c r="I20" s="14">
        <f t="shared" ca="1" si="22"/>
        <v>5400</v>
      </c>
      <c r="J20" s="90">
        <v>0.5</v>
      </c>
      <c r="K20" s="90">
        <v>7</v>
      </c>
      <c r="L20" s="90">
        <v>2</v>
      </c>
      <c r="M20" s="90">
        <v>0.5</v>
      </c>
      <c r="N20" s="90">
        <v>-0.5</v>
      </c>
      <c r="O20" s="90">
        <v>0.5</v>
      </c>
      <c r="P20" s="90">
        <v>0.5</v>
      </c>
      <c r="Q20" s="90">
        <v>0.5</v>
      </c>
      <c r="R20" s="15">
        <f t="shared" si="1"/>
        <v>11</v>
      </c>
      <c r="S20" s="16">
        <f t="shared" si="2"/>
        <v>6.47</v>
      </c>
      <c r="T20" s="90">
        <v>14</v>
      </c>
      <c r="U20" s="90">
        <v>15.5</v>
      </c>
      <c r="V20" s="90">
        <v>14</v>
      </c>
      <c r="W20" s="90">
        <v>8</v>
      </c>
      <c r="X20" s="90">
        <v>7</v>
      </c>
      <c r="Y20" s="90">
        <v>12</v>
      </c>
      <c r="Z20" s="90">
        <v>9</v>
      </c>
      <c r="AA20" s="90">
        <v>-12</v>
      </c>
      <c r="AB20" s="15">
        <f t="shared" si="3"/>
        <v>67.5</v>
      </c>
      <c r="AC20" s="16">
        <f t="shared" si="4"/>
        <v>6.75</v>
      </c>
      <c r="AD20" s="90">
        <v>13</v>
      </c>
      <c r="AE20" s="90">
        <v>-5</v>
      </c>
      <c r="AF20" s="90">
        <v>8.5</v>
      </c>
      <c r="AG20" s="90">
        <v>12</v>
      </c>
      <c r="AH20" s="90">
        <v>3</v>
      </c>
      <c r="AI20" s="90">
        <v>8</v>
      </c>
      <c r="AJ20" s="90">
        <v>12.5</v>
      </c>
      <c r="AK20" s="90">
        <v>-5</v>
      </c>
      <c r="AL20" s="15">
        <f t="shared" si="5"/>
        <v>47</v>
      </c>
      <c r="AM20" s="16">
        <f t="shared" si="6"/>
        <v>6.71</v>
      </c>
      <c r="AN20" s="17">
        <f t="shared" si="7"/>
        <v>6.64</v>
      </c>
      <c r="AO20" s="18" t="s">
        <v>90</v>
      </c>
      <c r="AP20" s="19">
        <v>1500</v>
      </c>
      <c r="AQ20" s="19">
        <v>800</v>
      </c>
      <c r="AR20" s="19">
        <f t="shared" ca="1" si="21"/>
        <v>4700</v>
      </c>
      <c r="AS20" s="19">
        <v>450</v>
      </c>
      <c r="AT20" s="19">
        <v>350</v>
      </c>
      <c r="AU20" s="19">
        <v>630</v>
      </c>
      <c r="AV20" s="19">
        <v>3100</v>
      </c>
      <c r="AW20" s="20">
        <f t="shared" ca="1" si="9"/>
        <v>10.444444444444445</v>
      </c>
      <c r="AX20" s="20">
        <f t="shared" ca="1" si="10"/>
        <v>7.4603174603174605</v>
      </c>
      <c r="AY20" s="20">
        <f t="shared" ca="1" si="11"/>
        <v>1.5161290322580645</v>
      </c>
      <c r="AZ20" s="21">
        <v>1600</v>
      </c>
      <c r="BA20" s="22">
        <f t="shared" si="12"/>
        <v>0.11290322580645161</v>
      </c>
      <c r="BB20" s="22">
        <f t="shared" si="13"/>
        <v>1.9375</v>
      </c>
      <c r="BC20" s="23">
        <f t="shared" si="14"/>
        <v>0.21875</v>
      </c>
      <c r="BD20" t="s">
        <v>154</v>
      </c>
      <c r="BE20" s="23">
        <f t="shared" si="15"/>
        <v>3.9812328944305531E-2</v>
      </c>
      <c r="BF20" t="s">
        <v>155</v>
      </c>
      <c r="BG20" s="23">
        <f t="shared" si="16"/>
        <v>0.13988509692971296</v>
      </c>
      <c r="BH20" s="24">
        <v>12</v>
      </c>
      <c r="BI20" s="24">
        <v>20</v>
      </c>
      <c r="BJ20" s="25">
        <f t="shared" ca="1" si="23"/>
        <v>75.666666666666671</v>
      </c>
      <c r="BK20" s="25">
        <f t="shared" ca="1" si="24"/>
        <v>187.70833333333334</v>
      </c>
      <c r="BL20" s="23">
        <f t="shared" ca="1" si="19"/>
        <v>6.1100245802087505E-2</v>
      </c>
      <c r="BM20" s="23">
        <f t="shared" ca="1" si="20"/>
        <v>0.35157533189574863</v>
      </c>
      <c r="BN20" t="inlineStr">
        <is>
          <t>2026-06-10</t>
        </is>
      </c>
      <c r="BO20" t="inlineStr">
        <is>
          <t>28/05/2026</t>
        </is>
      </c>
      <c r="BP20" t="inlineStr">
        <is>
          <t>27/08/2026</t>
        </is>
      </c>
    </row>
    <row r="21" spans="1:68" ht="15" customHeight="1" ns3:dyDescent="0.25">
      <c r="A21" s="86" t="e" vm="18">
        <v>#VALUE!</v>
      </c>
      <c r="B21" s="10" t="str">
        <f t="array" aca="1" ref="B21" ca="1">_FV(A21,"Símbolo bursátil",TRUE())</f>
        <v>MNST</v>
      </c>
      <c r="C21" s="88" t="s">
        <v>131</v>
      </c>
      <c r="D21" s="88" t="s">
        <v>77</v>
      </c>
      <c r="E21" s="11" t="str">
        <f t="array" aca="1" ref="E21" ca="1">_FV(A21,"Abreviatura de intercambio",TRUE())</f>
        <v>XNAS</v>
      </c>
      <c r="F21" s="11" t="str">
        <f t="array" aca="1" ref="F21" ca="1">_FV(A21,"Moneda")</f>
        <v>USD</v>
      </c>
      <c r="G21" s="12">
        <f t="array" aca="1" ref="G21" ca="1">_FV(A21,"Precio")</f>
        <v>86.325000000000003</v>
      </c>
      <c r="H21" s="13">
        <f t="array" aca="1" ref="H21" ca="1">_FV(A21,"Acciones en circulación",TRUE())/1000000</f>
        <v>978.00810000000001</v>
      </c>
      <c r="I21" s="14">
        <f t="shared" ca="1" si="22"/>
        <v>84426.549232500009</v>
      </c>
      <c r="J21" s="91">
        <v>0</v>
      </c>
      <c r="K21" s="91">
        <v>7</v>
      </c>
      <c r="L21" s="91">
        <v>2</v>
      </c>
      <c r="M21" s="91">
        <v>1</v>
      </c>
      <c r="N21" s="91">
        <v>-1</v>
      </c>
      <c r="O21" s="91">
        <v>0.78</v>
      </c>
      <c r="P21" s="91">
        <v>1</v>
      </c>
      <c r="Q21" s="91">
        <v>1</v>
      </c>
      <c r="R21" s="26">
        <f t="shared" si="1"/>
        <v>11.78</v>
      </c>
      <c r="S21" s="16">
        <f t="shared" si="2"/>
        <v>6.93</v>
      </c>
      <c r="T21" s="91">
        <v>16</v>
      </c>
      <c r="U21" s="91">
        <v>17</v>
      </c>
      <c r="V21" s="91">
        <v>10</v>
      </c>
      <c r="W21" s="91">
        <v>9</v>
      </c>
      <c r="X21" s="91">
        <v>9</v>
      </c>
      <c r="Y21" s="91">
        <v>12</v>
      </c>
      <c r="Z21" s="91">
        <v>9</v>
      </c>
      <c r="AA21" s="91">
        <v>-9</v>
      </c>
      <c r="AB21" s="26">
        <f t="shared" si="3"/>
        <v>73</v>
      </c>
      <c r="AC21" s="16">
        <f t="shared" si="4"/>
        <v>7.3</v>
      </c>
      <c r="AD21" s="91">
        <v>13</v>
      </c>
      <c r="AE21" s="91">
        <v>-1</v>
      </c>
      <c r="AF21" s="91">
        <v>9</v>
      </c>
      <c r="AG21" s="91">
        <v>12</v>
      </c>
      <c r="AH21" s="91">
        <v>5</v>
      </c>
      <c r="AI21" s="91">
        <v>9</v>
      </c>
      <c r="AJ21" s="91">
        <v>13</v>
      </c>
      <c r="AK21" s="91">
        <v>-4</v>
      </c>
      <c r="AL21" s="26">
        <f t="shared" si="5"/>
        <v>56</v>
      </c>
      <c r="AM21" s="16">
        <f t="shared" si="6"/>
        <v>8</v>
      </c>
      <c r="AN21" s="17">
        <f t="shared" si="7"/>
        <v>7.41</v>
      </c>
      <c r="AO21" s="18" t="s">
        <v>78</v>
      </c>
      <c r="AP21" s="19">
        <v>2600</v>
      </c>
      <c r="AQ21" s="19">
        <v>50</v>
      </c>
      <c r="AR21" s="19">
        <f t="shared" ca="1" si="21"/>
        <v>81876.549232500009</v>
      </c>
      <c r="AS21" s="19">
        <v>1800</v>
      </c>
      <c r="AT21" s="19">
        <v>1900</v>
      </c>
      <c r="AU21" s="19">
        <v>2350</v>
      </c>
      <c r="AV21" s="19">
        <v>7500</v>
      </c>
      <c r="AW21" s="20">
        <f t="shared" ca="1" si="9"/>
        <v>45.486971795833341</v>
      </c>
      <c r="AX21" s="20">
        <f t="shared" ca="1" si="10"/>
        <v>34.841084779787238</v>
      </c>
      <c r="AY21" s="20">
        <f t="shared" ca="1" si="11"/>
        <v>10.916873231</v>
      </c>
      <c r="AZ21" s="21">
        <v>3200</v>
      </c>
      <c r="BA21" s="22">
        <f t="shared" si="12"/>
        <v>0.25333333333333335</v>
      </c>
      <c r="BB21" s="22">
        <f t="shared" si="13"/>
        <v>2.34375</v>
      </c>
      <c r="BC21" s="23">
        <f t="shared" si="14"/>
        <v>0.59375</v>
      </c>
      <c r="BD21" t="s">
        <v>156</v>
      </c>
      <c r="BE21" s="23">
        <f t="shared" si="15"/>
        <v>4.0002353139918068E-2</v>
      </c>
      <c r="BF21" t="s">
        <v>157</v>
      </c>
      <c r="BG21" s="23">
        <f t="shared" si="16"/>
        <v>0.10999233818109388</v>
      </c>
      <c r="BH21" s="24">
        <v>18</v>
      </c>
      <c r="BI21" s="24">
        <v>22</v>
      </c>
      <c r="BJ21" s="25">
        <f t="shared" ca="1" si="23"/>
        <v>42.913755008777535</v>
      </c>
      <c r="BK21" s="25">
        <f t="shared" ca="1" si="24"/>
        <v>70.833769168169468</v>
      </c>
      <c r="BL21" s="23">
        <f t="shared" ca="1" si="19"/>
        <v>-0.13045515233215055</v>
      </c>
      <c r="BM21" s="23">
        <f t="shared" ca="1" si="20"/>
        <v>-4.8243303405886451E-2</v>
      </c>
      <c r="BN21" s="93" t="s">
        <v>81</v>
      </c>
      <c r="BO21" s="93" t="s">
        <v>118</v>
      </c>
      <c r="BP21" s="93" t="s">
        <v>158</v>
      </c>
    </row>
    <row r="22" spans="1:68" ht="15" customHeight="1" ns3:dyDescent="0.25">
      <c r="A22" s="86" t="e" vm="19">
        <v>#VALUE!</v>
      </c>
      <c r="B22" s="10" t="str">
        <f t="array" aca="1" ref="B22" ca="1">_FV(A22,"Símbolo bursátil",TRUE())</f>
        <v>ABNB</v>
      </c>
      <c r="C22" s="88" t="s">
        <v>131</v>
      </c>
      <c r="D22" s="88" t="s">
        <v>115</v>
      </c>
      <c r="E22" s="11" t="str">
        <f t="array" aca="1" ref="E22" ca="1">_FV(A22,"Abreviatura de intercambio",TRUE())</f>
        <v>XNAS</v>
      </c>
      <c r="F22" s="11" t="str">
        <f t="array" aca="1" ref="F22" ca="1">_FV(A22,"Moneda")</f>
        <v>USD</v>
      </c>
      <c r="G22" s="12">
        <f t="array" aca="1" ref="G22" ca="1">_FV(A22,"Precio")</f>
        <v>130.85</v>
      </c>
      <c r="H22" s="13">
        <f t="array" aca="1" ref="H22" ca="1">_FV(A22,"Acciones en circulación",TRUE())/1000000</f>
        <v>593.50490000000002</v>
      </c>
      <c r="I22" s="14">
        <f t="shared" ca="1" si="22"/>
        <v>77660.116164999999</v>
      </c>
      <c r="J22" s="90">
        <v>1.5</v>
      </c>
      <c r="K22" s="90">
        <v>7</v>
      </c>
      <c r="L22" s="90">
        <v>3</v>
      </c>
      <c r="M22" s="90">
        <v>1</v>
      </c>
      <c r="N22" s="90">
        <v>0</v>
      </c>
      <c r="O22" s="90">
        <v>0.82</v>
      </c>
      <c r="P22" s="90">
        <v>1</v>
      </c>
      <c r="Q22" s="90">
        <v>1</v>
      </c>
      <c r="R22" s="15">
        <f t="shared" si="1"/>
        <v>15.32</v>
      </c>
      <c r="S22" s="16">
        <f t="shared" si="2"/>
        <v>9.01</v>
      </c>
      <c r="T22" s="90">
        <v>14</v>
      </c>
      <c r="U22" s="90">
        <v>16</v>
      </c>
      <c r="V22" s="90">
        <v>14</v>
      </c>
      <c r="W22" s="90">
        <v>9</v>
      </c>
      <c r="X22" s="90">
        <v>7</v>
      </c>
      <c r="Y22" s="90">
        <v>12</v>
      </c>
      <c r="Z22" s="90">
        <v>9</v>
      </c>
      <c r="AA22" s="90">
        <v>-10</v>
      </c>
      <c r="AB22" s="15">
        <f t="shared" si="3"/>
        <v>71</v>
      </c>
      <c r="AC22" s="16">
        <f t="shared" si="4"/>
        <v>7.1</v>
      </c>
      <c r="AD22" s="90">
        <v>12</v>
      </c>
      <c r="AE22" s="90">
        <v>-2</v>
      </c>
      <c r="AF22" s="90">
        <v>10</v>
      </c>
      <c r="AG22" s="90">
        <v>11</v>
      </c>
      <c r="AH22" s="90">
        <v>4</v>
      </c>
      <c r="AI22" s="90">
        <v>8</v>
      </c>
      <c r="AJ22" s="90">
        <v>12</v>
      </c>
      <c r="AK22" s="90">
        <v>-5</v>
      </c>
      <c r="AL22" s="15">
        <f t="shared" si="5"/>
        <v>50</v>
      </c>
      <c r="AM22" s="16">
        <f t="shared" si="6"/>
        <v>7.14</v>
      </c>
      <c r="AN22" s="17">
        <f t="shared" si="7"/>
        <v>7.75</v>
      </c>
      <c r="AO22" s="18" t="s">
        <v>78</v>
      </c>
      <c r="AP22" s="19">
        <v>11000</v>
      </c>
      <c r="AQ22" s="19">
        <v>2000</v>
      </c>
      <c r="AR22" s="19">
        <f t="shared" ca="1" si="21"/>
        <v>68660.116164999999</v>
      </c>
      <c r="AS22" s="19">
        <v>4200</v>
      </c>
      <c r="AT22" s="19">
        <v>1500</v>
      </c>
      <c r="AU22" s="19">
        <v>3500</v>
      </c>
      <c r="AV22" s="19">
        <v>11100</v>
      </c>
      <c r="AW22" s="20">
        <f t="shared" ca="1" si="9"/>
        <v>16.347646705952382</v>
      </c>
      <c r="AX22" s="20">
        <f t="shared" ca="1" si="10"/>
        <v>19.617176047142856</v>
      </c>
      <c r="AY22" s="20">
        <f t="shared" ca="1" si="11"/>
        <v>6.1855960509009007</v>
      </c>
      <c r="AZ22" s="21">
        <v>4000</v>
      </c>
      <c r="BA22" s="22">
        <f t="shared" si="12"/>
        <v>0.13513513513513514</v>
      </c>
      <c r="BB22" s="22">
        <f t="shared" si="13"/>
        <v>2.7749999999999999</v>
      </c>
      <c r="BC22" s="23">
        <f t="shared" si="14"/>
        <v>0.375</v>
      </c>
      <c r="BD22" t="s">
        <v>159</v>
      </c>
      <c r="BE22" s="23">
        <f t="shared" si="15"/>
        <v>4.9985012185677746E-2</v>
      </c>
      <c r="BF22" t="s">
        <v>160</v>
      </c>
      <c r="BG22" s="23">
        <f t="shared" si="16"/>
        <v>0.15000816268269079</v>
      </c>
      <c r="BH22" s="24">
        <v>16</v>
      </c>
      <c r="BI22" s="24">
        <v>24</v>
      </c>
      <c r="BJ22" s="25">
        <f t="shared" ca="1" si="23"/>
        <v>159.66169782254536</v>
      </c>
      <c r="BK22" s="25">
        <f t="shared" ca="1" si="24"/>
        <v>356.78222707175627</v>
      </c>
      <c r="BL22" s="23">
        <f t="shared" ca="1" si="19"/>
        <v>4.0603789831051618E-2</v>
      </c>
      <c r="BM22" s="23">
        <f t="shared" ca="1" si="20"/>
        <v>0.28501255614383658</v>
      </c>
      <c r="BN22" s="93" t="s">
        <v>81</v>
      </c>
      <c r="BO22" s="93" t="s">
        <v>93</v>
      </c>
      <c r="BP22" s="93" t="s">
        <v>158</v>
      </c>
    </row>
    <row r="23" spans="1:68" ht="15" customHeight="1" ns3:dyDescent="0.25">
      <c r="A23" s="86" t="e" vm="20">
        <v>#VALUE!</v>
      </c>
      <c r="B23" s="10" t="str">
        <f t="array" aca="1" ref="B23" ca="1">_FV(A23,"Símbolo bursátil",TRUE())</f>
        <v>DNP</v>
      </c>
      <c r="C23" s="88" t="s">
        <v>100</v>
      </c>
      <c r="D23" s="88" t="s">
        <v>100</v>
      </c>
      <c r="E23" s="11" t="str">
        <f t="array" aca="1" ref="E23" ca="1">_FV(A23,"Abreviatura de intercambio",TRUE())</f>
        <v>XWAR</v>
      </c>
      <c r="F23" s="11" t="str">
        <f t="array" aca="1" ref="F23" ca="1">_FV(A23,"Moneda")</f>
        <v>PLN</v>
      </c>
      <c r="G23" s="12">
        <f t="array" aca="1" ref="G23" ca="1">_FV(A23,"Precio")</f>
        <v>32.299999999999997</v>
      </c>
      <c r="H23" s="13">
        <f t="array" aca="1" ref="H23" ca="1">_FV(A23,"Acciones en circulación",TRUE())/1000000</f>
        <v>980.4</v>
      </c>
      <c r="I23" s="14">
        <f t="shared" ca="1" si="22"/>
        <v>31666.92</v>
      </c>
      <c r="J23" s="91">
        <v>0.5</v>
      </c>
      <c r="K23" s="91">
        <v>7</v>
      </c>
      <c r="L23" s="91">
        <v>2</v>
      </c>
      <c r="M23" s="91">
        <v>1</v>
      </c>
      <c r="N23" s="91">
        <v>0</v>
      </c>
      <c r="O23" s="91">
        <v>0.3</v>
      </c>
      <c r="P23" s="91">
        <v>1</v>
      </c>
      <c r="Q23" s="91">
        <v>1</v>
      </c>
      <c r="R23" s="26">
        <f t="shared" si="1"/>
        <v>12.8</v>
      </c>
      <c r="S23" s="16">
        <f t="shared" si="2"/>
        <v>7.53</v>
      </c>
      <c r="T23" s="91">
        <v>14</v>
      </c>
      <c r="U23" s="91">
        <v>16</v>
      </c>
      <c r="V23" s="91">
        <v>14</v>
      </c>
      <c r="W23" s="91">
        <v>10</v>
      </c>
      <c r="X23" s="91">
        <v>9</v>
      </c>
      <c r="Y23" s="91">
        <v>12</v>
      </c>
      <c r="Z23" s="91">
        <v>10</v>
      </c>
      <c r="AA23" s="91">
        <v>-7</v>
      </c>
      <c r="AB23" s="26">
        <f t="shared" si="3"/>
        <v>78</v>
      </c>
      <c r="AC23" s="16">
        <f t="shared" si="4"/>
        <v>7.8</v>
      </c>
      <c r="AD23" s="91">
        <v>13</v>
      </c>
      <c r="AE23" s="91">
        <v>-2</v>
      </c>
      <c r="AF23" s="91">
        <v>4</v>
      </c>
      <c r="AG23" s="91">
        <v>13</v>
      </c>
      <c r="AH23" s="91">
        <v>3</v>
      </c>
      <c r="AI23" s="91">
        <v>9</v>
      </c>
      <c r="AJ23" s="91">
        <v>13</v>
      </c>
      <c r="AK23" s="91">
        <v>-4</v>
      </c>
      <c r="AL23" s="26">
        <f t="shared" si="5"/>
        <v>49</v>
      </c>
      <c r="AM23" s="16">
        <f t="shared" si="6"/>
        <v>7</v>
      </c>
      <c r="AN23" s="17">
        <f t="shared" si="7"/>
        <v>7.44</v>
      </c>
      <c r="AO23" s="18" t="s">
        <v>161</v>
      </c>
      <c r="AP23" s="19">
        <v>500</v>
      </c>
      <c r="AQ23" s="19">
        <v>1000</v>
      </c>
      <c r="AR23" s="19">
        <f t="shared" ca="1" si="21"/>
        <v>32166.92</v>
      </c>
      <c r="AS23" s="19">
        <v>700</v>
      </c>
      <c r="AT23" s="19">
        <v>1700</v>
      </c>
      <c r="AU23" s="19">
        <v>2500</v>
      </c>
      <c r="AV23" s="19">
        <v>36000</v>
      </c>
      <c r="AW23" s="20">
        <f t="shared" ca="1" si="9"/>
        <v>45.952742857142852</v>
      </c>
      <c r="AX23" s="20">
        <f t="shared" ca="1" si="10"/>
        <v>12.866767999999999</v>
      </c>
      <c r="AY23" s="20">
        <f t="shared" ca="1" si="11"/>
        <v>0.89352555555555546</v>
      </c>
      <c r="AZ23" s="21">
        <v>6500</v>
      </c>
      <c r="BA23" s="22">
        <f t="shared" si="12"/>
        <v>4.7222222222222221E-2</v>
      </c>
      <c r="BB23" s="22">
        <f t="shared" si="13"/>
        <v>5.5384615384615383</v>
      </c>
      <c r="BC23" s="23">
        <f t="shared" si="14"/>
        <v>0.2615384615384615</v>
      </c>
      <c r="BD23" t="s">
        <v>162</v>
      </c>
      <c r="BE23" s="23">
        <f t="shared" si="15"/>
        <v>0.12006550912241742</v>
      </c>
      <c r="BF23" t="s">
        <v>163</v>
      </c>
      <c r="BG23" s="23">
        <f t="shared" si="16"/>
        <v>0.23998337745572296</v>
      </c>
      <c r="BH23" s="24">
        <v>15</v>
      </c>
      <c r="BI23" s="24">
        <v>20</v>
      </c>
      <c r="BJ23" s="25">
        <f t="shared" ca="1" si="23"/>
        <v>18.370053039575684</v>
      </c>
      <c r="BK23" s="25">
        <f t="shared" ca="1" si="24"/>
        <v>41.350469196246429</v>
      </c>
      <c r="BL23" s="23">
        <f t="shared" ca="1" si="19"/>
        <v>-0.10673240875431</v>
      </c>
      <c r="BM23" s="23">
        <f t="shared" ca="1" si="20"/>
        <v>6.3700785282530648E-2</v>
      </c>
      <c r="BN23" t="inlineStr">
        <is>
          <t>2026-06-10</t>
        </is>
      </c>
      <c r="BO23" t="inlineStr">
        <is>
          <t>14/05/2026</t>
        </is>
      </c>
      <c r="BP23" t="inlineStr">
        <is>
          <t>13/08/2026</t>
        </is>
      </c>
    </row>
    <row r="24" spans="1:68" ht="15" customHeight="1" ns3:dyDescent="0.25">
      <c r="A24" s="86" t="e" vm="21">
        <v>#VALUE!</v>
      </c>
      <c r="B24" s="10" t="str">
        <f t="array" aca="1" ref="B24" ca="1">_FV(A24,"Símbolo bursátil",TRUE())</f>
        <v>VLTO</v>
      </c>
      <c r="C24" s="88" t="s">
        <v>148</v>
      </c>
      <c r="D24" s="88" t="s">
        <v>77</v>
      </c>
      <c r="E24" s="11" t="str">
        <f t="array" aca="1" ref="E24" ca="1">_FV(A24,"Abreviatura de intercambio",TRUE())</f>
        <v>XNYS</v>
      </c>
      <c r="F24" s="11" t="str">
        <f t="array" aca="1" ref="F24" ca="1">_FV(A24,"Moneda")</f>
        <v>USD</v>
      </c>
      <c r="G24" s="12">
        <f t="array" aca="1" ref="G24" ca="1">_FV(A24,"Precio")</f>
        <v>86.7</v>
      </c>
      <c r="H24" s="13">
        <f t="array" aca="1" ref="H24" ca="1">_FV(A24,"Acciones en circulación",TRUE())/1000000</f>
        <v>245.5993</v>
      </c>
      <c r="I24" s="14">
        <f t="shared" ca="1" si="22"/>
        <v>21293.459310000002</v>
      </c>
      <c r="J24" s="90">
        <v>2</v>
      </c>
      <c r="K24" s="90">
        <v>6</v>
      </c>
      <c r="L24" s="90">
        <v>1</v>
      </c>
      <c r="M24" s="90">
        <v>1</v>
      </c>
      <c r="N24" s="90">
        <v>0</v>
      </c>
      <c r="O24" s="90">
        <v>0</v>
      </c>
      <c r="P24" s="90">
        <v>0</v>
      </c>
      <c r="Q24" s="90">
        <v>0</v>
      </c>
      <c r="R24" s="15">
        <f t="shared" si="1"/>
        <v>10</v>
      </c>
      <c r="S24" s="16">
        <f t="shared" si="2"/>
        <v>5.88</v>
      </c>
      <c r="T24" s="90">
        <v>14</v>
      </c>
      <c r="U24" s="90">
        <v>16</v>
      </c>
      <c r="V24" s="90">
        <v>11</v>
      </c>
      <c r="W24" s="90">
        <v>10</v>
      </c>
      <c r="X24" s="90">
        <v>10</v>
      </c>
      <c r="Y24" s="90">
        <v>12</v>
      </c>
      <c r="Z24" s="90">
        <v>5</v>
      </c>
      <c r="AA24" s="90">
        <v>-7</v>
      </c>
      <c r="AB24" s="15">
        <f t="shared" si="3"/>
        <v>71</v>
      </c>
      <c r="AC24" s="16">
        <f t="shared" si="4"/>
        <v>7.1</v>
      </c>
      <c r="AD24" s="90">
        <v>14</v>
      </c>
      <c r="AE24" s="90">
        <v>-1</v>
      </c>
      <c r="AF24" s="90">
        <v>7</v>
      </c>
      <c r="AG24" s="90">
        <v>13</v>
      </c>
      <c r="AH24" s="90">
        <v>4</v>
      </c>
      <c r="AI24" s="90">
        <v>8</v>
      </c>
      <c r="AJ24" s="90">
        <v>13</v>
      </c>
      <c r="AK24" s="90">
        <v>-3</v>
      </c>
      <c r="AL24" s="15">
        <f t="shared" si="5"/>
        <v>55</v>
      </c>
      <c r="AM24" s="16">
        <f t="shared" si="6"/>
        <v>7.86</v>
      </c>
      <c r="AN24" s="17">
        <f t="shared" si="7"/>
        <v>6.95</v>
      </c>
      <c r="AO24" s="18" t="s">
        <v>78</v>
      </c>
      <c r="AP24" s="19">
        <v>1000</v>
      </c>
      <c r="AQ24" s="19">
        <v>2500</v>
      </c>
      <c r="AR24" s="19">
        <f t="shared" ca="1" si="21"/>
        <v>22793.459310000002</v>
      </c>
      <c r="AS24" s="19">
        <v>1100</v>
      </c>
      <c r="AT24" s="19">
        <v>1000</v>
      </c>
      <c r="AU24" s="19">
        <v>1350</v>
      </c>
      <c r="AV24" s="19">
        <v>5500</v>
      </c>
      <c r="AW24" s="20">
        <f t="shared" ca="1" si="9"/>
        <v>20.721326645454546</v>
      </c>
      <c r="AX24" s="20">
        <f t="shared" ca="1" si="10"/>
        <v>16.884043933333334</v>
      </c>
      <c r="AY24" s="20">
        <f t="shared" ca="1" si="11"/>
        <v>4.1442653290909091</v>
      </c>
      <c r="AZ24" s="21">
        <v>6500</v>
      </c>
      <c r="BA24" s="22">
        <f t="shared" si="12"/>
        <v>0.18181818181818182</v>
      </c>
      <c r="BB24" s="22">
        <f t="shared" si="13"/>
        <v>0.84615384615384615</v>
      </c>
      <c r="BC24" s="23">
        <f t="shared" si="14"/>
        <v>0.15384615384615385</v>
      </c>
      <c r="BD24" t="s">
        <v>164</v>
      </c>
      <c r="BE24" s="23">
        <f t="shared" si="15"/>
        <v>3.9950542132181077E-2</v>
      </c>
      <c r="BF24" t="s">
        <v>165</v>
      </c>
      <c r="BG24" s="23">
        <f t="shared" si="16"/>
        <v>0.12004900553442877</v>
      </c>
      <c r="BH24" s="24">
        <v>12.5</v>
      </c>
      <c r="BI24" s="24">
        <v>20</v>
      </c>
      <c r="BJ24" s="25">
        <f t="shared" ca="1" si="23"/>
        <v>61.991219030347402</v>
      </c>
      <c r="BK24" s="25">
        <f t="shared" ca="1" si="24"/>
        <v>151.79196357644341</v>
      </c>
      <c r="BL24" s="23">
        <f t="shared" ca="1" si="19"/>
        <v>-6.4891045366732625E-2</v>
      </c>
      <c r="BM24" s="23">
        <f t="shared" ca="1" si="20"/>
        <v>0.15029020156422734</v>
      </c>
      <c r="BN24" s="93" t="s">
        <v>81</v>
      </c>
      <c r="BO24" s="93" t="s">
        <v>166</v>
      </c>
      <c r="BP24" s="93" t="s">
        <v>147</v>
      </c>
    </row>
    <row r="25" spans="1:68" ht="15" customHeight="1" ns3:dyDescent="0.25">
      <c r="A25" s="86" t="e" vm="22">
        <v>#VALUE!</v>
      </c>
      <c r="B25" s="10" t="str">
        <f t="array" aca="1" ref="B25" ca="1">_FV(A25,"Símbolo bursátil",TRUE())</f>
        <v>LR</v>
      </c>
      <c r="C25" s="88" t="s">
        <v>127</v>
      </c>
      <c r="D25" s="88" t="s">
        <v>77</v>
      </c>
      <c r="E25" s="11" t="str">
        <f t="array" aca="1" ref="E25" ca="1">_FV(A25,"Abreviatura de intercambio",TRUE())</f>
        <v>XPAR</v>
      </c>
      <c r="F25" s="11" t="str">
        <f t="array" aca="1" ref="F25" ca="1">_FV(A25,"Moneda")</f>
        <v>EUR</v>
      </c>
      <c r="G25" s="12">
        <f t="array" aca="1" ref="G25" ca="1">_FV(A25,"Precio")</f>
        <v>145.6</v>
      </c>
      <c r="H25" s="13">
        <f t="array" aca="1" ref="H25" ca="1">_FV(A25,"Acciones en circulación",TRUE())/1000000</f>
        <v>262.2457</v>
      </c>
      <c r="I25" s="14">
        <f t="shared" ca="1" si="22"/>
        <v>38182.973919999997</v>
      </c>
      <c r="J25" s="91">
        <v>1</v>
      </c>
      <c r="K25" s="91">
        <v>6</v>
      </c>
      <c r="L25" s="91">
        <v>2</v>
      </c>
      <c r="M25" s="91">
        <v>1</v>
      </c>
      <c r="N25" s="91">
        <v>0</v>
      </c>
      <c r="O25" s="91">
        <v>1</v>
      </c>
      <c r="P25" s="91">
        <v>0</v>
      </c>
      <c r="Q25" s="91">
        <v>0</v>
      </c>
      <c r="R25" s="26">
        <f t="shared" si="1"/>
        <v>11</v>
      </c>
      <c r="S25" s="16">
        <f t="shared" si="2"/>
        <v>6.47</v>
      </c>
      <c r="T25" s="91">
        <v>14</v>
      </c>
      <c r="U25" s="91">
        <v>14</v>
      </c>
      <c r="V25" s="91">
        <v>13</v>
      </c>
      <c r="W25" s="91">
        <v>10</v>
      </c>
      <c r="X25" s="91">
        <v>9</v>
      </c>
      <c r="Y25" s="91">
        <v>11</v>
      </c>
      <c r="Z25" s="91">
        <v>5</v>
      </c>
      <c r="AA25" s="91">
        <v>-7</v>
      </c>
      <c r="AB25" s="26">
        <f t="shared" si="3"/>
        <v>69</v>
      </c>
      <c r="AC25" s="16">
        <f t="shared" si="4"/>
        <v>6.9</v>
      </c>
      <c r="AD25" s="91">
        <v>13</v>
      </c>
      <c r="AE25" s="91">
        <v>-1</v>
      </c>
      <c r="AF25" s="91">
        <v>6</v>
      </c>
      <c r="AG25" s="91">
        <v>13</v>
      </c>
      <c r="AH25" s="91">
        <v>4</v>
      </c>
      <c r="AI25" s="91">
        <v>8</v>
      </c>
      <c r="AJ25" s="91">
        <v>12</v>
      </c>
      <c r="AK25" s="91">
        <v>-3</v>
      </c>
      <c r="AL25" s="26">
        <f t="shared" si="5"/>
        <v>52</v>
      </c>
      <c r="AM25" s="16">
        <f t="shared" si="6"/>
        <v>7.43</v>
      </c>
      <c r="AN25" s="17">
        <f t="shared" si="7"/>
        <v>6.93</v>
      </c>
      <c r="AO25" s="18" t="s">
        <v>90</v>
      </c>
      <c r="AP25" s="19">
        <v>1800</v>
      </c>
      <c r="AQ25" s="19">
        <v>4300</v>
      </c>
      <c r="AR25" s="19">
        <f t="shared" ca="1" si="21"/>
        <v>40682.973919999997</v>
      </c>
      <c r="AS25" s="19">
        <v>1300</v>
      </c>
      <c r="AT25" s="19">
        <v>1450</v>
      </c>
      <c r="AU25" s="19">
        <v>2250</v>
      </c>
      <c r="AV25" s="19">
        <v>9500</v>
      </c>
      <c r="AW25" s="20">
        <f t="shared" ca="1" si="9"/>
        <v>31.294595323076919</v>
      </c>
      <c r="AX25" s="20">
        <f t="shared" ca="1" si="10"/>
        <v>18.081321742222222</v>
      </c>
      <c r="AY25" s="20">
        <f t="shared" ca="1" si="11"/>
        <v>4.2824183073684203</v>
      </c>
      <c r="AZ25" s="21">
        <v>9500</v>
      </c>
      <c r="BA25" s="22">
        <f t="shared" si="12"/>
        <v>0.15263157894736842</v>
      </c>
      <c r="BB25" s="22">
        <f t="shared" si="13"/>
        <v>1</v>
      </c>
      <c r="BC25" s="23">
        <f t="shared" si="14"/>
        <v>0.15263157894736842</v>
      </c>
      <c r="BD25" t="s">
        <v>167</v>
      </c>
      <c r="BE25" s="23">
        <f t="shared" si="15"/>
        <v>6.003737798448272E-2</v>
      </c>
      <c r="BF25" t="s">
        <v>168</v>
      </c>
      <c r="BG25" s="23">
        <f t="shared" si="16"/>
        <v>0.15002072805673161</v>
      </c>
      <c r="BH25" s="24">
        <v>13</v>
      </c>
      <c r="BI25" s="24">
        <v>24</v>
      </c>
      <c r="BJ25" s="25">
        <f t="shared" ca="1" si="23"/>
        <v>76.721944344559319</v>
      </c>
      <c r="BK25" s="25">
        <f t="shared" ca="1" si="24"/>
        <v>229.78451124270103</v>
      </c>
      <c r="BL25" s="23">
        <f t="shared" ca="1" si="19"/>
        <v>-0.120265456758615</v>
      </c>
      <c r="BM25" s="23">
        <f t="shared" ca="1" si="20"/>
        <v>0.12083025141255477</v>
      </c>
      <c r="BN25" s="93" t="s">
        <v>81</v>
      </c>
      <c r="BO25" s="93" t="s">
        <v>93</v>
      </c>
      <c r="BP25" s="93" t="s">
        <v>158</v>
      </c>
    </row>
    <row r="26" spans="1:68" ht="15" customHeight="1" ns3:dyDescent="0.25">
      <c r="A26" s="86" t="e" vm="23">
        <v>#VALUE!</v>
      </c>
      <c r="B26" s="10" t="str">
        <f t="array" aca="1" ref="B26" ca="1">_FV(A26,"Símbolo bursátil",TRUE())</f>
        <v>JDG</v>
      </c>
      <c r="C26" s="88" t="s">
        <v>139</v>
      </c>
      <c r="D26" s="88" t="s">
        <v>77</v>
      </c>
      <c r="E26" s="11" t="str">
        <f t="array" aca="1" ref="E26" ca="1">_FV(A26,"Abreviatura de intercambio",TRUE())</f>
        <v>XLON</v>
      </c>
      <c r="F26" s="11" t="str">
        <f t="array" aca="1" ref="F26" ca="1">_FV(A26,"Moneda")</f>
        <v>GBp</v>
      </c>
      <c r="G26" s="12">
        <f t="array" aca="1" ref="G26" ca="1">_FV(A26,"Precio")</f>
        <v>4950</v>
      </c>
      <c r="H26" s="13">
        <f t="array" aca="1" ref="H26" ca="1">_FV(A26,"Acciones en circulación",TRUE())/1000000</f>
        <v>6.6604400000000004</v>
      </c>
      <c r="I26" s="14">
        <f ca="1">G26/100*H26</f>
        <v>329.69177999999999</v>
      </c>
      <c r="J26" s="90">
        <v>1</v>
      </c>
      <c r="K26" s="90">
        <v>5</v>
      </c>
      <c r="L26" s="90">
        <v>2</v>
      </c>
      <c r="M26" s="90">
        <v>0</v>
      </c>
      <c r="N26" s="90">
        <v>0</v>
      </c>
      <c r="O26" s="90">
        <v>1</v>
      </c>
      <c r="P26" s="90">
        <v>1</v>
      </c>
      <c r="Q26" s="90">
        <v>1</v>
      </c>
      <c r="R26" s="15">
        <f t="shared" si="1"/>
        <v>11</v>
      </c>
      <c r="S26" s="16">
        <f t="shared" si="2"/>
        <v>6.47</v>
      </c>
      <c r="T26" s="90">
        <v>12</v>
      </c>
      <c r="U26" s="90">
        <v>13</v>
      </c>
      <c r="V26" s="90">
        <v>12</v>
      </c>
      <c r="W26" s="90">
        <v>10</v>
      </c>
      <c r="X26" s="90">
        <v>8</v>
      </c>
      <c r="Y26" s="90">
        <v>13</v>
      </c>
      <c r="Z26" s="90">
        <v>10</v>
      </c>
      <c r="AA26" s="90">
        <v>-9</v>
      </c>
      <c r="AB26" s="15">
        <f t="shared" si="3"/>
        <v>69</v>
      </c>
      <c r="AC26" s="16">
        <f t="shared" si="4"/>
        <v>6.9</v>
      </c>
      <c r="AD26" s="90">
        <v>13</v>
      </c>
      <c r="AE26" s="90">
        <v>-2</v>
      </c>
      <c r="AF26" s="90">
        <v>6</v>
      </c>
      <c r="AG26" s="90">
        <v>13</v>
      </c>
      <c r="AH26" s="90">
        <v>2</v>
      </c>
      <c r="AI26" s="90">
        <v>9</v>
      </c>
      <c r="AJ26" s="90">
        <v>11</v>
      </c>
      <c r="AK26" s="90">
        <v>-4</v>
      </c>
      <c r="AL26" s="15">
        <f t="shared" si="5"/>
        <v>48</v>
      </c>
      <c r="AM26" s="16">
        <f t="shared" si="6"/>
        <v>6.86</v>
      </c>
      <c r="AN26" s="17">
        <f t="shared" si="7"/>
        <v>6.74</v>
      </c>
      <c r="AO26" s="18" t="s">
        <v>140</v>
      </c>
      <c r="AP26" s="19">
        <v>10</v>
      </c>
      <c r="AQ26" s="19">
        <v>55</v>
      </c>
      <c r="AR26" s="19">
        <f t="shared" ca="1" si="21"/>
        <v>374.69177999999999</v>
      </c>
      <c r="AS26" s="19">
        <v>20</v>
      </c>
      <c r="AT26" s="19">
        <v>18</v>
      </c>
      <c r="AU26" s="19">
        <v>30</v>
      </c>
      <c r="AV26" s="19">
        <v>145</v>
      </c>
      <c r="AW26" s="20">
        <f t="shared" ca="1" si="9"/>
        <v>18.734589</v>
      </c>
      <c r="AX26" s="20">
        <f t="shared" ca="1" si="10"/>
        <v>12.489725999999999</v>
      </c>
      <c r="AY26" s="20">
        <f t="shared" ca="1" si="11"/>
        <v>2.5840812413793102</v>
      </c>
      <c r="AZ26" s="21">
        <v>120</v>
      </c>
      <c r="BA26" s="22">
        <f t="shared" si="12"/>
        <v>0.12413793103448276</v>
      </c>
      <c r="BB26" s="22">
        <f t="shared" si="13"/>
        <v>1.2083333333333333</v>
      </c>
      <c r="BC26" s="23">
        <f t="shared" si="14"/>
        <v>0.15</v>
      </c>
      <c r="BD26" t="s">
        <v>169</v>
      </c>
      <c r="BE26" s="23">
        <f t="shared" si="15"/>
        <v>6.1858758794934632E-2</v>
      </c>
      <c r="BF26" t="s">
        <v>170</v>
      </c>
      <c r="BG26" s="23">
        <f t="shared" si="16"/>
        <v>0.18126018804310839</v>
      </c>
      <c r="BH26" s="24">
        <v>10</v>
      </c>
      <c r="BI26" s="24">
        <v>20</v>
      </c>
      <c r="BJ26" s="25">
        <f ca="1">(BD26*BH26+$AP26-$AQ26)/$H26*100</f>
        <v>3378.1551969539551</v>
      </c>
      <c r="BK26" s="25">
        <f ca="1">(BF26*BI26+$AP26-$AQ26)/$H26*100</f>
        <v>13137.270210376491</v>
      </c>
      <c r="BL26" s="23">
        <f t="shared" ca="1" si="19"/>
        <v>-7.3565158365240246E-2</v>
      </c>
      <c r="BM26" s="23">
        <f t="shared" ca="1" si="20"/>
        <v>0.27636528451701214</v>
      </c>
      <c r="BN26" s="93" t="s">
        <v>81</v>
      </c>
      <c r="BO26" s="93" t="s">
        <v>171</v>
      </c>
      <c r="BP26" s="93" t="s">
        <v>171</v>
      </c>
    </row>
    <row r="27" spans="1:68" ht="15" customHeight="1" ns3:dyDescent="0.25">
      <c r="A27" s="86" t="e" vm="24">
        <v>#VALUE!</v>
      </c>
      <c r="B27" s="10" t="str">
        <f t="array" aca="1" ref="B27" ca="1">_FV(A27,"Símbolo bursátil",TRUE())</f>
        <v>STMN</v>
      </c>
      <c r="C27" s="88" t="s">
        <v>139</v>
      </c>
      <c r="D27" s="88" t="s">
        <v>77</v>
      </c>
      <c r="E27" s="11" t="str">
        <f t="array" aca="1" ref="E27" ca="1">_FV(A27,"Abreviatura de intercambio",TRUE())</f>
        <v>XSWX</v>
      </c>
      <c r="F27" s="11" t="str">
        <f t="array" aca="1" ref="F27" ca="1">_FV(A27,"Moneda")</f>
        <v>CHF</v>
      </c>
      <c r="G27" s="12">
        <f t="array" aca="1" ref="G27" ca="1">_FV(A27,"Precio")</f>
        <v>86.32</v>
      </c>
      <c r="H27" s="13">
        <f t="array" aca="1" ref="H27" ca="1">_FV(A27,"Acciones en circulación",TRUE())/1000000</f>
        <v>159.45519999999999</v>
      </c>
      <c r="I27" s="14">
        <f t="shared" ref="I27:I60" ca="1" si="25">G27*H27</f>
        <v>13764.172863999998</v>
      </c>
      <c r="J27" s="91">
        <v>2</v>
      </c>
      <c r="K27" s="91">
        <v>6</v>
      </c>
      <c r="L27" s="91">
        <v>2</v>
      </c>
      <c r="M27" s="91">
        <v>0</v>
      </c>
      <c r="N27" s="91">
        <v>0</v>
      </c>
      <c r="O27" s="91">
        <v>1</v>
      </c>
      <c r="P27" s="91">
        <v>0</v>
      </c>
      <c r="Q27" s="91">
        <v>0</v>
      </c>
      <c r="R27" s="26">
        <f t="shared" si="1"/>
        <v>11</v>
      </c>
      <c r="S27" s="16">
        <f t="shared" si="2"/>
        <v>6.47</v>
      </c>
      <c r="T27" s="91">
        <v>12</v>
      </c>
      <c r="U27" s="91">
        <v>15</v>
      </c>
      <c r="V27" s="91">
        <v>12</v>
      </c>
      <c r="W27" s="91">
        <v>9</v>
      </c>
      <c r="X27" s="91">
        <v>9</v>
      </c>
      <c r="Y27" s="91">
        <v>11</v>
      </c>
      <c r="Z27" s="91">
        <v>5</v>
      </c>
      <c r="AA27" s="91">
        <v>-8</v>
      </c>
      <c r="AB27" s="26">
        <f t="shared" si="3"/>
        <v>65</v>
      </c>
      <c r="AC27" s="16">
        <f t="shared" si="4"/>
        <v>6.5</v>
      </c>
      <c r="AD27" s="91">
        <v>13</v>
      </c>
      <c r="AE27" s="91">
        <v>-1</v>
      </c>
      <c r="AF27" s="91">
        <v>7</v>
      </c>
      <c r="AG27" s="91">
        <v>12</v>
      </c>
      <c r="AH27" s="91">
        <v>3</v>
      </c>
      <c r="AI27" s="91">
        <v>7</v>
      </c>
      <c r="AJ27" s="91">
        <v>12</v>
      </c>
      <c r="AK27" s="91">
        <v>-3</v>
      </c>
      <c r="AL27" s="26">
        <f t="shared" si="5"/>
        <v>50</v>
      </c>
      <c r="AM27" s="16">
        <f t="shared" si="6"/>
        <v>7.14</v>
      </c>
      <c r="AN27" s="17">
        <f t="shared" si="7"/>
        <v>6.7</v>
      </c>
      <c r="AO27" s="18" t="s">
        <v>172</v>
      </c>
      <c r="AP27" s="19">
        <v>300</v>
      </c>
      <c r="AQ27" s="19">
        <v>700</v>
      </c>
      <c r="AR27" s="19">
        <f t="shared" ca="1" si="21"/>
        <v>14164.172863999998</v>
      </c>
      <c r="AS27" s="19">
        <v>350</v>
      </c>
      <c r="AT27" s="19">
        <v>380</v>
      </c>
      <c r="AU27" s="19">
        <v>550</v>
      </c>
      <c r="AV27" s="19">
        <v>2600</v>
      </c>
      <c r="AW27" s="20">
        <f t="shared" ca="1" si="9"/>
        <v>40.469065325714283</v>
      </c>
      <c r="AX27" s="20">
        <f t="shared" ca="1" si="10"/>
        <v>25.753041570909087</v>
      </c>
      <c r="AY27" s="20">
        <f t="shared" ca="1" si="11"/>
        <v>5.4477587938461536</v>
      </c>
      <c r="AZ27" s="21">
        <v>2800</v>
      </c>
      <c r="BA27" s="22">
        <f t="shared" si="12"/>
        <v>0.14615384615384616</v>
      </c>
      <c r="BB27" s="22">
        <f t="shared" si="13"/>
        <v>0.9285714285714286</v>
      </c>
      <c r="BC27" s="23">
        <f t="shared" si="14"/>
        <v>0.13571428571428573</v>
      </c>
      <c r="BD27" t="s">
        <v>173</v>
      </c>
      <c r="BE27" s="23">
        <f t="shared" si="15"/>
        <v>5.9828421260577302E-2</v>
      </c>
      <c r="BF27" t="s">
        <v>174</v>
      </c>
      <c r="BG27" s="23">
        <f t="shared" si="16"/>
        <v>0.15996225865400127</v>
      </c>
      <c r="BH27" s="24">
        <v>18</v>
      </c>
      <c r="BI27" s="24">
        <v>25</v>
      </c>
      <c r="BJ27" s="25">
        <f t="shared" ref="BJ27:BJ32" ca="1" si="26">(BD27*BH27+$AP27-$AQ27)/$H27</f>
        <v>50.321344176922423</v>
      </c>
      <c r="BK27" s="25">
        <f t="shared" ref="BK27:BK32" ca="1" si="27">(BF27*BI27+$AP27-$AQ27)/$H27</f>
        <v>112.72758743521692</v>
      </c>
      <c r="BL27" s="23">
        <f t="shared" ca="1" si="19"/>
        <v>-0.10230633508946507</v>
      </c>
      <c r="BM27" s="23">
        <f t="shared" ca="1" si="20"/>
        <v>6.9004898286631589E-2</v>
      </c>
      <c r="BN27" s="93" t="s">
        <v>81</v>
      </c>
      <c r="BO27" s="94" t="s">
        <v>175</v>
      </c>
      <c r="BP27" s="93" t="s">
        <v>88</v>
      </c>
    </row>
    <row r="28" spans="1:68" ht="15" customHeight="1" ns3:dyDescent="0.25">
      <c r="A28" s="86" t="e" vm="25">
        <v>#VALUE!</v>
      </c>
      <c r="B28" s="10" t="str">
        <f t="array" aca="1" ref="B28" ca="1">_FV(A28,"Símbolo bursátil",TRUE())</f>
        <v>META</v>
      </c>
      <c r="C28" s="88" t="s">
        <v>84</v>
      </c>
      <c r="D28" s="88" t="s">
        <v>77</v>
      </c>
      <c r="E28" s="11" t="str">
        <f t="array" aca="1" ref="E28" ca="1">_FV(A28,"Abreviatura de intercambio",TRUE())</f>
        <v>XNAS</v>
      </c>
      <c r="F28" s="11" t="str">
        <f t="array" aca="1" ref="F28" ca="1">_FV(A28,"Moneda")</f>
        <v>USD</v>
      </c>
      <c r="G28" s="12">
        <f t="array" aca="1" ref="G28" ca="1">_FV(A28,"Precio")</f>
        <v>601.19500000000005</v>
      </c>
      <c r="H28" s="13">
        <f t="array" aca="1" ref="H28" ca="1">_FV(A28,"Acciones en circulación",TRUE())/1000000</f>
        <v>2538.4229999999998</v>
      </c>
      <c r="I28" s="14">
        <f t="shared" ca="1" si="25"/>
        <v>1526087.2154850001</v>
      </c>
      <c r="J28" s="90">
        <v>-0.5</v>
      </c>
      <c r="K28" s="90">
        <v>7</v>
      </c>
      <c r="L28" s="90">
        <v>2</v>
      </c>
      <c r="M28" s="90">
        <v>1</v>
      </c>
      <c r="N28" s="90">
        <v>-1</v>
      </c>
      <c r="O28" s="90">
        <v>0</v>
      </c>
      <c r="P28" s="90">
        <v>1</v>
      </c>
      <c r="Q28" s="90">
        <v>1</v>
      </c>
      <c r="R28" s="15">
        <f t="shared" si="1"/>
        <v>10.5</v>
      </c>
      <c r="S28" s="16">
        <f t="shared" si="2"/>
        <v>6.18</v>
      </c>
      <c r="T28" s="90">
        <v>15</v>
      </c>
      <c r="U28" s="90">
        <v>18</v>
      </c>
      <c r="V28" s="90">
        <v>12</v>
      </c>
      <c r="W28" s="90">
        <v>8</v>
      </c>
      <c r="X28" s="90">
        <v>8</v>
      </c>
      <c r="Y28" s="90">
        <v>10</v>
      </c>
      <c r="Z28" s="90">
        <v>9</v>
      </c>
      <c r="AA28" s="90">
        <v>-15</v>
      </c>
      <c r="AB28" s="15">
        <f t="shared" si="3"/>
        <v>65</v>
      </c>
      <c r="AC28" s="16">
        <f t="shared" si="4"/>
        <v>6.5</v>
      </c>
      <c r="AD28" s="90">
        <v>12</v>
      </c>
      <c r="AE28" s="90">
        <v>-3</v>
      </c>
      <c r="AF28" s="90">
        <v>7</v>
      </c>
      <c r="AG28" s="90">
        <v>12</v>
      </c>
      <c r="AH28" s="90">
        <v>4</v>
      </c>
      <c r="AI28" s="90">
        <v>8</v>
      </c>
      <c r="AJ28" s="90">
        <v>13</v>
      </c>
      <c r="AK28" s="90">
        <v>-5</v>
      </c>
      <c r="AL28" s="15">
        <f t="shared" si="5"/>
        <v>48</v>
      </c>
      <c r="AM28" s="16">
        <f t="shared" si="6"/>
        <v>6.86</v>
      </c>
      <c r="AN28" s="17">
        <f t="shared" si="7"/>
        <v>6.51</v>
      </c>
      <c r="AO28" s="18" t="s">
        <v>78</v>
      </c>
      <c r="AP28" s="19">
        <v>68000</v>
      </c>
      <c r="AQ28" s="19">
        <v>30000</v>
      </c>
      <c r="AR28" s="19">
        <f t="shared" ca="1" si="21"/>
        <v>1488087.2154850001</v>
      </c>
      <c r="AS28" s="19">
        <v>50000</v>
      </c>
      <c r="AT28" s="19">
        <v>55000</v>
      </c>
      <c r="AU28" s="19">
        <v>95000</v>
      </c>
      <c r="AV28" s="19">
        <v>164000</v>
      </c>
      <c r="AW28" s="20">
        <f t="shared" ca="1" si="9"/>
        <v>29.761744309700003</v>
      </c>
      <c r="AX28" s="20">
        <f t="shared" ca="1" si="10"/>
        <v>15.664075952473684</v>
      </c>
      <c r="AY28" s="20">
        <f t="shared" ca="1" si="11"/>
        <v>9.0737025334451218</v>
      </c>
      <c r="AZ28" s="21">
        <v>190000</v>
      </c>
      <c r="BA28" s="22">
        <f t="shared" si="12"/>
        <v>0.33536585365853661</v>
      </c>
      <c r="BB28" s="22">
        <f t="shared" si="13"/>
        <v>0.86315789473684212</v>
      </c>
      <c r="BC28" s="23">
        <f t="shared" si="14"/>
        <v>0.28947368421052633</v>
      </c>
      <c r="BD28" t="s">
        <v>176</v>
      </c>
      <c r="BE28" s="23">
        <f t="shared" si="15"/>
        <v>4.9999742905350697E-2</v>
      </c>
      <c r="BF28" t="s">
        <v>177</v>
      </c>
      <c r="BG28" s="23">
        <f t="shared" si="16"/>
        <v>0.15999981690439746</v>
      </c>
      <c r="BH28" s="24">
        <v>18</v>
      </c>
      <c r="BI28" s="24">
        <v>26</v>
      </c>
      <c r="BJ28" s="25">
        <f t="shared" ca="1" si="26"/>
        <v>467.47606683362073</v>
      </c>
      <c r="BK28" s="25">
        <f t="shared" ca="1" si="27"/>
        <v>1090.6149211538032</v>
      </c>
      <c r="BL28" s="23">
        <f t="shared" ca="1" si="19"/>
        <v>-4.9069440527155117E-2</v>
      </c>
      <c r="BM28" s="23">
        <f t="shared" ca="1" si="20"/>
        <v>0.16055043524378698</v>
      </c>
      <c r="BN28" s="93" t="s">
        <v>81</v>
      </c>
      <c r="BO28" s="93" t="s">
        <v>87</v>
      </c>
      <c r="BP28" s="93" t="s">
        <v>88</v>
      </c>
    </row>
    <row r="29" spans="1:68" ht="15" customHeight="1" ns3:dyDescent="0.25">
      <c r="A29" s="86" t="e" vm="26">
        <v>#VALUE!</v>
      </c>
      <c r="B29" s="10" t="str">
        <f t="array" aca="1" ref="B29" ca="1">_FV(A29,"Símbolo bursátil",TRUE())</f>
        <v>KKR</v>
      </c>
      <c r="C29" s="88" t="s">
        <v>95</v>
      </c>
      <c r="D29" s="88" t="s">
        <v>77</v>
      </c>
      <c r="E29" s="11" t="str">
        <f t="array" aca="1" ref="E29" ca="1">_FV(A29,"Abreviatura de intercambio",TRUE())</f>
        <v>XNYS</v>
      </c>
      <c r="F29" s="11" t="str">
        <f t="array" aca="1" ref="F29" ca="1">_FV(A29,"Moneda")</f>
        <v>USD</v>
      </c>
      <c r="G29" s="12">
        <f t="array" aca="1" ref="G29" ca="1">_FV(A29,"Precio")</f>
        <v>92.545000000000002</v>
      </c>
      <c r="H29" s="13">
        <f t="array" aca="1" ref="H29" ca="1">_FV(A29,"Acciones en circulación",TRUE())/1000000</f>
        <v>897.87289999999996</v>
      </c>
      <c r="I29" s="14">
        <f t="shared" ca="1" si="25"/>
        <v>83093.647530499991</v>
      </c>
      <c r="J29" s="91">
        <v>0</v>
      </c>
      <c r="K29" s="91">
        <v>6</v>
      </c>
      <c r="L29" s="91">
        <v>2</v>
      </c>
      <c r="M29" s="91">
        <v>0</v>
      </c>
      <c r="N29" s="91">
        <v>0</v>
      </c>
      <c r="O29" s="91">
        <v>0</v>
      </c>
      <c r="P29" s="91">
        <v>1</v>
      </c>
      <c r="Q29" s="91">
        <v>1</v>
      </c>
      <c r="R29" s="26">
        <f t="shared" si="1"/>
        <v>10</v>
      </c>
      <c r="S29" s="16">
        <f t="shared" si="2"/>
        <v>5.88</v>
      </c>
      <c r="T29" s="91">
        <v>13</v>
      </c>
      <c r="U29" s="91">
        <v>15</v>
      </c>
      <c r="V29" s="91">
        <v>14</v>
      </c>
      <c r="W29" s="91">
        <v>9</v>
      </c>
      <c r="X29" s="91">
        <v>8</v>
      </c>
      <c r="Y29" s="91">
        <v>13</v>
      </c>
      <c r="Z29" s="91">
        <v>9</v>
      </c>
      <c r="AA29" s="91">
        <v>-10</v>
      </c>
      <c r="AB29" s="26">
        <f t="shared" si="3"/>
        <v>71</v>
      </c>
      <c r="AC29" s="16">
        <f t="shared" si="4"/>
        <v>7.1</v>
      </c>
      <c r="AD29" s="91">
        <v>13</v>
      </c>
      <c r="AE29" s="91">
        <v>-3</v>
      </c>
      <c r="AF29" s="91">
        <v>7</v>
      </c>
      <c r="AG29" s="91">
        <v>13</v>
      </c>
      <c r="AH29" s="91">
        <v>2</v>
      </c>
      <c r="AI29" s="91">
        <v>9</v>
      </c>
      <c r="AJ29" s="91">
        <v>12</v>
      </c>
      <c r="AK29" s="91">
        <v>-5</v>
      </c>
      <c r="AL29" s="26">
        <f t="shared" si="5"/>
        <v>48</v>
      </c>
      <c r="AM29" s="16">
        <f t="shared" si="6"/>
        <v>6.86</v>
      </c>
      <c r="AN29" s="17">
        <f t="shared" si="7"/>
        <v>6.61</v>
      </c>
      <c r="AO29" s="18" t="s">
        <v>78</v>
      </c>
      <c r="AP29" s="19">
        <v>10000</v>
      </c>
      <c r="AQ29" s="19">
        <v>60000</v>
      </c>
      <c r="AR29" s="19">
        <f t="shared" ca="1" si="21"/>
        <v>133093.64753049999</v>
      </c>
      <c r="AS29" s="19">
        <v>4200</v>
      </c>
      <c r="AT29" s="19">
        <v>4500</v>
      </c>
      <c r="AU29" s="19">
        <v>7500</v>
      </c>
      <c r="AV29" s="19">
        <v>17500</v>
      </c>
      <c r="AW29" s="20">
        <f t="shared" ca="1" si="9"/>
        <v>31.688963697738092</v>
      </c>
      <c r="AX29" s="20">
        <f t="shared" ca="1" si="10"/>
        <v>17.745819670733333</v>
      </c>
      <c r="AY29" s="20">
        <f t="shared" ca="1" si="11"/>
        <v>7.6053512874571423</v>
      </c>
      <c r="AZ29" s="21">
        <v>80000</v>
      </c>
      <c r="BA29" s="22">
        <f t="shared" si="12"/>
        <v>0.25714285714285712</v>
      </c>
      <c r="BB29" s="22">
        <f t="shared" si="13"/>
        <v>0.21875</v>
      </c>
      <c r="BC29" s="23">
        <f t="shared" si="14"/>
        <v>5.6249999999999994E-2</v>
      </c>
      <c r="BD29" t="s">
        <v>178</v>
      </c>
      <c r="BE29" s="23">
        <f t="shared" si="15"/>
        <v>7.0010270953862141E-2</v>
      </c>
      <c r="BF29" t="s">
        <v>179</v>
      </c>
      <c r="BG29" s="23">
        <f t="shared" si="16"/>
        <v>0.20000128600547407</v>
      </c>
      <c r="BH29" s="24">
        <v>15</v>
      </c>
      <c r="BI29" s="24">
        <v>25</v>
      </c>
      <c r="BJ29" s="25">
        <f t="shared" ca="1" si="26"/>
        <v>42.728764839656037</v>
      </c>
      <c r="BK29" s="25">
        <f t="shared" ca="1" si="27"/>
        <v>235.30613297271807</v>
      </c>
      <c r="BL29" s="23">
        <f t="shared" ca="1" si="19"/>
        <v>-0.14321180154884217</v>
      </c>
      <c r="BM29" s="23">
        <f t="shared" ca="1" si="20"/>
        <v>0.26275783466301661</v>
      </c>
      <c r="BN29" s="93" t="s">
        <v>81</v>
      </c>
      <c r="BO29" s="93" t="s">
        <v>98</v>
      </c>
      <c r="BP29" s="93" t="s">
        <v>180</v>
      </c>
    </row>
    <row r="30" spans="1:68" ht="15" customHeight="1" ns3:dyDescent="0.25">
      <c r="A30" s="86" t="e" vm="27">
        <v>#VALUE!</v>
      </c>
      <c r="B30" s="10" t="str">
        <f t="array" aca="1" ref="B30" ca="1">_FV(A30,"Símbolo bursátil",TRUE())</f>
        <v>NET</v>
      </c>
      <c r="C30" s="88" t="s">
        <v>114</v>
      </c>
      <c r="D30" s="88" t="s">
        <v>115</v>
      </c>
      <c r="E30" s="11" t="str">
        <f t="array" aca="1" ref="E30" ca="1">_FV(A30,"Abreviatura de intercambio",TRUE())</f>
        <v>XNYS</v>
      </c>
      <c r="F30" s="11" t="str">
        <f t="array" aca="1" ref="F30" ca="1">_FV(A30,"Moneda")</f>
        <v>USD</v>
      </c>
      <c r="G30" s="12">
        <f t="array" aca="1" ref="G30" ca="1">_FV(A30,"Precio")</f>
        <v>204.34</v>
      </c>
      <c r="H30" s="13">
        <f t="array" aca="1" ref="H30" ca="1">_FV(A30,"Acciones en circulación",TRUE())/1000000</f>
        <v>353.46620000000001</v>
      </c>
      <c r="I30" s="14">
        <f t="shared" ca="1" si="25"/>
        <v>72227.283307999998</v>
      </c>
      <c r="J30" s="90">
        <v>2</v>
      </c>
      <c r="K30" s="90">
        <v>5</v>
      </c>
      <c r="L30" s="90">
        <v>3</v>
      </c>
      <c r="M30" s="90">
        <v>0</v>
      </c>
      <c r="N30" s="90">
        <v>0</v>
      </c>
      <c r="O30" s="90">
        <v>1</v>
      </c>
      <c r="P30" s="90">
        <v>1</v>
      </c>
      <c r="Q30" s="90">
        <v>0</v>
      </c>
      <c r="R30" s="15">
        <f t="shared" si="1"/>
        <v>12</v>
      </c>
      <c r="S30" s="16">
        <f t="shared" si="2"/>
        <v>7.06</v>
      </c>
      <c r="T30" s="90">
        <v>10</v>
      </c>
      <c r="U30" s="90">
        <v>13</v>
      </c>
      <c r="V30" s="90">
        <v>16</v>
      </c>
      <c r="W30" s="90">
        <v>9</v>
      </c>
      <c r="X30" s="90">
        <v>7</v>
      </c>
      <c r="Y30" s="90">
        <v>12</v>
      </c>
      <c r="Z30" s="90">
        <v>6</v>
      </c>
      <c r="AA30" s="90">
        <v>-12</v>
      </c>
      <c r="AB30" s="15">
        <f t="shared" si="3"/>
        <v>61</v>
      </c>
      <c r="AC30" s="16">
        <f t="shared" si="4"/>
        <v>6.1</v>
      </c>
      <c r="AD30" s="90">
        <v>13</v>
      </c>
      <c r="AE30" s="90">
        <v>-1</v>
      </c>
      <c r="AF30" s="90">
        <v>6</v>
      </c>
      <c r="AG30" s="90">
        <v>10</v>
      </c>
      <c r="AH30" s="90">
        <v>3</v>
      </c>
      <c r="AI30" s="90">
        <v>8</v>
      </c>
      <c r="AJ30" s="90">
        <v>11</v>
      </c>
      <c r="AK30" s="90">
        <v>-4</v>
      </c>
      <c r="AL30" s="15">
        <f t="shared" si="5"/>
        <v>46</v>
      </c>
      <c r="AM30" s="16">
        <f t="shared" si="6"/>
        <v>6.57</v>
      </c>
      <c r="AN30" s="17">
        <f t="shared" si="7"/>
        <v>6.58</v>
      </c>
      <c r="AO30" s="18" t="s">
        <v>78</v>
      </c>
      <c r="AP30" s="19">
        <v>1800</v>
      </c>
      <c r="AQ30" s="19">
        <v>1300</v>
      </c>
      <c r="AR30" s="19">
        <f t="shared" ca="1" si="21"/>
        <v>71727.283307999998</v>
      </c>
      <c r="AS30" s="19">
        <v>280</v>
      </c>
      <c r="AT30" s="19">
        <v>50</v>
      </c>
      <c r="AU30" s="19">
        <v>320</v>
      </c>
      <c r="AV30" s="19">
        <v>1850</v>
      </c>
      <c r="AW30" s="20">
        <f t="shared" ca="1" si="9"/>
        <v>256.16886895714288</v>
      </c>
      <c r="AX30" s="20">
        <f t="shared" ca="1" si="10"/>
        <v>224.14776033749999</v>
      </c>
      <c r="AY30" s="20">
        <f t="shared" ca="1" si="11"/>
        <v>38.771504490810813</v>
      </c>
      <c r="AZ30" s="21">
        <v>3500</v>
      </c>
      <c r="BA30" s="22">
        <f t="shared" si="12"/>
        <v>2.7027027027027029E-2</v>
      </c>
      <c r="BB30" s="22">
        <f t="shared" si="13"/>
        <v>0.52857142857142858</v>
      </c>
      <c r="BC30" s="23">
        <f t="shared" si="14"/>
        <v>1.4285714285714287E-2</v>
      </c>
      <c r="BD30" t="s">
        <v>181</v>
      </c>
      <c r="BE30" s="23">
        <f t="shared" si="15"/>
        <v>0.13995090255865472</v>
      </c>
      <c r="BF30" t="s">
        <v>182</v>
      </c>
      <c r="BG30" s="23">
        <f t="shared" si="16"/>
        <v>0.27998066135282862</v>
      </c>
      <c r="BH30" s="24">
        <v>20</v>
      </c>
      <c r="BI30" s="24">
        <v>30</v>
      </c>
      <c r="BJ30" s="25">
        <f t="shared" ca="1" si="26"/>
        <v>31.912527987117297</v>
      </c>
      <c r="BK30" s="25">
        <f t="shared" ca="1" si="27"/>
        <v>83.063104760794658</v>
      </c>
      <c r="BL30" s="23">
        <f t="shared" ca="1" si="19"/>
        <v>-0.31020258277241719</v>
      </c>
      <c r="BM30" s="23">
        <f t="shared" ca="1" si="20"/>
        <v>-0.20152064307736439</v>
      </c>
      <c r="BN30" s="93" t="s">
        <v>81</v>
      </c>
      <c r="BO30" s="93" t="s">
        <v>183</v>
      </c>
      <c r="BP30" s="93" t="s">
        <v>158</v>
      </c>
    </row>
    <row r="31" spans="1:68" ht="15" customHeight="1" ns3:dyDescent="0.25">
      <c r="A31" s="86" t="e" vm="28">
        <v>#VALUE!</v>
      </c>
      <c r="B31" s="10" t="str">
        <f t="array" aca="1" ref="B31" ca="1">_FV(A31,"Símbolo bursátil",TRUE())</f>
        <v>CRWD</v>
      </c>
      <c r="C31" s="88" t="s">
        <v>114</v>
      </c>
      <c r="D31" s="88" t="s">
        <v>115</v>
      </c>
      <c r="E31" s="11" t="str">
        <f t="array" aca="1" ref="E31" ca="1">_FV(A31,"Abreviatura de intercambio",TRUE())</f>
        <v>XNAS</v>
      </c>
      <c r="F31" s="11" t="str">
        <f t="array" aca="1" ref="F31" ca="1">_FV(A31,"Moneda")</f>
        <v>USD</v>
      </c>
      <c r="G31" s="12">
        <f t="array" aca="1" ref="G31" ca="1">_FV(A31,"Precio")</f>
        <v>619.83000000000004</v>
      </c>
      <c r="H31" s="13">
        <f t="array" aca="1" ref="H31" ca="1">_FV(A31,"Acciones en circulación",TRUE())/1000000</f>
        <v>254.53649999999999</v>
      </c>
      <c r="I31" s="14">
        <f t="shared" ca="1" si="25"/>
        <v>157769.35879500001</v>
      </c>
      <c r="J31" s="91">
        <v>2</v>
      </c>
      <c r="K31" s="91">
        <v>6</v>
      </c>
      <c r="L31" s="91">
        <v>2</v>
      </c>
      <c r="M31" s="91">
        <v>0</v>
      </c>
      <c r="N31" s="91">
        <v>0</v>
      </c>
      <c r="O31" s="91">
        <v>0</v>
      </c>
      <c r="P31" s="91">
        <v>1</v>
      </c>
      <c r="Q31" s="91">
        <v>0</v>
      </c>
      <c r="R31" s="26">
        <f t="shared" si="1"/>
        <v>11</v>
      </c>
      <c r="S31" s="16">
        <f t="shared" si="2"/>
        <v>6.47</v>
      </c>
      <c r="T31" s="91">
        <v>12</v>
      </c>
      <c r="U31" s="91">
        <v>16</v>
      </c>
      <c r="V31" s="91">
        <v>15</v>
      </c>
      <c r="W31" s="91">
        <v>8</v>
      </c>
      <c r="X31" s="91">
        <v>9</v>
      </c>
      <c r="Y31" s="91">
        <v>10</v>
      </c>
      <c r="Z31" s="91">
        <v>5</v>
      </c>
      <c r="AA31" s="91">
        <v>-10</v>
      </c>
      <c r="AB31" s="26">
        <f t="shared" si="3"/>
        <v>65</v>
      </c>
      <c r="AC31" s="16">
        <f t="shared" si="4"/>
        <v>6.5</v>
      </c>
      <c r="AD31" s="91">
        <v>12</v>
      </c>
      <c r="AE31" s="91">
        <v>-2</v>
      </c>
      <c r="AF31" s="91">
        <v>9</v>
      </c>
      <c r="AG31" s="91">
        <v>11</v>
      </c>
      <c r="AH31" s="91">
        <v>3</v>
      </c>
      <c r="AI31" s="91">
        <v>7</v>
      </c>
      <c r="AJ31" s="91">
        <v>12</v>
      </c>
      <c r="AK31" s="91">
        <v>-5</v>
      </c>
      <c r="AL31" s="26">
        <f t="shared" si="5"/>
        <v>47</v>
      </c>
      <c r="AM31" s="16">
        <f t="shared" si="6"/>
        <v>6.71</v>
      </c>
      <c r="AN31" s="17">
        <f t="shared" si="7"/>
        <v>6.56</v>
      </c>
      <c r="AO31" s="18" t="s">
        <v>78</v>
      </c>
      <c r="AP31" s="19">
        <v>4400</v>
      </c>
      <c r="AQ31" s="19">
        <v>750</v>
      </c>
      <c r="AR31" s="19">
        <f t="shared" ca="1" si="21"/>
        <v>154119.35879500001</v>
      </c>
      <c r="AS31" s="19">
        <v>1200</v>
      </c>
      <c r="AT31" s="19">
        <v>700</v>
      </c>
      <c r="AU31" s="19">
        <v>1400</v>
      </c>
      <c r="AV31" s="19">
        <v>4000</v>
      </c>
      <c r="AW31" s="20">
        <f t="shared" ca="1" si="9"/>
        <v>128.43279899583334</v>
      </c>
      <c r="AX31" s="20">
        <f t="shared" ca="1" si="10"/>
        <v>110.08525628214286</v>
      </c>
      <c r="AY31" s="20">
        <f t="shared" ca="1" si="11"/>
        <v>38.529839698750003</v>
      </c>
      <c r="AZ31" s="21">
        <v>3500</v>
      </c>
      <c r="BA31" s="22">
        <f t="shared" si="12"/>
        <v>0.17499999999999999</v>
      </c>
      <c r="BB31" s="22">
        <f t="shared" si="13"/>
        <v>1.1428571428571428</v>
      </c>
      <c r="BC31" s="23">
        <f t="shared" si="14"/>
        <v>0.19999999999999998</v>
      </c>
      <c r="BD31" t="s">
        <v>184</v>
      </c>
      <c r="BE31" s="23">
        <f t="shared" si="15"/>
        <v>0.12002012191466971</v>
      </c>
      <c r="BF31" t="s">
        <v>185</v>
      </c>
      <c r="BG31" s="23">
        <f t="shared" si="16"/>
        <v>0.26000288799408033</v>
      </c>
      <c r="BH31" s="24">
        <v>20</v>
      </c>
      <c r="BI31" s="24">
        <v>30</v>
      </c>
      <c r="BJ31" s="25">
        <f t="shared" ca="1" si="26"/>
        <v>180.52420772659323</v>
      </c>
      <c r="BK31" s="25">
        <f t="shared" ca="1" si="27"/>
        <v>463.50916273304614</v>
      </c>
      <c r="BL31" s="23">
        <f t="shared" ca="1" si="19"/>
        <v>-0.21863748777809278</v>
      </c>
      <c r="BM31" s="23">
        <f t="shared" ca="1" si="20"/>
        <v>-7.0078191617545804E-2</v>
      </c>
      <c r="BN31" t="inlineStr">
        <is>
          <t>2026-06-10</t>
        </is>
      </c>
      <c r="BO31" t="inlineStr">
        <is>
          <t>03/06/2026</t>
        </is>
      </c>
      <c r="BP31" t="inlineStr">
        <is>
          <t>02/09/2026</t>
        </is>
      </c>
    </row>
    <row r="32" spans="1:68" ht="15" customHeight="1" ns3:dyDescent="0.25">
      <c r="A32" s="86" t="e" vm="29">
        <v>#VALUE!</v>
      </c>
      <c r="B32" s="10" t="str">
        <f t="array" aca="1" ref="B32" ca="1">_FV(A32,"Símbolo bursátil",TRUE())</f>
        <v>GOOG</v>
      </c>
      <c r="C32" s="88" t="s">
        <v>84</v>
      </c>
      <c r="D32" s="88" t="s">
        <v>77</v>
      </c>
      <c r="E32" s="11" t="str">
        <f t="array" aca="1" ref="E32" ca="1">_FV(A32,"Abreviatura de intercambio",TRUE())</f>
        <v>XNAS</v>
      </c>
      <c r="F32" s="11" t="str">
        <f t="array" aca="1" ref="F32" ca="1">_FV(A32,"Moneda")</f>
        <v>USD</v>
      </c>
      <c r="G32" s="12">
        <f t="array" aca="1" ref="G32" ca="1">_FV(A32,"Precio")</f>
        <v>385.33</v>
      </c>
      <c r="H32" s="13">
        <f t="array" aca="1" ref="H32" ca="1">_FV(A32,"Acciones en circulación",TRUE())/1000000</f>
        <v>12116</v>
      </c>
      <c r="I32" s="14">
        <f t="shared" ca="1" si="25"/>
        <v>4668658.28</v>
      </c>
      <c r="J32" s="90">
        <v>1</v>
      </c>
      <c r="K32" s="90">
        <v>7</v>
      </c>
      <c r="L32" s="90">
        <v>3</v>
      </c>
      <c r="M32" s="90">
        <v>1</v>
      </c>
      <c r="N32" s="90">
        <v>-1</v>
      </c>
      <c r="O32" s="90">
        <v>1</v>
      </c>
      <c r="P32" s="90">
        <v>0</v>
      </c>
      <c r="Q32" s="90">
        <v>0</v>
      </c>
      <c r="R32" s="15">
        <f t="shared" si="1"/>
        <v>12</v>
      </c>
      <c r="S32" s="16">
        <f t="shared" si="2"/>
        <v>7.06</v>
      </c>
      <c r="T32" s="90">
        <v>16</v>
      </c>
      <c r="U32" s="90">
        <v>18</v>
      </c>
      <c r="V32" s="90">
        <v>13</v>
      </c>
      <c r="W32" s="90">
        <v>8</v>
      </c>
      <c r="X32" s="90">
        <v>8</v>
      </c>
      <c r="Y32" s="90">
        <v>9</v>
      </c>
      <c r="Z32" s="90">
        <v>6</v>
      </c>
      <c r="AA32" s="90">
        <v>-14</v>
      </c>
      <c r="AB32" s="15">
        <f t="shared" si="3"/>
        <v>64</v>
      </c>
      <c r="AC32" s="16">
        <f t="shared" si="4"/>
        <v>6.4</v>
      </c>
      <c r="AD32" s="90">
        <v>12</v>
      </c>
      <c r="AE32" s="90">
        <v>-4</v>
      </c>
      <c r="AF32" s="90">
        <v>6</v>
      </c>
      <c r="AG32" s="90">
        <v>11</v>
      </c>
      <c r="AH32" s="90">
        <v>4</v>
      </c>
      <c r="AI32" s="90">
        <v>7</v>
      </c>
      <c r="AJ32" s="90">
        <v>13</v>
      </c>
      <c r="AK32" s="90">
        <v>-6</v>
      </c>
      <c r="AL32" s="15">
        <f t="shared" si="5"/>
        <v>43</v>
      </c>
      <c r="AM32" s="16">
        <f t="shared" si="6"/>
        <v>6.14</v>
      </c>
      <c r="AN32" s="17">
        <f t="shared" si="7"/>
        <v>6.53</v>
      </c>
      <c r="AO32" s="18" t="s">
        <v>78</v>
      </c>
      <c r="AP32" s="19">
        <v>110000</v>
      </c>
      <c r="AQ32" s="19">
        <v>15000</v>
      </c>
      <c r="AR32" s="19">
        <f t="shared" ca="1" si="21"/>
        <v>4573658.28</v>
      </c>
      <c r="AS32" s="19">
        <v>75000</v>
      </c>
      <c r="AT32" s="19">
        <v>95000</v>
      </c>
      <c r="AU32" s="19">
        <v>148000</v>
      </c>
      <c r="AV32" s="19">
        <v>350000</v>
      </c>
      <c r="AW32" s="20">
        <f t="shared" ca="1" si="9"/>
        <v>60.982110400000003</v>
      </c>
      <c r="AX32" s="20">
        <f t="shared" ca="1" si="10"/>
        <v>30.90309648648649</v>
      </c>
      <c r="AY32" s="20">
        <f t="shared" ca="1" si="11"/>
        <v>13.067595085714286</v>
      </c>
      <c r="AZ32" s="21">
        <v>350000</v>
      </c>
      <c r="BA32" s="22">
        <f t="shared" si="12"/>
        <v>0.27142857142857141</v>
      </c>
      <c r="BB32" s="22">
        <f t="shared" si="13"/>
        <v>1</v>
      </c>
      <c r="BC32" s="23">
        <f t="shared" si="14"/>
        <v>0.27142857142857141</v>
      </c>
      <c r="BD32" t="s">
        <v>188</v>
      </c>
      <c r="BE32" s="23">
        <f t="shared" si="15"/>
        <v>4.9999742905350697E-2</v>
      </c>
      <c r="BF32" t="s">
        <v>189</v>
      </c>
      <c r="BG32" s="23">
        <f t="shared" si="16"/>
        <v>0.15000032161102084</v>
      </c>
      <c r="BH32" s="24">
        <v>20</v>
      </c>
      <c r="BI32" s="24">
        <v>30</v>
      </c>
      <c r="BJ32" s="25">
        <f t="shared" ca="1" si="26"/>
        <v>165.84846483988116</v>
      </c>
      <c r="BK32" s="25">
        <f t="shared" ca="1" si="27"/>
        <v>381.36018487949821</v>
      </c>
      <c r="BL32" s="23">
        <f t="shared" ca="1" si="19"/>
        <v>-0.15515755125191266</v>
      </c>
      <c r="BM32" s="23">
        <f t="shared" ca="1" si="20"/>
        <v>-2.5856051303022598E-3</v>
      </c>
      <c r="BN32" s="93" t="s">
        <v>81</v>
      </c>
      <c r="BO32" s="93" t="s">
        <v>190</v>
      </c>
      <c r="BP32" s="93" t="s">
        <v>88</v>
      </c>
    </row>
    <row r="33" spans="1:68" ht="15" customHeight="1" ns3:dyDescent="0.25">
      <c r="A33" s="86" t="e" vm="30">
        <v>#VALUE!</v>
      </c>
      <c r="B33" s="10" t="str">
        <f t="array" aca="1" ref="B33" ca="1">_FV(A33,"Símbolo bursátil",TRUE())</f>
        <v>ABBNE</v>
      </c>
      <c r="C33" s="88" t="s">
        <v>127</v>
      </c>
      <c r="D33" s="88" t="s">
        <v>77</v>
      </c>
      <c r="E33" s="11" t="str">
        <f t="array" aca="1" ref="E33" ca="1">_FV(A33,"Abreviatura de intercambio",TRUE())</f>
        <v>XSWX</v>
      </c>
      <c r="F33" s="11" t="str">
        <f t="array" aca="1" ref="F33" ca="1">_FV(A33,"Moneda")</f>
        <v>CHF</v>
      </c>
      <c r="G33" s="12">
        <f t="array" aca="1" ref="G33" ca="1">_FV(A33,"Precio")</f>
        <v>79.38</v>
      </c>
      <c r="H33" s="13">
        <f t="array" aca="1" ref="H33" ca="1">_FV(A33,"Acciones en circulación",TRUE())/1000000</f>
        <v>1823.154</v>
      </c>
      <c r="I33" s="14">
        <f t="shared" ca="1" si="25"/>
        <v>144721.96451999998</v>
      </c>
      <c r="J33" s="91">
        <v>1</v>
      </c>
      <c r="K33" s="91">
        <v>6</v>
      </c>
      <c r="L33" s="91">
        <v>2</v>
      </c>
      <c r="M33" s="91">
        <v>1</v>
      </c>
      <c r="N33" s="91">
        <v>0</v>
      </c>
      <c r="O33" s="91">
        <v>0</v>
      </c>
      <c r="P33" s="91">
        <v>0</v>
      </c>
      <c r="Q33" s="91">
        <v>0</v>
      </c>
      <c r="R33" s="26">
        <f t="shared" si="1"/>
        <v>10</v>
      </c>
      <c r="S33" s="16">
        <f t="shared" si="2"/>
        <v>5.88</v>
      </c>
      <c r="T33" s="91">
        <v>13</v>
      </c>
      <c r="U33" s="91">
        <v>14</v>
      </c>
      <c r="V33" s="91">
        <v>13</v>
      </c>
      <c r="W33" s="91">
        <v>9</v>
      </c>
      <c r="X33" s="91">
        <v>8</v>
      </c>
      <c r="Y33" s="91">
        <v>11</v>
      </c>
      <c r="Z33" s="91">
        <v>4</v>
      </c>
      <c r="AA33" s="91">
        <v>-8</v>
      </c>
      <c r="AB33" s="26">
        <f t="shared" si="3"/>
        <v>64</v>
      </c>
      <c r="AC33" s="16">
        <f t="shared" si="4"/>
        <v>6.4</v>
      </c>
      <c r="AD33" s="91">
        <v>12</v>
      </c>
      <c r="AE33" s="91">
        <v>-2</v>
      </c>
      <c r="AF33" s="91">
        <v>5</v>
      </c>
      <c r="AG33" s="91">
        <v>12</v>
      </c>
      <c r="AH33" s="91">
        <v>4</v>
      </c>
      <c r="AI33" s="91">
        <v>7</v>
      </c>
      <c r="AJ33" s="91">
        <v>11</v>
      </c>
      <c r="AK33" s="91">
        <v>-4</v>
      </c>
      <c r="AL33" s="26">
        <f t="shared" si="5"/>
        <v>45</v>
      </c>
      <c r="AM33" s="16">
        <f t="shared" si="6"/>
        <v>6.43</v>
      </c>
      <c r="AN33" s="17">
        <f t="shared" si="7"/>
        <v>6.24</v>
      </c>
      <c r="AO33" s="18" t="s">
        <v>78</v>
      </c>
      <c r="AP33" s="19">
        <v>5000</v>
      </c>
      <c r="AQ33" s="19">
        <v>7500</v>
      </c>
      <c r="AR33" s="19">
        <f ca="1">I33*'Framework Notes'!E5-AP33+AQ33</f>
        <v>185804.84026103196</v>
      </c>
      <c r="AS33" s="19">
        <v>4200</v>
      </c>
      <c r="AT33" s="19">
        <v>4500</v>
      </c>
      <c r="AU33" s="19">
        <v>6200</v>
      </c>
      <c r="AV33" s="19">
        <v>33500</v>
      </c>
      <c r="AW33" s="20">
        <f t="shared" ca="1" si="9"/>
        <v>44.239247681198087</v>
      </c>
      <c r="AX33" s="20">
        <f t="shared" ca="1" si="10"/>
        <v>29.968522622747091</v>
      </c>
      <c r="AY33" s="20">
        <f t="shared" ca="1" si="11"/>
        <v>5.5464131421203566</v>
      </c>
      <c r="AZ33" s="21">
        <v>22000</v>
      </c>
      <c r="BA33" s="22">
        <f t="shared" si="12"/>
        <v>0.13432835820895522</v>
      </c>
      <c r="BB33" s="22">
        <f t="shared" si="13"/>
        <v>1.5227272727272727</v>
      </c>
      <c r="BC33" s="23">
        <f t="shared" si="14"/>
        <v>0.20454545454545453</v>
      </c>
      <c r="BD33" t="s">
        <v>191</v>
      </c>
      <c r="BE33" s="23">
        <f t="shared" si="15"/>
        <v>4.0002353139918068E-2</v>
      </c>
      <c r="BF33" t="s">
        <v>192</v>
      </c>
      <c r="BG33" s="23">
        <f t="shared" si="16"/>
        <v>0.12000499121039754</v>
      </c>
      <c r="BH33" s="24">
        <v>14</v>
      </c>
      <c r="BI33" s="24">
        <v>25</v>
      </c>
      <c r="BJ33" s="25">
        <f ca="1">((BD33*BH33+$AP33-$AQ33)/$H33)/'Framework Notes'!E5</f>
        <v>29.897711332639883</v>
      </c>
      <c r="BK33" s="25">
        <f ca="1">((BF33*BI33+$AP33-$AQ33)/$H33)/'Framework Notes'!E5</f>
        <v>79.053117088259143</v>
      </c>
      <c r="BL33" s="23">
        <f t="shared" ca="1" si="19"/>
        <v>-0.17740631721761912</v>
      </c>
      <c r="BM33" s="23">
        <f t="shared" ca="1" si="20"/>
        <v>-1.0310812251596024E-3</v>
      </c>
      <c r="BN33" s="93" t="s">
        <v>81</v>
      </c>
      <c r="BO33" s="93" t="s">
        <v>193</v>
      </c>
      <c r="BP33" s="93" t="s">
        <v>194</v>
      </c>
    </row>
    <row r="34" spans="1:68" ht="15" customHeight="1" ns3:dyDescent="0.25">
      <c r="A34" s="86" t="e" vm="31">
        <v>#VALUE!</v>
      </c>
      <c r="B34" s="10" t="str">
        <f t="array" aca="1" ref="B34" ca="1">_FV(A34,"Símbolo bursátil",TRUE())</f>
        <v>GRMN</v>
      </c>
      <c r="C34" s="88" t="s">
        <v>195</v>
      </c>
      <c r="D34" s="88" t="s">
        <v>77</v>
      </c>
      <c r="E34" s="11" t="str">
        <f t="array" aca="1" ref="E34" ca="1">_FV(A34,"Abreviatura de intercambio",TRUE())</f>
        <v>XNYS</v>
      </c>
      <c r="F34" s="11" t="str">
        <f t="array" aca="1" ref="F34" ca="1">_FV(A34,"Moneda")</f>
        <v>USD</v>
      </c>
      <c r="G34" s="12">
        <f t="array" aca="1" ref="G34" ca="1">_FV(A34,"Precio")</f>
        <v>230.065</v>
      </c>
      <c r="H34" s="13">
        <f t="array" aca="1" ref="H34" ca="1">_FV(A34,"Acciones en circulación",TRUE())/1000000</f>
        <v>192.8562</v>
      </c>
      <c r="I34" s="14">
        <f t="shared" ca="1" si="25"/>
        <v>44369.461652999998</v>
      </c>
      <c r="J34" s="90">
        <v>0</v>
      </c>
      <c r="K34" s="90">
        <v>5</v>
      </c>
      <c r="L34" s="90">
        <v>2</v>
      </c>
      <c r="M34" s="90">
        <v>1</v>
      </c>
      <c r="N34" s="90">
        <v>0</v>
      </c>
      <c r="O34" s="90">
        <v>1</v>
      </c>
      <c r="P34" s="90">
        <v>0</v>
      </c>
      <c r="Q34" s="90">
        <v>0</v>
      </c>
      <c r="R34" s="15">
        <f t="shared" si="1"/>
        <v>9</v>
      </c>
      <c r="S34" s="16">
        <f t="shared" si="2"/>
        <v>5.29</v>
      </c>
      <c r="T34" s="90">
        <v>14</v>
      </c>
      <c r="U34" s="90">
        <v>13</v>
      </c>
      <c r="V34" s="90">
        <v>10</v>
      </c>
      <c r="W34" s="90">
        <v>8</v>
      </c>
      <c r="X34" s="90">
        <v>8</v>
      </c>
      <c r="Y34" s="90">
        <v>10</v>
      </c>
      <c r="Z34" s="90">
        <v>6</v>
      </c>
      <c r="AA34" s="90">
        <v>-7</v>
      </c>
      <c r="AB34" s="15">
        <f t="shared" si="3"/>
        <v>62</v>
      </c>
      <c r="AC34" s="16">
        <f t="shared" si="4"/>
        <v>6.2</v>
      </c>
      <c r="AD34" s="90">
        <v>12</v>
      </c>
      <c r="AE34" s="90">
        <v>-2</v>
      </c>
      <c r="AF34" s="90">
        <v>8</v>
      </c>
      <c r="AG34" s="90">
        <v>10</v>
      </c>
      <c r="AH34" s="90">
        <v>5</v>
      </c>
      <c r="AI34" s="90">
        <v>7</v>
      </c>
      <c r="AJ34" s="90">
        <v>10</v>
      </c>
      <c r="AK34" s="90">
        <v>-3</v>
      </c>
      <c r="AL34" s="15">
        <f t="shared" si="5"/>
        <v>47</v>
      </c>
      <c r="AM34" s="16">
        <f t="shared" si="6"/>
        <v>6.71</v>
      </c>
      <c r="AN34" s="17">
        <f t="shared" si="7"/>
        <v>6.07</v>
      </c>
      <c r="AO34" s="18" t="s">
        <v>78</v>
      </c>
      <c r="AP34" s="19">
        <v>3500</v>
      </c>
      <c r="AQ34" s="19">
        <v>0</v>
      </c>
      <c r="AR34" s="19">
        <f ca="1">I34-AP34+AQ34</f>
        <v>40869.461652999998</v>
      </c>
      <c r="AS34" s="19">
        <v>1300</v>
      </c>
      <c r="AT34" s="19">
        <v>1200</v>
      </c>
      <c r="AU34" s="19">
        <v>1650</v>
      </c>
      <c r="AV34" s="19">
        <v>6300</v>
      </c>
      <c r="AW34" s="20">
        <f t="shared" ca="1" si="9"/>
        <v>31.438047425384614</v>
      </c>
      <c r="AX34" s="20">
        <f t="shared" ca="1" si="10"/>
        <v>24.769370698787878</v>
      </c>
      <c r="AY34" s="20">
        <f t="shared" ca="1" si="11"/>
        <v>6.4872161353968254</v>
      </c>
      <c r="AZ34" s="21">
        <v>4800</v>
      </c>
      <c r="BA34" s="22">
        <f t="shared" si="12"/>
        <v>0.19047619047619047</v>
      </c>
      <c r="BB34" s="22">
        <f t="shared" si="13"/>
        <v>1.3125</v>
      </c>
      <c r="BC34" s="23">
        <f t="shared" si="14"/>
        <v>0.25</v>
      </c>
      <c r="BD34" t="s">
        <v>196</v>
      </c>
      <c r="BE34" s="23">
        <f t="shared" si="15"/>
        <v>4.004618516068903E-2</v>
      </c>
      <c r="BF34" t="s">
        <v>197</v>
      </c>
      <c r="BG34" s="23">
        <f t="shared" si="16"/>
        <v>0.12998436153517012</v>
      </c>
      <c r="BH34" s="24">
        <v>18</v>
      </c>
      <c r="BI34" s="24">
        <v>26</v>
      </c>
      <c r="BJ34" s="25">
        <f ca="1">(BD34*BH34+$AP34-$AQ34)/$H34</f>
        <v>165.80229207046494</v>
      </c>
      <c r="BK34" s="25">
        <f ca="1">(BF34*BI34+$AP34-$AQ34)/$H34</f>
        <v>341.03129689374776</v>
      </c>
      <c r="BL34" s="23">
        <f t="shared" ca="1" si="19"/>
        <v>-6.341328082157438E-2</v>
      </c>
      <c r="BM34" s="23">
        <f t="shared" ca="1" si="20"/>
        <v>0.1034074721678333</v>
      </c>
      <c r="BN34" s="93" t="s">
        <v>81</v>
      </c>
      <c r="BO34" s="93" t="s">
        <v>198</v>
      </c>
      <c r="BP34" s="93" t="s">
        <v>88</v>
      </c>
    </row>
    <row r="35" spans="1:68" ht="15" customHeight="1" ns3:dyDescent="0.25">
      <c r="A35" s="86" t="e" vm="32">
        <v>#VALUE!</v>
      </c>
      <c r="B35" s="10" t="str">
        <f t="array" aca="1" ref="B35" ca="1">_FV(A35,"Símbolo bursátil",TRUE())</f>
        <v>KRX</v>
      </c>
      <c r="C35" s="88" t="s">
        <v>199</v>
      </c>
      <c r="D35" s="88" t="s">
        <v>77</v>
      </c>
      <c r="E35" s="11" t="str">
        <f t="array" aca="1" ref="E35" ca="1">_FV(A35,"Abreviatura de intercambio",TRUE())</f>
        <v>XFRA</v>
      </c>
      <c r="F35" s="11" t="str">
        <f t="array" aca="1" ref="F35" ca="1">_FV(A35,"Moneda")</f>
        <v>EUR</v>
      </c>
      <c r="G35" s="12">
        <f t="array" aca="1" ref="G35" ca="1">_FV(A35,"Precio")</f>
        <v>72.95</v>
      </c>
      <c r="H35" s="13">
        <f t="array" aca="1" ref="H35" ca="1">_FV(A35,"Acciones en circulación",TRUE())/1000000</f>
        <v>180.3391</v>
      </c>
      <c r="I35" s="14">
        <f t="shared" ca="1" si="25"/>
        <v>13155.737345000001</v>
      </c>
      <c r="J35" s="91">
        <v>1</v>
      </c>
      <c r="K35" s="91">
        <v>5</v>
      </c>
      <c r="L35" s="91">
        <v>2</v>
      </c>
      <c r="M35" s="91">
        <v>0</v>
      </c>
      <c r="N35" s="91">
        <v>0</v>
      </c>
      <c r="O35" s="91">
        <v>0</v>
      </c>
      <c r="P35" s="91">
        <v>1</v>
      </c>
      <c r="Q35" s="91">
        <v>1</v>
      </c>
      <c r="R35" s="26">
        <f t="shared" si="1"/>
        <v>10</v>
      </c>
      <c r="S35" s="16">
        <f t="shared" si="2"/>
        <v>5.88</v>
      </c>
      <c r="T35" s="91">
        <v>12</v>
      </c>
      <c r="U35" s="91">
        <v>13</v>
      </c>
      <c r="V35" s="91">
        <v>13</v>
      </c>
      <c r="W35" s="91">
        <v>9</v>
      </c>
      <c r="X35" s="91">
        <v>7</v>
      </c>
      <c r="Y35" s="91">
        <v>11</v>
      </c>
      <c r="Z35" s="91">
        <v>8</v>
      </c>
      <c r="AA35" s="91">
        <v>-9</v>
      </c>
      <c r="AB35" s="26">
        <f t="shared" si="3"/>
        <v>64</v>
      </c>
      <c r="AC35" s="16">
        <f t="shared" si="4"/>
        <v>6.4</v>
      </c>
      <c r="AD35" s="91">
        <v>12</v>
      </c>
      <c r="AE35" s="91">
        <v>-2</v>
      </c>
      <c r="AF35" s="91">
        <v>4</v>
      </c>
      <c r="AG35" s="91">
        <v>11</v>
      </c>
      <c r="AH35" s="91">
        <v>2</v>
      </c>
      <c r="AI35" s="91">
        <v>8</v>
      </c>
      <c r="AJ35" s="91">
        <v>10</v>
      </c>
      <c r="AK35" s="91">
        <v>-4</v>
      </c>
      <c r="AL35" s="26">
        <f t="shared" si="5"/>
        <v>41</v>
      </c>
      <c r="AM35" s="16">
        <f t="shared" si="6"/>
        <v>5.86</v>
      </c>
      <c r="AN35" s="17">
        <f t="shared" si="7"/>
        <v>6.05</v>
      </c>
      <c r="AO35" s="18" t="s">
        <v>90</v>
      </c>
      <c r="AP35" s="19">
        <v>800</v>
      </c>
      <c r="AQ35" s="19">
        <v>2800</v>
      </c>
      <c r="AR35" s="19">
        <f ca="1">I35-AP35+AQ35</f>
        <v>15155.737345000001</v>
      </c>
      <c r="AS35" s="19">
        <v>600</v>
      </c>
      <c r="AT35" s="19">
        <v>700</v>
      </c>
      <c r="AU35" s="19">
        <v>1200</v>
      </c>
      <c r="AV35" s="19">
        <v>9200</v>
      </c>
      <c r="AW35" s="20">
        <f t="shared" ca="1" si="9"/>
        <v>25.259562241666668</v>
      </c>
      <c r="AX35" s="20">
        <f t="shared" ca="1" si="10"/>
        <v>12.629781120833334</v>
      </c>
      <c r="AY35" s="20">
        <f t="shared" ca="1" si="11"/>
        <v>1.6473627548913046</v>
      </c>
      <c r="AZ35" s="21">
        <v>6500</v>
      </c>
      <c r="BA35" s="22">
        <f t="shared" si="12"/>
        <v>7.6086956521739135E-2</v>
      </c>
      <c r="BB35" s="22">
        <f t="shared" si="13"/>
        <v>1.4153846153846155</v>
      </c>
      <c r="BC35" s="23">
        <f t="shared" si="14"/>
        <v>0.1076923076923077</v>
      </c>
      <c r="BD35" t="s">
        <v>200</v>
      </c>
      <c r="BE35" s="23">
        <f t="shared" si="15"/>
        <v>4.0002353139918068E-2</v>
      </c>
      <c r="BF35" t="s">
        <v>201</v>
      </c>
      <c r="BG35" s="23">
        <f t="shared" si="16"/>
        <v>0.15003538696572605</v>
      </c>
      <c r="BH35" s="24">
        <v>14</v>
      </c>
      <c r="BI35" s="24">
        <v>22</v>
      </c>
      <c r="BJ35" s="25">
        <f ca="1">(BD35*BH35+$AP35-$AQ35)/$H35</f>
        <v>45.580797508693344</v>
      </c>
      <c r="BK35" s="25">
        <f ca="1">(BF35*BI35+$AP35-$AQ35)/$H35</f>
        <v>136.15461095236697</v>
      </c>
      <c r="BL35" s="23">
        <f t="shared" ca="1" si="19"/>
        <v>-8.9769623826624345E-2</v>
      </c>
      <c r="BM35" s="23">
        <f t="shared" ca="1" si="20"/>
        <v>0.16883111517589322</v>
      </c>
      <c r="BN35" s="93" t="s">
        <v>81</v>
      </c>
      <c r="BO35" s="93" t="s">
        <v>202</v>
      </c>
      <c r="BP35" s="93" t="s">
        <v>138</v>
      </c>
    </row>
    <row r="36" spans="1:68" ht="15" customHeight="1" ns3:dyDescent="0.25">
      <c r="A36" s="86" t="e" vm="33">
        <v>#VALUE!</v>
      </c>
      <c r="B36" s="10" t="str">
        <f t="array" aca="1" ref="B36" ca="1">_FV(A36,"Símbolo bursátil",TRUE())</f>
        <v>KSPI</v>
      </c>
      <c r="C36" s="88" t="s">
        <v>89</v>
      </c>
      <c r="D36" s="88" t="s">
        <v>115</v>
      </c>
      <c r="E36" s="11" t="str">
        <f t="array" aca="1" ref="E36" ca="1">_FV(A36,"Abreviatura de intercambio",TRUE())</f>
        <v>XNAS</v>
      </c>
      <c r="F36" s="11" t="str">
        <f t="array" aca="1" ref="F36" ca="1">_FV(A36,"Moneda")</f>
        <v>USD</v>
      </c>
      <c r="G36" s="12">
        <f t="array" aca="1" ref="G36" ca="1">_FV(A36,"Precio")</f>
        <v>89.52</v>
      </c>
      <c r="H36" s="13">
        <f t="array" aca="1" ref="H36" ca="1">_FV(A36,"Acciones en circulación",TRUE())/1000000</f>
        <v>189.33349999999999</v>
      </c>
      <c r="I36" s="14">
        <f t="shared" ca="1" si="25"/>
        <v>16949.134919999997</v>
      </c>
      <c r="J36" s="90">
        <v>1</v>
      </c>
      <c r="K36" s="90">
        <v>7</v>
      </c>
      <c r="L36" s="90">
        <v>2</v>
      </c>
      <c r="M36" s="90">
        <v>1</v>
      </c>
      <c r="N36" s="90">
        <v>-2</v>
      </c>
      <c r="O36" s="90">
        <v>0</v>
      </c>
      <c r="P36" s="90">
        <v>1</v>
      </c>
      <c r="Q36" s="90">
        <v>1</v>
      </c>
      <c r="R36" s="15">
        <f t="shared" ref="R36:R65" si="28">SUM(J36:Q36)</f>
        <v>11</v>
      </c>
      <c r="S36" s="16">
        <f t="shared" ref="S36:S65" si="29">ROUND(R36/17*10,2)</f>
        <v>6.47</v>
      </c>
      <c r="T36" s="90">
        <v>15</v>
      </c>
      <c r="U36" s="90">
        <v>16</v>
      </c>
      <c r="V36" s="90">
        <v>10</v>
      </c>
      <c r="W36" s="90">
        <v>7</v>
      </c>
      <c r="X36" s="90">
        <v>8</v>
      </c>
      <c r="Y36" s="90">
        <v>11</v>
      </c>
      <c r="Z36" s="90">
        <v>10</v>
      </c>
      <c r="AA36" s="90">
        <v>-16</v>
      </c>
      <c r="AB36" s="15">
        <f t="shared" ref="AB36:AB65" si="30">SUM(T36:AA36)</f>
        <v>61</v>
      </c>
      <c r="AC36" s="16">
        <f t="shared" ref="AC36:AC65" si="31">ROUND(AB36/10,2)</f>
        <v>6.1</v>
      </c>
      <c r="AD36" s="90">
        <v>10</v>
      </c>
      <c r="AE36" s="90">
        <v>-6</v>
      </c>
      <c r="AF36" s="90">
        <v>8</v>
      </c>
      <c r="AG36" s="90">
        <v>12</v>
      </c>
      <c r="AH36" s="90">
        <v>3</v>
      </c>
      <c r="AI36" s="90">
        <v>9</v>
      </c>
      <c r="AJ36" s="90">
        <v>11</v>
      </c>
      <c r="AK36" s="90">
        <v>-9</v>
      </c>
      <c r="AL36" s="15">
        <f t="shared" ref="AL36:AL65" si="32">SUM(AD36:AK36)</f>
        <v>38</v>
      </c>
      <c r="AM36" s="16">
        <f t="shared" ref="AM36:AM65" si="33">ROUND(AL36/70*10,2)</f>
        <v>5.43</v>
      </c>
      <c r="AN36" s="17">
        <f t="shared" ref="AN36:AN65" si="34">ROUND((S36+AC36+AM36)/3,2)</f>
        <v>6</v>
      </c>
      <c r="AO36" s="18" t="s">
        <v>203</v>
      </c>
      <c r="AP36" s="19">
        <v>900000</v>
      </c>
      <c r="AQ36" s="19">
        <v>100000</v>
      </c>
      <c r="AR36" s="19">
        <f ca="1">I36*'Framework Notes'!E6-AP36+AQ36</f>
        <v>7176771.3673995985</v>
      </c>
      <c r="AS36" s="19">
        <v>410000</v>
      </c>
      <c r="AT36" s="19">
        <v>420000</v>
      </c>
      <c r="AU36" s="19">
        <v>520000</v>
      </c>
      <c r="AV36" s="19">
        <v>1000000</v>
      </c>
      <c r="AW36" s="20">
        <f t="shared" ref="AW36:AW65" ca="1" si="35">AR36/AS36</f>
        <v>17.504320408291704</v>
      </c>
      <c r="AX36" s="20">
        <f t="shared" ref="AX36:AX65" ca="1" si="36">AR36/AU36</f>
        <v>13.801483398845381</v>
      </c>
      <c r="AY36" s="20">
        <f t="shared" ref="AY36:AY65" ca="1" si="37">AR36/AV36</f>
        <v>7.1767713673995983</v>
      </c>
      <c r="AZ36" s="21">
        <v>1800000</v>
      </c>
      <c r="BA36" s="22">
        <f t="shared" ref="BA36:BA65" si="38">AT36/AV36</f>
        <v>0.42</v>
      </c>
      <c r="BB36" s="22">
        <f t="shared" ref="BB36:BB65" si="39">AV36/AZ36</f>
        <v>0.55555555555555558</v>
      </c>
      <c r="BC36" s="23">
        <f t="shared" ref="BC36:BC65" si="40">BA36*BB36</f>
        <v>0.23333333333333334</v>
      </c>
      <c r="BD36" t="s">
        <v>204</v>
      </c>
      <c r="BE36" s="23">
        <f t="shared" ref="BE36:BE65" si="41">(BD36/AS36)^(1/5)-1</f>
        <v>6.9999922003442849E-2</v>
      </c>
      <c r="BF36" t="s">
        <v>205</v>
      </c>
      <c r="BG36" s="23">
        <f t="shared" ref="BG36:BG65" si="42">(BF36/AS36)^(1/5)-1</f>
        <v>0.19999995295091466</v>
      </c>
      <c r="BH36" s="24">
        <v>8</v>
      </c>
      <c r="BI36" s="24">
        <v>15</v>
      </c>
      <c r="BJ36" s="25">
        <f ca="1">((BD36*BH36+$AP36-$AQ36)/$H36)/'Framework Notes'!E6</f>
        <v>60.606092502009382</v>
      </c>
      <c r="BK36" s="25">
        <f ca="1">((BF36*BI36+$AP36-$AQ36)/$H36)/'Framework Notes'!E6</f>
        <v>180.71914868859307</v>
      </c>
      <c r="BL36" s="23">
        <f t="shared" ref="BL36:BL64" ca="1" si="43">($BJ36/G36)^(1/5)-1</f>
        <v>-7.5047901234522651E-2</v>
      </c>
      <c r="BM36" s="23">
        <f t="shared" ref="BM36:BM65" ca="1" si="44">(BK36/G36)^(1/4)-1</f>
        <v>0.19198564331280221</v>
      </c>
      <c r="BN36" t="inlineStr">
        <is>
          <t>2026-06-10</t>
        </is>
      </c>
      <c r="BO36" t="inlineStr">
        <is>
          <t>11/05/2026</t>
        </is>
      </c>
      <c r="BP36" t="inlineStr">
        <is>
          <t>27/07/2026</t>
        </is>
      </c>
    </row>
    <row r="37" spans="1:68" ht="15" customHeight="1" ns3:dyDescent="0.25">
      <c r="A37" s="86" t="e" vm="34">
        <v>#VALUE!</v>
      </c>
      <c r="B37" s="10" t="str">
        <f t="array" aca="1" ref="B37" ca="1">_FV(A37,"Símbolo bursátil",TRUE())</f>
        <v>CBAV</v>
      </c>
      <c r="C37" s="88" t="s">
        <v>139</v>
      </c>
      <c r="D37" s="88" t="s">
        <v>77</v>
      </c>
      <c r="E37" s="11" t="str">
        <f t="array" aca="1" ref="E37" ca="1">_FV(A37,"Abreviatura de intercambio",TRUE())</f>
        <v>BMEX</v>
      </c>
      <c r="F37" s="11" t="str">
        <f t="array" aca="1" ref="F37" ca="1">_FV(A37,"Moneda")</f>
        <v>EUR</v>
      </c>
      <c r="G37" s="12">
        <f t="array" aca="1" ref="G37" ca="1">_FV(A37,"Precio")</f>
        <v>55.2</v>
      </c>
      <c r="H37" s="13">
        <f t="array" aca="1" ref="H37" ca="1">_FV(A37,"Acciones en circulación",TRUE())/1000000</f>
        <v>16.307580000000002</v>
      </c>
      <c r="I37" s="14">
        <f t="shared" ca="1" si="25"/>
        <v>900.17841600000008</v>
      </c>
      <c r="J37" s="91">
        <v>2</v>
      </c>
      <c r="K37" s="91">
        <v>5</v>
      </c>
      <c r="L37" s="91">
        <v>2</v>
      </c>
      <c r="M37" s="91">
        <v>0</v>
      </c>
      <c r="N37" s="91">
        <v>-1</v>
      </c>
      <c r="O37" s="91">
        <v>0</v>
      </c>
      <c r="P37" s="91">
        <v>0</v>
      </c>
      <c r="Q37" s="91">
        <v>1</v>
      </c>
      <c r="R37" s="26">
        <f t="shared" si="28"/>
        <v>9</v>
      </c>
      <c r="S37" s="16">
        <f t="shared" si="29"/>
        <v>5.29</v>
      </c>
      <c r="T37" s="91">
        <v>12</v>
      </c>
      <c r="U37" s="91">
        <v>12</v>
      </c>
      <c r="V37" s="91">
        <v>12</v>
      </c>
      <c r="W37" s="91">
        <v>8</v>
      </c>
      <c r="X37" s="91">
        <v>8</v>
      </c>
      <c r="Y37" s="91">
        <v>10</v>
      </c>
      <c r="Z37" s="91">
        <v>8</v>
      </c>
      <c r="AA37" s="91">
        <v>-9</v>
      </c>
      <c r="AB37" s="26">
        <f t="shared" si="30"/>
        <v>61</v>
      </c>
      <c r="AC37" s="16">
        <f t="shared" si="31"/>
        <v>6.1</v>
      </c>
      <c r="AD37" s="91">
        <v>12</v>
      </c>
      <c r="AE37" s="91">
        <v>-2</v>
      </c>
      <c r="AF37" s="91">
        <v>6</v>
      </c>
      <c r="AG37" s="91">
        <v>11</v>
      </c>
      <c r="AH37" s="91">
        <v>3</v>
      </c>
      <c r="AI37" s="91">
        <v>7</v>
      </c>
      <c r="AJ37" s="91">
        <v>10</v>
      </c>
      <c r="AK37" s="91">
        <v>-4</v>
      </c>
      <c r="AL37" s="26">
        <f t="shared" si="32"/>
        <v>43</v>
      </c>
      <c r="AM37" s="16">
        <f t="shared" si="33"/>
        <v>6.14</v>
      </c>
      <c r="AN37" s="17">
        <f t="shared" si="34"/>
        <v>5.84</v>
      </c>
      <c r="AO37" s="18" t="s">
        <v>90</v>
      </c>
      <c r="AP37" s="19">
        <v>45</v>
      </c>
      <c r="AQ37" s="19">
        <v>70</v>
      </c>
      <c r="AR37" s="19">
        <f ca="1">I37-AP37+AQ37</f>
        <v>925.17841600000008</v>
      </c>
      <c r="AS37" s="19">
        <v>42</v>
      </c>
      <c r="AT37" s="19">
        <v>35</v>
      </c>
      <c r="AU37" s="19">
        <v>62</v>
      </c>
      <c r="AV37" s="19">
        <v>290</v>
      </c>
      <c r="AW37" s="20">
        <f t="shared" ca="1" si="35"/>
        <v>22.028057523809526</v>
      </c>
      <c r="AX37" s="20">
        <f t="shared" ca="1" si="36"/>
        <v>14.922232516129034</v>
      </c>
      <c r="AY37" s="20">
        <f t="shared" ca="1" si="37"/>
        <v>3.1902704000000002</v>
      </c>
      <c r="AZ37" s="21">
        <v>220</v>
      </c>
      <c r="BA37" s="22">
        <f t="shared" si="38"/>
        <v>0.1206896551724138</v>
      </c>
      <c r="BB37" s="22">
        <f t="shared" si="39"/>
        <v>1.3181818181818181</v>
      </c>
      <c r="BC37" s="23">
        <f t="shared" si="40"/>
        <v>0.15909090909090909</v>
      </c>
      <c r="BD37" t="s">
        <v>208</v>
      </c>
      <c r="BE37" s="23">
        <f t="shared" si="41"/>
        <v>5.9223841048812176E-2</v>
      </c>
      <c r="BF37" t="s">
        <v>209</v>
      </c>
      <c r="BG37" s="23">
        <f t="shared" si="42"/>
        <v>0.16978946918768023</v>
      </c>
      <c r="BH37" s="24">
        <v>12</v>
      </c>
      <c r="BI37" s="24">
        <v>16.5</v>
      </c>
      <c r="BJ37" s="25">
        <f ca="1">(BD37*BH37+$AP37-$AQ37)/$H37</f>
        <v>39.674801534010562</v>
      </c>
      <c r="BK37" s="25">
        <f ca="1">(BF37*BI37+$AP37-$AQ37)/$H37</f>
        <v>91.552517295637969</v>
      </c>
      <c r="BL37" s="23">
        <f t="shared" ca="1" si="43"/>
        <v>-6.3915321239418565E-2</v>
      </c>
      <c r="BM37" s="23">
        <f t="shared" ca="1" si="44"/>
        <v>0.13483521283755318</v>
      </c>
      <c r="BN37" s="93" t="s">
        <v>81</v>
      </c>
      <c r="BO37" s="94" t="s">
        <v>118</v>
      </c>
      <c r="BP37" s="93" t="s">
        <v>171</v>
      </c>
    </row>
    <row r="38" spans="1:68" ht="15" customHeight="1" ns3:dyDescent="0.25">
      <c r="A38" s="86" t="e" vm="35">
        <v>#VALUE!</v>
      </c>
      <c r="B38" s="10" t="str">
        <f t="array" aca="1" ref="B38" ca="1">_FV(A38,"Símbolo bursátil",TRUE())</f>
        <v>NVDA</v>
      </c>
      <c r="C38" s="88" t="s">
        <v>210</v>
      </c>
      <c r="D38" s="88" t="s">
        <v>115</v>
      </c>
      <c r="E38" s="11" t="str">
        <f t="array" aca="1" ref="E38" ca="1">_FV(A38,"Abreviatura de intercambio",TRUE())</f>
        <v>XNAS</v>
      </c>
      <c r="F38" s="11" t="str">
        <f t="array" aca="1" ref="F38" ca="1">_FV(A38,"Moneda")</f>
        <v>USD</v>
      </c>
      <c r="G38" s="12">
        <f t="array" aca="1" ref="G38" ca="1">_FV(A38,"Precio")</f>
        <v>221.90010000000001</v>
      </c>
      <c r="H38" s="13">
        <f t="array" aca="1" ref="H38" ca="1">_FV(A38,"Acciones en circulación",TRUE())/1000000</f>
        <v>24220.53</v>
      </c>
      <c r="I38" s="14">
        <f t="shared" ca="1" si="25"/>
        <v>5374538.0290529998</v>
      </c>
      <c r="J38" s="90">
        <v>1</v>
      </c>
      <c r="K38" s="90">
        <v>7</v>
      </c>
      <c r="L38" s="90">
        <v>2</v>
      </c>
      <c r="M38" s="90">
        <v>1</v>
      </c>
      <c r="N38" s="90">
        <v>-2</v>
      </c>
      <c r="O38" s="90">
        <v>0</v>
      </c>
      <c r="P38" s="90">
        <v>1</v>
      </c>
      <c r="Q38" s="90">
        <v>0</v>
      </c>
      <c r="R38" s="15">
        <f t="shared" si="28"/>
        <v>10</v>
      </c>
      <c r="S38" s="16">
        <f t="shared" si="29"/>
        <v>5.88</v>
      </c>
      <c r="T38" s="90">
        <v>17</v>
      </c>
      <c r="U38" s="90">
        <v>17</v>
      </c>
      <c r="V38" s="90">
        <v>15</v>
      </c>
      <c r="W38" s="90">
        <v>6</v>
      </c>
      <c r="X38" s="90">
        <v>6</v>
      </c>
      <c r="Y38" s="90">
        <v>12</v>
      </c>
      <c r="Z38" s="90">
        <v>5</v>
      </c>
      <c r="AA38" s="90">
        <v>-20</v>
      </c>
      <c r="AB38" s="15">
        <f t="shared" si="30"/>
        <v>58</v>
      </c>
      <c r="AC38" s="16">
        <f t="shared" si="31"/>
        <v>5.8</v>
      </c>
      <c r="AD38" s="90">
        <v>11</v>
      </c>
      <c r="AE38" s="90">
        <v>-5</v>
      </c>
      <c r="AF38" s="90">
        <v>6</v>
      </c>
      <c r="AG38" s="90">
        <v>11</v>
      </c>
      <c r="AH38" s="90">
        <v>4</v>
      </c>
      <c r="AI38" s="90">
        <v>8</v>
      </c>
      <c r="AJ38" s="90">
        <v>12</v>
      </c>
      <c r="AK38" s="90">
        <v>-8</v>
      </c>
      <c r="AL38" s="15">
        <f t="shared" si="32"/>
        <v>39</v>
      </c>
      <c r="AM38" s="16">
        <f t="shared" si="33"/>
        <v>5.57</v>
      </c>
      <c r="AN38" s="17">
        <f t="shared" si="34"/>
        <v>5.75</v>
      </c>
      <c r="AO38" s="18" t="s">
        <v>78</v>
      </c>
      <c r="AP38" s="19">
        <v>40000</v>
      </c>
      <c r="AQ38" s="19">
        <v>10000</v>
      </c>
      <c r="AR38" s="19">
        <f ca="1">I38-AP38+AQ38</f>
        <v>5344538.0290529998</v>
      </c>
      <c r="AS38" s="19">
        <v>60000</v>
      </c>
      <c r="AT38" s="19">
        <v>75000</v>
      </c>
      <c r="AU38" s="19">
        <v>90000</v>
      </c>
      <c r="AV38" s="19">
        <v>130000</v>
      </c>
      <c r="AW38" s="20">
        <f t="shared" ca="1" si="35"/>
        <v>89.075633817549999</v>
      </c>
      <c r="AX38" s="20">
        <f t="shared" ca="1" si="36"/>
        <v>59.383755878366664</v>
      </c>
      <c r="AY38" s="20">
        <f t="shared" ca="1" si="37"/>
        <v>41.111830992715383</v>
      </c>
      <c r="AZ38" s="21">
        <v>90000</v>
      </c>
      <c r="BA38" s="22">
        <f t="shared" si="38"/>
        <v>0.57692307692307687</v>
      </c>
      <c r="BB38" s="22">
        <f t="shared" si="39"/>
        <v>1.4444444444444444</v>
      </c>
      <c r="BC38" s="23">
        <f t="shared" si="40"/>
        <v>0.83333333333333326</v>
      </c>
      <c r="BD38" t="s">
        <v>211</v>
      </c>
      <c r="BE38" s="23">
        <f t="shared" si="41"/>
        <v>8.0000772740678627E-2</v>
      </c>
      <c r="BF38" t="s">
        <v>212</v>
      </c>
      <c r="BG38" s="23">
        <f t="shared" si="42"/>
        <v>0.32000015965084327</v>
      </c>
      <c r="BH38" s="24">
        <v>20</v>
      </c>
      <c r="BI38" s="24">
        <v>30</v>
      </c>
      <c r="BJ38" s="25">
        <f ca="1">(BD38*BH38+$AP38-$AQ38)/$H38</f>
        <v>74.036365017611089</v>
      </c>
      <c r="BK38" s="25">
        <f ca="1">(BF38*BI38+$AP38-$AQ38)/$H38</f>
        <v>299.06199410169802</v>
      </c>
      <c r="BL38" s="23">
        <f t="shared" ca="1" si="43"/>
        <v>-0.19710728387257681</v>
      </c>
      <c r="BM38" s="23">
        <f t="shared" ca="1" si="44"/>
        <v>7.7459442978258242E-2</v>
      </c>
      <c r="BN38" t="inlineStr">
        <is>
          <t>2026-06-10</t>
        </is>
      </c>
      <c r="BO38" t="inlineStr">
        <is>
          <t>20/05/2026</t>
        </is>
      </c>
      <c r="BP38" t="inlineStr">
        <is>
          <t>26/08/2026</t>
        </is>
      </c>
    </row>
    <row r="39" spans="1:68" ht="15" customHeight="1" ns3:dyDescent="0.25">
      <c r="A39" s="86" t="e" vm="36">
        <v>#VALUE!</v>
      </c>
      <c r="B39" s="10" t="str">
        <f t="array" aca="1" ref="B39" ca="1">_FV(A39,"Símbolo bursátil",TRUE())</f>
        <v>COR</v>
      </c>
      <c r="C39" s="88" t="s">
        <v>215</v>
      </c>
      <c r="D39" s="88" t="s">
        <v>100</v>
      </c>
      <c r="E39" s="11" t="str">
        <f t="array" aca="1" ref="E39" ca="1">_FV(A39,"Abreviatura de intercambio",TRUE())</f>
        <v>XLIS</v>
      </c>
      <c r="F39" s="11" t="str">
        <f t="array" aca="1" ref="F39" ca="1">_FV(A39,"Moneda")</f>
        <v>EUR</v>
      </c>
      <c r="G39" s="12">
        <f t="array" aca="1" ref="G39" ca="1">_FV(A39,"Precio")</f>
        <v>6.91</v>
      </c>
      <c r="H39" s="13">
        <f t="array" aca="1" ref="H39" ca="1">_FV(A39,"Acciones en circulación",TRUE())/1000000</f>
        <v>133</v>
      </c>
      <c r="I39" s="14">
        <f t="shared" ca="1" si="25"/>
        <v>919.03</v>
      </c>
      <c r="J39" s="91">
        <v>1</v>
      </c>
      <c r="K39" s="91">
        <v>6</v>
      </c>
      <c r="L39" s="91">
        <v>1</v>
      </c>
      <c r="M39" s="91">
        <v>0</v>
      </c>
      <c r="N39" s="91">
        <v>-1</v>
      </c>
      <c r="O39" s="91">
        <v>0</v>
      </c>
      <c r="P39" s="91">
        <v>0</v>
      </c>
      <c r="Q39" s="91">
        <v>1</v>
      </c>
      <c r="R39" s="26">
        <f t="shared" si="28"/>
        <v>8</v>
      </c>
      <c r="S39" s="16">
        <f t="shared" si="29"/>
        <v>4.71</v>
      </c>
      <c r="T39" s="91">
        <v>11</v>
      </c>
      <c r="U39" s="91">
        <v>14</v>
      </c>
      <c r="V39" s="91">
        <v>8</v>
      </c>
      <c r="W39" s="91">
        <v>8</v>
      </c>
      <c r="X39" s="91">
        <v>7</v>
      </c>
      <c r="Y39" s="91">
        <v>10</v>
      </c>
      <c r="Z39" s="91">
        <v>9</v>
      </c>
      <c r="AA39" s="91">
        <v>-9</v>
      </c>
      <c r="AB39" s="26">
        <f t="shared" si="30"/>
        <v>58</v>
      </c>
      <c r="AC39" s="16">
        <f t="shared" si="31"/>
        <v>5.8</v>
      </c>
      <c r="AD39" s="91">
        <v>12</v>
      </c>
      <c r="AE39" s="91">
        <v>-2</v>
      </c>
      <c r="AF39" s="91">
        <v>5</v>
      </c>
      <c r="AG39" s="91">
        <v>9</v>
      </c>
      <c r="AH39" s="91">
        <v>2</v>
      </c>
      <c r="AI39" s="91">
        <v>8</v>
      </c>
      <c r="AJ39" s="91">
        <v>12</v>
      </c>
      <c r="AK39" s="91">
        <v>-4</v>
      </c>
      <c r="AL39" s="26">
        <f t="shared" si="32"/>
        <v>42</v>
      </c>
      <c r="AM39" s="16">
        <f t="shared" si="33"/>
        <v>6</v>
      </c>
      <c r="AN39" s="17">
        <f t="shared" si="34"/>
        <v>5.5</v>
      </c>
      <c r="AO39" s="18" t="s">
        <v>90</v>
      </c>
      <c r="AP39" s="19">
        <v>40</v>
      </c>
      <c r="AQ39" s="19">
        <v>140</v>
      </c>
      <c r="AR39" s="19">
        <f ca="1">I39-AP39+AQ39</f>
        <v>1019.03</v>
      </c>
      <c r="AS39" s="19">
        <v>80</v>
      </c>
      <c r="AT39" s="19">
        <v>100</v>
      </c>
      <c r="AU39" s="19">
        <v>170</v>
      </c>
      <c r="AV39" s="19">
        <v>900</v>
      </c>
      <c r="AW39" s="20">
        <f t="shared" ca="1" si="35"/>
        <v>12.737874999999999</v>
      </c>
      <c r="AX39" s="20">
        <f t="shared" ca="1" si="36"/>
        <v>5.9942941176470583</v>
      </c>
      <c r="AY39" s="20">
        <f t="shared" ca="1" si="37"/>
        <v>1.1322555555555556</v>
      </c>
      <c r="AZ39" s="21">
        <v>750</v>
      </c>
      <c r="BA39" s="22">
        <f t="shared" si="38"/>
        <v>0.1111111111111111</v>
      </c>
      <c r="BB39" s="22">
        <f t="shared" si="39"/>
        <v>1.2</v>
      </c>
      <c r="BC39" s="23">
        <f t="shared" si="40"/>
        <v>0.13333333333333333</v>
      </c>
      <c r="BD39" t="s">
        <v>216</v>
      </c>
      <c r="BE39" s="23">
        <f t="shared" si="41"/>
        <v>0</v>
      </c>
      <c r="BF39" t="s">
        <v>217</v>
      </c>
      <c r="BG39" s="23">
        <f t="shared" si="42"/>
        <v>8.9840705850404712E-2</v>
      </c>
      <c r="BH39" s="24">
        <v>8.5</v>
      </c>
      <c r="BI39" s="24">
        <v>12</v>
      </c>
      <c r="BJ39" s="25">
        <f ca="1">(BD39*BH39+$AP39-$AQ39)/$H39</f>
        <v>4.3609022556390977</v>
      </c>
      <c r="BK39" s="25">
        <f ca="1">(BF39*BI39+$AP39-$AQ39)/$H39</f>
        <v>10.345864661654135</v>
      </c>
      <c r="BL39" s="23">
        <f t="shared" ca="1" si="43"/>
        <v>-8.794787185922881E-2</v>
      </c>
      <c r="BM39" s="23">
        <f t="shared" ca="1" si="44"/>
        <v>0.10617079067082402</v>
      </c>
      <c r="BN39" s="93" t="s">
        <v>81</v>
      </c>
      <c r="BO39" s="94" t="s">
        <v>218</v>
      </c>
      <c r="BP39" s="93" t="s">
        <v>180</v>
      </c>
    </row>
    <row r="40" spans="1:68" ht="15" customHeight="1" ns3:dyDescent="0.25">
      <c r="A40" s="86" t="e" vm="37">
        <v>#VALUE!</v>
      </c>
      <c r="B40" s="10" t="str">
        <f t="array" aca="1" ref="B40" ca="1">_FV(A40,"Símbolo bursátil",TRUE())</f>
        <v>TSM</v>
      </c>
      <c r="C40" s="88" t="s">
        <v>210</v>
      </c>
      <c r="D40" s="88" t="s">
        <v>77</v>
      </c>
      <c r="E40" s="11" t="str">
        <f t="array" aca="1" ref="E40" ca="1">_FV(A40,"Abreviatura de intercambio",TRUE())</f>
        <v>XNYS</v>
      </c>
      <c r="F40" s="11" t="str">
        <f t="array" aca="1" ref="F40" ca="1">_FV(A40,"Moneda")</f>
        <v>USD</v>
      </c>
      <c r="G40" s="12">
        <f t="array" aca="1" ref="G40" ca="1">_FV(A40,"Precio")</f>
        <v>394.36</v>
      </c>
      <c r="H40" s="13">
        <f t="array" aca="1" ref="H40" ca="1">_FV(A40,"Acciones en circulación",TRUE())/1000000</f>
        <v>5186.5050000000001</v>
      </c>
      <c r="I40" s="14">
        <f t="shared" ca="1" si="25"/>
        <v>2045350.1118000001</v>
      </c>
      <c r="J40" s="90">
        <v>2</v>
      </c>
      <c r="K40" s="90">
        <v>7</v>
      </c>
      <c r="L40" s="90">
        <v>1</v>
      </c>
      <c r="M40" s="90">
        <v>1</v>
      </c>
      <c r="N40" s="90">
        <v>-2</v>
      </c>
      <c r="O40" s="90">
        <v>0</v>
      </c>
      <c r="P40" s="90">
        <v>1</v>
      </c>
      <c r="Q40" s="90">
        <v>0</v>
      </c>
      <c r="R40" s="15">
        <f t="shared" si="28"/>
        <v>10</v>
      </c>
      <c r="S40" s="16">
        <f t="shared" si="29"/>
        <v>5.88</v>
      </c>
      <c r="T40" s="90">
        <v>15</v>
      </c>
      <c r="U40" s="90">
        <v>18</v>
      </c>
      <c r="V40" s="90">
        <v>13</v>
      </c>
      <c r="W40" s="90">
        <v>6</v>
      </c>
      <c r="X40" s="90">
        <v>7</v>
      </c>
      <c r="Y40" s="90">
        <v>12</v>
      </c>
      <c r="Z40" s="90">
        <v>6</v>
      </c>
      <c r="AA40" s="90">
        <v>-18</v>
      </c>
      <c r="AB40" s="15">
        <f t="shared" si="30"/>
        <v>59</v>
      </c>
      <c r="AC40" s="16">
        <f t="shared" si="31"/>
        <v>5.9</v>
      </c>
      <c r="AD40" s="90">
        <v>11</v>
      </c>
      <c r="AE40" s="90">
        <v>-8</v>
      </c>
      <c r="AF40" s="90">
        <v>2</v>
      </c>
      <c r="AG40" s="90">
        <v>11</v>
      </c>
      <c r="AH40" s="90">
        <v>4</v>
      </c>
      <c r="AI40" s="90">
        <v>7</v>
      </c>
      <c r="AJ40" s="90">
        <v>13</v>
      </c>
      <c r="AK40" s="90">
        <v>-10</v>
      </c>
      <c r="AL40" s="15">
        <f t="shared" si="32"/>
        <v>30</v>
      </c>
      <c r="AM40" s="16">
        <f t="shared" si="33"/>
        <v>4.29</v>
      </c>
      <c r="AN40" s="17">
        <f t="shared" si="34"/>
        <v>5.36</v>
      </c>
      <c r="AO40" s="18" t="s">
        <v>78</v>
      </c>
      <c r="AP40" s="19">
        <v>60000</v>
      </c>
      <c r="AQ40" s="19">
        <v>30000</v>
      </c>
      <c r="AR40" s="19">
        <f ca="1">I40-AP40+AQ40</f>
        <v>2015350.1118000001</v>
      </c>
      <c r="AS40" s="19">
        <v>35000</v>
      </c>
      <c r="AT40" s="19">
        <v>50000</v>
      </c>
      <c r="AU40" s="19">
        <v>75000</v>
      </c>
      <c r="AV40" s="19">
        <v>122400</v>
      </c>
      <c r="AW40" s="20">
        <f t="shared" ca="1" si="35"/>
        <v>57.581431765714285</v>
      </c>
      <c r="AX40" s="20">
        <f t="shared" ca="1" si="36"/>
        <v>26.871334824000002</v>
      </c>
      <c r="AY40" s="20">
        <f t="shared" ca="1" si="37"/>
        <v>16.465278691176472</v>
      </c>
      <c r="AZ40" s="21">
        <v>120000</v>
      </c>
      <c r="BA40" s="22">
        <f t="shared" si="38"/>
        <v>0.40849673202614378</v>
      </c>
      <c r="BB40" s="22">
        <f t="shared" si="39"/>
        <v>1.02</v>
      </c>
      <c r="BC40" s="23">
        <f t="shared" si="40"/>
        <v>0.41666666666666669</v>
      </c>
      <c r="BD40" t="s">
        <v>219</v>
      </c>
      <c r="BE40" s="23">
        <f t="shared" si="41"/>
        <v>7.9997972620447833E-2</v>
      </c>
      <c r="BF40" t="s">
        <v>220</v>
      </c>
      <c r="BG40" s="23">
        <f t="shared" si="42"/>
        <v>0.22000055273897212</v>
      </c>
      <c r="BH40" s="24">
        <v>14</v>
      </c>
      <c r="BI40" s="24">
        <v>22</v>
      </c>
      <c r="BJ40" s="25">
        <f ca="1">(BD40*BH40+$AP40-$AQ40)/$H40</f>
        <v>144.5991086483094</v>
      </c>
      <c r="BK40" s="25">
        <f ca="1">(BF40*BI40+$AP40-$AQ40)/$H40</f>
        <v>407.03518072382076</v>
      </c>
      <c r="BL40" s="23">
        <f t="shared" ca="1" si="43"/>
        <v>-0.18180927585216144</v>
      </c>
      <c r="BM40" s="23">
        <f t="shared" ca="1" si="44"/>
        <v>7.9402133942283459E-3</v>
      </c>
      <c r="BN40" s="93" t="s">
        <v>81</v>
      </c>
      <c r="BO40" s="93" t="s">
        <v>221</v>
      </c>
      <c r="BP40" s="93" t="s">
        <v>194</v>
      </c>
    </row>
    <row r="41" spans="1:68" ht="15" customHeight="1" ns3:dyDescent="0.25">
      <c r="A41" s="86" t="e" vm="38">
        <v>#VALUE!</v>
      </c>
      <c r="B41" s="10" t="str">
        <f t="array" aca="1" ref="B41" ca="1">_FV(A41,"Símbolo bursátil",TRUE())</f>
        <v>SPOT</v>
      </c>
      <c r="C41" s="88" t="s">
        <v>131</v>
      </c>
      <c r="D41" s="88" t="s">
        <v>115</v>
      </c>
      <c r="E41" s="11" t="str">
        <f t="array" aca="1" ref="E41" ca="1">_FV(A41,"Abreviatura de intercambio",TRUE())</f>
        <v>XNYS</v>
      </c>
      <c r="F41" s="11" t="str">
        <f t="array" aca="1" ref="F41" ca="1">_FV(A41,"Moneda")</f>
        <v>USD</v>
      </c>
      <c r="G41" s="12">
        <f t="array" aca="1" ref="G41" ca="1">_FV(A41,"Precio")</f>
        <v>438.24</v>
      </c>
      <c r="H41" s="13">
        <f t="array" aca="1" ref="H41" ca="1">_FV(A41,"Acciones en circulación",TRUE())/1000000</f>
        <v>209.7413</v>
      </c>
      <c r="I41" s="14">
        <f t="shared" ca="1" si="25"/>
        <v>91917.027312000006</v>
      </c>
      <c r="J41" s="91">
        <v>1</v>
      </c>
      <c r="K41" s="91">
        <v>4</v>
      </c>
      <c r="L41" s="91">
        <v>2</v>
      </c>
      <c r="M41" s="91">
        <v>0</v>
      </c>
      <c r="N41" s="91">
        <v>0</v>
      </c>
      <c r="O41" s="91">
        <v>0</v>
      </c>
      <c r="P41" s="91">
        <v>1</v>
      </c>
      <c r="Q41" s="91">
        <v>1</v>
      </c>
      <c r="R41" s="26">
        <f t="shared" si="28"/>
        <v>9</v>
      </c>
      <c r="S41" s="16">
        <f t="shared" si="29"/>
        <v>5.29</v>
      </c>
      <c r="T41" s="91">
        <v>12</v>
      </c>
      <c r="U41" s="91">
        <v>11</v>
      </c>
      <c r="V41" s="91">
        <v>12</v>
      </c>
      <c r="W41" s="91">
        <v>9</v>
      </c>
      <c r="X41" s="91">
        <v>7</v>
      </c>
      <c r="Y41" s="91">
        <v>11</v>
      </c>
      <c r="Z41" s="91">
        <v>8</v>
      </c>
      <c r="AA41" s="91">
        <v>-12</v>
      </c>
      <c r="AB41" s="26">
        <f t="shared" si="30"/>
        <v>58</v>
      </c>
      <c r="AC41" s="16">
        <f t="shared" si="31"/>
        <v>5.8</v>
      </c>
      <c r="AD41" s="91">
        <v>10</v>
      </c>
      <c r="AE41" s="91">
        <v>-3</v>
      </c>
      <c r="AF41" s="91">
        <v>7</v>
      </c>
      <c r="AG41" s="91">
        <v>9</v>
      </c>
      <c r="AH41" s="91">
        <v>2</v>
      </c>
      <c r="AI41" s="91">
        <v>8</v>
      </c>
      <c r="AJ41" s="91">
        <v>9</v>
      </c>
      <c r="AK41" s="91">
        <v>-5</v>
      </c>
      <c r="AL41" s="26">
        <f t="shared" si="32"/>
        <v>37</v>
      </c>
      <c r="AM41" s="16">
        <f t="shared" si="33"/>
        <v>5.29</v>
      </c>
      <c r="AN41" s="17">
        <f t="shared" si="34"/>
        <v>5.46</v>
      </c>
      <c r="AO41" s="18" t="s">
        <v>90</v>
      </c>
      <c r="AP41" s="19">
        <v>5000</v>
      </c>
      <c r="AQ41" s="19">
        <v>10000</v>
      </c>
      <c r="AR41" s="19">
        <f ca="1">I41*'Framework Notes'!E8-AP41+AQ41</f>
        <v>84214.094137481603</v>
      </c>
      <c r="AS41" s="19">
        <v>4000</v>
      </c>
      <c r="AT41" s="19">
        <v>4500</v>
      </c>
      <c r="AU41" s="19">
        <v>7500</v>
      </c>
      <c r="AV41" s="19">
        <v>30000</v>
      </c>
      <c r="AW41" s="20">
        <f t="shared" ca="1" si="35"/>
        <v>21.053523534370402</v>
      </c>
      <c r="AX41" s="20">
        <f t="shared" ca="1" si="36"/>
        <v>11.228545884997548</v>
      </c>
      <c r="AY41" s="20">
        <f t="shared" ca="1" si="37"/>
        <v>2.8071364712493869</v>
      </c>
      <c r="AZ41" s="21">
        <v>25000</v>
      </c>
      <c r="BA41" s="22">
        <f t="shared" si="38"/>
        <v>0.15</v>
      </c>
      <c r="BB41" s="22">
        <f t="shared" si="39"/>
        <v>1.2</v>
      </c>
      <c r="BC41" s="23">
        <f t="shared" si="40"/>
        <v>0.18</v>
      </c>
      <c r="BD41" t="s">
        <v>222</v>
      </c>
      <c r="BE41" s="23">
        <f t="shared" si="41"/>
        <v>2.9995722023716587E-2</v>
      </c>
      <c r="BF41" t="s">
        <v>223</v>
      </c>
      <c r="BG41" s="23">
        <f t="shared" si="42"/>
        <v>9.9998633969696549E-2</v>
      </c>
      <c r="BH41" s="24">
        <v>18</v>
      </c>
      <c r="BI41" s="24">
        <v>25</v>
      </c>
      <c r="BJ41" s="25">
        <f ca="1">((BD41*BH41+$AP41-$AQ41)/$H41)/'Framework Notes'!E8</f>
        <v>434.1012822834162</v>
      </c>
      <c r="BK41" s="25">
        <f ca="1">((BF41*BI41+$AP41-$AQ41)/$H41)/'Framework Notes'!E8</f>
        <v>863.32303291014057</v>
      </c>
      <c r="BL41" s="23">
        <f t="shared" ca="1" si="43"/>
        <v>-1.8959662457834758E-3</v>
      </c>
      <c r="BM41" s="23">
        <f t="shared" ca="1" si="44"/>
        <v>0.18471893092662084</v>
      </c>
      <c r="BN41" s="93" t="s">
        <v>81</v>
      </c>
      <c r="BO41" s="93" t="s">
        <v>183</v>
      </c>
      <c r="BP41" s="93" t="s">
        <v>147</v>
      </c>
    </row>
    <row r="42" spans="1:68" ht="15" customHeight="1" ns3:dyDescent="0.25">
      <c r="A42" s="86" t="e" vm="39">
        <v>#VALUE!</v>
      </c>
      <c r="B42" s="10" t="str">
        <f t="array" aca="1" ref="B42" ca="1">_FV(A42,"Símbolo bursátil",TRUE())</f>
        <v>PRY</v>
      </c>
      <c r="C42" s="88" t="s">
        <v>127</v>
      </c>
      <c r="D42" s="88" t="s">
        <v>77</v>
      </c>
      <c r="E42" s="11" t="str">
        <f t="array" aca="1" ref="E42" ca="1">_FV(A42,"Abreviatura de intercambio",TRUE())</f>
        <v>XMIL</v>
      </c>
      <c r="F42" s="11" t="str">
        <f t="array" aca="1" ref="F42" ca="1">_FV(A42,"Moneda")</f>
        <v>EUR</v>
      </c>
      <c r="G42" s="12">
        <f t="array" aca="1" ref="G42" ca="1">_FV(A42,"Precio")</f>
        <v>140.5</v>
      </c>
      <c r="H42" s="13">
        <f t="array" aca="1" ref="H42" ca="1">_FV(A42,"Acciones en circulación",TRUE())/1000000</f>
        <v>296.40379999999999</v>
      </c>
      <c r="I42" s="14">
        <f t="shared" ca="1" si="25"/>
        <v>41644.733899999999</v>
      </c>
      <c r="J42" s="90">
        <v>1</v>
      </c>
      <c r="K42" s="90">
        <v>5</v>
      </c>
      <c r="L42" s="90">
        <v>1</v>
      </c>
      <c r="M42" s="90">
        <v>0</v>
      </c>
      <c r="N42" s="90">
        <v>0</v>
      </c>
      <c r="O42" s="90">
        <v>0</v>
      </c>
      <c r="P42" s="90">
        <v>0</v>
      </c>
      <c r="Q42" s="90">
        <v>0</v>
      </c>
      <c r="R42" s="15">
        <f t="shared" si="28"/>
        <v>7</v>
      </c>
      <c r="S42" s="16">
        <f t="shared" si="29"/>
        <v>4.12</v>
      </c>
      <c r="T42" s="90">
        <v>12</v>
      </c>
      <c r="U42" s="90">
        <v>13</v>
      </c>
      <c r="V42" s="90">
        <v>13</v>
      </c>
      <c r="W42" s="90">
        <v>9</v>
      </c>
      <c r="X42" s="90">
        <v>7</v>
      </c>
      <c r="Y42" s="90">
        <v>10</v>
      </c>
      <c r="Z42" s="90">
        <v>4</v>
      </c>
      <c r="AA42" s="90">
        <v>-9</v>
      </c>
      <c r="AB42" s="15">
        <f t="shared" si="30"/>
        <v>59</v>
      </c>
      <c r="AC42" s="16">
        <f t="shared" si="31"/>
        <v>5.9</v>
      </c>
      <c r="AD42" s="90">
        <v>12</v>
      </c>
      <c r="AE42" s="90">
        <v>-1</v>
      </c>
      <c r="AF42" s="90">
        <v>4</v>
      </c>
      <c r="AG42" s="90">
        <v>10</v>
      </c>
      <c r="AH42" s="90">
        <v>2</v>
      </c>
      <c r="AI42" s="90">
        <v>7</v>
      </c>
      <c r="AJ42" s="90">
        <v>10</v>
      </c>
      <c r="AK42" s="90">
        <v>-4</v>
      </c>
      <c r="AL42" s="15">
        <f t="shared" si="32"/>
        <v>40</v>
      </c>
      <c r="AM42" s="16">
        <f t="shared" si="33"/>
        <v>5.71</v>
      </c>
      <c r="AN42" s="17">
        <f t="shared" si="34"/>
        <v>5.24</v>
      </c>
      <c r="AO42" s="18" t="s">
        <v>90</v>
      </c>
      <c r="AP42" s="19">
        <v>1800</v>
      </c>
      <c r="AQ42" s="19">
        <v>6000</v>
      </c>
      <c r="AR42" s="19">
        <f t="shared" ref="AR42:AR48" ca="1" si="45">I42-AP42+AQ42</f>
        <v>45844.733899999999</v>
      </c>
      <c r="AS42" s="19">
        <v>900</v>
      </c>
      <c r="AT42" s="19">
        <v>1050</v>
      </c>
      <c r="AU42" s="19">
        <v>1950</v>
      </c>
      <c r="AV42" s="19">
        <v>17500</v>
      </c>
      <c r="AW42" s="20">
        <f t="shared" ca="1" si="35"/>
        <v>50.938593222222224</v>
      </c>
      <c r="AX42" s="20">
        <f t="shared" ca="1" si="36"/>
        <v>23.51011994871795</v>
      </c>
      <c r="AY42" s="20">
        <f t="shared" ca="1" si="37"/>
        <v>2.6196990800000002</v>
      </c>
      <c r="AZ42" s="21">
        <v>9500</v>
      </c>
      <c r="BA42" s="22">
        <f t="shared" si="38"/>
        <v>0.06</v>
      </c>
      <c r="BB42" s="22">
        <f t="shared" si="39"/>
        <v>1.8421052631578947</v>
      </c>
      <c r="BC42" s="23">
        <f t="shared" si="40"/>
        <v>0.11052631578947368</v>
      </c>
      <c r="BD42" t="s">
        <v>224</v>
      </c>
      <c r="BE42" s="23">
        <f t="shared" si="41"/>
        <v>5.9929050622556934E-2</v>
      </c>
      <c r="BF42" t="s">
        <v>225</v>
      </c>
      <c r="BG42" s="23">
        <f t="shared" si="42"/>
        <v>0.18000206531229179</v>
      </c>
      <c r="BH42" s="24">
        <v>18</v>
      </c>
      <c r="BI42" s="24">
        <v>22.5</v>
      </c>
      <c r="BJ42" s="25">
        <f t="shared" ref="BJ42:BJ48" ca="1" si="46">(BD42*BH42+$AP42-$AQ42)/$H42</f>
        <v>58.946612695248845</v>
      </c>
      <c r="BK42" s="25">
        <f t="shared" ref="BK42:BK48" ca="1" si="47">(BF42*BI42+$AP42-$AQ42)/$H42</f>
        <v>142.12874463822664</v>
      </c>
      <c r="BL42" s="23">
        <f t="shared" ca="1" si="43"/>
        <v>-0.15946363807643493</v>
      </c>
      <c r="BM42" s="23">
        <f t="shared" ca="1" si="44"/>
        <v>2.8856079868728735E-3</v>
      </c>
      <c r="BN42" s="93" t="s">
        <v>81</v>
      </c>
      <c r="BO42" s="93" t="s">
        <v>226</v>
      </c>
      <c r="BP42" s="93" t="s">
        <v>227</v>
      </c>
    </row>
    <row r="43" spans="1:68" ht="15" customHeight="1" ns3:dyDescent="0.25">
      <c r="A43" s="86" t="e" vm="40">
        <v>#VALUE!</v>
      </c>
      <c r="B43" s="10" t="str">
        <f t="array" aca="1" ref="B43" ca="1">_FV(A43,"Símbolo bursátil",TRUE())</f>
        <v>JFN</v>
      </c>
      <c r="C43" s="88" t="s">
        <v>195</v>
      </c>
      <c r="D43" s="88" t="s">
        <v>100</v>
      </c>
      <c r="E43" s="11" t="str">
        <f t="array" aca="1" ref="E43" ca="1">_FV(A43,"Abreviatura de intercambio",TRUE())</f>
        <v>XSWX</v>
      </c>
      <c r="F43" s="11" t="str">
        <f t="array" aca="1" ref="F43" ca="1">_FV(A43,"Moneda")</f>
        <v>CHF</v>
      </c>
      <c r="G43" s="12">
        <f t="array" aca="1" ref="G43" ca="1">_FV(A43,"Precio")</f>
        <v>253.5</v>
      </c>
      <c r="H43" s="13">
        <f t="array" aca="1" ref="H43" ca="1">_FV(A43,"Acciones en circulación",TRUE())/1000000</f>
        <v>5.835</v>
      </c>
      <c r="I43" s="14">
        <f t="shared" ca="1" si="25"/>
        <v>1479.1724999999999</v>
      </c>
      <c r="J43" s="91">
        <v>0</v>
      </c>
      <c r="K43" s="91">
        <v>7</v>
      </c>
      <c r="L43" s="91">
        <v>0</v>
      </c>
      <c r="M43" s="91">
        <v>1</v>
      </c>
      <c r="N43" s="91">
        <v>-1</v>
      </c>
      <c r="O43" s="91">
        <v>0</v>
      </c>
      <c r="P43" s="91">
        <v>0</v>
      </c>
      <c r="Q43" s="91">
        <v>0</v>
      </c>
      <c r="R43" s="26">
        <f t="shared" si="28"/>
        <v>7</v>
      </c>
      <c r="S43" s="16">
        <f t="shared" si="29"/>
        <v>4.12</v>
      </c>
      <c r="T43" s="91">
        <v>14</v>
      </c>
      <c r="U43" s="91">
        <v>17</v>
      </c>
      <c r="V43" s="91">
        <v>6</v>
      </c>
      <c r="W43" s="91">
        <v>7</v>
      </c>
      <c r="X43" s="91">
        <v>7</v>
      </c>
      <c r="Y43" s="91">
        <v>10</v>
      </c>
      <c r="Z43" s="91">
        <v>4</v>
      </c>
      <c r="AA43" s="91">
        <v>-9</v>
      </c>
      <c r="AB43" s="26">
        <f t="shared" si="30"/>
        <v>56</v>
      </c>
      <c r="AC43" s="16">
        <f t="shared" si="31"/>
        <v>5.6</v>
      </c>
      <c r="AD43" s="91">
        <v>13</v>
      </c>
      <c r="AE43" s="91">
        <v>-2</v>
      </c>
      <c r="AF43" s="91">
        <v>3</v>
      </c>
      <c r="AG43" s="91">
        <v>10</v>
      </c>
      <c r="AH43" s="91">
        <v>3</v>
      </c>
      <c r="AI43" s="91">
        <v>6</v>
      </c>
      <c r="AJ43" s="91">
        <v>13</v>
      </c>
      <c r="AK43" s="91">
        <v>-4</v>
      </c>
      <c r="AL43" s="26">
        <f t="shared" si="32"/>
        <v>42</v>
      </c>
      <c r="AM43" s="16">
        <f t="shared" si="33"/>
        <v>6</v>
      </c>
      <c r="AN43" s="17">
        <f t="shared" si="34"/>
        <v>5.24</v>
      </c>
      <c r="AO43" s="18" t="s">
        <v>172</v>
      </c>
      <c r="AP43" s="19">
        <v>75</v>
      </c>
      <c r="AQ43" s="19">
        <v>0</v>
      </c>
      <c r="AR43" s="19">
        <f t="shared" ca="1" si="45"/>
        <v>1404.1724999999999</v>
      </c>
      <c r="AS43" s="19">
        <v>75</v>
      </c>
      <c r="AT43" s="19">
        <v>78</v>
      </c>
      <c r="AU43" s="19">
        <v>138</v>
      </c>
      <c r="AV43" s="19">
        <v>306</v>
      </c>
      <c r="AW43" s="20">
        <f t="shared" ca="1" si="35"/>
        <v>18.722299999999997</v>
      </c>
      <c r="AX43" s="20">
        <f t="shared" ca="1" si="36"/>
        <v>10.175163043478261</v>
      </c>
      <c r="AY43" s="20">
        <f t="shared" ca="1" si="37"/>
        <v>4.5887990196078432</v>
      </c>
      <c r="AZ43" s="21">
        <v>450</v>
      </c>
      <c r="BA43" s="22">
        <f t="shared" si="38"/>
        <v>0.25490196078431371</v>
      </c>
      <c r="BB43" s="22">
        <f t="shared" si="39"/>
        <v>0.68</v>
      </c>
      <c r="BC43" s="23">
        <f t="shared" si="40"/>
        <v>0.17333333333333334</v>
      </c>
      <c r="BD43" t="s">
        <v>228</v>
      </c>
      <c r="BE43" s="23">
        <f t="shared" si="41"/>
        <v>-6.0146235650011426E-2</v>
      </c>
      <c r="BF43" t="s">
        <v>229</v>
      </c>
      <c r="BG43" s="23">
        <f t="shared" si="42"/>
        <v>5.2773380130115566E-3</v>
      </c>
      <c r="BH43" s="24">
        <v>15</v>
      </c>
      <c r="BI43" s="24">
        <v>22</v>
      </c>
      <c r="BJ43" s="25">
        <f t="shared" ca="1" si="46"/>
        <v>154.24164524421593</v>
      </c>
      <c r="BK43" s="25">
        <f t="shared" ca="1" si="47"/>
        <v>303.17052270779777</v>
      </c>
      <c r="BL43" s="23">
        <f t="shared" ca="1" si="43"/>
        <v>-9.4591146148626626E-2</v>
      </c>
      <c r="BM43" s="23">
        <f t="shared" ca="1" si="44"/>
        <v>4.5748504586241134E-2</v>
      </c>
      <c r="BN43" s="93" t="s">
        <v>81</v>
      </c>
      <c r="BO43" s="93" t="s">
        <v>230</v>
      </c>
      <c r="BP43" s="93" t="s">
        <v>231</v>
      </c>
    </row>
    <row r="44" spans="1:68" ht="15" customHeight="1" ns3:dyDescent="0.25">
      <c r="A44" s="86" t="e" vm="41">
        <v>#VALUE!</v>
      </c>
      <c r="B44" s="10" t="str">
        <f t="array" aca="1" ref="B44" ca="1">_FV(A44,"Símbolo bursátil",TRUE())</f>
        <v>CPR</v>
      </c>
      <c r="C44" s="88" t="s">
        <v>215</v>
      </c>
      <c r="D44" s="88" t="s">
        <v>100</v>
      </c>
      <c r="E44" s="11" t="str">
        <f t="array" aca="1" ref="E44" ca="1">_FV(A44,"Abreviatura de intercambio",TRUE())</f>
        <v>XMIL</v>
      </c>
      <c r="F44" s="11" t="str">
        <f t="array" aca="1" ref="F44" ca="1">_FV(A44,"Moneda")</f>
        <v>EUR</v>
      </c>
      <c r="G44" s="12">
        <f t="array" aca="1" ref="G44" ca="1">_FV(A44,"Precio")</f>
        <v>5.52</v>
      </c>
      <c r="H44" s="13">
        <f t="array" aca="1" ref="H44" ca="1">_FV(A44,"Acciones en circulación",TRUE())/1000000</f>
        <v>1231.268</v>
      </c>
      <c r="I44" s="14">
        <f t="shared" ca="1" si="25"/>
        <v>6796.5993599999993</v>
      </c>
      <c r="J44" s="90">
        <v>0</v>
      </c>
      <c r="K44" s="90">
        <v>6</v>
      </c>
      <c r="L44" s="90">
        <v>1</v>
      </c>
      <c r="M44" s="90">
        <v>-1</v>
      </c>
      <c r="N44" s="90">
        <v>0</v>
      </c>
      <c r="O44" s="90">
        <v>0</v>
      </c>
      <c r="P44" s="90">
        <v>0</v>
      </c>
      <c r="Q44" s="90">
        <v>1</v>
      </c>
      <c r="R44" s="15">
        <f t="shared" si="28"/>
        <v>7</v>
      </c>
      <c r="S44" s="16">
        <f t="shared" si="29"/>
        <v>4.12</v>
      </c>
      <c r="T44" s="90">
        <v>9</v>
      </c>
      <c r="U44" s="90">
        <v>15</v>
      </c>
      <c r="V44" s="90">
        <v>9</v>
      </c>
      <c r="W44" s="90">
        <v>8</v>
      </c>
      <c r="X44" s="90">
        <v>8</v>
      </c>
      <c r="Y44" s="90">
        <v>10</v>
      </c>
      <c r="Z44" s="90">
        <v>9</v>
      </c>
      <c r="AA44" s="90">
        <v>-11</v>
      </c>
      <c r="AB44" s="15">
        <f t="shared" si="30"/>
        <v>57</v>
      </c>
      <c r="AC44" s="16">
        <f t="shared" si="31"/>
        <v>5.7</v>
      </c>
      <c r="AD44" s="90">
        <v>13</v>
      </c>
      <c r="AE44" s="90">
        <v>-2</v>
      </c>
      <c r="AF44" s="90">
        <v>6</v>
      </c>
      <c r="AG44" s="90">
        <v>9</v>
      </c>
      <c r="AH44" s="90">
        <v>0</v>
      </c>
      <c r="AI44" s="90">
        <v>8</v>
      </c>
      <c r="AJ44" s="90">
        <v>12</v>
      </c>
      <c r="AK44" s="90">
        <v>-5</v>
      </c>
      <c r="AL44" s="15">
        <f t="shared" si="32"/>
        <v>41</v>
      </c>
      <c r="AM44" s="16">
        <f t="shared" si="33"/>
        <v>5.86</v>
      </c>
      <c r="AN44" s="17">
        <f t="shared" si="34"/>
        <v>5.23</v>
      </c>
      <c r="AO44" s="18" t="s">
        <v>90</v>
      </c>
      <c r="AP44" s="19">
        <v>800</v>
      </c>
      <c r="AQ44" s="19">
        <v>4200</v>
      </c>
      <c r="AR44" s="19">
        <f t="shared" ca="1" si="45"/>
        <v>10196.59936</v>
      </c>
      <c r="AS44" s="19">
        <v>300</v>
      </c>
      <c r="AT44" s="19">
        <v>420</v>
      </c>
      <c r="AU44" s="19">
        <v>700</v>
      </c>
      <c r="AV44" s="19">
        <v>3100</v>
      </c>
      <c r="AW44" s="20">
        <f t="shared" ca="1" si="35"/>
        <v>33.988664533333335</v>
      </c>
      <c r="AX44" s="20">
        <f t="shared" ca="1" si="36"/>
        <v>14.566570514285715</v>
      </c>
      <c r="AY44" s="20">
        <f t="shared" ca="1" si="37"/>
        <v>3.2892256</v>
      </c>
      <c r="AZ44" s="21">
        <v>5500</v>
      </c>
      <c r="BA44" s="22">
        <f t="shared" si="38"/>
        <v>0.13548387096774195</v>
      </c>
      <c r="BB44" s="22">
        <f t="shared" si="39"/>
        <v>0.5636363636363636</v>
      </c>
      <c r="BC44" s="23">
        <f t="shared" si="40"/>
        <v>7.636363636363637E-2</v>
      </c>
      <c r="BD44" t="s">
        <v>232</v>
      </c>
      <c r="BE44" s="23">
        <f t="shared" si="41"/>
        <v>3.0128962818398941E-2</v>
      </c>
      <c r="BF44" t="s">
        <v>233</v>
      </c>
      <c r="BG44" s="23">
        <f t="shared" si="42"/>
        <v>0.11021183440909099</v>
      </c>
      <c r="BH44" s="24">
        <v>15</v>
      </c>
      <c r="BI44" s="24">
        <v>20</v>
      </c>
      <c r="BJ44" s="25">
        <f t="shared" ca="1" si="46"/>
        <v>1.4781509793156322</v>
      </c>
      <c r="BK44" s="25">
        <f t="shared" ca="1" si="47"/>
        <v>5.4577882313192578</v>
      </c>
      <c r="BL44" s="23">
        <f t="shared" ca="1" si="43"/>
        <v>-0.23165557658460967</v>
      </c>
      <c r="BM44" s="23">
        <f t="shared" ca="1" si="44"/>
        <v>-2.829548869233367E-3</v>
      </c>
      <c r="BN44" s="93" t="s">
        <v>81</v>
      </c>
      <c r="BO44" s="93" t="s">
        <v>234</v>
      </c>
      <c r="BP44" s="93" t="s">
        <v>113</v>
      </c>
    </row>
    <row r="45" spans="1:68" ht="15" customHeight="1" ns3:dyDescent="0.25">
      <c r="A45" s="86" t="e" vm="42">
        <v>#VALUE!</v>
      </c>
      <c r="B45" s="10" t="str">
        <f t="array" aca="1" ref="B45" ca="1">_FV(A45,"Símbolo bursátil",TRUE())</f>
        <v>SIKA</v>
      </c>
      <c r="C45" s="88" t="s">
        <v>199</v>
      </c>
      <c r="D45" s="88" t="s">
        <v>77</v>
      </c>
      <c r="E45" s="11" t="str">
        <f t="array" aca="1" ref="E45" ca="1">_FV(A45,"Abreviatura de intercambio",TRUE())</f>
        <v>XSWX</v>
      </c>
      <c r="F45" s="11" t="str">
        <f t="array" aca="1" ref="F45" ca="1">_FV(A45,"Moneda")</f>
        <v>CHF</v>
      </c>
      <c r="G45" s="12">
        <f t="array" aca="1" ref="G45" ca="1">_FV(A45,"Precio")</f>
        <v>140</v>
      </c>
      <c r="H45" s="13">
        <f t="array" aca="1" ref="H45" ca="1">_FV(A45,"Acciones en circulación",TRUE())/1000000</f>
        <v>160.47929999999999</v>
      </c>
      <c r="I45" s="14">
        <f t="shared" ca="1" si="25"/>
        <v>22467.101999999999</v>
      </c>
      <c r="J45" s="91">
        <v>1</v>
      </c>
      <c r="K45" s="91">
        <v>5</v>
      </c>
      <c r="L45" s="91">
        <v>1</v>
      </c>
      <c r="M45" s="91">
        <v>0</v>
      </c>
      <c r="N45" s="91">
        <v>0</v>
      </c>
      <c r="O45" s="91">
        <v>0</v>
      </c>
      <c r="P45" s="91">
        <v>0</v>
      </c>
      <c r="Q45" s="91">
        <v>0</v>
      </c>
      <c r="R45" s="26">
        <f t="shared" si="28"/>
        <v>7</v>
      </c>
      <c r="S45" s="16">
        <f t="shared" si="29"/>
        <v>4.12</v>
      </c>
      <c r="T45" s="91">
        <v>11</v>
      </c>
      <c r="U45" s="91">
        <v>13</v>
      </c>
      <c r="V45" s="91">
        <v>11</v>
      </c>
      <c r="W45" s="91">
        <v>9</v>
      </c>
      <c r="X45" s="91">
        <v>7</v>
      </c>
      <c r="Y45" s="91">
        <v>10</v>
      </c>
      <c r="Z45" s="91">
        <v>5</v>
      </c>
      <c r="AA45" s="91">
        <v>-9</v>
      </c>
      <c r="AB45" s="26">
        <f t="shared" si="30"/>
        <v>57</v>
      </c>
      <c r="AC45" s="16">
        <f t="shared" si="31"/>
        <v>5.7</v>
      </c>
      <c r="AD45" s="91">
        <v>12</v>
      </c>
      <c r="AE45" s="91">
        <v>-2</v>
      </c>
      <c r="AF45" s="91">
        <v>5</v>
      </c>
      <c r="AG45" s="91">
        <v>10</v>
      </c>
      <c r="AH45" s="91">
        <v>1</v>
      </c>
      <c r="AI45" s="91">
        <v>7</v>
      </c>
      <c r="AJ45" s="91">
        <v>11</v>
      </c>
      <c r="AK45" s="91">
        <v>-5</v>
      </c>
      <c r="AL45" s="26">
        <f t="shared" si="32"/>
        <v>39</v>
      </c>
      <c r="AM45" s="16">
        <f t="shared" si="33"/>
        <v>5.57</v>
      </c>
      <c r="AN45" s="17">
        <f t="shared" si="34"/>
        <v>5.13</v>
      </c>
      <c r="AO45" s="18" t="s">
        <v>172</v>
      </c>
      <c r="AP45" s="19">
        <v>1200</v>
      </c>
      <c r="AQ45" s="19">
        <v>4700</v>
      </c>
      <c r="AR45" s="19">
        <f t="shared" ca="1" si="45"/>
        <v>25967.101999999999</v>
      </c>
      <c r="AS45" s="19">
        <v>1100</v>
      </c>
      <c r="AT45" s="19">
        <v>1250</v>
      </c>
      <c r="AU45" s="19">
        <v>2100</v>
      </c>
      <c r="AV45" s="19">
        <v>11760</v>
      </c>
      <c r="AW45" s="20">
        <f t="shared" ca="1" si="35"/>
        <v>23.606456363636362</v>
      </c>
      <c r="AX45" s="20">
        <f t="shared" ca="1" si="36"/>
        <v>12.365286666666666</v>
      </c>
      <c r="AY45" s="20">
        <f t="shared" ca="1" si="37"/>
        <v>2.2080869047619047</v>
      </c>
      <c r="AZ45" s="21">
        <v>12500</v>
      </c>
      <c r="BA45" s="22">
        <f t="shared" si="38"/>
        <v>0.10629251700680271</v>
      </c>
      <c r="BB45" s="22">
        <f t="shared" si="39"/>
        <v>0.94079999999999997</v>
      </c>
      <c r="BC45" s="23">
        <f t="shared" si="40"/>
        <v>9.9999999999999992E-2</v>
      </c>
      <c r="BD45" t="s">
        <v>235</v>
      </c>
      <c r="BE45" s="23">
        <f t="shared" si="41"/>
        <v>2.9967449959592329E-2</v>
      </c>
      <c r="BF45" t="s">
        <v>236</v>
      </c>
      <c r="BG45" s="23">
        <f t="shared" si="42"/>
        <v>0.11005221800763754</v>
      </c>
      <c r="BH45" s="24">
        <v>18</v>
      </c>
      <c r="BI45" s="24">
        <v>22.5</v>
      </c>
      <c r="BJ45" s="25">
        <f t="shared" ca="1" si="46"/>
        <v>121.19943195165982</v>
      </c>
      <c r="BK45" s="25">
        <f t="shared" ca="1" si="47"/>
        <v>238.13040061864677</v>
      </c>
      <c r="BL45" s="23">
        <f t="shared" ca="1" si="43"/>
        <v>-2.8429075002366688E-2</v>
      </c>
      <c r="BM45" s="23">
        <f t="shared" ca="1" si="44"/>
        <v>0.14201471985891367</v>
      </c>
      <c r="BN45" s="93" t="s">
        <v>81</v>
      </c>
      <c r="BO45" s="93" t="s">
        <v>237</v>
      </c>
      <c r="BP45" s="93" t="s">
        <v>238</v>
      </c>
    </row>
    <row r="46" spans="1:68" ht="15" customHeight="1" ns3:dyDescent="0.25">
      <c r="A46" s="86" t="e" vm="43">
        <v>#VALUE!</v>
      </c>
      <c r="B46" s="10" t="str">
        <f t="array" aca="1" ref="B46" ca="1">_FV(A46,"Símbolo bursátil",TRUE())</f>
        <v>CHKP</v>
      </c>
      <c r="C46" s="88" t="s">
        <v>114</v>
      </c>
      <c r="D46" s="88" t="s">
        <v>239</v>
      </c>
      <c r="E46" s="11" t="str">
        <f t="array" aca="1" ref="E46" ca="1">_FV(A46,"Abreviatura de intercambio",TRUE())</f>
        <v>XNAS</v>
      </c>
      <c r="F46" s="11" t="str">
        <f t="array" aca="1" ref="F46" ca="1">_FV(A46,"Moneda")</f>
        <v>USD</v>
      </c>
      <c r="G46" s="12">
        <f t="array" aca="1" ref="G46" ca="1">_FV(A46,"Precio")</f>
        <v>126.82</v>
      </c>
      <c r="H46" s="13">
        <f t="array" aca="1" ref="H46" ca="1">_FV(A46,"Acciones en circulación",TRUE())/1000000</f>
        <v>104.0278</v>
      </c>
      <c r="I46" s="14">
        <f t="shared" ca="1" si="25"/>
        <v>13192.805595999998</v>
      </c>
      <c r="J46" s="90">
        <v>1</v>
      </c>
      <c r="K46" s="90">
        <v>5</v>
      </c>
      <c r="L46" s="90">
        <v>1</v>
      </c>
      <c r="M46" s="90">
        <v>1</v>
      </c>
      <c r="N46" s="90">
        <v>0</v>
      </c>
      <c r="O46" s="90">
        <v>0</v>
      </c>
      <c r="P46" s="90">
        <v>0</v>
      </c>
      <c r="Q46" s="90">
        <v>0</v>
      </c>
      <c r="R46" s="15">
        <f t="shared" si="28"/>
        <v>8</v>
      </c>
      <c r="S46" s="16">
        <f t="shared" si="29"/>
        <v>4.71</v>
      </c>
      <c r="T46" s="90">
        <v>15</v>
      </c>
      <c r="U46" s="90">
        <v>11</v>
      </c>
      <c r="V46" s="90">
        <v>8</v>
      </c>
      <c r="W46" s="90">
        <v>7</v>
      </c>
      <c r="X46" s="90">
        <v>8</v>
      </c>
      <c r="Y46" s="90">
        <v>9</v>
      </c>
      <c r="Z46" s="90">
        <v>6</v>
      </c>
      <c r="AA46" s="90">
        <v>-12</v>
      </c>
      <c r="AB46" s="15">
        <f t="shared" si="30"/>
        <v>52</v>
      </c>
      <c r="AC46" s="16">
        <f t="shared" si="31"/>
        <v>5.2</v>
      </c>
      <c r="AD46" s="90">
        <v>11</v>
      </c>
      <c r="AE46" s="90">
        <v>-5</v>
      </c>
      <c r="AF46" s="90">
        <v>10</v>
      </c>
      <c r="AG46" s="90">
        <v>11</v>
      </c>
      <c r="AH46" s="90">
        <v>4</v>
      </c>
      <c r="AI46" s="90">
        <v>6</v>
      </c>
      <c r="AJ46" s="90">
        <v>9</v>
      </c>
      <c r="AK46" s="90">
        <v>-8</v>
      </c>
      <c r="AL46" s="15">
        <f t="shared" si="32"/>
        <v>38</v>
      </c>
      <c r="AM46" s="16">
        <f t="shared" si="33"/>
        <v>5.43</v>
      </c>
      <c r="AN46" s="17">
        <f t="shared" si="34"/>
        <v>5.1100000000000003</v>
      </c>
      <c r="AO46" s="18" t="s">
        <v>78</v>
      </c>
      <c r="AP46" s="19">
        <v>3000</v>
      </c>
      <c r="AQ46" s="19">
        <v>0</v>
      </c>
      <c r="AR46" s="19">
        <f t="shared" ca="1" si="45"/>
        <v>10192.805595999998</v>
      </c>
      <c r="AS46" s="19">
        <v>1300</v>
      </c>
      <c r="AT46" s="19">
        <v>1000</v>
      </c>
      <c r="AU46" s="19">
        <v>1250</v>
      </c>
      <c r="AV46" s="19">
        <v>2730</v>
      </c>
      <c r="AW46" s="20">
        <f t="shared" ca="1" si="35"/>
        <v>7.8406196892307678</v>
      </c>
      <c r="AX46" s="20">
        <f t="shared" ca="1" si="36"/>
        <v>8.1542444767999989</v>
      </c>
      <c r="AY46" s="20">
        <f t="shared" ca="1" si="37"/>
        <v>3.7336284234432227</v>
      </c>
      <c r="AZ46" s="21">
        <v>1200</v>
      </c>
      <c r="BA46" s="22">
        <f t="shared" si="38"/>
        <v>0.36630036630036628</v>
      </c>
      <c r="BB46" s="22">
        <f t="shared" si="39"/>
        <v>2.2749999999999999</v>
      </c>
      <c r="BC46" s="23">
        <f t="shared" si="40"/>
        <v>0.83333333333333326</v>
      </c>
      <c r="BD46" t="s">
        <v>240</v>
      </c>
      <c r="BE46" s="23">
        <f t="shared" si="41"/>
        <v>1.9956640367314815E-2</v>
      </c>
      <c r="BF46" t="s">
        <v>241</v>
      </c>
      <c r="BG46" s="23">
        <f t="shared" si="42"/>
        <v>0.10003540934093724</v>
      </c>
      <c r="BH46" s="24">
        <v>6</v>
      </c>
      <c r="BI46" s="24">
        <v>15</v>
      </c>
      <c r="BJ46" s="25">
        <f t="shared" ca="1" si="46"/>
        <v>111.60478256773671</v>
      </c>
      <c r="BK46" s="25">
        <f t="shared" ca="1" si="47"/>
        <v>330.77696538809818</v>
      </c>
      <c r="BL46" s="23">
        <f t="shared" ca="1" si="43"/>
        <v>-2.5237055057837354E-2</v>
      </c>
      <c r="BM46" s="23">
        <f t="shared" ca="1" si="44"/>
        <v>0.27082829968195599</v>
      </c>
      <c r="BN46" s="93" t="s">
        <v>81</v>
      </c>
      <c r="BO46" s="93" t="s">
        <v>93</v>
      </c>
      <c r="BP46" s="93" t="s">
        <v>227</v>
      </c>
    </row>
    <row r="47" spans="1:68" ht="15" customHeight="1" ns3:dyDescent="0.25">
      <c r="A47" s="86" t="e" vm="44">
        <v>#VALUE!</v>
      </c>
      <c r="B47" s="10" t="str">
        <f t="array" aca="1" ref="B47" ca="1">_FV(A47,"Símbolo bursátil",TRUE())</f>
        <v>TGYM</v>
      </c>
      <c r="C47" s="88" t="s">
        <v>195</v>
      </c>
      <c r="D47" s="88" t="s">
        <v>77</v>
      </c>
      <c r="E47" s="11" t="str">
        <f t="array" aca="1" ref="E47" ca="1">_FV(A47,"Abreviatura de intercambio",TRUE())</f>
        <v>XMIL</v>
      </c>
      <c r="F47" s="11" t="str">
        <f t="array" aca="1" ref="F47" ca="1">_FV(A47,"Moneda")</f>
        <v>EUR</v>
      </c>
      <c r="G47" s="12">
        <f t="array" aca="1" ref="G47" ca="1">_FV(A47,"Precio")</f>
        <v>20.68</v>
      </c>
      <c r="H47" s="13">
        <f t="array" aca="1" ref="H47" ca="1">_FV(A47,"Acciones en circulación",TRUE())/1000000</f>
        <v>201.32749999999999</v>
      </c>
      <c r="I47" s="14">
        <f t="shared" ca="1" si="25"/>
        <v>4163.4526999999998</v>
      </c>
      <c r="J47" s="91">
        <v>0</v>
      </c>
      <c r="K47" s="91">
        <v>4</v>
      </c>
      <c r="L47" s="91">
        <v>2</v>
      </c>
      <c r="M47" s="91">
        <v>0</v>
      </c>
      <c r="N47" s="91">
        <v>0</v>
      </c>
      <c r="O47" s="91">
        <v>0</v>
      </c>
      <c r="P47" s="91">
        <v>0</v>
      </c>
      <c r="Q47" s="91">
        <v>1</v>
      </c>
      <c r="R47" s="26">
        <f t="shared" si="28"/>
        <v>7</v>
      </c>
      <c r="S47" s="16">
        <f t="shared" si="29"/>
        <v>4.12</v>
      </c>
      <c r="T47" s="91">
        <v>12</v>
      </c>
      <c r="U47" s="91">
        <v>10</v>
      </c>
      <c r="V47" s="91">
        <v>11</v>
      </c>
      <c r="W47" s="91">
        <v>7</v>
      </c>
      <c r="X47" s="91">
        <v>6</v>
      </c>
      <c r="Y47" s="91">
        <v>10</v>
      </c>
      <c r="Z47" s="91">
        <v>9</v>
      </c>
      <c r="AA47" s="91">
        <v>-10</v>
      </c>
      <c r="AB47" s="26">
        <f t="shared" si="30"/>
        <v>55</v>
      </c>
      <c r="AC47" s="16">
        <f t="shared" si="31"/>
        <v>5.5</v>
      </c>
      <c r="AD47" s="91">
        <v>10</v>
      </c>
      <c r="AE47" s="91">
        <v>-3</v>
      </c>
      <c r="AF47" s="91">
        <v>6</v>
      </c>
      <c r="AG47" s="91">
        <v>10</v>
      </c>
      <c r="AH47" s="91">
        <v>3</v>
      </c>
      <c r="AI47" s="91">
        <v>8</v>
      </c>
      <c r="AJ47" s="91">
        <v>9</v>
      </c>
      <c r="AK47" s="91">
        <v>-4</v>
      </c>
      <c r="AL47" s="26">
        <f t="shared" si="32"/>
        <v>39</v>
      </c>
      <c r="AM47" s="16">
        <f t="shared" si="33"/>
        <v>5.57</v>
      </c>
      <c r="AN47" s="17">
        <f t="shared" si="34"/>
        <v>5.0599999999999996</v>
      </c>
      <c r="AO47" s="18" t="s">
        <v>90</v>
      </c>
      <c r="AP47" s="19">
        <v>100</v>
      </c>
      <c r="AQ47" s="19">
        <v>50</v>
      </c>
      <c r="AR47" s="19">
        <f t="shared" ca="1" si="45"/>
        <v>4113.4526999999998</v>
      </c>
      <c r="AS47" s="19">
        <v>95</v>
      </c>
      <c r="AT47" s="19">
        <v>90</v>
      </c>
      <c r="AU47" s="19">
        <v>140</v>
      </c>
      <c r="AV47" s="19">
        <v>840</v>
      </c>
      <c r="AW47" s="20">
        <f t="shared" ca="1" si="35"/>
        <v>43.299502105263159</v>
      </c>
      <c r="AX47" s="20">
        <f t="shared" ca="1" si="36"/>
        <v>29.381805</v>
      </c>
      <c r="AY47" s="20">
        <f t="shared" ca="1" si="37"/>
        <v>4.8969674999999997</v>
      </c>
      <c r="AZ47" s="21">
        <v>450</v>
      </c>
      <c r="BA47" s="22">
        <f t="shared" si="38"/>
        <v>0.10714285714285714</v>
      </c>
      <c r="BB47" s="22">
        <f t="shared" si="39"/>
        <v>1.8666666666666667</v>
      </c>
      <c r="BC47" s="23">
        <f t="shared" si="40"/>
        <v>0.19999999999999998</v>
      </c>
      <c r="BD47" t="s">
        <v>242</v>
      </c>
      <c r="BE47" s="23">
        <f t="shared" si="41"/>
        <v>4.0751095710728658E-2</v>
      </c>
      <c r="BF47" t="s">
        <v>243</v>
      </c>
      <c r="BG47" s="23">
        <f t="shared" si="42"/>
        <v>0.1401066974124392</v>
      </c>
      <c r="BH47" s="24">
        <v>15</v>
      </c>
      <c r="BI47" s="24">
        <v>22.5</v>
      </c>
      <c r="BJ47" s="25">
        <f t="shared" ca="1" si="46"/>
        <v>8.8909860798946987</v>
      </c>
      <c r="BK47" s="25">
        <f t="shared" ca="1" si="47"/>
        <v>20.700103065900091</v>
      </c>
      <c r="BL47" s="23">
        <f t="shared" ca="1" si="43"/>
        <v>-0.15534398490081958</v>
      </c>
      <c r="BM47" s="23">
        <f t="shared" ca="1" si="44"/>
        <v>2.4293691631660508E-4</v>
      </c>
      <c r="BN47" s="93" t="s">
        <v>81</v>
      </c>
      <c r="BO47" s="93" t="s">
        <v>112</v>
      </c>
      <c r="BP47" s="93" t="s">
        <v>130</v>
      </c>
    </row>
    <row r="48" spans="1:68" ht="15" customHeight="1" ns3:dyDescent="0.25">
      <c r="A48" s="86" t="e" vm="45">
        <v>#VALUE!</v>
      </c>
      <c r="B48" s="10" t="str">
        <f t="array" aca="1" ref="B48" ca="1">_FV(A48,"Símbolo bursátil",TRUE())</f>
        <v>VID</v>
      </c>
      <c r="C48" s="88" t="s">
        <v>215</v>
      </c>
      <c r="D48" s="88" t="s">
        <v>100</v>
      </c>
      <c r="E48" s="11" t="str">
        <f t="array" aca="1" ref="E48" ca="1">_FV(A48,"Abreviatura de intercambio",TRUE())</f>
        <v>BMEX</v>
      </c>
      <c r="F48" s="11" t="str">
        <f t="array" aca="1" ref="F48" ca="1">_FV(A48,"Moneda")</f>
        <v>EUR</v>
      </c>
      <c r="G48" s="12">
        <f t="array" aca="1" ref="G48" ca="1">_FV(A48,"Precio")</f>
        <v>75.400000000000006</v>
      </c>
      <c r="H48" s="13">
        <f t="array" aca="1" ref="H48" ca="1">_FV(A48,"Acciones en circulación",TRUE())/1000000</f>
        <v>35.20626</v>
      </c>
      <c r="I48" s="14">
        <f t="shared" ca="1" si="25"/>
        <v>2654.5520040000001</v>
      </c>
      <c r="J48" s="90">
        <v>0.75</v>
      </c>
      <c r="K48" s="90">
        <v>6</v>
      </c>
      <c r="L48" s="90">
        <v>1</v>
      </c>
      <c r="M48" s="90">
        <v>0.75</v>
      </c>
      <c r="N48" s="90">
        <v>-0.5</v>
      </c>
      <c r="O48" s="90">
        <v>0</v>
      </c>
      <c r="P48" s="90">
        <v>0</v>
      </c>
      <c r="Q48" s="90">
        <v>1</v>
      </c>
      <c r="R48" s="15">
        <f t="shared" si="28"/>
        <v>9</v>
      </c>
      <c r="S48" s="16">
        <f t="shared" si="29"/>
        <v>5.29</v>
      </c>
      <c r="T48" s="90">
        <v>13</v>
      </c>
      <c r="U48" s="90">
        <v>10</v>
      </c>
      <c r="V48" s="90">
        <v>7</v>
      </c>
      <c r="W48" s="90">
        <v>8</v>
      </c>
      <c r="X48" s="90">
        <v>7</v>
      </c>
      <c r="Y48" s="90">
        <v>11.5</v>
      </c>
      <c r="Z48" s="90">
        <v>9</v>
      </c>
      <c r="AA48" s="90">
        <v>-8</v>
      </c>
      <c r="AB48" s="15">
        <f t="shared" si="30"/>
        <v>57.5</v>
      </c>
      <c r="AC48" s="16">
        <f t="shared" si="31"/>
        <v>5.75</v>
      </c>
      <c r="AD48" s="90">
        <v>10</v>
      </c>
      <c r="AE48" s="90">
        <v>-2</v>
      </c>
      <c r="AF48" s="90">
        <v>3</v>
      </c>
      <c r="AG48" s="90">
        <v>10</v>
      </c>
      <c r="AH48" s="90">
        <v>3</v>
      </c>
      <c r="AI48" s="90">
        <v>8</v>
      </c>
      <c r="AJ48" s="90">
        <v>9</v>
      </c>
      <c r="AK48" s="90">
        <v>-4</v>
      </c>
      <c r="AL48" s="15">
        <f t="shared" si="32"/>
        <v>37</v>
      </c>
      <c r="AM48" s="16">
        <f t="shared" si="33"/>
        <v>5.29</v>
      </c>
      <c r="AN48" s="17">
        <f t="shared" si="34"/>
        <v>5.44</v>
      </c>
      <c r="AO48" s="18" t="s">
        <v>90</v>
      </c>
      <c r="AP48" s="19">
        <v>130</v>
      </c>
      <c r="AQ48" s="19">
        <v>235</v>
      </c>
      <c r="AR48" s="19">
        <f t="shared" ca="1" si="45"/>
        <v>2759.5520040000001</v>
      </c>
      <c r="AS48" s="19">
        <v>200</v>
      </c>
      <c r="AT48" s="19">
        <v>210</v>
      </c>
      <c r="AU48" s="19">
        <v>385</v>
      </c>
      <c r="AV48" s="19">
        <v>1465</v>
      </c>
      <c r="AW48" s="20">
        <f t="shared" ca="1" si="35"/>
        <v>13.79776002</v>
      </c>
      <c r="AX48" s="20">
        <f t="shared" ca="1" si="36"/>
        <v>7.167667542857143</v>
      </c>
      <c r="AY48" s="20">
        <f t="shared" ca="1" si="37"/>
        <v>1.8836532450511947</v>
      </c>
      <c r="AZ48" s="21">
        <v>1200</v>
      </c>
      <c r="BA48" s="22">
        <f t="shared" si="38"/>
        <v>0.14334470989761092</v>
      </c>
      <c r="BB48" s="22">
        <f t="shared" si="39"/>
        <v>1.2208333333333334</v>
      </c>
      <c r="BC48" s="23">
        <f t="shared" si="40"/>
        <v>0.17500000000000002</v>
      </c>
      <c r="BD48" t="s">
        <v>244</v>
      </c>
      <c r="BE48" s="23">
        <f t="shared" si="41"/>
        <v>9.805797673485328E-3</v>
      </c>
      <c r="BF48" t="s">
        <v>245</v>
      </c>
      <c r="BG48" s="23">
        <f t="shared" si="42"/>
        <v>9.0194895299878342E-2</v>
      </c>
      <c r="BH48" s="24">
        <v>10</v>
      </c>
      <c r="BI48" s="24">
        <v>18</v>
      </c>
      <c r="BJ48" s="25">
        <f t="shared" ca="1" si="46"/>
        <v>56.666058820221174</v>
      </c>
      <c r="BK48" s="25">
        <f t="shared" ca="1" si="47"/>
        <v>154.48957088881352</v>
      </c>
      <c r="BL48" s="23">
        <f t="shared" ca="1" si="43"/>
        <v>-5.5525292084644406E-2</v>
      </c>
      <c r="BM48" s="23">
        <f t="shared" ca="1" si="44"/>
        <v>0.19641529176860439</v>
      </c>
      <c r="BN48" s="93" t="s">
        <v>81</v>
      </c>
      <c r="BO48" s="94" t="s">
        <v>112</v>
      </c>
      <c r="BP48" s="93" t="s">
        <v>88</v>
      </c>
    </row>
    <row r="49" spans="1:68" ht="15" customHeight="1" ns3:dyDescent="0.25">
      <c r="A49" s="86" t="e" vm="46">
        <v>#VALUE!</v>
      </c>
      <c r="B49" s="10" t="str">
        <f t="array" aca="1" ref="B49" ca="1">_FV(A49,"Símbolo bursátil",TRUE())</f>
        <v>TFPM</v>
      </c>
      <c r="C49" s="88" t="s">
        <v>246</v>
      </c>
      <c r="D49" s="88" t="s">
        <v>247</v>
      </c>
      <c r="E49" s="11" t="str">
        <f t="array" aca="1" ref="E49" ca="1">_FV(A49,"Abreviatura de intercambio",TRUE())</f>
        <v>XTSE</v>
      </c>
      <c r="F49" s="11" t="str">
        <f t="array" aca="1" ref="F49" ca="1">_FV(A49,"Moneda")</f>
        <v>CAD</v>
      </c>
      <c r="G49" s="12">
        <f t="array" aca="1" ref="G49" ca="1">_FV(A49,"Precio")</f>
        <v>42.62</v>
      </c>
      <c r="H49" s="13">
        <f t="array" aca="1" ref="H49" ca="1">_FV(A49,"Acciones en circulación",TRUE())/1000000</f>
        <v>206.60390000000001</v>
      </c>
      <c r="I49" s="14">
        <f t="shared" ca="1" si="25"/>
        <v>8805.4582179999998</v>
      </c>
      <c r="J49" s="91">
        <v>0</v>
      </c>
      <c r="K49" s="91">
        <v>5</v>
      </c>
      <c r="L49" s="91">
        <v>1</v>
      </c>
      <c r="M49" s="91">
        <v>1</v>
      </c>
      <c r="N49" s="91">
        <v>-1</v>
      </c>
      <c r="O49" s="91">
        <v>0</v>
      </c>
      <c r="P49" s="91">
        <v>0</v>
      </c>
      <c r="Q49" s="91">
        <v>0</v>
      </c>
      <c r="R49" s="26">
        <f t="shared" si="28"/>
        <v>6</v>
      </c>
      <c r="S49" s="16">
        <f t="shared" si="29"/>
        <v>3.53</v>
      </c>
      <c r="T49" s="91">
        <v>14</v>
      </c>
      <c r="U49" s="91">
        <v>12</v>
      </c>
      <c r="V49" s="91">
        <v>10</v>
      </c>
      <c r="W49" s="91">
        <v>6</v>
      </c>
      <c r="X49" s="91">
        <v>8</v>
      </c>
      <c r="Y49" s="91">
        <v>10</v>
      </c>
      <c r="Z49" s="91">
        <v>5</v>
      </c>
      <c r="AA49" s="91">
        <v>-11</v>
      </c>
      <c r="AB49" s="26">
        <f t="shared" si="30"/>
        <v>54</v>
      </c>
      <c r="AC49" s="16">
        <f t="shared" si="31"/>
        <v>5.4</v>
      </c>
      <c r="AD49" s="91">
        <v>11</v>
      </c>
      <c r="AE49" s="91">
        <v>-4</v>
      </c>
      <c r="AF49" s="91">
        <v>10</v>
      </c>
      <c r="AG49" s="91">
        <v>11</v>
      </c>
      <c r="AH49" s="91">
        <v>4</v>
      </c>
      <c r="AI49" s="91">
        <v>7</v>
      </c>
      <c r="AJ49" s="91">
        <v>9</v>
      </c>
      <c r="AK49" s="91">
        <v>-6</v>
      </c>
      <c r="AL49" s="26">
        <f t="shared" si="32"/>
        <v>42</v>
      </c>
      <c r="AM49" s="16">
        <f t="shared" si="33"/>
        <v>6</v>
      </c>
      <c r="AN49" s="17">
        <f t="shared" si="34"/>
        <v>4.9800000000000004</v>
      </c>
      <c r="AO49" s="18" t="s">
        <v>78</v>
      </c>
      <c r="AP49" s="19">
        <v>80</v>
      </c>
      <c r="AQ49" s="19">
        <v>0</v>
      </c>
      <c r="AR49" s="19">
        <f ca="1">I49*'Framework Notes'!E7-AP49+AQ49</f>
        <v>6323.3292161295994</v>
      </c>
      <c r="AS49" s="19">
        <v>190</v>
      </c>
      <c r="AT49" s="19">
        <v>140</v>
      </c>
      <c r="AU49" s="19">
        <v>210</v>
      </c>
      <c r="AV49" s="19">
        <v>230</v>
      </c>
      <c r="AW49" s="20">
        <f t="shared" ca="1" si="35"/>
        <v>33.28068008489263</v>
      </c>
      <c r="AX49" s="20">
        <f t="shared" ca="1" si="36"/>
        <v>30.111091505379044</v>
      </c>
      <c r="AY49" s="20">
        <f t="shared" ca="1" si="37"/>
        <v>27.492735722302605</v>
      </c>
      <c r="AZ49" s="21">
        <v>1800</v>
      </c>
      <c r="BA49" s="22">
        <f t="shared" si="38"/>
        <v>0.60869565217391308</v>
      </c>
      <c r="BB49" s="22">
        <f t="shared" si="39"/>
        <v>0.12777777777777777</v>
      </c>
      <c r="BC49" s="23">
        <f t="shared" si="40"/>
        <v>7.7777777777777779E-2</v>
      </c>
      <c r="BD49" t="s">
        <v>248</v>
      </c>
      <c r="BE49" s="23">
        <f t="shared" si="41"/>
        <v>4.957228210048803E-2</v>
      </c>
      <c r="BF49" t="s">
        <v>249</v>
      </c>
      <c r="BG49" s="23">
        <f t="shared" si="42"/>
        <v>0.20011125292365506</v>
      </c>
      <c r="BH49" s="24">
        <v>18</v>
      </c>
      <c r="BI49" s="24">
        <v>22</v>
      </c>
      <c r="BJ49" s="25">
        <f ca="1">((BD49*BH49+$AP49-$AQ49)/$H49)/'Framework Notes'!E7</f>
        <v>29.525628562680087</v>
      </c>
      <c r="BK49" s="25">
        <f ca="1">((BF49*BI49+$AP49-$AQ49)/$H49)/'Framework Notes'!E7</f>
        <v>69.793900159662613</v>
      </c>
      <c r="BL49" s="23">
        <f t="shared" ca="1" si="43"/>
        <v>-7.0783011321317257E-2</v>
      </c>
      <c r="BM49" s="23">
        <f t="shared" ca="1" si="44"/>
        <v>0.13123023861760363</v>
      </c>
      <c r="BN49" s="93" t="s">
        <v>81</v>
      </c>
      <c r="BO49" s="93" t="s">
        <v>198</v>
      </c>
      <c r="BP49" s="93" t="s">
        <v>180</v>
      </c>
    </row>
    <row r="50" spans="1:68" ht="15" customHeight="1" ns3:dyDescent="0.25">
      <c r="A50" s="86" t="e" vm="47">
        <v>#VALUE!</v>
      </c>
      <c r="B50" s="10" t="str">
        <f t="array" aca="1" ref="B50" ca="1">_FV(A50,"Símbolo bursátil",TRUE())</f>
        <v>NFLX</v>
      </c>
      <c r="C50" s="88" t="s">
        <v>131</v>
      </c>
      <c r="D50" s="88" t="s">
        <v>115</v>
      </c>
      <c r="E50" s="11" t="str">
        <f t="array" aca="1" ref="E50" ca="1">_FV(A50,"Abreviatura de intercambio",TRUE())</f>
        <v>XNAS</v>
      </c>
      <c r="F50" s="11" t="str">
        <f t="array" aca="1" ref="F50" ca="1">_FV(A50,"Moneda")</f>
        <v>USD</v>
      </c>
      <c r="G50" s="12">
        <f t="array" aca="1" ref="G50" ca="1">_FV(A50,"Precio")</f>
        <v>88.97</v>
      </c>
      <c r="H50" s="13">
        <f t="array" aca="1" ref="H50" ca="1">_FV(A50,"Acciones en circulación",TRUE())/1000000</f>
        <v>4210.7979999999998</v>
      </c>
      <c r="I50" s="14">
        <f t="shared" ca="1" si="25"/>
        <v>374634.69805999997</v>
      </c>
      <c r="J50" s="90">
        <v>0.5</v>
      </c>
      <c r="K50" s="90">
        <v>6.5</v>
      </c>
      <c r="L50" s="90">
        <v>2</v>
      </c>
      <c r="M50" s="90">
        <v>0.5</v>
      </c>
      <c r="N50" s="90">
        <v>-0.5</v>
      </c>
      <c r="O50" s="90">
        <f>4.1/5</f>
        <v>0.82</v>
      </c>
      <c r="P50" s="90">
        <v>1</v>
      </c>
      <c r="Q50" s="90">
        <v>0</v>
      </c>
      <c r="R50" s="15">
        <f t="shared" si="28"/>
        <v>10.82</v>
      </c>
      <c r="S50" s="16">
        <f t="shared" si="29"/>
        <v>6.36</v>
      </c>
      <c r="T50" s="90">
        <v>14.5</v>
      </c>
      <c r="U50" s="90">
        <v>17</v>
      </c>
      <c r="V50" s="90">
        <v>14</v>
      </c>
      <c r="W50" s="90">
        <v>8</v>
      </c>
      <c r="X50" s="90">
        <v>6.5</v>
      </c>
      <c r="Y50" s="90">
        <v>12</v>
      </c>
      <c r="Z50" s="90">
        <v>7</v>
      </c>
      <c r="AA50" s="90">
        <v>-18</v>
      </c>
      <c r="AB50" s="15">
        <f t="shared" si="30"/>
        <v>61</v>
      </c>
      <c r="AC50" s="16">
        <f t="shared" si="31"/>
        <v>6.1</v>
      </c>
      <c r="AD50" s="90">
        <v>10</v>
      </c>
      <c r="AE50" s="90">
        <v>-3</v>
      </c>
      <c r="AF50" s="90">
        <v>6.5</v>
      </c>
      <c r="AG50" s="90">
        <v>13</v>
      </c>
      <c r="AH50" s="90">
        <v>2</v>
      </c>
      <c r="AI50" s="90">
        <v>6.5</v>
      </c>
      <c r="AJ50" s="90">
        <v>12.5</v>
      </c>
      <c r="AK50" s="90">
        <v>-6</v>
      </c>
      <c r="AL50" s="15">
        <f t="shared" si="32"/>
        <v>41.5</v>
      </c>
      <c r="AM50" s="16">
        <f t="shared" si="33"/>
        <v>5.93</v>
      </c>
      <c r="AN50" s="17">
        <f t="shared" si="34"/>
        <v>6.13</v>
      </c>
      <c r="AO50" s="18" t="s">
        <v>78</v>
      </c>
      <c r="AP50" s="19">
        <v>12250</v>
      </c>
      <c r="AQ50" s="19">
        <f>1000+13360</f>
        <v>14360</v>
      </c>
      <c r="AR50" s="19">
        <f t="shared" ref="AR50:AR62" ca="1" si="48">I50-AP50+AQ50</f>
        <v>376744.69805999997</v>
      </c>
      <c r="AS50" s="19">
        <v>11900</v>
      </c>
      <c r="AT50" s="19">
        <v>13800</v>
      </c>
      <c r="AU50" s="19">
        <v>14000</v>
      </c>
      <c r="AV50" s="19">
        <v>46900</v>
      </c>
      <c r="AW50" s="20">
        <f t="shared" ca="1" si="35"/>
        <v>31.659218324369746</v>
      </c>
      <c r="AX50" s="20">
        <f t="shared" ca="1" si="36"/>
        <v>26.910335575714285</v>
      </c>
      <c r="AY50" s="20">
        <f t="shared" ca="1" si="37"/>
        <v>8.0329359927505326</v>
      </c>
      <c r="AZ50" s="21">
        <v>28000</v>
      </c>
      <c r="BA50" s="22">
        <f t="shared" si="38"/>
        <v>0.29424307036247332</v>
      </c>
      <c r="BB50" s="22">
        <f t="shared" si="39"/>
        <v>1.675</v>
      </c>
      <c r="BC50" s="23">
        <f t="shared" si="40"/>
        <v>0.49285714285714283</v>
      </c>
      <c r="BD50">
        <v>14500</v>
      </c>
      <c r="BE50" s="23">
        <f t="shared" si="41"/>
        <v>4.0313437399594143E-2</v>
      </c>
      <c r="BF50">
        <v>20000</v>
      </c>
      <c r="BG50" s="23">
        <f t="shared" si="42"/>
        <v>0.10942157365574934</v>
      </c>
      <c r="BH50" s="24">
        <v>17</v>
      </c>
      <c r="BI50" s="24">
        <v>25</v>
      </c>
      <c r="BJ50" s="25">
        <f t="shared" ref="BJ50:BJ60" ca="1" si="49">(BD50*BH50+$AP50-$AQ50)/$H50</f>
        <v>58.038880041265344</v>
      </c>
      <c r="BK50" s="25">
        <f t="shared" ref="BK50:BK60" ca="1" si="50">(BF50*BI50+$AP50-$AQ50)/$H50</f>
        <v>118.24124548363517</v>
      </c>
      <c r="BL50" s="23">
        <f t="shared" ca="1" si="43"/>
        <v>-8.1889220265711438E-2</v>
      </c>
      <c r="BM50" s="23">
        <f t="shared" ca="1" si="44"/>
        <v>7.3696039819969528E-2</v>
      </c>
      <c r="BN50" s="93" t="s">
        <v>81</v>
      </c>
      <c r="BO50" s="93" t="s">
        <v>250</v>
      </c>
      <c r="BP50" s="93" t="s">
        <v>194</v>
      </c>
    </row>
    <row r="51" spans="1:68" ht="15" customHeight="1" ns3:dyDescent="0.25">
      <c r="A51" s="86" t="e" vm="48">
        <v>#VALUE!</v>
      </c>
      <c r="B51" s="10" t="str">
        <f t="array" aca="1" ref="B51" ca="1">_FV(A51,"Símbolo bursátil",TRUE())</f>
        <v>NKE</v>
      </c>
      <c r="C51" s="88" t="s">
        <v>131</v>
      </c>
      <c r="D51" s="88" t="s">
        <v>239</v>
      </c>
      <c r="E51" s="11" t="str">
        <f t="array" aca="1" ref="E51" ca="1">_FV(A51,"Abreviatura de intercambio",TRUE())</f>
        <v>XNYS</v>
      </c>
      <c r="F51" s="11" t="str">
        <f t="array" aca="1" ref="F51" ca="1">_FV(A51,"Moneda")</f>
        <v>USD</v>
      </c>
      <c r="G51" s="12">
        <f t="array" aca="1" ref="G51" ca="1">_FV(A51,"Precio")</f>
        <v>42.277900000000002</v>
      </c>
      <c r="H51" s="13">
        <f t="array" aca="1" ref="H51" ca="1">_FV(A51,"Acciones en circulación",TRUE())/1000000</f>
        <v>1480.8869999999999</v>
      </c>
      <c r="I51" s="14">
        <f t="shared" ca="1" si="25"/>
        <v>62608.792497300004</v>
      </c>
      <c r="J51" s="91">
        <v>0</v>
      </c>
      <c r="K51" s="91">
        <v>5</v>
      </c>
      <c r="L51" s="91">
        <v>1</v>
      </c>
      <c r="M51" s="91">
        <v>0</v>
      </c>
      <c r="N51" s="91">
        <v>0</v>
      </c>
      <c r="O51" s="91">
        <v>0</v>
      </c>
      <c r="P51" s="91">
        <v>1</v>
      </c>
      <c r="Q51" s="91">
        <v>0</v>
      </c>
      <c r="R51" s="26">
        <f t="shared" si="28"/>
        <v>7</v>
      </c>
      <c r="S51" s="16">
        <f t="shared" si="29"/>
        <v>4.12</v>
      </c>
      <c r="T51" s="91">
        <v>10</v>
      </c>
      <c r="U51" s="91">
        <v>13</v>
      </c>
      <c r="V51" s="91">
        <v>8</v>
      </c>
      <c r="W51" s="91">
        <v>7</v>
      </c>
      <c r="X51" s="91">
        <v>6</v>
      </c>
      <c r="Y51" s="91">
        <v>9</v>
      </c>
      <c r="Z51" s="91">
        <v>5</v>
      </c>
      <c r="AA51" s="91">
        <v>-10</v>
      </c>
      <c r="AB51" s="26">
        <f t="shared" si="30"/>
        <v>48</v>
      </c>
      <c r="AC51" s="16">
        <f t="shared" si="31"/>
        <v>4.8</v>
      </c>
      <c r="AD51" s="91">
        <v>11</v>
      </c>
      <c r="AE51" s="91">
        <v>-2</v>
      </c>
      <c r="AF51" s="91">
        <v>7</v>
      </c>
      <c r="AG51" s="91">
        <v>9</v>
      </c>
      <c r="AH51" s="91">
        <v>3</v>
      </c>
      <c r="AI51" s="91">
        <v>6</v>
      </c>
      <c r="AJ51" s="91">
        <v>10</v>
      </c>
      <c r="AK51" s="91">
        <v>-4</v>
      </c>
      <c r="AL51" s="26">
        <f t="shared" si="32"/>
        <v>40</v>
      </c>
      <c r="AM51" s="16">
        <f t="shared" si="33"/>
        <v>5.71</v>
      </c>
      <c r="AN51" s="17">
        <f t="shared" si="34"/>
        <v>4.88</v>
      </c>
      <c r="AO51" s="18" t="s">
        <v>78</v>
      </c>
      <c r="AP51" s="19">
        <v>8000</v>
      </c>
      <c r="AQ51" s="19">
        <v>9500</v>
      </c>
      <c r="AR51" s="19">
        <f t="shared" ca="1" si="48"/>
        <v>64108.792497300004</v>
      </c>
      <c r="AS51" s="19">
        <v>5000</v>
      </c>
      <c r="AT51" s="19">
        <v>4800</v>
      </c>
      <c r="AU51" s="19">
        <v>7500</v>
      </c>
      <c r="AV51" s="19">
        <v>51000</v>
      </c>
      <c r="AW51" s="20">
        <f t="shared" ca="1" si="35"/>
        <v>12.821758499460001</v>
      </c>
      <c r="AX51" s="20">
        <f t="shared" ca="1" si="36"/>
        <v>8.5478389996399997</v>
      </c>
      <c r="AY51" s="20">
        <f t="shared" ca="1" si="37"/>
        <v>1.2570351470058825</v>
      </c>
      <c r="AZ51" s="21">
        <v>20000</v>
      </c>
      <c r="BA51" s="22">
        <f t="shared" si="38"/>
        <v>9.4117647058823528E-2</v>
      </c>
      <c r="BB51" s="22">
        <f t="shared" si="39"/>
        <v>2.5499999999999998</v>
      </c>
      <c r="BC51" s="23">
        <f t="shared" si="40"/>
        <v>0.24</v>
      </c>
      <c r="BD51" t="s">
        <v>251</v>
      </c>
      <c r="BE51" s="23">
        <f t="shared" si="41"/>
        <v>0</v>
      </c>
      <c r="BF51" t="s">
        <v>252</v>
      </c>
      <c r="BG51" s="23">
        <f t="shared" si="42"/>
        <v>8.9996605927845197E-2</v>
      </c>
      <c r="BH51" s="24">
        <v>14</v>
      </c>
      <c r="BI51" s="24">
        <v>21</v>
      </c>
      <c r="BJ51" s="25">
        <f t="shared" ca="1" si="49"/>
        <v>46.256061401038707</v>
      </c>
      <c r="BK51" s="25">
        <f t="shared" ca="1" si="50"/>
        <v>108.07914445869267</v>
      </c>
      <c r="BL51" s="23">
        <f t="shared" ca="1" si="43"/>
        <v>1.8148319386931622E-2</v>
      </c>
      <c r="BM51" s="23">
        <f t="shared" ca="1" si="44"/>
        <v>0.2644659027112839</v>
      </c>
      <c r="BN51" s="93" t="s">
        <v>81</v>
      </c>
      <c r="BO51" s="93" t="s">
        <v>230</v>
      </c>
      <c r="BP51" s="93" t="s">
        <v>253</v>
      </c>
    </row>
    <row r="52" spans="1:68" ht="15" customHeight="1" ns3:dyDescent="0.25">
      <c r="A52" s="86" t="e" vm="49">
        <v>#VALUE!</v>
      </c>
      <c r="B52" s="10" t="str">
        <f t="array" aca="1" ref="B52" ca="1">_FV(A52,"Símbolo bursátil",TRUE())</f>
        <v>MIPS</v>
      </c>
      <c r="C52" s="88" t="s">
        <v>119</v>
      </c>
      <c r="D52" s="88" t="s">
        <v>77</v>
      </c>
      <c r="E52" s="11" t="str">
        <f t="array" aca="1" ref="E52" ca="1">_FV(A52,"Abreviatura de intercambio",TRUE())</f>
        <v>XSTO</v>
      </c>
      <c r="F52" s="11" t="str">
        <f t="array" aca="1" ref="F52" ca="1">_FV(A52,"Moneda")</f>
        <v>SEK</v>
      </c>
      <c r="G52" s="12">
        <f t="array" aca="1" ref="G52" ca="1">_FV(A52,"Precio")</f>
        <v>251</v>
      </c>
      <c r="H52" s="13">
        <f t="array" aca="1" ref="H52" ca="1">_FV(A52,"Acciones en circulación",TRUE())/1000000</f>
        <v>26.491119999999999</v>
      </c>
      <c r="I52" s="14">
        <f t="shared" ca="1" si="25"/>
        <v>6649.2711199999994</v>
      </c>
      <c r="J52" s="90">
        <v>2</v>
      </c>
      <c r="K52" s="90">
        <v>4</v>
      </c>
      <c r="L52" s="90">
        <v>2</v>
      </c>
      <c r="M52" s="90">
        <v>0</v>
      </c>
      <c r="N52" s="90">
        <v>-1</v>
      </c>
      <c r="O52" s="90">
        <v>0</v>
      </c>
      <c r="P52" s="90">
        <v>0</v>
      </c>
      <c r="Q52" s="90">
        <v>0</v>
      </c>
      <c r="R52" s="15">
        <f t="shared" si="28"/>
        <v>7</v>
      </c>
      <c r="S52" s="16">
        <f t="shared" si="29"/>
        <v>4.12</v>
      </c>
      <c r="T52" s="90">
        <v>11</v>
      </c>
      <c r="U52" s="90">
        <v>11</v>
      </c>
      <c r="V52" s="90">
        <v>10</v>
      </c>
      <c r="W52" s="90">
        <v>6</v>
      </c>
      <c r="X52" s="90">
        <v>6</v>
      </c>
      <c r="Y52" s="90">
        <v>9</v>
      </c>
      <c r="Z52" s="90">
        <v>4</v>
      </c>
      <c r="AA52" s="90">
        <v>-12</v>
      </c>
      <c r="AB52" s="15">
        <f t="shared" si="30"/>
        <v>45</v>
      </c>
      <c r="AC52" s="16">
        <f t="shared" si="31"/>
        <v>4.5</v>
      </c>
      <c r="AD52" s="90">
        <v>10</v>
      </c>
      <c r="AE52" s="90">
        <v>-3</v>
      </c>
      <c r="AF52" s="90">
        <v>9</v>
      </c>
      <c r="AG52" s="90">
        <v>9</v>
      </c>
      <c r="AH52" s="90">
        <v>3</v>
      </c>
      <c r="AI52" s="90">
        <v>6</v>
      </c>
      <c r="AJ52" s="90">
        <v>9</v>
      </c>
      <c r="AK52" s="90">
        <v>-5</v>
      </c>
      <c r="AL52" s="15">
        <f t="shared" si="32"/>
        <v>38</v>
      </c>
      <c r="AM52" s="16">
        <f t="shared" si="33"/>
        <v>5.43</v>
      </c>
      <c r="AN52" s="17">
        <f t="shared" si="34"/>
        <v>4.68</v>
      </c>
      <c r="AO52" s="18" t="s">
        <v>149</v>
      </c>
      <c r="AP52" s="19">
        <v>180</v>
      </c>
      <c r="AQ52" s="19">
        <v>0</v>
      </c>
      <c r="AR52" s="19">
        <f t="shared" ca="1" si="48"/>
        <v>6469.2711199999994</v>
      </c>
      <c r="AS52" s="19">
        <v>118</v>
      </c>
      <c r="AT52" s="19">
        <v>143</v>
      </c>
      <c r="AU52" s="19">
        <v>182</v>
      </c>
      <c r="AV52" s="19">
        <v>485</v>
      </c>
      <c r="AW52" s="20">
        <f t="shared" ca="1" si="35"/>
        <v>54.824331525423723</v>
      </c>
      <c r="AX52" s="20">
        <f t="shared" ca="1" si="36"/>
        <v>35.545445714285712</v>
      </c>
      <c r="AY52" s="20">
        <f t="shared" ca="1" si="37"/>
        <v>13.338703340206184</v>
      </c>
      <c r="AZ52" s="21">
        <v>350</v>
      </c>
      <c r="BA52" s="22">
        <f t="shared" si="38"/>
        <v>0.29484536082474228</v>
      </c>
      <c r="BB52" s="22">
        <f t="shared" si="39"/>
        <v>1.3857142857142857</v>
      </c>
      <c r="BC52" s="23">
        <f t="shared" si="40"/>
        <v>0.40857142857142859</v>
      </c>
      <c r="BD52" t="s">
        <v>254</v>
      </c>
      <c r="BE52" s="23">
        <f t="shared" si="41"/>
        <v>5.0338114975041481E-3</v>
      </c>
      <c r="BF52" t="s">
        <v>135</v>
      </c>
      <c r="BG52" s="23">
        <f t="shared" si="42"/>
        <v>0.16386794389255699</v>
      </c>
      <c r="BH52" s="24">
        <v>17.5</v>
      </c>
      <c r="BI52" s="24">
        <v>22.5</v>
      </c>
      <c r="BJ52" s="25">
        <f t="shared" ca="1" si="49"/>
        <v>86.727174992978789</v>
      </c>
      <c r="BK52" s="25">
        <f t="shared" ca="1" si="50"/>
        <v>220.82871543370007</v>
      </c>
      <c r="BL52" s="23">
        <f t="shared" ca="1" si="43"/>
        <v>-0.19146970777908034</v>
      </c>
      <c r="BM52" s="23">
        <f t="shared" ca="1" si="44"/>
        <v>-3.1509296795454111E-2</v>
      </c>
      <c r="BN52" s="93" t="s">
        <v>81</v>
      </c>
      <c r="BO52" s="93" t="s">
        <v>255</v>
      </c>
      <c r="BP52" s="93" t="s">
        <v>194</v>
      </c>
    </row>
    <row r="53" spans="1:68" ht="15" customHeight="1" ns3:dyDescent="0.25">
      <c r="A53" s="86" t="e" vm="50">
        <v>#VALUE!</v>
      </c>
      <c r="B53" s="10" t="str">
        <f t="array" aca="1" ref="B53" ca="1">_FV(A53,"Símbolo bursátil",TRUE())</f>
        <v>FERG</v>
      </c>
      <c r="C53" s="88" t="s">
        <v>199</v>
      </c>
      <c r="D53" s="88" t="s">
        <v>100</v>
      </c>
      <c r="E53" s="11" t="str">
        <f t="array" aca="1" ref="E53" ca="1">_FV(A53,"Abreviatura de intercambio",TRUE())</f>
        <v>XNYS</v>
      </c>
      <c r="F53" s="11" t="str">
        <f t="array" aca="1" ref="F53" ca="1">_FV(A53,"Moneda")</f>
        <v>USD</v>
      </c>
      <c r="G53" s="12">
        <f t="array" aca="1" ref="G53" ca="1">_FV(A53,"Precio")</f>
        <v>220.89500000000001</v>
      </c>
      <c r="H53" s="13">
        <f t="array" aca="1" ref="H53" ca="1">_FV(A53,"Acciones en circulación",TRUE())/1000000</f>
        <v>193.93780000000001</v>
      </c>
      <c r="I53" s="14">
        <f t="shared" ca="1" si="25"/>
        <v>42839.890331000002</v>
      </c>
      <c r="J53" s="91">
        <v>0</v>
      </c>
      <c r="K53" s="91">
        <v>4</v>
      </c>
      <c r="L53" s="91">
        <v>1</v>
      </c>
      <c r="M53" s="91">
        <v>0</v>
      </c>
      <c r="N53" s="91">
        <v>0</v>
      </c>
      <c r="O53" s="91">
        <v>0</v>
      </c>
      <c r="P53" s="91">
        <v>0</v>
      </c>
      <c r="Q53" s="91">
        <v>0</v>
      </c>
      <c r="R53" s="26">
        <f t="shared" si="28"/>
        <v>5</v>
      </c>
      <c r="S53" s="16">
        <f t="shared" si="29"/>
        <v>2.94</v>
      </c>
      <c r="T53" s="91">
        <v>12</v>
      </c>
      <c r="U53" s="91">
        <v>11</v>
      </c>
      <c r="V53" s="91">
        <v>10</v>
      </c>
      <c r="W53" s="91">
        <v>9</v>
      </c>
      <c r="X53" s="91">
        <v>7</v>
      </c>
      <c r="Y53" s="91">
        <v>10</v>
      </c>
      <c r="Z53" s="91">
        <v>4</v>
      </c>
      <c r="AA53" s="91">
        <v>-8</v>
      </c>
      <c r="AB53" s="26">
        <f t="shared" si="30"/>
        <v>55</v>
      </c>
      <c r="AC53" s="16">
        <f t="shared" si="31"/>
        <v>5.5</v>
      </c>
      <c r="AD53" s="91">
        <v>11</v>
      </c>
      <c r="AE53" s="91">
        <v>-2</v>
      </c>
      <c r="AF53" s="91">
        <v>5</v>
      </c>
      <c r="AG53" s="91">
        <v>10</v>
      </c>
      <c r="AH53" s="91">
        <v>3</v>
      </c>
      <c r="AI53" s="91">
        <v>7</v>
      </c>
      <c r="AJ53" s="91">
        <v>9</v>
      </c>
      <c r="AK53" s="91">
        <v>-4</v>
      </c>
      <c r="AL53" s="26">
        <f t="shared" si="32"/>
        <v>39</v>
      </c>
      <c r="AM53" s="16">
        <f t="shared" si="33"/>
        <v>5.57</v>
      </c>
      <c r="AN53" s="17">
        <f t="shared" si="34"/>
        <v>4.67</v>
      </c>
      <c r="AO53" s="18" t="s">
        <v>78</v>
      </c>
      <c r="AP53" s="19">
        <v>450</v>
      </c>
      <c r="AQ53" s="19">
        <v>4000</v>
      </c>
      <c r="AR53" s="19">
        <f t="shared" ca="1" si="48"/>
        <v>46389.890331000002</v>
      </c>
      <c r="AS53" s="19">
        <v>2400</v>
      </c>
      <c r="AT53" s="19">
        <v>2800</v>
      </c>
      <c r="AU53" s="19">
        <v>3700</v>
      </c>
      <c r="AV53" s="19">
        <v>30000</v>
      </c>
      <c r="AW53" s="20">
        <f t="shared" ca="1" si="35"/>
        <v>19.329120971250003</v>
      </c>
      <c r="AX53" s="20">
        <f t="shared" ca="1" si="36"/>
        <v>12.537808197567568</v>
      </c>
      <c r="AY53" s="20">
        <f t="shared" ca="1" si="37"/>
        <v>1.5463296777000002</v>
      </c>
      <c r="AZ53" s="21">
        <v>12000</v>
      </c>
      <c r="BA53" s="22">
        <f t="shared" si="38"/>
        <v>9.3333333333333338E-2</v>
      </c>
      <c r="BB53" s="22">
        <f t="shared" si="39"/>
        <v>2.5</v>
      </c>
      <c r="BC53" s="23">
        <f t="shared" si="40"/>
        <v>0.23333333333333334</v>
      </c>
      <c r="BD53" t="s">
        <v>256</v>
      </c>
      <c r="BE53" s="23">
        <f t="shared" si="41"/>
        <v>9.966033447608158E-3</v>
      </c>
      <c r="BF53" t="s">
        <v>257</v>
      </c>
      <c r="BG53" s="23">
        <f t="shared" si="42"/>
        <v>0.10999233818109388</v>
      </c>
      <c r="BH53" s="24">
        <v>12</v>
      </c>
      <c r="BI53" s="24">
        <v>18</v>
      </c>
      <c r="BJ53" s="25">
        <f t="shared" ca="1" si="49"/>
        <v>137.74519459331805</v>
      </c>
      <c r="BK53" s="25">
        <f t="shared" ca="1" si="50"/>
        <v>357.03199685672416</v>
      </c>
      <c r="BL53" s="23">
        <f t="shared" ca="1" si="43"/>
        <v>-9.0132580198095114E-2</v>
      </c>
      <c r="BM53" s="23">
        <f t="shared" ca="1" si="44"/>
        <v>0.12753573096805093</v>
      </c>
      <c r="BN53" s="93" t="s">
        <v>81</v>
      </c>
      <c r="BO53" s="93" t="s">
        <v>258</v>
      </c>
      <c r="BP53" s="93" t="s">
        <v>180</v>
      </c>
    </row>
    <row r="54" spans="1:68" ht="15" customHeight="1" ns3:dyDescent="0.25">
      <c r="A54" s="86" t="e" vm="51">
        <v>#VALUE!</v>
      </c>
      <c r="B54" s="10" t="str">
        <f t="array" aca="1" ref="B54" ca="1">_FV(A54,"Símbolo bursátil",TRUE())</f>
        <v>S</v>
      </c>
      <c r="C54" s="88" t="s">
        <v>114</v>
      </c>
      <c r="D54" s="88" t="s">
        <v>115</v>
      </c>
      <c r="E54" s="11" t="str">
        <f t="array" aca="1" ref="E54" ca="1">_FV(A54,"Abreviatura de intercambio",TRUE())</f>
        <v>XNYS</v>
      </c>
      <c r="F54" s="11" t="str">
        <f t="array" aca="1" ref="F54" ca="1">_FV(A54,"Moneda")</f>
        <v>USD</v>
      </c>
      <c r="G54" s="12">
        <f t="array" aca="1" ref="G54" ca="1">_FV(A54,"Precio")</f>
        <v>17.53</v>
      </c>
      <c r="H54" s="13">
        <f t="array" aca="1" ref="H54" ca="1">_FV(A54,"Acciones en circulación",TRUE())/1000000</f>
        <v>341.4821</v>
      </c>
      <c r="I54" s="14">
        <f t="shared" ca="1" si="25"/>
        <v>5986.1812130000008</v>
      </c>
      <c r="J54" s="90">
        <v>1</v>
      </c>
      <c r="K54" s="90">
        <v>4</v>
      </c>
      <c r="L54" s="90">
        <v>2</v>
      </c>
      <c r="M54" s="90">
        <v>-1</v>
      </c>
      <c r="N54" s="90">
        <v>0</v>
      </c>
      <c r="O54" s="90">
        <v>0</v>
      </c>
      <c r="P54" s="90">
        <v>1</v>
      </c>
      <c r="Q54" s="90">
        <v>0</v>
      </c>
      <c r="R54" s="15">
        <f t="shared" si="28"/>
        <v>7</v>
      </c>
      <c r="S54" s="16">
        <f t="shared" si="29"/>
        <v>4.12</v>
      </c>
      <c r="T54" s="90">
        <v>6</v>
      </c>
      <c r="U54" s="90">
        <v>10</v>
      </c>
      <c r="V54" s="90">
        <v>15</v>
      </c>
      <c r="W54" s="90">
        <v>7</v>
      </c>
      <c r="X54" s="90">
        <v>7</v>
      </c>
      <c r="Y54" s="90">
        <v>9</v>
      </c>
      <c r="Z54" s="90">
        <v>5</v>
      </c>
      <c r="AA54" s="90">
        <v>-18</v>
      </c>
      <c r="AB54" s="15">
        <f t="shared" si="30"/>
        <v>41</v>
      </c>
      <c r="AC54" s="16">
        <f t="shared" si="31"/>
        <v>4.0999999999999996</v>
      </c>
      <c r="AD54" s="90">
        <v>9</v>
      </c>
      <c r="AE54" s="90">
        <v>-5</v>
      </c>
      <c r="AF54" s="90">
        <v>7</v>
      </c>
      <c r="AG54" s="90">
        <v>7</v>
      </c>
      <c r="AH54" s="90">
        <v>0</v>
      </c>
      <c r="AI54" s="90">
        <v>6</v>
      </c>
      <c r="AJ54" s="90">
        <v>9</v>
      </c>
      <c r="AK54" s="90">
        <v>-8</v>
      </c>
      <c r="AL54" s="15">
        <f t="shared" si="32"/>
        <v>25</v>
      </c>
      <c r="AM54" s="16">
        <f t="shared" si="33"/>
        <v>3.57</v>
      </c>
      <c r="AN54" s="17">
        <f t="shared" si="34"/>
        <v>3.93</v>
      </c>
      <c r="AO54" s="18" t="s">
        <v>78</v>
      </c>
      <c r="AP54" s="19">
        <v>1100</v>
      </c>
      <c r="AQ54" s="19">
        <v>0</v>
      </c>
      <c r="AR54" s="19">
        <f t="shared" ca="1" si="48"/>
        <v>4886.1812130000008</v>
      </c>
      <c r="AS54" s="19">
        <v>50</v>
      </c>
      <c r="AT54" s="19">
        <v>-20</v>
      </c>
      <c r="AU54" s="19">
        <v>10</v>
      </c>
      <c r="AV54" s="19">
        <v>815</v>
      </c>
      <c r="AW54" s="20">
        <f t="shared" ca="1" si="35"/>
        <v>97.723624260000008</v>
      </c>
      <c r="AX54" s="20">
        <f t="shared" ca="1" si="36"/>
        <v>488.6181213000001</v>
      </c>
      <c r="AY54" s="20">
        <f t="shared" ca="1" si="37"/>
        <v>5.9953143717791422</v>
      </c>
      <c r="AZ54" s="21">
        <v>1500</v>
      </c>
      <c r="BA54" s="22">
        <f t="shared" si="38"/>
        <v>-2.4539877300613498E-2</v>
      </c>
      <c r="BB54" s="22">
        <f t="shared" si="39"/>
        <v>0.54333333333333333</v>
      </c>
      <c r="BC54" s="23">
        <f t="shared" si="40"/>
        <v>-1.3333333333333334E-2</v>
      </c>
      <c r="BD54" t="s">
        <v>259</v>
      </c>
      <c r="BE54" s="23">
        <f t="shared" si="41"/>
        <v>7.8625221439269977E-2</v>
      </c>
      <c r="BF54" t="s">
        <v>260</v>
      </c>
      <c r="BG54" s="23">
        <f t="shared" si="42"/>
        <v>0.30049470405023282</v>
      </c>
      <c r="BH54" s="24">
        <v>18</v>
      </c>
      <c r="BI54" s="24">
        <v>26</v>
      </c>
      <c r="BJ54" s="25">
        <f t="shared" ca="1" si="49"/>
        <v>7.0691845926916814</v>
      </c>
      <c r="BK54" s="25">
        <f t="shared" ca="1" si="50"/>
        <v>17.383048774738118</v>
      </c>
      <c r="BL54" s="23">
        <f t="shared" ca="1" si="43"/>
        <v>-0.1660932653387287</v>
      </c>
      <c r="BM54" s="23">
        <f t="shared" ca="1" si="44"/>
        <v>-2.1023309776532217E-3</v>
      </c>
      <c r="BN54" t="inlineStr">
        <is>
          <t>2026-06-10</t>
        </is>
      </c>
      <c r="BO54" t="inlineStr">
        <is>
          <t>28/05/2026</t>
        </is>
      </c>
      <c r="BP54" t="inlineStr">
        <is>
          <t>27/08/2026</t>
        </is>
      </c>
    </row>
    <row r="55" spans="1:68" ht="15" customHeight="1" ns3:dyDescent="0.25">
      <c r="A55" s="86" t="e" vm="52">
        <v>#VALUE!</v>
      </c>
      <c r="B55" s="10" t="str">
        <f t="array" aca="1" ref="B55" ca="1">_FV(A55,"Símbolo bursátil",TRUE())</f>
        <v>TREX</v>
      </c>
      <c r="C55" s="88" t="s">
        <v>199</v>
      </c>
      <c r="D55" s="88" t="s">
        <v>77</v>
      </c>
      <c r="E55" s="11" t="str">
        <f t="array" aca="1" ref="E55" ca="1">_FV(A55,"Abreviatura de intercambio",TRUE())</f>
        <v>XNYS</v>
      </c>
      <c r="F55" s="11" t="str">
        <f t="array" aca="1" ref="F55" ca="1">_FV(A55,"Moneda")</f>
        <v>USD</v>
      </c>
      <c r="G55" s="12">
        <f t="array" aca="1" ref="G55" ca="1">_FV(A55,"Precio")</f>
        <v>36.57</v>
      </c>
      <c r="H55" s="13">
        <f t="array" aca="1" ref="H55" ca="1">_FV(A55,"Acciones en circulación",TRUE())/1000000</f>
        <v>103.89870000000001</v>
      </c>
      <c r="I55" s="14">
        <f t="shared" ca="1" si="25"/>
        <v>3799.5754590000001</v>
      </c>
      <c r="J55" s="91">
        <v>1</v>
      </c>
      <c r="K55" s="91">
        <v>4</v>
      </c>
      <c r="L55" s="91">
        <v>1</v>
      </c>
      <c r="M55" s="91">
        <v>0</v>
      </c>
      <c r="N55" s="91">
        <v>-1</v>
      </c>
      <c r="O55" s="91">
        <v>0</v>
      </c>
      <c r="P55" s="91">
        <v>0</v>
      </c>
      <c r="Q55" s="91">
        <v>0</v>
      </c>
      <c r="R55" s="26">
        <f t="shared" si="28"/>
        <v>5</v>
      </c>
      <c r="S55" s="16">
        <f t="shared" si="29"/>
        <v>2.94</v>
      </c>
      <c r="T55" s="91">
        <v>10</v>
      </c>
      <c r="U55" s="91">
        <v>10</v>
      </c>
      <c r="V55" s="91">
        <v>9</v>
      </c>
      <c r="W55" s="91">
        <v>7</v>
      </c>
      <c r="X55" s="91">
        <v>6</v>
      </c>
      <c r="Y55" s="91">
        <v>9</v>
      </c>
      <c r="Z55" s="91">
        <v>4</v>
      </c>
      <c r="AA55" s="91">
        <v>-11</v>
      </c>
      <c r="AB55" s="26">
        <f t="shared" si="30"/>
        <v>44</v>
      </c>
      <c r="AC55" s="16">
        <f t="shared" si="31"/>
        <v>4.4000000000000004</v>
      </c>
      <c r="AD55" s="91">
        <v>10</v>
      </c>
      <c r="AE55" s="91">
        <v>-3</v>
      </c>
      <c r="AF55" s="91">
        <v>5</v>
      </c>
      <c r="AG55" s="91">
        <v>8</v>
      </c>
      <c r="AH55" s="91">
        <v>2</v>
      </c>
      <c r="AI55" s="91">
        <v>6</v>
      </c>
      <c r="AJ55" s="91">
        <v>8</v>
      </c>
      <c r="AK55" s="91">
        <v>-5</v>
      </c>
      <c r="AL55" s="26">
        <f t="shared" si="32"/>
        <v>31</v>
      </c>
      <c r="AM55" s="16">
        <f t="shared" si="33"/>
        <v>4.43</v>
      </c>
      <c r="AN55" s="17">
        <f t="shared" si="34"/>
        <v>3.92</v>
      </c>
      <c r="AO55" s="18" t="s">
        <v>78</v>
      </c>
      <c r="AP55" s="19">
        <v>50</v>
      </c>
      <c r="AQ55" s="19">
        <v>150</v>
      </c>
      <c r="AR55" s="19">
        <f t="shared" ca="1" si="48"/>
        <v>3899.5754590000001</v>
      </c>
      <c r="AS55" s="19">
        <v>190</v>
      </c>
      <c r="AT55" s="19">
        <v>190</v>
      </c>
      <c r="AU55" s="19">
        <v>270</v>
      </c>
      <c r="AV55" s="19">
        <v>1100</v>
      </c>
      <c r="AW55" s="20">
        <f t="shared" ca="1" si="35"/>
        <v>20.524081363157894</v>
      </c>
      <c r="AX55" s="20">
        <f t="shared" ca="1" si="36"/>
        <v>14.44287207037037</v>
      </c>
      <c r="AY55" s="20">
        <f t="shared" ca="1" si="37"/>
        <v>3.5450685990909094</v>
      </c>
      <c r="AZ55" s="21">
        <v>900</v>
      </c>
      <c r="BA55" s="22">
        <f t="shared" si="38"/>
        <v>0.17272727272727273</v>
      </c>
      <c r="BB55" s="22">
        <f t="shared" si="39"/>
        <v>1.2222222222222223</v>
      </c>
      <c r="BC55" s="23">
        <f t="shared" si="40"/>
        <v>0.21111111111111114</v>
      </c>
      <c r="BD55" t="s">
        <v>262</v>
      </c>
      <c r="BE55" s="23">
        <f t="shared" si="41"/>
        <v>0</v>
      </c>
      <c r="BF55" t="s">
        <v>263</v>
      </c>
      <c r="BG55" s="23">
        <f t="shared" si="42"/>
        <v>0.1401066974124392</v>
      </c>
      <c r="BH55" s="24">
        <v>12</v>
      </c>
      <c r="BI55" s="24">
        <v>18</v>
      </c>
      <c r="BJ55" s="25">
        <f t="shared" ca="1" si="49"/>
        <v>20.981975712881873</v>
      </c>
      <c r="BK55" s="25">
        <f t="shared" ca="1" si="50"/>
        <v>62.445439644576879</v>
      </c>
      <c r="BL55" s="23">
        <f t="shared" ca="1" si="43"/>
        <v>-0.10516227721852367</v>
      </c>
      <c r="BM55" s="23">
        <f t="shared" ca="1" si="44"/>
        <v>0.14312557641689128</v>
      </c>
      <c r="BN55" s="93" t="s">
        <v>81</v>
      </c>
      <c r="BO55" s="93" t="s">
        <v>264</v>
      </c>
      <c r="BP55" s="93" t="s">
        <v>158</v>
      </c>
    </row>
    <row r="56" spans="1:68" ht="15" customHeight="1" ns3:dyDescent="0.25">
      <c r="A56" s="86" t="e" vm="53">
        <v>#VALUE!</v>
      </c>
      <c r="B56" s="10" t="str">
        <f t="array" aca="1" ref="B56" ca="1">_FV(A56,"Símbolo bursátil",TRUE())</f>
        <v>SGO</v>
      </c>
      <c r="C56" s="88" t="s">
        <v>199</v>
      </c>
      <c r="D56" s="88" t="s">
        <v>239</v>
      </c>
      <c r="E56" s="11" t="str">
        <f t="array" aca="1" ref="E56" ca="1">_FV(A56,"Abreviatura de intercambio",TRUE())</f>
        <v>XPAR</v>
      </c>
      <c r="F56" s="11" t="str">
        <f t="array" aca="1" ref="F56" ca="1">_FV(A56,"Moneda")</f>
        <v>EUR</v>
      </c>
      <c r="G56" s="12">
        <f t="array" aca="1" ref="G56" ca="1">_FV(A56,"Precio")</f>
        <v>73.02</v>
      </c>
      <c r="H56" s="13">
        <f t="array" aca="1" ref="H56" ca="1">_FV(A56,"Acciones en circulación",TRUE())/1000000</f>
        <v>494.82530000000003</v>
      </c>
      <c r="I56" s="14">
        <f t="shared" ca="1" si="25"/>
        <v>36132.143406000003</v>
      </c>
      <c r="J56" s="90">
        <v>0</v>
      </c>
      <c r="K56" s="90">
        <v>4</v>
      </c>
      <c r="L56" s="90">
        <v>1</v>
      </c>
      <c r="M56" s="90">
        <v>0</v>
      </c>
      <c r="N56" s="90">
        <v>0</v>
      </c>
      <c r="O56" s="90">
        <v>0</v>
      </c>
      <c r="P56" s="90">
        <v>0</v>
      </c>
      <c r="Q56" s="90">
        <v>0</v>
      </c>
      <c r="R56" s="15">
        <f t="shared" si="28"/>
        <v>5</v>
      </c>
      <c r="S56" s="16">
        <f t="shared" si="29"/>
        <v>2.94</v>
      </c>
      <c r="T56" s="90">
        <v>10</v>
      </c>
      <c r="U56" s="90">
        <v>10</v>
      </c>
      <c r="V56" s="90">
        <v>9</v>
      </c>
      <c r="W56" s="90">
        <v>8</v>
      </c>
      <c r="X56" s="90">
        <v>6</v>
      </c>
      <c r="Y56" s="90">
        <v>9</v>
      </c>
      <c r="Z56" s="90">
        <v>4</v>
      </c>
      <c r="AA56" s="90">
        <v>-11</v>
      </c>
      <c r="AB56" s="15">
        <f t="shared" si="30"/>
        <v>45</v>
      </c>
      <c r="AC56" s="16">
        <f t="shared" si="31"/>
        <v>4.5</v>
      </c>
      <c r="AD56" s="90">
        <v>10</v>
      </c>
      <c r="AE56" s="90">
        <v>-3</v>
      </c>
      <c r="AF56" s="90">
        <v>3</v>
      </c>
      <c r="AG56" s="90">
        <v>8</v>
      </c>
      <c r="AH56" s="90">
        <v>1</v>
      </c>
      <c r="AI56" s="90">
        <v>6</v>
      </c>
      <c r="AJ56" s="90">
        <v>8</v>
      </c>
      <c r="AK56" s="90">
        <v>-6</v>
      </c>
      <c r="AL56" s="15">
        <f t="shared" si="32"/>
        <v>27</v>
      </c>
      <c r="AM56" s="16">
        <f t="shared" si="33"/>
        <v>3.86</v>
      </c>
      <c r="AN56" s="17">
        <f t="shared" si="34"/>
        <v>3.77</v>
      </c>
      <c r="AO56" s="18" t="s">
        <v>90</v>
      </c>
      <c r="AP56" s="19">
        <v>6500</v>
      </c>
      <c r="AQ56" s="19">
        <v>15000</v>
      </c>
      <c r="AR56" s="19">
        <f t="shared" ca="1" si="48"/>
        <v>44632.143406000003</v>
      </c>
      <c r="AS56" s="19">
        <v>2400</v>
      </c>
      <c r="AT56" s="19">
        <v>3000</v>
      </c>
      <c r="AU56" s="19">
        <v>6800</v>
      </c>
      <c r="AV56" s="19">
        <v>46600</v>
      </c>
      <c r="AW56" s="20">
        <f t="shared" ca="1" si="35"/>
        <v>18.596726419166668</v>
      </c>
      <c r="AX56" s="20">
        <f t="shared" ca="1" si="36"/>
        <v>6.5635505008823536</v>
      </c>
      <c r="AY56" s="20">
        <f t="shared" ca="1" si="37"/>
        <v>0.95777131772532198</v>
      </c>
      <c r="AZ56" s="21">
        <v>28000</v>
      </c>
      <c r="BA56" s="22">
        <f t="shared" si="38"/>
        <v>6.4377682403433473E-2</v>
      </c>
      <c r="BB56" s="22">
        <f t="shared" si="39"/>
        <v>1.6642857142857144</v>
      </c>
      <c r="BC56" s="23">
        <f t="shared" si="40"/>
        <v>0.10714285714285714</v>
      </c>
      <c r="BD56" t="s">
        <v>256</v>
      </c>
      <c r="BE56" s="23">
        <f t="shared" si="41"/>
        <v>9.966033447608158E-3</v>
      </c>
      <c r="BF56" t="s">
        <v>265</v>
      </c>
      <c r="BG56" s="23">
        <f t="shared" si="42"/>
        <v>9.001785812014429E-2</v>
      </c>
      <c r="BH56" s="24">
        <v>12</v>
      </c>
      <c r="BI56" s="24">
        <v>16</v>
      </c>
      <c r="BJ56" s="25">
        <f t="shared" ca="1" si="49"/>
        <v>43.983199727257272</v>
      </c>
      <c r="BK56" s="25">
        <f t="shared" ca="1" si="50"/>
        <v>102.23406119290989</v>
      </c>
      <c r="BL56" s="23">
        <f t="shared" ca="1" si="43"/>
        <v>-9.6415029934838081E-2</v>
      </c>
      <c r="BM56" s="23">
        <f t="shared" ca="1" si="44"/>
        <v>8.7773429113617629E-2</v>
      </c>
      <c r="BN56" s="93" t="s">
        <v>81</v>
      </c>
      <c r="BO56" s="93" t="s">
        <v>118</v>
      </c>
      <c r="BP56" s="93" t="s">
        <v>130</v>
      </c>
    </row>
    <row r="57" spans="1:68" ht="15" customHeight="1" ns3:dyDescent="0.25">
      <c r="A57" s="86" t="e" vm="54">
        <v>#VALUE!</v>
      </c>
      <c r="B57" s="10" t="str">
        <f t="array" aca="1" ref="B57" ca="1">_FV(A57,"Símbolo bursátil",TRUE())</f>
        <v>TFF</v>
      </c>
      <c r="C57" s="88" t="s">
        <v>215</v>
      </c>
      <c r="D57" s="88" t="s">
        <v>239</v>
      </c>
      <c r="E57" s="11" t="str">
        <f t="array" aca="1" ref="E57" ca="1">_FV(A57,"Abreviatura de intercambio",TRUE())</f>
        <v>XPAR</v>
      </c>
      <c r="F57" s="11" t="str">
        <f t="array" aca="1" ref="F57" ca="1">_FV(A57,"Moneda")</f>
        <v>EUR</v>
      </c>
      <c r="G57" s="12">
        <f t="array" aca="1" ref="G57" ca="1">_FV(A57,"Precio")</f>
        <v>17</v>
      </c>
      <c r="H57" s="13">
        <f t="array" aca="1" ref="H57" ca="1">_FV(A57,"Acciones en circulación",TRUE())/1000000</f>
        <v>21.68</v>
      </c>
      <c r="I57" s="14">
        <f t="shared" ca="1" si="25"/>
        <v>368.56</v>
      </c>
      <c r="J57" s="91">
        <v>0</v>
      </c>
      <c r="K57" s="91">
        <v>5</v>
      </c>
      <c r="L57" s="91">
        <v>1</v>
      </c>
      <c r="M57" s="91">
        <v>-1</v>
      </c>
      <c r="N57" s="91">
        <v>-2</v>
      </c>
      <c r="O57" s="91">
        <v>0</v>
      </c>
      <c r="P57" s="91">
        <v>0</v>
      </c>
      <c r="Q57" s="91">
        <v>1</v>
      </c>
      <c r="R57" s="26">
        <f t="shared" si="28"/>
        <v>4</v>
      </c>
      <c r="S57" s="16">
        <f t="shared" si="29"/>
        <v>2.35</v>
      </c>
      <c r="T57" s="91">
        <v>7</v>
      </c>
      <c r="U57" s="91">
        <v>11</v>
      </c>
      <c r="V57" s="91">
        <v>7</v>
      </c>
      <c r="W57" s="91">
        <v>6</v>
      </c>
      <c r="X57" s="91">
        <v>5</v>
      </c>
      <c r="Y57" s="91">
        <v>9</v>
      </c>
      <c r="Z57" s="91">
        <v>8</v>
      </c>
      <c r="AA57" s="91">
        <v>-13</v>
      </c>
      <c r="AB57" s="26">
        <f t="shared" si="30"/>
        <v>40</v>
      </c>
      <c r="AC57" s="16">
        <f t="shared" si="31"/>
        <v>4</v>
      </c>
      <c r="AD57" s="91">
        <v>9</v>
      </c>
      <c r="AE57" s="91">
        <v>-4</v>
      </c>
      <c r="AF57" s="91">
        <v>3</v>
      </c>
      <c r="AG57" s="91">
        <v>8</v>
      </c>
      <c r="AH57" s="91">
        <v>-1</v>
      </c>
      <c r="AI57" s="91">
        <v>7</v>
      </c>
      <c r="AJ57" s="91">
        <v>9</v>
      </c>
      <c r="AK57" s="91">
        <v>-6</v>
      </c>
      <c r="AL57" s="26">
        <f t="shared" si="32"/>
        <v>25</v>
      </c>
      <c r="AM57" s="16">
        <f t="shared" si="33"/>
        <v>3.57</v>
      </c>
      <c r="AN57" s="17">
        <f t="shared" si="34"/>
        <v>3.31</v>
      </c>
      <c r="AO57" s="18" t="s">
        <v>90</v>
      </c>
      <c r="AP57" s="19">
        <v>25</v>
      </c>
      <c r="AQ57" s="19">
        <v>365</v>
      </c>
      <c r="AR57" s="19">
        <f t="shared" ca="1" si="48"/>
        <v>708.56</v>
      </c>
      <c r="AS57" s="19">
        <v>25</v>
      </c>
      <c r="AT57" s="19">
        <v>20</v>
      </c>
      <c r="AU57" s="19">
        <v>55</v>
      </c>
      <c r="AV57" s="19">
        <v>320</v>
      </c>
      <c r="AW57" s="20">
        <f t="shared" ca="1" si="35"/>
        <v>28.342399999999998</v>
      </c>
      <c r="AX57" s="20">
        <f t="shared" ca="1" si="36"/>
        <v>12.88290909090909</v>
      </c>
      <c r="AY57" s="20">
        <f t="shared" ca="1" si="37"/>
        <v>2.2142499999999998</v>
      </c>
      <c r="AZ57" s="21">
        <v>500</v>
      </c>
      <c r="BA57" s="22">
        <f t="shared" si="38"/>
        <v>6.25E-2</v>
      </c>
      <c r="BB57" s="22">
        <f t="shared" si="39"/>
        <v>0.64</v>
      </c>
      <c r="BC57" s="23">
        <f t="shared" si="40"/>
        <v>0.04</v>
      </c>
      <c r="BD57" t="s">
        <v>266</v>
      </c>
      <c r="BE57" s="23">
        <f t="shared" si="41"/>
        <v>0</v>
      </c>
      <c r="BF57" t="s">
        <v>267</v>
      </c>
      <c r="BG57" s="23">
        <f t="shared" si="42"/>
        <v>0.11970220528043152</v>
      </c>
      <c r="BH57" s="24">
        <v>6</v>
      </c>
      <c r="BI57" s="24">
        <v>12.5</v>
      </c>
      <c r="BJ57" s="25">
        <f t="shared" ca="1" si="49"/>
        <v>-8.7638376383763834</v>
      </c>
      <c r="BK57" s="25">
        <f t="shared" ca="1" si="50"/>
        <v>9.6863468634686356</v>
      </c>
      <c r="BL57" s="23">
        <f t="shared" ca="1" si="43"/>
        <v>-1.8758890163876756</v>
      </c>
      <c r="BM57" s="23">
        <f t="shared" ca="1" si="44"/>
        <v>-0.13118407273011989</v>
      </c>
      <c r="BN57" s="93" t="s">
        <v>81</v>
      </c>
      <c r="BO57" s="93" t="s">
        <v>171</v>
      </c>
      <c r="BP57" s="93" t="s">
        <v>171</v>
      </c>
    </row>
    <row r="58" spans="1:68" ht="15" customHeight="1" ns3:dyDescent="0.25">
      <c r="A58" s="86" t="e" vm="55">
        <v>#VALUE!</v>
      </c>
      <c r="B58" s="10" t="str" cm="1">
        <f t="array" aca="1" ref="B58" ca="1">_FV(A58,"Símbolo bursátil",TRUE)</f>
        <v>CELH</v>
      </c>
      <c r="C58" s="88" t="s">
        <v>131</v>
      </c>
      <c r="D58" s="88" t="s">
        <v>115</v>
      </c>
      <c r="E58" s="11" t="str">
        <f t="array" aca="1" ref="E58" ca="1">_FV(A58,"Abreviatura de intercambio",TRUE())</f>
        <v>XNAS</v>
      </c>
      <c r="F58" s="11" t="str">
        <f t="array" aca="1" ref="F58" ca="1">_FV(A58,"Moneda")</f>
        <v>USD</v>
      </c>
      <c r="G58" s="12">
        <f t="array" aca="1" ref="G58" ca="1">_FV(A58,"Precio")</f>
        <v>29.34</v>
      </c>
      <c r="H58" s="13">
        <f t="array" aca="1" ref="H58" ca="1">_FV(A58,"Acciones en circulación",TRUE())/1000000</f>
        <v>255.6404</v>
      </c>
      <c r="I58" s="14">
        <f t="shared" ca="1" si="25"/>
        <v>7500.4893359999996</v>
      </c>
      <c r="J58" s="90">
        <v>0</v>
      </c>
      <c r="K58" s="90">
        <v>4</v>
      </c>
      <c r="L58" s="90">
        <v>2</v>
      </c>
      <c r="M58" s="90">
        <v>0</v>
      </c>
      <c r="N58" s="90">
        <v>-2</v>
      </c>
      <c r="O58" s="90">
        <v>0</v>
      </c>
      <c r="P58" s="90">
        <v>0</v>
      </c>
      <c r="Q58" s="90">
        <v>0</v>
      </c>
      <c r="R58" s="15">
        <f t="shared" si="28"/>
        <v>4</v>
      </c>
      <c r="S58" s="16">
        <f t="shared" si="29"/>
        <v>2.35</v>
      </c>
      <c r="T58" s="90">
        <v>10</v>
      </c>
      <c r="U58" s="90">
        <v>9</v>
      </c>
      <c r="V58" s="90">
        <v>11</v>
      </c>
      <c r="W58" s="90">
        <v>6</v>
      </c>
      <c r="X58" s="90">
        <v>6</v>
      </c>
      <c r="Y58" s="90">
        <v>8</v>
      </c>
      <c r="Z58" s="90">
        <v>4</v>
      </c>
      <c r="AA58" s="90">
        <v>-16</v>
      </c>
      <c r="AB58" s="15">
        <f t="shared" si="30"/>
        <v>38</v>
      </c>
      <c r="AC58" s="16">
        <f t="shared" si="31"/>
        <v>3.8</v>
      </c>
      <c r="AD58" s="90">
        <v>8</v>
      </c>
      <c r="AE58" s="90">
        <v>-4</v>
      </c>
      <c r="AF58" s="90">
        <v>7</v>
      </c>
      <c r="AG58" s="90">
        <v>7</v>
      </c>
      <c r="AH58" s="90">
        <v>2</v>
      </c>
      <c r="AI58" s="90">
        <v>5</v>
      </c>
      <c r="AJ58" s="90">
        <v>7</v>
      </c>
      <c r="AK58" s="90">
        <v>-7</v>
      </c>
      <c r="AL58" s="15">
        <f t="shared" si="32"/>
        <v>25</v>
      </c>
      <c r="AM58" s="16">
        <f t="shared" si="33"/>
        <v>3.57</v>
      </c>
      <c r="AN58" s="17">
        <f t="shared" si="34"/>
        <v>3.24</v>
      </c>
      <c r="AO58" s="18" t="s">
        <v>78</v>
      </c>
      <c r="AP58" s="19">
        <v>920</v>
      </c>
      <c r="AQ58" s="19">
        <v>0</v>
      </c>
      <c r="AR58" s="19">
        <f t="shared" ca="1" si="48"/>
        <v>6580.4893359999996</v>
      </c>
      <c r="AS58" s="19">
        <v>220</v>
      </c>
      <c r="AT58" s="19">
        <v>180</v>
      </c>
      <c r="AU58" s="19">
        <v>270</v>
      </c>
      <c r="AV58" s="19">
        <v>1400</v>
      </c>
      <c r="AW58" s="20">
        <f t="shared" ca="1" si="35"/>
        <v>29.911315163636363</v>
      </c>
      <c r="AX58" s="20">
        <f t="shared" ca="1" si="36"/>
        <v>24.372182725925924</v>
      </c>
      <c r="AY58" s="20">
        <f t="shared" ca="1" si="37"/>
        <v>4.7003495257142855</v>
      </c>
      <c r="AZ58" s="21">
        <v>600</v>
      </c>
      <c r="BA58" s="22">
        <f t="shared" si="38"/>
        <v>0.12857142857142856</v>
      </c>
      <c r="BB58" s="22">
        <f t="shared" si="39"/>
        <v>2.3333333333333335</v>
      </c>
      <c r="BC58" s="23">
        <f t="shared" si="40"/>
        <v>0.3</v>
      </c>
      <c r="BD58" t="s">
        <v>268</v>
      </c>
      <c r="BE58" s="23">
        <f t="shared" si="41"/>
        <v>7.9831440532173836E-2</v>
      </c>
      <c r="BF58" t="s">
        <v>269</v>
      </c>
      <c r="BG58" s="23">
        <f t="shared" si="42"/>
        <v>0.30004945974509623</v>
      </c>
      <c r="BH58" s="24">
        <v>16</v>
      </c>
      <c r="BI58" s="24">
        <v>22.5</v>
      </c>
      <c r="BJ58" s="25">
        <f t="shared" ca="1" si="49"/>
        <v>23.814702214516956</v>
      </c>
      <c r="BK58" s="25">
        <f t="shared" ca="1" si="50"/>
        <v>75.506453596536389</v>
      </c>
      <c r="BL58" s="23">
        <f t="shared" ca="1" si="43"/>
        <v>-4.0871029258974345E-2</v>
      </c>
      <c r="BM58" s="23">
        <f t="shared" ca="1" si="44"/>
        <v>0.26657523111483949</v>
      </c>
      <c r="BN58" t="inlineStr">
        <is>
          <t>2026-06-10</t>
        </is>
      </c>
      <c r="BO58" t="inlineStr">
        <is>
          <t>07/05/2026</t>
        </is>
      </c>
      <c r="BP58" t="inlineStr">
        <is>
          <t>06/08/2026</t>
        </is>
      </c>
    </row>
    <row r="59" spans="1:68" ht="15" customHeight="1" ns3:dyDescent="0.25">
      <c r="A59" s="86" t="e" vm="56">
        <v>#VALUE!</v>
      </c>
      <c r="B59" s="10" t="str">
        <f t="array" aca="1" ref="B59" ca="1">_FV(A59,"Símbolo bursátil",TRUE())</f>
        <v>BFIT</v>
      </c>
      <c r="C59" s="88" t="s">
        <v>195</v>
      </c>
      <c r="D59" s="88" t="s">
        <v>115</v>
      </c>
      <c r="E59" s="11" t="str">
        <f t="array" aca="1" ref="E59" ca="1">_FV(A59,"Abreviatura de intercambio",TRUE())</f>
        <v>XAMS</v>
      </c>
      <c r="F59" s="11" t="str">
        <f t="array" aca="1" ref="F59" ca="1">_FV(A59,"Moneda")</f>
        <v>EUR</v>
      </c>
      <c r="G59" s="12">
        <f t="array" aca="1" ref="G59" ca="1">_FV(A59,"Precio")</f>
        <v>29.78</v>
      </c>
      <c r="H59" s="13">
        <f t="array" aca="1" ref="H59" ca="1">_FV(A59,"Acciones en circulación",TRUE())/1000000</f>
        <v>66</v>
      </c>
      <c r="I59" s="14">
        <f t="shared" ca="1" si="25"/>
        <v>1965.48</v>
      </c>
      <c r="J59" s="91">
        <v>0</v>
      </c>
      <c r="K59" s="91">
        <v>4</v>
      </c>
      <c r="L59" s="91">
        <v>1</v>
      </c>
      <c r="M59" s="91">
        <v>-1</v>
      </c>
      <c r="N59" s="91">
        <v>0</v>
      </c>
      <c r="O59" s="91">
        <v>0</v>
      </c>
      <c r="P59" s="91">
        <v>0</v>
      </c>
      <c r="Q59" s="91">
        <v>0</v>
      </c>
      <c r="R59" s="26">
        <f t="shared" si="28"/>
        <v>4</v>
      </c>
      <c r="S59" s="16">
        <f t="shared" si="29"/>
        <v>2.35</v>
      </c>
      <c r="T59" s="91">
        <v>7</v>
      </c>
      <c r="U59" s="91">
        <v>9</v>
      </c>
      <c r="V59" s="91">
        <v>10</v>
      </c>
      <c r="W59" s="91">
        <v>8</v>
      </c>
      <c r="X59" s="91">
        <v>6</v>
      </c>
      <c r="Y59" s="91">
        <v>9</v>
      </c>
      <c r="Z59" s="91">
        <v>5</v>
      </c>
      <c r="AA59" s="91">
        <v>-15</v>
      </c>
      <c r="AB59" s="26">
        <f t="shared" si="30"/>
        <v>39</v>
      </c>
      <c r="AC59" s="16">
        <f t="shared" si="31"/>
        <v>3.9</v>
      </c>
      <c r="AD59" s="91">
        <v>8</v>
      </c>
      <c r="AE59" s="91">
        <v>-5</v>
      </c>
      <c r="AF59" s="91">
        <v>2</v>
      </c>
      <c r="AG59" s="91">
        <v>8</v>
      </c>
      <c r="AH59" s="91">
        <v>-2</v>
      </c>
      <c r="AI59" s="91">
        <v>6</v>
      </c>
      <c r="AJ59" s="91">
        <v>8</v>
      </c>
      <c r="AK59" s="91">
        <v>-7</v>
      </c>
      <c r="AL59" s="26">
        <f t="shared" si="32"/>
        <v>18</v>
      </c>
      <c r="AM59" s="16">
        <f t="shared" si="33"/>
        <v>2.57</v>
      </c>
      <c r="AN59" s="17">
        <f t="shared" si="34"/>
        <v>2.94</v>
      </c>
      <c r="AO59" s="18" t="s">
        <v>90</v>
      </c>
      <c r="AP59" s="19">
        <v>40</v>
      </c>
      <c r="AQ59" s="19">
        <v>740</v>
      </c>
      <c r="AR59" s="19">
        <f t="shared" ca="1" si="48"/>
        <v>2665.48</v>
      </c>
      <c r="AS59" s="19">
        <v>80</v>
      </c>
      <c r="AT59" s="19">
        <v>50</v>
      </c>
      <c r="AU59" s="19">
        <v>260</v>
      </c>
      <c r="AV59" s="19">
        <v>1250</v>
      </c>
      <c r="AW59" s="20">
        <f t="shared" ca="1" si="35"/>
        <v>33.3185</v>
      </c>
      <c r="AX59" s="20">
        <f t="shared" ca="1" si="36"/>
        <v>10.251846153846154</v>
      </c>
      <c r="AY59" s="20">
        <f t="shared" ca="1" si="37"/>
        <v>2.1323840000000001</v>
      </c>
      <c r="AZ59" s="21">
        <v>1500</v>
      </c>
      <c r="BA59" s="22">
        <f t="shared" si="38"/>
        <v>0.04</v>
      </c>
      <c r="BB59" s="22">
        <f t="shared" si="39"/>
        <v>0.83333333333333337</v>
      </c>
      <c r="BC59" s="23">
        <f t="shared" si="40"/>
        <v>3.3333333333333333E-2</v>
      </c>
      <c r="BD59" t="s">
        <v>270</v>
      </c>
      <c r="BE59" s="23">
        <f t="shared" si="41"/>
        <v>1.9244876491456564E-2</v>
      </c>
      <c r="BF59" t="s">
        <v>271</v>
      </c>
      <c r="BG59" s="23">
        <f t="shared" si="42"/>
        <v>0.15996225865400127</v>
      </c>
      <c r="BH59" s="24">
        <v>12</v>
      </c>
      <c r="BI59" s="24">
        <v>18</v>
      </c>
      <c r="BJ59" s="25">
        <f t="shared" ca="1" si="49"/>
        <v>5.3939393939393936</v>
      </c>
      <c r="BK59" s="25">
        <f t="shared" ca="1" si="50"/>
        <v>35.212121212121211</v>
      </c>
      <c r="BL59" s="23">
        <f t="shared" ca="1" si="43"/>
        <v>-0.28944733311737059</v>
      </c>
      <c r="BM59" s="23">
        <f t="shared" ca="1" si="44"/>
        <v>4.2778032705823144E-2</v>
      </c>
      <c r="BN59" s="93" t="s">
        <v>81</v>
      </c>
      <c r="BO59" s="93" t="s">
        <v>107</v>
      </c>
      <c r="BP59" s="93" t="s">
        <v>272</v>
      </c>
    </row>
    <row r="60" spans="1:68" ht="15" customHeight="1" ns3:dyDescent="0.25">
      <c r="A60" s="86" t="e" vm="57">
        <v>#VALUE!</v>
      </c>
      <c r="B60" s="10" t="str">
        <f t="array" aca="1" ref="B60" ca="1">_FV(A60,"Símbolo bursátil",TRUE())</f>
        <v>VRLA</v>
      </c>
      <c r="C60" s="88" t="s">
        <v>215</v>
      </c>
      <c r="D60" s="88" t="s">
        <v>239</v>
      </c>
      <c r="E60" s="11" t="str">
        <f t="array" aca="1" ref="E60" ca="1">_FV(A60,"Abreviatura de intercambio",TRUE())</f>
        <v>XWBO</v>
      </c>
      <c r="F60" s="11" t="str">
        <f t="array" aca="1" ref="F60" ca="1">_FV(A60,"Moneda")</f>
        <v>EUR</v>
      </c>
      <c r="G60" s="12">
        <f t="array" aca="1" ref="G60" ca="1">_FV(A60,"Precio")</f>
        <v>19.73</v>
      </c>
      <c r="H60" s="13">
        <f t="array" aca="1" ref="H60" ca="1">_FV(A60,"Acciones en circulación",TRUE())/1000000</f>
        <v>120.8051</v>
      </c>
      <c r="I60" s="14">
        <f t="shared" ca="1" si="25"/>
        <v>2383.4846229999998</v>
      </c>
      <c r="J60" s="90">
        <v>0.75</v>
      </c>
      <c r="K60" s="90">
        <v>5.5</v>
      </c>
      <c r="L60" s="90">
        <v>0.5</v>
      </c>
      <c r="M60" s="90">
        <v>-0.75</v>
      </c>
      <c r="N60" s="90">
        <v>-0.75</v>
      </c>
      <c r="O60" s="90">
        <v>0</v>
      </c>
      <c r="P60" s="90">
        <v>0</v>
      </c>
      <c r="Q60" s="90">
        <v>0</v>
      </c>
      <c r="R60" s="15">
        <f t="shared" si="28"/>
        <v>5.25</v>
      </c>
      <c r="S60" s="16">
        <f t="shared" si="29"/>
        <v>3.09</v>
      </c>
      <c r="T60" s="90">
        <v>9</v>
      </c>
      <c r="U60" s="90">
        <v>11</v>
      </c>
      <c r="V60" s="90">
        <v>8</v>
      </c>
      <c r="W60" s="90">
        <v>6.5</v>
      </c>
      <c r="X60" s="90">
        <v>6.5</v>
      </c>
      <c r="Y60" s="90">
        <v>9</v>
      </c>
      <c r="Z60" s="90">
        <v>5</v>
      </c>
      <c r="AA60" s="90">
        <v>-18</v>
      </c>
      <c r="AB60" s="15">
        <f t="shared" si="30"/>
        <v>37</v>
      </c>
      <c r="AC60" s="16">
        <f t="shared" si="31"/>
        <v>3.7</v>
      </c>
      <c r="AD60" s="90">
        <v>12</v>
      </c>
      <c r="AE60" s="90">
        <v>-2</v>
      </c>
      <c r="AF60" s="90">
        <v>3</v>
      </c>
      <c r="AG60" s="90">
        <v>9</v>
      </c>
      <c r="AH60" s="90">
        <v>0</v>
      </c>
      <c r="AI60" s="90">
        <v>7</v>
      </c>
      <c r="AJ60" s="90">
        <v>9</v>
      </c>
      <c r="AK60" s="90">
        <v>-6</v>
      </c>
      <c r="AL60" s="15">
        <f t="shared" si="32"/>
        <v>32</v>
      </c>
      <c r="AM60" s="16">
        <f t="shared" si="33"/>
        <v>4.57</v>
      </c>
      <c r="AN60" s="17">
        <f t="shared" si="34"/>
        <v>3.79</v>
      </c>
      <c r="AO60" s="18" t="s">
        <v>90</v>
      </c>
      <c r="AP60" s="19">
        <v>365</v>
      </c>
      <c r="AQ60" s="19">
        <v>2261</v>
      </c>
      <c r="AR60" s="19">
        <f t="shared" ca="1" si="48"/>
        <v>4279.4846230000003</v>
      </c>
      <c r="AS60" s="19">
        <v>249</v>
      </c>
      <c r="AT60" s="19">
        <v>270</v>
      </c>
      <c r="AU60" s="19">
        <v>704</v>
      </c>
      <c r="AV60" s="19">
        <v>3311</v>
      </c>
      <c r="AW60" s="20">
        <f t="shared" ca="1" si="35"/>
        <v>17.18668523293173</v>
      </c>
      <c r="AX60" s="20">
        <f t="shared" ca="1" si="36"/>
        <v>6.0788133849431825</v>
      </c>
      <c r="AY60" s="20">
        <f t="shared" ca="1" si="37"/>
        <v>1.2925051715493809</v>
      </c>
      <c r="AZ60" s="21">
        <v>3400</v>
      </c>
      <c r="BA60" s="22">
        <f t="shared" si="38"/>
        <v>8.1546360616128064E-2</v>
      </c>
      <c r="BB60" s="22">
        <f t="shared" si="39"/>
        <v>0.97382352941176475</v>
      </c>
      <c r="BC60" s="23">
        <f t="shared" si="40"/>
        <v>7.9411764705882362E-2</v>
      </c>
      <c r="BD60">
        <v>300</v>
      </c>
      <c r="BE60" s="23">
        <f t="shared" si="41"/>
        <v>3.7968996331624982E-2</v>
      </c>
      <c r="BF60">
        <v>490</v>
      </c>
      <c r="BG60" s="23">
        <f t="shared" si="42"/>
        <v>0.1449838120148832</v>
      </c>
      <c r="BH60" s="24">
        <v>8</v>
      </c>
      <c r="BI60" s="24">
        <v>15</v>
      </c>
      <c r="BJ60" s="25">
        <f t="shared" ca="1" si="49"/>
        <v>4.1720092943095946</v>
      </c>
      <c r="BK60" s="25">
        <f t="shared" ca="1" si="50"/>
        <v>45.147100577707398</v>
      </c>
      <c r="BL60" s="23">
        <f t="shared" ca="1" si="43"/>
        <v>-0.26710183149488786</v>
      </c>
      <c r="BM60" s="23">
        <f t="shared" ca="1" si="44"/>
        <v>0.22991668959596412</v>
      </c>
      <c r="BN60" s="93" t="s">
        <v>81</v>
      </c>
      <c r="BO60" s="93" t="s">
        <v>193</v>
      </c>
      <c r="BP60" s="93" t="s">
        <v>272</v>
      </c>
    </row>
    <row r="61" spans="1:68" ht="15" customHeight="1" ns3:dyDescent="0.25">
      <c r="A61" s="86" t="e" vm="58">
        <v>#VALUE!</v>
      </c>
      <c r="B61" s="10" t="str">
        <f t="array" aca="1" ref="B61" ca="1">_FV(A61,"Símbolo bursátil",TRUE())</f>
        <v>KIST</v>
      </c>
      <c r="C61" s="88" t="s">
        <v>246</v>
      </c>
      <c r="D61" s="88" t="s">
        <v>247</v>
      </c>
      <c r="E61" s="11" t="str">
        <f t="array" aca="1" ref="E61" ca="1">_FV(A61,"Abreviatura de intercambio",TRUE())</f>
        <v>XLON</v>
      </c>
      <c r="F61" s="11" t="str">
        <f t="array" aca="1" ref="F61" ca="1">_FV(A61,"Moneda")</f>
        <v>GBp</v>
      </c>
      <c r="G61" s="12">
        <f t="array" aca="1" ref="G61" ca="1">_FV(A61,"Precio")</f>
        <v>290</v>
      </c>
      <c r="H61" s="13">
        <f t="array" aca="1" ref="H61" ca="1">_FV(A61,"Acciones en circulación",TRUE())/1000000</f>
        <v>83.117649999999998</v>
      </c>
      <c r="I61" s="14">
        <f ca="1">G61/100*H61</f>
        <v>241.04118499999998</v>
      </c>
      <c r="J61" s="91">
        <v>0</v>
      </c>
      <c r="K61" s="91">
        <v>2</v>
      </c>
      <c r="L61" s="91">
        <v>1</v>
      </c>
      <c r="M61" s="91">
        <v>0</v>
      </c>
      <c r="N61" s="91">
        <v>-2</v>
      </c>
      <c r="O61" s="91">
        <v>0</v>
      </c>
      <c r="P61" s="91">
        <v>1</v>
      </c>
      <c r="Q61" s="91">
        <v>1</v>
      </c>
      <c r="R61" s="26">
        <f t="shared" si="28"/>
        <v>3</v>
      </c>
      <c r="S61" s="16">
        <f t="shared" si="29"/>
        <v>1.76</v>
      </c>
      <c r="T61" s="91">
        <v>9</v>
      </c>
      <c r="U61" s="91">
        <v>5</v>
      </c>
      <c r="V61" s="91">
        <v>8</v>
      </c>
      <c r="W61" s="91">
        <v>5</v>
      </c>
      <c r="X61" s="91">
        <v>4</v>
      </c>
      <c r="Y61" s="91">
        <v>10</v>
      </c>
      <c r="Z61" s="91">
        <v>10</v>
      </c>
      <c r="AA61" s="91">
        <v>-20</v>
      </c>
      <c r="AB61" s="26">
        <f t="shared" si="30"/>
        <v>31</v>
      </c>
      <c r="AC61" s="16">
        <f t="shared" si="31"/>
        <v>3.1</v>
      </c>
      <c r="AD61" s="91">
        <v>5</v>
      </c>
      <c r="AE61" s="91">
        <v>-10</v>
      </c>
      <c r="AF61" s="91">
        <v>2</v>
      </c>
      <c r="AG61" s="91">
        <v>10</v>
      </c>
      <c r="AH61" s="91">
        <v>1</v>
      </c>
      <c r="AI61" s="91">
        <v>8</v>
      </c>
      <c r="AJ61" s="91">
        <v>5</v>
      </c>
      <c r="AK61" s="91">
        <v>-10</v>
      </c>
      <c r="AL61" s="26">
        <f t="shared" si="32"/>
        <v>11</v>
      </c>
      <c r="AM61" s="16">
        <f t="shared" si="33"/>
        <v>1.57</v>
      </c>
      <c r="AN61" s="17">
        <f t="shared" si="34"/>
        <v>2.14</v>
      </c>
      <c r="AO61" s="18" t="s">
        <v>140</v>
      </c>
      <c r="AP61" s="19">
        <v>215</v>
      </c>
      <c r="AQ61" s="19">
        <f>300+148</f>
        <v>448</v>
      </c>
      <c r="AR61" s="19">
        <f t="shared" ca="1" si="48"/>
        <v>474.04118499999998</v>
      </c>
      <c r="AS61" s="19">
        <v>55</v>
      </c>
      <c r="AT61" s="19">
        <f>390-230</f>
        <v>160</v>
      </c>
      <c r="AU61" s="19">
        <v>400</v>
      </c>
      <c r="AV61" s="19">
        <v>480</v>
      </c>
      <c r="AW61" s="20">
        <f t="shared" ca="1" si="35"/>
        <v>8.6189306363636362</v>
      </c>
      <c r="AX61" s="20">
        <f t="shared" ca="1" si="36"/>
        <v>1.1851029625</v>
      </c>
      <c r="AY61" s="20">
        <f t="shared" ca="1" si="37"/>
        <v>0.98758580208333335</v>
      </c>
      <c r="AZ61" s="21">
        <v>300</v>
      </c>
      <c r="BA61" s="22">
        <f t="shared" si="38"/>
        <v>0.33333333333333331</v>
      </c>
      <c r="BB61" s="22">
        <f t="shared" si="39"/>
        <v>1.6</v>
      </c>
      <c r="BC61" s="23">
        <f t="shared" si="40"/>
        <v>0.53333333333333333</v>
      </c>
      <c r="BD61">
        <v>60</v>
      </c>
      <c r="BE61" s="23">
        <f t="shared" si="41"/>
        <v>1.7554577175587616E-2</v>
      </c>
      <c r="BF61">
        <v>115</v>
      </c>
      <c r="BG61" s="23">
        <f t="shared" si="42"/>
        <v>0.15895621875417865</v>
      </c>
      <c r="BH61" s="24">
        <v>5.5</v>
      </c>
      <c r="BI61" s="24">
        <v>8</v>
      </c>
      <c r="BJ61" s="25">
        <f ca="1">(BD61*BH61+$AP61-$AQ61)/$H61*100</f>
        <v>116.70204824125803</v>
      </c>
      <c r="BK61" s="25">
        <f ca="1">(BF61*BI61+$AP61-$AQ61)/$H61*100</f>
        <v>826.53924888396148</v>
      </c>
      <c r="BL61" s="23">
        <f t="shared" ca="1" si="43"/>
        <v>-0.16644147766831041</v>
      </c>
      <c r="BM61" s="23">
        <f t="shared" ca="1" si="44"/>
        <v>0.29932074010850207</v>
      </c>
      <c r="BN61" s="93" t="s">
        <v>81</v>
      </c>
      <c r="BO61" s="93" t="s">
        <v>171</v>
      </c>
      <c r="BP61" s="93" t="s">
        <v>171</v>
      </c>
    </row>
    <row r="62" spans="1:68" ht="15" customHeight="1" ns3:dyDescent="0.25">
      <c r="A62" s="86" t="e" vm="59">
        <v>#VALUE!</v>
      </c>
      <c r="B62" s="10" t="str">
        <f t="array" aca="1" ref="B62" ca="1">_FV(A62,"Símbolo bursátil",TRUE())</f>
        <v>WOSG</v>
      </c>
      <c r="C62" s="88" t="s">
        <v>131</v>
      </c>
      <c r="D62" s="88" t="s">
        <v>239</v>
      </c>
      <c r="E62" s="11" t="str">
        <f t="array" aca="1" ref="E62" ca="1">_FV(A62,"Abreviatura de intercambio",TRUE())</f>
        <v>XLON</v>
      </c>
      <c r="F62" s="11" t="str">
        <f t="array" aca="1" ref="F62" ca="1">_FV(A62,"Moneda")</f>
        <v>GBp</v>
      </c>
      <c r="G62" s="12">
        <f t="array" aca="1" ref="G62" ca="1">_FV(A62,"Precio")</f>
        <v>640.5</v>
      </c>
      <c r="H62" s="13">
        <f t="array" aca="1" ref="H62" ca="1">_FV(A62,"Acciones en circulación",TRUE())/1000000</f>
        <v>233.30160000000001</v>
      </c>
      <c r="I62" s="14">
        <f ca="1">G62/100*H62</f>
        <v>1494.2967480000002</v>
      </c>
      <c r="J62" s="90">
        <v>0.5</v>
      </c>
      <c r="K62" s="90">
        <v>3</v>
      </c>
      <c r="L62" s="90">
        <v>1</v>
      </c>
      <c r="M62" s="90">
        <v>-1</v>
      </c>
      <c r="N62" s="90">
        <v>-2</v>
      </c>
      <c r="O62" s="90">
        <v>0</v>
      </c>
      <c r="P62" s="90">
        <v>0</v>
      </c>
      <c r="Q62" s="90">
        <v>0</v>
      </c>
      <c r="R62" s="15">
        <f t="shared" si="28"/>
        <v>1.5</v>
      </c>
      <c r="S62" s="16">
        <f t="shared" si="29"/>
        <v>0.88</v>
      </c>
      <c r="T62" s="90">
        <v>7</v>
      </c>
      <c r="U62" s="90">
        <v>8</v>
      </c>
      <c r="V62" s="90">
        <v>7</v>
      </c>
      <c r="W62" s="90">
        <v>4</v>
      </c>
      <c r="X62" s="90">
        <v>4</v>
      </c>
      <c r="Y62" s="90">
        <v>7</v>
      </c>
      <c r="Z62" s="90">
        <v>4</v>
      </c>
      <c r="AA62" s="90">
        <v>-16</v>
      </c>
      <c r="AB62" s="15">
        <f t="shared" si="30"/>
        <v>25</v>
      </c>
      <c r="AC62" s="16">
        <f t="shared" si="31"/>
        <v>2.5</v>
      </c>
      <c r="AD62" s="90">
        <v>7</v>
      </c>
      <c r="AE62" s="90">
        <v>-5</v>
      </c>
      <c r="AF62" s="90">
        <v>5</v>
      </c>
      <c r="AG62" s="90">
        <v>7</v>
      </c>
      <c r="AH62" s="90">
        <v>1</v>
      </c>
      <c r="AI62" s="90">
        <v>5</v>
      </c>
      <c r="AJ62" s="90">
        <v>6</v>
      </c>
      <c r="AK62" s="90">
        <v>-6</v>
      </c>
      <c r="AL62" s="15">
        <f t="shared" si="32"/>
        <v>20</v>
      </c>
      <c r="AM62" s="16">
        <f t="shared" si="33"/>
        <v>2.86</v>
      </c>
      <c r="AN62" s="17">
        <f t="shared" si="34"/>
        <v>2.08</v>
      </c>
      <c r="AO62" s="18" t="s">
        <v>140</v>
      </c>
      <c r="AP62" s="19">
        <v>70</v>
      </c>
      <c r="AQ62" s="19">
        <v>270</v>
      </c>
      <c r="AR62" s="19">
        <f t="shared" ca="1" si="48"/>
        <v>1694.2967480000002</v>
      </c>
      <c r="AS62" s="19">
        <v>90</v>
      </c>
      <c r="AT62" s="19">
        <v>80</v>
      </c>
      <c r="AU62" s="19">
        <v>170</v>
      </c>
      <c r="AV62" s="19">
        <v>1700</v>
      </c>
      <c r="AW62" s="20">
        <f t="shared" ca="1" si="35"/>
        <v>18.825519422222225</v>
      </c>
      <c r="AX62" s="20">
        <f t="shared" ca="1" si="36"/>
        <v>9.9664514588235313</v>
      </c>
      <c r="AY62" s="20">
        <f t="shared" ca="1" si="37"/>
        <v>0.99664514588235309</v>
      </c>
      <c r="AZ62" s="21">
        <v>900</v>
      </c>
      <c r="BA62" s="22">
        <f t="shared" si="38"/>
        <v>4.7058823529411764E-2</v>
      </c>
      <c r="BB62" s="22">
        <f t="shared" si="39"/>
        <v>1.8888888888888888</v>
      </c>
      <c r="BC62" s="23">
        <f t="shared" si="40"/>
        <v>8.8888888888888878E-2</v>
      </c>
      <c r="BD62" t="s">
        <v>273</v>
      </c>
      <c r="BE62" s="23">
        <f t="shared" si="41"/>
        <v>0</v>
      </c>
      <c r="BF62" t="s">
        <v>274</v>
      </c>
      <c r="BG62" s="23">
        <f t="shared" si="42"/>
        <v>0.1396217223413001</v>
      </c>
      <c r="BH62" s="24">
        <v>8</v>
      </c>
      <c r="BI62" s="24">
        <v>14</v>
      </c>
      <c r="BJ62" s="25">
        <f ca="1">(BD62*BH62+$AP62-$AQ62)/$H62*100</f>
        <v>222.88745555109779</v>
      </c>
      <c r="BK62" s="25">
        <f ca="1">(BF62*BI62+$AP62-$AQ62)/$H62*100</f>
        <v>952.41524275872939</v>
      </c>
      <c r="BL62" s="23">
        <f t="shared" ca="1" si="43"/>
        <v>-0.19032021138996769</v>
      </c>
      <c r="BM62" s="23">
        <f t="shared" ca="1" si="44"/>
        <v>0.1042738829072658</v>
      </c>
      <c r="BN62" t="inlineStr">
        <is>
          <t>2026-06-10</t>
        </is>
      </c>
      <c r="BO62" t="inlineStr">
        <is>
          <t>14/05/2026</t>
        </is>
      </c>
      <c r="BP62" t="inlineStr">
        <is>
          <t>02/07/2026</t>
        </is>
      </c>
    </row>
    <row r="63" spans="1:68" ht="15" customHeight="1" ns3:dyDescent="0.25">
      <c r="A63" s="86" t="e" vm="60">
        <v>#VALUE!</v>
      </c>
      <c r="B63" s="10" t="str">
        <f t="array" aca="1" ref="B63" ca="1">_FV(A63,"Símbolo bursátil",TRUE())</f>
        <v>IPCO</v>
      </c>
      <c r="C63" s="88" t="s">
        <v>246</v>
      </c>
      <c r="D63" s="88" t="s">
        <v>247</v>
      </c>
      <c r="E63" s="11" t="str">
        <f t="array" aca="1" ref="E63" ca="1">_FV(A63,"Abreviatura de intercambio",TRUE())</f>
        <v>XTSE</v>
      </c>
      <c r="F63" s="11" t="str">
        <f t="array" aca="1" ref="F63" ca="1">_FV(A63,"Moneda")</f>
        <v>CAD</v>
      </c>
      <c r="G63" s="12">
        <f t="array" aca="1" ref="G63" ca="1">_FV(A63,"Precio")</f>
        <v>39.33</v>
      </c>
      <c r="H63" s="13">
        <f t="array" aca="1" ref="H63" ca="1">_FV(A63,"Acciones en circulación",TRUE())/1000000</f>
        <v>112.82680000000001</v>
      </c>
      <c r="I63" s="14">
        <f ca="1">G63*H63</f>
        <v>4437.4780440000004</v>
      </c>
      <c r="J63" s="91">
        <v>0</v>
      </c>
      <c r="K63" s="91">
        <v>2</v>
      </c>
      <c r="L63" s="91">
        <v>1</v>
      </c>
      <c r="M63" s="91">
        <v>0</v>
      </c>
      <c r="N63" s="91">
        <v>-2</v>
      </c>
      <c r="O63" s="91">
        <v>0</v>
      </c>
      <c r="P63" s="91">
        <v>0</v>
      </c>
      <c r="Q63" s="91">
        <v>1</v>
      </c>
      <c r="R63" s="26">
        <f t="shared" si="28"/>
        <v>2</v>
      </c>
      <c r="S63" s="16">
        <f t="shared" si="29"/>
        <v>1.18</v>
      </c>
      <c r="T63" s="91">
        <v>9</v>
      </c>
      <c r="U63" s="91">
        <v>5</v>
      </c>
      <c r="V63" s="91">
        <v>8</v>
      </c>
      <c r="W63" s="91">
        <v>6</v>
      </c>
      <c r="X63" s="91">
        <v>4</v>
      </c>
      <c r="Y63" s="91">
        <v>9</v>
      </c>
      <c r="Z63" s="91">
        <v>9</v>
      </c>
      <c r="AA63" s="91">
        <v>-22</v>
      </c>
      <c r="AB63" s="26">
        <f t="shared" si="30"/>
        <v>28</v>
      </c>
      <c r="AC63" s="16">
        <f t="shared" si="31"/>
        <v>2.8</v>
      </c>
      <c r="AD63" s="91">
        <v>6</v>
      </c>
      <c r="AE63" s="91">
        <v>-10</v>
      </c>
      <c r="AF63" s="91">
        <v>2</v>
      </c>
      <c r="AG63" s="91">
        <v>9</v>
      </c>
      <c r="AH63" s="91">
        <v>0</v>
      </c>
      <c r="AI63" s="91">
        <v>7</v>
      </c>
      <c r="AJ63" s="91">
        <v>5</v>
      </c>
      <c r="AK63" s="91">
        <v>-11</v>
      </c>
      <c r="AL63" s="26">
        <f t="shared" si="32"/>
        <v>8</v>
      </c>
      <c r="AM63" s="16">
        <f t="shared" si="33"/>
        <v>1.1399999999999999</v>
      </c>
      <c r="AN63" s="17">
        <f t="shared" si="34"/>
        <v>1.71</v>
      </c>
      <c r="AO63" s="18" t="s">
        <v>78</v>
      </c>
      <c r="AP63" s="19">
        <v>50</v>
      </c>
      <c r="AQ63" s="19">
        <v>430</v>
      </c>
      <c r="AR63" s="19">
        <f ca="1">I63*'Framework Notes'!E7-AP63+AQ63</f>
        <v>3606.9340335968</v>
      </c>
      <c r="AS63" s="19">
        <v>230</v>
      </c>
      <c r="AT63" s="19">
        <v>170</v>
      </c>
      <c r="AU63" s="19">
        <v>380</v>
      </c>
      <c r="AV63" s="19">
        <v>790</v>
      </c>
      <c r="AW63" s="20">
        <f ca="1">AR63/AS63</f>
        <v>15.682321885203478</v>
      </c>
      <c r="AX63" s="20">
        <f t="shared" ca="1" si="36"/>
        <v>9.4919316673599994</v>
      </c>
      <c r="AY63" s="20">
        <f t="shared" ca="1" si="37"/>
        <v>4.5657392830339241</v>
      </c>
      <c r="AZ63" s="21">
        <v>1800</v>
      </c>
      <c r="BA63" s="22">
        <f t="shared" si="38"/>
        <v>0.21518987341772153</v>
      </c>
      <c r="BB63" s="22">
        <f t="shared" si="39"/>
        <v>0.43888888888888888</v>
      </c>
      <c r="BC63" s="23">
        <f t="shared" si="40"/>
        <v>9.4444444444444442E-2</v>
      </c>
      <c r="BD63" t="s">
        <v>277</v>
      </c>
      <c r="BE63" s="23">
        <f t="shared" si="41"/>
        <v>-4.9967563918014046E-2</v>
      </c>
      <c r="BF63" t="s">
        <v>278</v>
      </c>
      <c r="BG63" s="23">
        <f t="shared" si="42"/>
        <v>0.11981282593120568</v>
      </c>
      <c r="BH63" s="24">
        <v>10</v>
      </c>
      <c r="BI63" s="24">
        <v>15</v>
      </c>
      <c r="BJ63" s="25">
        <f ca="1">(BD63*BH63+$AP63-$AQ63)/$H63</f>
        <v>12.408399422832163</v>
      </c>
      <c r="BK63" s="25">
        <f ca="1">(BF63*BI63+$AP63-$AQ63)/$H63</f>
        <v>50.475596223592262</v>
      </c>
      <c r="BL63" s="23">
        <f t="shared" ca="1" si="43"/>
        <v>-0.20604047417631832</v>
      </c>
      <c r="BM63" s="23">
        <f t="shared" ca="1" si="44"/>
        <v>6.4362041366898382E-2</v>
      </c>
      <c r="BN63" s="93" t="s">
        <v>81</v>
      </c>
      <c r="BO63" s="93" t="s">
        <v>183</v>
      </c>
      <c r="BP63" s="93" t="s">
        <v>180</v>
      </c>
    </row>
    <row r="64" spans="1:68" ht="15" customHeight="1" ns3:dyDescent="0.25">
      <c r="A64" s="86" t="e" vm="61">
        <v>#VALUE!</v>
      </c>
      <c r="B64" s="10" t="str">
        <f t="array" aca="1" ref="B64" ca="1">_FV(A64,"Símbolo bursátil",TRUE())</f>
        <v>OTLY</v>
      </c>
      <c r="C64" s="88" t="s">
        <v>131</v>
      </c>
      <c r="D64" s="88" t="s">
        <v>239</v>
      </c>
      <c r="E64" s="11" t="str">
        <f t="array" aca="1" ref="E64" ca="1">_FV(A64,"Abreviatura de intercambio",TRUE())</f>
        <v>XNAS</v>
      </c>
      <c r="F64" s="11" t="str">
        <f t="array" aca="1" ref="F64" ca="1">_FV(A64,"Moneda")</f>
        <v>USD</v>
      </c>
      <c r="G64" s="12">
        <f t="array" aca="1" ref="G64" ca="1">_FV(A64,"Precio")</f>
        <v>9.8789999999999996</v>
      </c>
      <c r="H64" s="13">
        <f t="array" aca="1" ref="H64" ca="1">_FV(A64,"Acciones en circulación",TRUE())/1000000</f>
        <v>31.225000000000001</v>
      </c>
      <c r="I64" s="14">
        <f ca="1">G64*H64</f>
        <v>308.47177499999998</v>
      </c>
      <c r="J64" s="90">
        <v>1</v>
      </c>
      <c r="K64" s="90">
        <v>5</v>
      </c>
      <c r="L64" s="90">
        <v>1.5</v>
      </c>
      <c r="M64" s="90">
        <v>-0.5</v>
      </c>
      <c r="N64" s="90">
        <v>-1</v>
      </c>
      <c r="O64" s="90">
        <v>0</v>
      </c>
      <c r="P64" s="90">
        <v>0</v>
      </c>
      <c r="Q64" s="90">
        <v>0</v>
      </c>
      <c r="R64" s="15">
        <f t="shared" si="28"/>
        <v>6</v>
      </c>
      <c r="S64" s="16">
        <f t="shared" si="29"/>
        <v>3.53</v>
      </c>
      <c r="T64" s="90">
        <v>10</v>
      </c>
      <c r="U64" s="90">
        <v>5</v>
      </c>
      <c r="V64" s="90">
        <v>12</v>
      </c>
      <c r="W64" s="90">
        <v>6</v>
      </c>
      <c r="X64" s="90">
        <v>5.5</v>
      </c>
      <c r="Y64" s="90">
        <v>7</v>
      </c>
      <c r="Z64" s="90">
        <v>6</v>
      </c>
      <c r="AA64" s="90">
        <v>-25</v>
      </c>
      <c r="AB64" s="15">
        <f t="shared" si="30"/>
        <v>26.5</v>
      </c>
      <c r="AC64" s="16">
        <f t="shared" si="31"/>
        <v>2.65</v>
      </c>
      <c r="AD64" s="90">
        <v>6</v>
      </c>
      <c r="AE64" s="90">
        <v>-12</v>
      </c>
      <c r="AF64" s="90">
        <v>4</v>
      </c>
      <c r="AG64" s="90">
        <v>6</v>
      </c>
      <c r="AH64" s="90">
        <v>-2</v>
      </c>
      <c r="AI64" s="90">
        <v>4</v>
      </c>
      <c r="AJ64" s="90">
        <v>9</v>
      </c>
      <c r="AK64" s="90">
        <v>-12</v>
      </c>
      <c r="AL64" s="15">
        <f t="shared" si="32"/>
        <v>3</v>
      </c>
      <c r="AM64" s="16">
        <f t="shared" si="33"/>
        <v>0.43</v>
      </c>
      <c r="AN64" s="17">
        <f t="shared" si="34"/>
        <v>2.2000000000000002</v>
      </c>
      <c r="AO64" s="18" t="s">
        <v>78</v>
      </c>
      <c r="AP64" s="19">
        <v>180</v>
      </c>
      <c r="AQ64" s="19">
        <v>280</v>
      </c>
      <c r="AR64" s="19">
        <f ca="1">I64-AP64+AQ64</f>
        <v>408.47177499999998</v>
      </c>
      <c r="AS64" s="19">
        <v>-50</v>
      </c>
      <c r="AT64" s="19">
        <v>-100</v>
      </c>
      <c r="AU64" s="19">
        <v>-10</v>
      </c>
      <c r="AV64" s="19">
        <v>830</v>
      </c>
      <c r="AW64" s="20">
        <f t="shared" ca="1" si="35"/>
        <v>-8.1694354999999987</v>
      </c>
      <c r="AX64" s="20">
        <f t="shared" ca="1" si="36"/>
        <v>-40.847177500000001</v>
      </c>
      <c r="AY64" s="20">
        <f t="shared" ca="1" si="37"/>
        <v>0.49213466867469879</v>
      </c>
      <c r="AZ64" s="21">
        <v>650</v>
      </c>
      <c r="BA64" s="22">
        <f t="shared" si="38"/>
        <v>-0.12048192771084337</v>
      </c>
      <c r="BB64" s="22">
        <f t="shared" si="39"/>
        <v>1.2769230769230768</v>
      </c>
      <c r="BC64" s="23">
        <f t="shared" si="40"/>
        <v>-0.15384615384615383</v>
      </c>
      <c r="BD64" t="s">
        <v>279</v>
      </c>
      <c r="BE64" s="23">
        <f t="shared" si="41"/>
        <v>0</v>
      </c>
      <c r="BF64" t="s">
        <v>280</v>
      </c>
      <c r="BG64" s="23">
        <f t="shared" si="42"/>
        <v>-2.179198639369468</v>
      </c>
      <c r="BH64" s="24">
        <v>12</v>
      </c>
      <c r="BI64" s="24">
        <v>16</v>
      </c>
      <c r="BJ64" s="25">
        <f ca="1">(BD64*BH64+$AP64-$AQ64)/$H64</f>
        <v>-22.417934347477981</v>
      </c>
      <c r="BK64" s="25">
        <f ca="1">(BF64*BI64+$AP64-$AQ64)/$H64</f>
        <v>55.212169735788628</v>
      </c>
      <c r="BL64" s="23">
        <f t="shared" ca="1" si="43"/>
        <v>-2.178084715575773</v>
      </c>
      <c r="BM64" s="23">
        <f t="shared" ca="1" si="44"/>
        <v>0.53755428253237092</v>
      </c>
      <c r="BN64" s="93" t="s">
        <v>81</v>
      </c>
      <c r="BO64" s="93" t="s">
        <v>281</v>
      </c>
      <c r="BP64" s="93" t="s">
        <v>88</v>
      </c>
    </row>
    <row r="65" spans="1:68" ns3:dyDescent="0.25">
      <c r="A65" s="86" t="e" vm="62">
        <v>#VALUE!</v>
      </c>
      <c r="B65" s="10" t="s">
        <v>282</v>
      </c>
      <c r="C65" s="88" t="s">
        <v>76</v>
      </c>
      <c r="D65" s="88" t="s">
        <v>77</v>
      </c>
      <c r="E65" s="11" t="s">
        <v>283</v>
      </c>
      <c r="F65" s="11" t="s">
        <v>284</v>
      </c>
      <c r="G65" s="12">
        <v>2600</v>
      </c>
      <c r="H65" s="13">
        <v>21.2</v>
      </c>
      <c r="I65" s="14">
        <f>G65*H65</f>
        <v>55120</v>
      </c>
      <c r="J65" s="90">
        <v>2</v>
      </c>
      <c r="K65" s="90">
        <v>7.5</v>
      </c>
      <c r="L65" s="90">
        <v>2.5</v>
      </c>
      <c r="M65" s="90">
        <v>0.75</v>
      </c>
      <c r="N65" s="90">
        <v>-0.5</v>
      </c>
      <c r="O65" s="90">
        <v>0.5</v>
      </c>
      <c r="P65" s="90">
        <v>1</v>
      </c>
      <c r="Q65" s="90">
        <v>1</v>
      </c>
      <c r="R65" s="15">
        <f t="shared" si="28"/>
        <v>14.75</v>
      </c>
      <c r="S65" s="16">
        <f t="shared" si="29"/>
        <v>8.68</v>
      </c>
      <c r="T65" s="90">
        <v>15</v>
      </c>
      <c r="U65" s="90">
        <v>18</v>
      </c>
      <c r="V65" s="90">
        <v>15</v>
      </c>
      <c r="W65" s="90">
        <v>9</v>
      </c>
      <c r="X65" s="90">
        <v>9</v>
      </c>
      <c r="Y65" s="90">
        <v>13</v>
      </c>
      <c r="Z65" s="90">
        <v>9</v>
      </c>
      <c r="AA65" s="90">
        <v>-7</v>
      </c>
      <c r="AB65" s="15">
        <f t="shared" si="30"/>
        <v>81</v>
      </c>
      <c r="AC65" s="16">
        <f t="shared" si="31"/>
        <v>8.1</v>
      </c>
      <c r="AD65" s="90">
        <v>15</v>
      </c>
      <c r="AE65" s="90">
        <v>0</v>
      </c>
      <c r="AF65" s="90">
        <v>9</v>
      </c>
      <c r="AG65" s="90">
        <v>15</v>
      </c>
      <c r="AH65" s="90">
        <v>3</v>
      </c>
      <c r="AI65" s="90">
        <v>9</v>
      </c>
      <c r="AJ65" s="90">
        <v>14</v>
      </c>
      <c r="AK65" s="90">
        <v>-3</v>
      </c>
      <c r="AL65" s="15">
        <f t="shared" si="32"/>
        <v>62</v>
      </c>
      <c r="AM65" s="16">
        <f t="shared" si="33"/>
        <v>8.86</v>
      </c>
      <c r="AN65" s="17">
        <f t="shared" si="34"/>
        <v>8.5500000000000007</v>
      </c>
      <c r="AO65" s="18" t="s">
        <v>78</v>
      </c>
      <c r="AP65" s="19">
        <v>3089</v>
      </c>
      <c r="AQ65" s="19">
        <v>4131</v>
      </c>
      <c r="AR65" s="19">
        <f>I65-AP65+AQ65</f>
        <v>56162</v>
      </c>
      <c r="AS65" s="19">
        <v>2700</v>
      </c>
      <c r="AT65" s="19">
        <v>1400</v>
      </c>
      <c r="AU65" s="19">
        <v>3428</v>
      </c>
      <c r="AV65" s="19">
        <v>12149</v>
      </c>
      <c r="AW65" s="20">
        <f t="shared" si="35"/>
        <v>20.800740740740739</v>
      </c>
      <c r="AX65" s="20">
        <f t="shared" si="36"/>
        <v>16.38331388564761</v>
      </c>
      <c r="AY65" s="20">
        <f t="shared" si="37"/>
        <v>4.6227673059511067</v>
      </c>
      <c r="AZ65" s="21">
        <v>5000</v>
      </c>
      <c r="BA65" s="22">
        <f t="shared" si="38"/>
        <v>0.1152358218783439</v>
      </c>
      <c r="BB65" s="22">
        <f t="shared" si="39"/>
        <v>2.4298000000000002</v>
      </c>
      <c r="BC65" s="23">
        <f t="shared" si="40"/>
        <v>0.28000000000000003</v>
      </c>
      <c r="BD65">
        <v>4350</v>
      </c>
      <c r="BE65" s="23">
        <f t="shared" si="41"/>
        <v>0.10008210113886595</v>
      </c>
      <c r="BF65">
        <v>6200</v>
      </c>
      <c r="BG65" s="23">
        <f t="shared" si="42"/>
        <v>0.1808795046936249</v>
      </c>
      <c r="BH65" s="24">
        <v>25</v>
      </c>
      <c r="BI65" s="24">
        <v>40</v>
      </c>
      <c r="BJ65" s="25">
        <f>(BD65*BH65+AP65-AQ65)/H65</f>
        <v>5080.566037735849</v>
      </c>
      <c r="BK65" s="25">
        <f>(BF65*BI65+AP65-AQ65)/H65</f>
        <v>11648.962264150943</v>
      </c>
      <c r="BL65" s="23">
        <f>(BJ65/G65)^(1/5)-1</f>
        <v>0.14337252119652866</v>
      </c>
      <c r="BM65" s="23">
        <f t="shared" si="44"/>
        <v>0.45488435118754245</v>
      </c>
      <c r="BN65" s="93" t="s">
        <v>285</v>
      </c>
      <c r="BO65" s="93" t="s">
        <v>286</v>
      </c>
      <c r="BP65" s="93" t="s">
        <v>287</v>
      </c>
    </row>
  </sheetData>
  <mergeCells count="9">
    <mergeCell ref="BN2:BP2"/>
    <mergeCell ref="AN2:AN3"/>
    <mergeCell ref="T2:AC2"/>
    <mergeCell ref="J2:S2"/>
    <mergeCell ref="A1:AW1"/>
    <mergeCell ref="AD2:AM2"/>
    <mergeCell ref="BJ2:BM2"/>
    <mergeCell ref="A2:I2"/>
    <mergeCell ref="AO2:BF2"/>
  </mergeCells>
  <pageMargins left="0.75" right="0.75" top="1" bottom="1" header="0.511811023622047" footer="0.511811023622047"/>
  <pageSetup paperSize="9" orientation="portrait" horizontalDpi="300" verticalDpi="300"/>
  <legacyDrawing ns4: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52"/>
  <sheetViews>
    <sheetView zoomScaleNormal="100" workbookViewId="0">
      <selection activeCell="G11" sqref="G11"/>
    </sheetView>
  </sheetViews>
  <sheetFormatPr baseColWidth="10" defaultColWidth="8.5703125" defaultRowHeight="15" x14ac:dyDescent="0.25"/>
  <cols>
    <col min="1" max="1" width="110" customWidth="1"/>
    <col min="4" max="4" width="11.85546875" customWidth="1"/>
    <col min="5" max="5" width="9.5703125" customWidth="1"/>
  </cols>
  <sheetData>
    <row r="1" spans="1:6" ht="24" customHeight="1" x14ac:dyDescent="0.25">
      <c r="A1" s="100" t="s">
        <v>288</v>
      </c>
      <c r="B1" s="96"/>
      <c r="C1" s="96"/>
      <c r="D1" s="96"/>
      <c r="E1" s="96"/>
      <c r="F1" s="96"/>
    </row>
    <row r="3" spans="1:6" ht="15" customHeight="1" x14ac:dyDescent="0.25">
      <c r="A3" s="27" t="s">
        <v>289</v>
      </c>
    </row>
    <row r="4" spans="1:6" ht="15" customHeight="1" x14ac:dyDescent="0.25">
      <c r="A4" s="28" t="s">
        <v>290</v>
      </c>
      <c r="D4" t="e" vm="63">
        <v>#VALUE!</v>
      </c>
      <c r="E4" s="29">
        <f t="array" aca="1" ref="E4" ca="1">_FV(D4,"Precio")</f>
        <v>184.53</v>
      </c>
    </row>
    <row r="5" spans="1:6" ht="15" customHeight="1" x14ac:dyDescent="0.25">
      <c r="A5" s="28" t="s">
        <v>291</v>
      </c>
      <c r="D5" t="e" vm="64">
        <v>#VALUE!</v>
      </c>
      <c r="E5" s="30">
        <f t="array" aca="1" ref="E5" ca="1">_FV(D5,"Precio")</f>
        <v>1.2665999999999999</v>
      </c>
    </row>
    <row r="6" spans="1:6" ht="15" customHeight="1" x14ac:dyDescent="0.25">
      <c r="A6" s="28" t="s">
        <v>292</v>
      </c>
      <c r="D6" t="e" vm="65">
        <v>#VALUE!</v>
      </c>
      <c r="E6" s="31">
        <f t="array" aca="1" ref="E6" ca="1">_FV(D6,"Precio")</f>
        <v>470.63</v>
      </c>
    </row>
    <row r="7" spans="1:6" ht="15" customHeight="1" x14ac:dyDescent="0.25">
      <c r="D7" t="e" vm="66">
        <v>#VALUE!</v>
      </c>
      <c r="E7" s="30">
        <f t="array" aca="1" ref="E7" ca="1">_FV(D7,"Precio")</f>
        <v>0.72719999999999996</v>
      </c>
    </row>
    <row r="8" spans="1:6" ht="15" customHeight="1" x14ac:dyDescent="0.25">
      <c r="A8" s="27" t="s">
        <v>293</v>
      </c>
      <c r="D8" t="e" vm="67">
        <v>#VALUE!</v>
      </c>
      <c r="E8" s="87">
        <f t="array" aca="1" ref="E8" ca="1">_FV(D8,"Precio")</f>
        <v>0.86180000000000001</v>
      </c>
    </row>
    <row r="9" spans="1:6" ht="15" customHeight="1" x14ac:dyDescent="0.25">
      <c r="A9" s="28" t="s">
        <v>294</v>
      </c>
    </row>
    <row r="10" spans="1:6" ht="15" customHeight="1" x14ac:dyDescent="0.25">
      <c r="A10" s="28" t="s">
        <v>295</v>
      </c>
    </row>
    <row r="11" spans="1:6" ht="15" customHeight="1" x14ac:dyDescent="0.25">
      <c r="A11" s="28" t="s">
        <v>296</v>
      </c>
    </row>
    <row r="12" spans="1:6" ht="15" customHeight="1" x14ac:dyDescent="0.25">
      <c r="A12" s="28" t="s">
        <v>297</v>
      </c>
    </row>
    <row r="13" spans="1:6" ht="15" customHeight="1" x14ac:dyDescent="0.25">
      <c r="A13" s="28" t="s">
        <v>298</v>
      </c>
    </row>
    <row r="14" spans="1:6" ht="15" customHeight="1" x14ac:dyDescent="0.25">
      <c r="A14" s="28" t="s">
        <v>299</v>
      </c>
    </row>
    <row r="15" spans="1:6" ht="15" customHeight="1" x14ac:dyDescent="0.25">
      <c r="A15" s="28" t="s">
        <v>300</v>
      </c>
    </row>
    <row r="16" spans="1:6" ht="15" customHeight="1" x14ac:dyDescent="0.25">
      <c r="A16" s="28" t="s">
        <v>301</v>
      </c>
    </row>
    <row r="18" spans="1:1" ht="15" customHeight="1" x14ac:dyDescent="0.25">
      <c r="A18" s="27" t="s">
        <v>302</v>
      </c>
    </row>
    <row r="19" spans="1:1" ht="15" customHeight="1" x14ac:dyDescent="0.25">
      <c r="A19" s="28" t="s">
        <v>303</v>
      </c>
    </row>
    <row r="20" spans="1:1" ht="15" customHeight="1" x14ac:dyDescent="0.25">
      <c r="A20" s="28" t="s">
        <v>304</v>
      </c>
    </row>
    <row r="21" spans="1:1" ht="15" customHeight="1" x14ac:dyDescent="0.25">
      <c r="A21" s="28" t="s">
        <v>305</v>
      </c>
    </row>
    <row r="22" spans="1:1" ht="15" customHeight="1" x14ac:dyDescent="0.25">
      <c r="A22" s="28" t="s">
        <v>306</v>
      </c>
    </row>
    <row r="23" spans="1:1" ht="15" customHeight="1" x14ac:dyDescent="0.25">
      <c r="A23" s="28" t="s">
        <v>307</v>
      </c>
    </row>
    <row r="24" spans="1:1" ht="15" customHeight="1" x14ac:dyDescent="0.25">
      <c r="A24" s="28" t="s">
        <v>308</v>
      </c>
    </row>
    <row r="25" spans="1:1" ht="15" customHeight="1" x14ac:dyDescent="0.25">
      <c r="A25" s="28" t="s">
        <v>309</v>
      </c>
    </row>
    <row r="26" spans="1:1" ht="15" customHeight="1" x14ac:dyDescent="0.25">
      <c r="A26" s="28" t="s">
        <v>310</v>
      </c>
    </row>
    <row r="28" spans="1:1" ht="15" customHeight="1" x14ac:dyDescent="0.25">
      <c r="A28" s="27" t="s">
        <v>311</v>
      </c>
    </row>
    <row r="29" spans="1:1" ht="15" customHeight="1" x14ac:dyDescent="0.25">
      <c r="A29" s="28" t="s">
        <v>312</v>
      </c>
    </row>
    <row r="30" spans="1:1" ht="15" customHeight="1" x14ac:dyDescent="0.25">
      <c r="A30" s="28" t="s">
        <v>313</v>
      </c>
    </row>
    <row r="31" spans="1:1" ht="15" customHeight="1" x14ac:dyDescent="0.25">
      <c r="A31" s="28" t="s">
        <v>314</v>
      </c>
    </row>
    <row r="32" spans="1:1" ht="15" customHeight="1" x14ac:dyDescent="0.25">
      <c r="A32" s="28" t="s">
        <v>315</v>
      </c>
    </row>
    <row r="33" spans="1:1" ht="15" customHeight="1" x14ac:dyDescent="0.25">
      <c r="A33" s="28" t="s">
        <v>316</v>
      </c>
    </row>
    <row r="34" spans="1:1" ht="15" customHeight="1" x14ac:dyDescent="0.25">
      <c r="A34" s="28" t="s">
        <v>317</v>
      </c>
    </row>
    <row r="35" spans="1:1" ht="15" customHeight="1" x14ac:dyDescent="0.25">
      <c r="A35" s="28" t="s">
        <v>318</v>
      </c>
    </row>
    <row r="36" spans="1:1" ht="15" customHeight="1" x14ac:dyDescent="0.25">
      <c r="A36" s="28" t="s">
        <v>319</v>
      </c>
    </row>
    <row r="38" spans="1:1" ht="15" customHeight="1" x14ac:dyDescent="0.25">
      <c r="A38" s="27" t="s">
        <v>320</v>
      </c>
    </row>
    <row r="39" spans="1:1" ht="15" customHeight="1" x14ac:dyDescent="0.25">
      <c r="A39" s="28" t="s">
        <v>321</v>
      </c>
    </row>
    <row r="40" spans="1:1" ht="15" customHeight="1" x14ac:dyDescent="0.25">
      <c r="A40" s="28" t="s">
        <v>322</v>
      </c>
    </row>
    <row r="42" spans="1:1" ht="15" customHeight="1" x14ac:dyDescent="0.25">
      <c r="A42" s="27" t="s">
        <v>323</v>
      </c>
    </row>
    <row r="43" spans="1:1" ht="15" customHeight="1" x14ac:dyDescent="0.25">
      <c r="A43" s="28" t="s">
        <v>324</v>
      </c>
    </row>
    <row r="44" spans="1:1" ht="15" customHeight="1" x14ac:dyDescent="0.25">
      <c r="A44" s="28" t="s">
        <v>325</v>
      </c>
    </row>
    <row r="45" spans="1:1" ht="15" customHeight="1" x14ac:dyDescent="0.25">
      <c r="A45" s="28" t="s">
        <v>326</v>
      </c>
    </row>
    <row r="46" spans="1:1" ht="15" customHeight="1" x14ac:dyDescent="0.25">
      <c r="A46" s="28" t="s">
        <v>327</v>
      </c>
    </row>
    <row r="47" spans="1:1" ht="15" customHeight="1" x14ac:dyDescent="0.25">
      <c r="A47" s="28" t="s">
        <v>328</v>
      </c>
    </row>
    <row r="49" spans="1:1" ht="15" customHeight="1" x14ac:dyDescent="0.25">
      <c r="A49" s="27" t="s">
        <v>329</v>
      </c>
    </row>
    <row r="50" spans="1:1" ht="15" customHeight="1" x14ac:dyDescent="0.25">
      <c r="A50" s="28" t="s">
        <v>330</v>
      </c>
    </row>
    <row r="51" spans="1:1" ht="15" customHeight="1" x14ac:dyDescent="0.25">
      <c r="A51" s="28" t="s">
        <v>331</v>
      </c>
    </row>
    <row r="52" spans="1:1" ht="15" customHeight="1" x14ac:dyDescent="0.25">
      <c r="A52" s="28" t="s">
        <v>332</v>
      </c>
    </row>
  </sheetData>
  <mergeCells count="1">
    <mergeCell ref="A1:F1"/>
  </mergeCells>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U91"/>
  <sheetViews>
    <sheetView zoomScaleNormal="100" workbookViewId="0">
      <pane ySplit="4" topLeftCell="A81" activePane="bottomLeft" state="frozen"/>
      <selection pane="bottomLeft" activeCell="P4" sqref="P4"/>
    </sheetView>
  </sheetViews>
  <sheetFormatPr baseColWidth="10" defaultColWidth="10.7109375" defaultRowHeight="15" x14ac:dyDescent="0.25"/>
  <cols>
    <col min="1" max="14" width="13.28515625" customWidth="1"/>
    <col min="15" max="16" width="10.7109375" customWidth="1"/>
    <col min="17" max="17" width="16" customWidth="1"/>
    <col min="18" max="29" width="13.28515625" hidden="1" customWidth="1"/>
    <col min="30" max="30" width="2.85546875" customWidth="1"/>
    <col min="31" max="31" width="4.7109375" hidden="1" customWidth="1"/>
    <col min="32" max="32" width="13.28515625" hidden="1" customWidth="1"/>
    <col min="33" max="33" width="10.42578125" customWidth="1"/>
    <col min="34" max="43" width="0.140625" customWidth="1"/>
  </cols>
  <sheetData>
    <row r="1" spans="1:47" ht="45" customHeight="1" x14ac:dyDescent="0.4">
      <c r="A1" s="107" t="s">
        <v>333</v>
      </c>
      <c r="B1" s="96"/>
      <c r="C1" s="96"/>
      <c r="D1" s="96"/>
      <c r="E1" s="96"/>
      <c r="F1" s="96"/>
      <c r="G1" s="96"/>
      <c r="H1" s="96"/>
      <c r="I1" s="96"/>
      <c r="J1" s="96"/>
      <c r="K1" s="96"/>
      <c r="L1" s="96"/>
      <c r="M1" s="32"/>
      <c r="N1" s="32"/>
      <c r="O1" s="32"/>
      <c r="P1" s="32"/>
      <c r="Q1" s="32"/>
      <c r="R1" s="32"/>
    </row>
    <row r="2" spans="1:47" ht="24.75" customHeight="1" x14ac:dyDescent="0.25">
      <c r="A2" s="124" t="s">
        <v>334</v>
      </c>
      <c r="B2" s="125"/>
      <c r="C2" s="125"/>
      <c r="D2" s="125"/>
      <c r="E2" s="125"/>
      <c r="F2" s="125"/>
      <c r="G2" s="125"/>
      <c r="H2" s="125"/>
      <c r="I2" s="125"/>
      <c r="J2" s="125"/>
      <c r="K2" s="125"/>
      <c r="L2" s="125"/>
    </row>
    <row r="3" spans="1:47" ht="24.75" customHeight="1" x14ac:dyDescent="0.25">
      <c r="A3" s="130" t="s">
        <v>335</v>
      </c>
      <c r="B3" s="119"/>
      <c r="C3" s="151" t="s">
        <v>336</v>
      </c>
      <c r="D3" s="119"/>
      <c r="E3" s="152" t="s">
        <v>337</v>
      </c>
      <c r="F3" s="119"/>
      <c r="G3" s="118" t="s">
        <v>338</v>
      </c>
      <c r="H3" s="119"/>
      <c r="I3" s="120" t="s">
        <v>339</v>
      </c>
      <c r="J3" s="119"/>
      <c r="K3" s="156" t="s">
        <v>340</v>
      </c>
      <c r="L3" s="157"/>
    </row>
    <row r="4" spans="1:47" ht="49.5" customHeight="1" x14ac:dyDescent="0.25">
      <c r="A4" s="137">
        <f ca="1">COUNTA('Watchlist Ratings'!B4:B64)</f>
        <v>61</v>
      </c>
      <c r="B4" s="122"/>
      <c r="C4" s="153">
        <f>ROUND(AVERAGE('Watchlist Ratings'!AN4:AN64),2)</f>
        <v>5.94</v>
      </c>
      <c r="D4" s="122"/>
      <c r="E4" s="123" t="str">
        <f>TEXT(AVERAGE('Watchlist Ratings'!BC4:BC64),"0.0%")</f>
        <v>22.3%</v>
      </c>
      <c r="F4" s="122"/>
      <c r="G4" s="123" t="str">
        <f ca="1">TEXT(AVERAGE('Watchlist Ratings'!AW4:AW64),"0.0x")</f>
        <v>36.7x</v>
      </c>
      <c r="H4" s="122"/>
      <c r="I4" s="123">
        <f ca="1">COUNTIF('Watchlist Ratings'!BM4:BM64,"&gt;0")</f>
        <v>51</v>
      </c>
      <c r="J4" s="122"/>
      <c r="K4" s="108">
        <f>COUNTIF('Watchlist Ratings'!AN4:AN64,"&gt;7.5")</f>
        <v>15</v>
      </c>
      <c r="L4" s="109"/>
    </row>
    <row r="5" spans="1:47" ht="19.5" customHeight="1" x14ac:dyDescent="0.25">
      <c r="A5" s="133" t="s">
        <v>341</v>
      </c>
      <c r="B5" s="122"/>
      <c r="C5" s="121" t="s">
        <v>342</v>
      </c>
      <c r="D5" s="122"/>
      <c r="E5" s="121" t="s">
        <v>343</v>
      </c>
      <c r="F5" s="122"/>
      <c r="G5" s="121" t="s">
        <v>344</v>
      </c>
      <c r="H5" s="122"/>
      <c r="I5" s="121" t="s">
        <v>345</v>
      </c>
      <c r="J5" s="122"/>
      <c r="K5" s="158" t="s">
        <v>346</v>
      </c>
      <c r="L5" s="109"/>
    </row>
    <row r="6" spans="1:47" ht="18" customHeight="1" x14ac:dyDescent="0.25">
      <c r="A6" s="114" t="s">
        <v>347</v>
      </c>
      <c r="B6" s="115"/>
      <c r="C6" s="131" t="s">
        <v>348</v>
      </c>
      <c r="D6" s="115"/>
      <c r="E6" s="131" t="s">
        <v>349</v>
      </c>
      <c r="F6" s="115"/>
      <c r="G6" s="117" t="s">
        <v>350</v>
      </c>
      <c r="H6" s="115"/>
      <c r="I6" s="131" t="s">
        <v>351</v>
      </c>
      <c r="J6" s="115"/>
      <c r="K6" s="154" t="s">
        <v>352</v>
      </c>
      <c r="L6" s="155"/>
      <c r="O6" t="s">
        <v>353</v>
      </c>
      <c r="S6" t="s">
        <v>354</v>
      </c>
      <c r="V6" t="s">
        <v>355</v>
      </c>
      <c r="Y6" t="s">
        <v>356</v>
      </c>
      <c r="AA6" t="s">
        <v>357</v>
      </c>
      <c r="AE6" t="s">
        <v>358</v>
      </c>
      <c r="AF6" t="s">
        <v>359</v>
      </c>
      <c r="AH6" t="s">
        <v>358</v>
      </c>
      <c r="AI6" t="s">
        <v>359</v>
      </c>
      <c r="AJ6" t="s">
        <v>358</v>
      </c>
      <c r="AK6" t="s">
        <v>360</v>
      </c>
      <c r="AL6" t="s">
        <v>361</v>
      </c>
      <c r="AM6" t="s">
        <v>358</v>
      </c>
      <c r="AN6" t="s">
        <v>362</v>
      </c>
      <c r="AO6" t="s">
        <v>358</v>
      </c>
      <c r="AP6" t="s">
        <v>363</v>
      </c>
      <c r="AQ6" t="s">
        <v>364</v>
      </c>
      <c r="AS6" t="s">
        <v>358</v>
      </c>
      <c r="AT6" t="s">
        <v>362</v>
      </c>
      <c r="AU6" t="s">
        <v>364</v>
      </c>
    </row>
    <row r="7" spans="1:47" ht="15.75" customHeight="1" x14ac:dyDescent="0.25">
      <c r="A7" s="33" t="s">
        <v>365</v>
      </c>
      <c r="B7" s="34" t="s">
        <v>358</v>
      </c>
      <c r="C7" s="34" t="s">
        <v>366</v>
      </c>
      <c r="D7" s="34" t="s">
        <v>367</v>
      </c>
      <c r="E7" s="34" t="s">
        <v>368</v>
      </c>
      <c r="F7" s="34" t="s">
        <v>369</v>
      </c>
      <c r="G7" s="34" t="s">
        <v>360</v>
      </c>
      <c r="H7" s="34" t="s">
        <v>370</v>
      </c>
      <c r="I7" s="34" t="s">
        <v>62</v>
      </c>
      <c r="J7" s="35" t="s">
        <v>362</v>
      </c>
      <c r="K7" s="36"/>
      <c r="O7" t="s">
        <v>358</v>
      </c>
      <c r="P7" t="s">
        <v>369</v>
      </c>
      <c r="Q7" t="s">
        <v>371</v>
      </c>
      <c r="S7" t="s">
        <v>358</v>
      </c>
      <c r="T7" t="s">
        <v>62</v>
      </c>
      <c r="V7" t="s">
        <v>358</v>
      </c>
      <c r="W7" t="s">
        <v>360</v>
      </c>
      <c r="X7" t="s">
        <v>361</v>
      </c>
      <c r="Y7" t="s">
        <v>358</v>
      </c>
      <c r="Z7" t="s">
        <v>362</v>
      </c>
      <c r="AA7" t="s">
        <v>358</v>
      </c>
      <c r="AB7" t="s">
        <v>372</v>
      </c>
      <c r="AC7" t="s">
        <v>371</v>
      </c>
      <c r="AE7" t="s">
        <v>373</v>
      </c>
      <c r="AF7">
        <v>83.3333333333333</v>
      </c>
      <c r="AH7" t="s">
        <v>373</v>
      </c>
      <c r="AI7">
        <v>83.3</v>
      </c>
      <c r="AJ7" t="s">
        <v>374</v>
      </c>
      <c r="AK7">
        <v>8</v>
      </c>
      <c r="AL7">
        <v>3</v>
      </c>
      <c r="AM7" t="s">
        <v>375</v>
      </c>
      <c r="AN7">
        <v>52.2</v>
      </c>
      <c r="AO7" t="s">
        <v>374</v>
      </c>
      <c r="AP7">
        <v>4.5</v>
      </c>
      <c r="AQ7">
        <v>33.6</v>
      </c>
      <c r="AS7" t="s">
        <v>374</v>
      </c>
      <c r="AT7">
        <v>20.173600073636401</v>
      </c>
      <c r="AU7">
        <v>33.701681153345</v>
      </c>
    </row>
    <row r="8" spans="1:47" ht="30" customHeight="1" x14ac:dyDescent="0.25">
      <c r="A8" s="116" t="s">
        <v>376</v>
      </c>
      <c r="B8" s="96"/>
      <c r="C8" s="96"/>
      <c r="D8" s="96"/>
      <c r="E8" s="96"/>
      <c r="F8" s="96"/>
      <c r="G8" s="96"/>
      <c r="H8" s="96"/>
      <c r="I8" s="96"/>
      <c r="J8" s="96"/>
      <c r="K8" s="96"/>
      <c r="L8" s="96"/>
      <c r="O8" t="str">
        <f ca="1">'Watchlist Ratings'!B4</f>
        <v>VEEV</v>
      </c>
      <c r="P8" s="37">
        <f>'Watchlist Ratings'!AN4</f>
        <v>8.2799999999999994</v>
      </c>
      <c r="Q8" s="23">
        <f ca="1">'Watchlist Ratings'!BM4</f>
        <v>0.34329692568943093</v>
      </c>
      <c r="S8" t="str">
        <f ca="1">'Watchlist Ratings'!B4</f>
        <v>VEEV</v>
      </c>
      <c r="T8" s="23">
        <f>'Watchlist Ratings'!BC4</f>
        <v>0.53999999999999992</v>
      </c>
      <c r="V8" t="str">
        <f ca="1">'Watchlist Ratings'!B4</f>
        <v>VEEV</v>
      </c>
      <c r="W8" s="38">
        <f>'Watchlist Ratings'!K4</f>
        <v>8</v>
      </c>
      <c r="X8" s="38">
        <f>'Watchlist Ratings'!L4</f>
        <v>2</v>
      </c>
      <c r="Y8" t="str">
        <f ca="1">'Watchlist Ratings'!B4</f>
        <v>VEEV</v>
      </c>
      <c r="Z8">
        <f ca="1">'Watchlist Ratings'!AW4</f>
        <v>19.712882403636364</v>
      </c>
      <c r="AA8" t="str">
        <f ca="1">'Watchlist Ratings'!B4</f>
        <v>VEEV</v>
      </c>
      <c r="AB8">
        <f ca="1">'Watchlist Ratings'!BL4</f>
        <v>5.0023692268371889E-2</v>
      </c>
      <c r="AC8">
        <f ca="1">'Watchlist Ratings'!BM4</f>
        <v>0.34329692568943093</v>
      </c>
      <c r="AE8" t="s">
        <v>377</v>
      </c>
      <c r="AF8">
        <v>83.3333333333333</v>
      </c>
      <c r="AH8" t="s">
        <v>377</v>
      </c>
      <c r="AI8">
        <v>83.3</v>
      </c>
      <c r="AJ8" t="s">
        <v>378</v>
      </c>
      <c r="AK8">
        <v>8</v>
      </c>
      <c r="AL8">
        <v>3</v>
      </c>
      <c r="AM8" t="s">
        <v>379</v>
      </c>
      <c r="AN8">
        <v>51.1</v>
      </c>
      <c r="AO8" t="s">
        <v>380</v>
      </c>
      <c r="AP8">
        <v>3.7</v>
      </c>
      <c r="AQ8">
        <v>32.4</v>
      </c>
      <c r="AS8" t="s">
        <v>378</v>
      </c>
      <c r="AT8">
        <v>44.5724369425714</v>
      </c>
      <c r="AU8">
        <v>10.123218193895701</v>
      </c>
    </row>
    <row r="9" spans="1:47" ht="15" customHeight="1" x14ac:dyDescent="0.25">
      <c r="A9" s="39">
        <v>2</v>
      </c>
      <c r="B9" s="40" t="str">
        <f ca="1">'Watchlist Ratings'!B5</f>
        <v>MSFT</v>
      </c>
      <c r="C9" s="41">
        <f>'Watchlist Ratings'!S5</f>
        <v>8.7100000000000009</v>
      </c>
      <c r="D9" s="41">
        <f>'Watchlist Ratings'!AC5</f>
        <v>7.6</v>
      </c>
      <c r="E9" s="41">
        <f>'Watchlist Ratings'!AM5</f>
        <v>7.71</v>
      </c>
      <c r="F9" s="41">
        <f>'Watchlist Ratings'!AN5</f>
        <v>8.01</v>
      </c>
      <c r="G9" s="42">
        <f>'Watchlist Ratings'!K5</f>
        <v>8</v>
      </c>
      <c r="H9" s="42">
        <f>'Watchlist Ratings'!L5</f>
        <v>3</v>
      </c>
      <c r="I9" s="43">
        <f>'Watchlist Ratings'!BC5</f>
        <v>0.3214285714285714</v>
      </c>
      <c r="J9" s="44">
        <f ca="1">'Watchlist Ratings'!AW5</f>
        <v>43.903919708571436</v>
      </c>
      <c r="O9" t="str">
        <f ca="1">'Watchlist Ratings'!B5</f>
        <v>MSFT</v>
      </c>
      <c r="P9" s="37">
        <f>'Watchlist Ratings'!AN5</f>
        <v>8.01</v>
      </c>
      <c r="Q9" s="23">
        <f ca="1">'Watchlist Ratings'!BM5</f>
        <v>0.10535648659769592</v>
      </c>
      <c r="S9" t="str">
        <f ca="1">'Watchlist Ratings'!B5</f>
        <v>MSFT</v>
      </c>
      <c r="T9" s="23">
        <f>'Watchlist Ratings'!BC5</f>
        <v>0.3214285714285714</v>
      </c>
      <c r="V9" t="str">
        <f ca="1">'Watchlist Ratings'!B5</f>
        <v>MSFT</v>
      </c>
      <c r="W9" s="38">
        <f>'Watchlist Ratings'!K5</f>
        <v>8</v>
      </c>
      <c r="X9" s="38">
        <f>'Watchlist Ratings'!L5</f>
        <v>3</v>
      </c>
      <c r="Y9" t="str">
        <f ca="1">'Watchlist Ratings'!B5</f>
        <v>MSFT</v>
      </c>
      <c r="Z9">
        <f ca="1">'Watchlist Ratings'!AW5</f>
        <v>43.903919708571436</v>
      </c>
      <c r="AA9" t="str">
        <f ca="1">'Watchlist Ratings'!B5</f>
        <v>MSFT</v>
      </c>
      <c r="AB9">
        <f ca="1">'Watchlist Ratings'!BL5</f>
        <v>-7.6187598967572323E-2</v>
      </c>
      <c r="AC9">
        <f ca="1">'Watchlist Ratings'!BM5</f>
        <v>0.10535648659769592</v>
      </c>
      <c r="AE9" t="s">
        <v>381</v>
      </c>
      <c r="AF9">
        <v>59.375</v>
      </c>
      <c r="AH9" t="s">
        <v>381</v>
      </c>
      <c r="AI9">
        <v>59.4</v>
      </c>
      <c r="AJ9" t="s">
        <v>379</v>
      </c>
      <c r="AK9">
        <v>8</v>
      </c>
      <c r="AL9">
        <v>1</v>
      </c>
      <c r="AM9" t="s">
        <v>382</v>
      </c>
      <c r="AN9">
        <v>45.6</v>
      </c>
      <c r="AO9" t="s">
        <v>383</v>
      </c>
      <c r="AP9">
        <v>1.1000000000000001</v>
      </c>
      <c r="AQ9">
        <v>28.4</v>
      </c>
      <c r="AS9" t="s">
        <v>383</v>
      </c>
      <c r="AT9">
        <v>28.571278521519002</v>
      </c>
      <c r="AU9">
        <v>28.414482662692301</v>
      </c>
    </row>
    <row r="10" spans="1:47" ht="15" customHeight="1" x14ac:dyDescent="0.25">
      <c r="A10" s="45">
        <v>3</v>
      </c>
      <c r="B10" s="46" t="str">
        <f ca="1">'Watchlist Ratings'!B6</f>
        <v>ADYEN</v>
      </c>
      <c r="C10" s="47">
        <f>'Watchlist Ratings'!S6</f>
        <v>7.49</v>
      </c>
      <c r="D10" s="47">
        <f>'Watchlist Ratings'!AC6</f>
        <v>7.4</v>
      </c>
      <c r="E10" s="47">
        <f>'Watchlist Ratings'!AM6</f>
        <v>8.2899999999999991</v>
      </c>
      <c r="F10" s="47">
        <f>'Watchlist Ratings'!AN6</f>
        <v>7.73</v>
      </c>
      <c r="G10" s="48">
        <f>'Watchlist Ratings'!K6</f>
        <v>7</v>
      </c>
      <c r="H10" s="48">
        <f>'Watchlist Ratings'!L6</f>
        <v>2</v>
      </c>
      <c r="I10" s="49">
        <f>'Watchlist Ratings'!BC6</f>
        <v>0.23999999999999996</v>
      </c>
      <c r="J10" s="50">
        <f ca="1">'Watchlist Ratings'!AW6</f>
        <v>27.281417681012659</v>
      </c>
      <c r="O10" t="str">
        <f ca="1">'Watchlist Ratings'!B6</f>
        <v>ADYEN</v>
      </c>
      <c r="P10" s="37">
        <f>'Watchlist Ratings'!AN6</f>
        <v>7.73</v>
      </c>
      <c r="Q10" s="23">
        <f ca="1">'Watchlist Ratings'!BM6</f>
        <v>0.29489453079395211</v>
      </c>
      <c r="S10" t="str">
        <f ca="1">'Watchlist Ratings'!B6</f>
        <v>ADYEN</v>
      </c>
      <c r="T10" s="23">
        <f>'Watchlist Ratings'!BC6</f>
        <v>0.23999999999999996</v>
      </c>
      <c r="V10" t="str">
        <f ca="1">'Watchlist Ratings'!B6</f>
        <v>ADYEN</v>
      </c>
      <c r="W10" s="38">
        <f>'Watchlist Ratings'!K6</f>
        <v>7</v>
      </c>
      <c r="X10" s="38">
        <f>'Watchlist Ratings'!L6</f>
        <v>2</v>
      </c>
      <c r="Y10" t="str">
        <f ca="1">'Watchlist Ratings'!B6</f>
        <v>ADYEN</v>
      </c>
      <c r="Z10">
        <f ca="1">'Watchlist Ratings'!AW6</f>
        <v>27.281417681012659</v>
      </c>
      <c r="AA10" t="str">
        <f ca="1">'Watchlist Ratings'!B6</f>
        <v>ADYEN</v>
      </c>
      <c r="AB10">
        <f ca="1">'Watchlist Ratings'!BL6</f>
        <v>1.8023752328891529E-2</v>
      </c>
      <c r="AC10">
        <f ca="1">'Watchlist Ratings'!BM6</f>
        <v>0.29489453079395211</v>
      </c>
      <c r="AE10" t="s">
        <v>374</v>
      </c>
      <c r="AF10">
        <v>54</v>
      </c>
      <c r="AH10" t="s">
        <v>374</v>
      </c>
      <c r="AI10">
        <v>54</v>
      </c>
      <c r="AJ10" t="s">
        <v>375</v>
      </c>
      <c r="AK10">
        <v>8</v>
      </c>
      <c r="AL10">
        <v>3</v>
      </c>
      <c r="AM10" t="s">
        <v>378</v>
      </c>
      <c r="AN10">
        <v>44.8</v>
      </c>
      <c r="AO10" t="s">
        <v>384</v>
      </c>
      <c r="AP10">
        <v>1.8</v>
      </c>
      <c r="AQ10">
        <v>25</v>
      </c>
      <c r="AS10" t="s">
        <v>385</v>
      </c>
      <c r="AT10">
        <v>24.369253736000001</v>
      </c>
      <c r="AU10">
        <v>23.4863412384314</v>
      </c>
    </row>
    <row r="11" spans="1:47" ht="15" customHeight="1" x14ac:dyDescent="0.25">
      <c r="A11" s="39">
        <v>4</v>
      </c>
      <c r="B11" s="40" t="str">
        <f ca="1">'Watchlist Ratings'!B7</f>
        <v>BN</v>
      </c>
      <c r="C11" s="41">
        <f>'Watchlist Ratings'!S7</f>
        <v>8.33</v>
      </c>
      <c r="D11" s="41">
        <f>'Watchlist Ratings'!AC7</f>
        <v>7.9</v>
      </c>
      <c r="E11" s="41">
        <f>'Watchlist Ratings'!AM7</f>
        <v>7.57</v>
      </c>
      <c r="F11" s="41">
        <f>'Watchlist Ratings'!AN7</f>
        <v>7.93</v>
      </c>
      <c r="G11" s="42">
        <f>'Watchlist Ratings'!K7</f>
        <v>7</v>
      </c>
      <c r="H11" s="42">
        <f>'Watchlist Ratings'!L7</f>
        <v>3</v>
      </c>
      <c r="I11" s="43">
        <f>'Watchlist Ratings'!BC7</f>
        <v>6.1111111111111109E-2</v>
      </c>
      <c r="J11" s="44">
        <f ca="1">'Watchlist Ratings'!AW7</f>
        <v>23.271675365540002</v>
      </c>
      <c r="O11" t="str">
        <f ca="1">'Watchlist Ratings'!B7</f>
        <v>BN</v>
      </c>
      <c r="P11" s="37">
        <f>'Watchlist Ratings'!AN7</f>
        <v>7.93</v>
      </c>
      <c r="Q11" s="23">
        <f ca="1">'Watchlist Ratings'!BM7</f>
        <v>0.25007229949436627</v>
      </c>
      <c r="S11" t="str">
        <f ca="1">'Watchlist Ratings'!B7</f>
        <v>BN</v>
      </c>
      <c r="T11" s="23">
        <f>'Watchlist Ratings'!BC7</f>
        <v>6.1111111111111109E-2</v>
      </c>
      <c r="V11" t="str">
        <f ca="1">'Watchlist Ratings'!B7</f>
        <v>BN</v>
      </c>
      <c r="W11" s="38">
        <f>'Watchlist Ratings'!K7</f>
        <v>7</v>
      </c>
      <c r="X11" s="38">
        <f>'Watchlist Ratings'!L7</f>
        <v>3</v>
      </c>
      <c r="Y11" t="str">
        <f ca="1">'Watchlist Ratings'!B7</f>
        <v>BN</v>
      </c>
      <c r="Z11">
        <f ca="1">'Watchlist Ratings'!AW7</f>
        <v>23.271675365540002</v>
      </c>
      <c r="AA11" t="str">
        <f ca="1">'Watchlist Ratings'!B7</f>
        <v>BN</v>
      </c>
      <c r="AB11">
        <f ca="1">'Watchlist Ratings'!BL7</f>
        <v>1.7441883555142645E-2</v>
      </c>
      <c r="AC11">
        <f ca="1">'Watchlist Ratings'!BM7</f>
        <v>0.25007229949436627</v>
      </c>
      <c r="AE11" t="s">
        <v>386</v>
      </c>
      <c r="AF11">
        <v>41.6666666666667</v>
      </c>
      <c r="AH11" t="s">
        <v>386</v>
      </c>
      <c r="AI11">
        <v>41.7</v>
      </c>
      <c r="AJ11" t="s">
        <v>387</v>
      </c>
      <c r="AK11">
        <v>8</v>
      </c>
      <c r="AL11">
        <v>2</v>
      </c>
      <c r="AM11" t="s">
        <v>388</v>
      </c>
      <c r="AN11">
        <v>43.6</v>
      </c>
      <c r="AO11" t="s">
        <v>385</v>
      </c>
      <c r="AP11">
        <v>0.6</v>
      </c>
      <c r="AQ11">
        <v>23.3</v>
      </c>
      <c r="AS11" t="s">
        <v>379</v>
      </c>
      <c r="AT11">
        <v>51.179748126470599</v>
      </c>
      <c r="AU11">
        <v>0.80673234994763598</v>
      </c>
    </row>
    <row r="12" spans="1:47" ht="15" customHeight="1" x14ac:dyDescent="0.25">
      <c r="A12" s="45">
        <v>5</v>
      </c>
      <c r="B12" s="46" t="str">
        <f ca="1">'Watchlist Ratings'!B8</f>
        <v>COST</v>
      </c>
      <c r="C12" s="47">
        <f>'Watchlist Ratings'!S8</f>
        <v>7.81</v>
      </c>
      <c r="D12" s="47">
        <f>'Watchlist Ratings'!AC8</f>
        <v>7.8</v>
      </c>
      <c r="E12" s="47">
        <f>'Watchlist Ratings'!AM8</f>
        <v>8.43</v>
      </c>
      <c r="F12" s="47">
        <f>'Watchlist Ratings'!AN8</f>
        <v>8.01</v>
      </c>
      <c r="G12" s="48">
        <f>'Watchlist Ratings'!K8</f>
        <v>8</v>
      </c>
      <c r="H12" s="48">
        <f>'Watchlist Ratings'!L8</f>
        <v>1</v>
      </c>
      <c r="I12" s="49">
        <f>'Watchlist Ratings'!BC8</f>
        <v>0.1875</v>
      </c>
      <c r="J12" s="50">
        <f ca="1">'Watchlist Ratings'!AW8</f>
        <v>56.453993435294123</v>
      </c>
      <c r="O12" t="str">
        <f ca="1">'Watchlist Ratings'!B8</f>
        <v>COST</v>
      </c>
      <c r="P12" s="37">
        <f>'Watchlist Ratings'!AN8</f>
        <v>8.01</v>
      </c>
      <c r="Q12" s="23">
        <f ca="1">'Watchlist Ratings'!BM8</f>
        <v>-1.6089199691735612E-2</v>
      </c>
      <c r="S12" t="str">
        <f ca="1">'Watchlist Ratings'!B8</f>
        <v>COST</v>
      </c>
      <c r="T12" s="23">
        <f>'Watchlist Ratings'!BC8</f>
        <v>0.1875</v>
      </c>
      <c r="V12" t="str">
        <f ca="1">'Watchlist Ratings'!B8</f>
        <v>COST</v>
      </c>
      <c r="W12" s="38">
        <f>'Watchlist Ratings'!K8</f>
        <v>8</v>
      </c>
      <c r="X12" s="38">
        <f>'Watchlist Ratings'!L8</f>
        <v>1</v>
      </c>
      <c r="Y12" t="str">
        <f ca="1">'Watchlist Ratings'!B8</f>
        <v>COST</v>
      </c>
      <c r="Z12">
        <f ca="1">'Watchlist Ratings'!AW8</f>
        <v>56.453993435294123</v>
      </c>
      <c r="AA12" t="str">
        <f ca="1">'Watchlist Ratings'!B8</f>
        <v>COST</v>
      </c>
      <c r="AB12">
        <f ca="1">'Watchlist Ratings'!BL8</f>
        <v>-0.13670046069207387</v>
      </c>
      <c r="AC12">
        <f ca="1">'Watchlist Ratings'!BM8</f>
        <v>-1.6089199691735612E-2</v>
      </c>
      <c r="AE12" t="s">
        <v>389</v>
      </c>
      <c r="AF12">
        <v>38.3333333333333</v>
      </c>
      <c r="AH12" t="s">
        <v>389</v>
      </c>
      <c r="AI12">
        <v>38.299999999999997</v>
      </c>
      <c r="AJ12" t="s">
        <v>383</v>
      </c>
      <c r="AK12">
        <v>7</v>
      </c>
      <c r="AL12">
        <v>3</v>
      </c>
      <c r="AM12" t="s">
        <v>381</v>
      </c>
      <c r="AN12">
        <v>40.299999999999997</v>
      </c>
      <c r="AO12" t="s">
        <v>390</v>
      </c>
      <c r="AP12">
        <v>-0.1</v>
      </c>
      <c r="AQ12">
        <v>20.8</v>
      </c>
      <c r="AS12" t="s">
        <v>390</v>
      </c>
      <c r="AT12">
        <v>25.7039266520833</v>
      </c>
      <c r="AU12">
        <v>20.9506730863196</v>
      </c>
    </row>
    <row r="13" spans="1:47" ht="15" customHeight="1" x14ac:dyDescent="0.25">
      <c r="A13" s="39">
        <v>6</v>
      </c>
      <c r="B13" s="40" t="str">
        <f ca="1">'Watchlist Ratings'!B9</f>
        <v>DSGX</v>
      </c>
      <c r="C13" s="41">
        <f>'Watchlist Ratings'!S9</f>
        <v>7.24</v>
      </c>
      <c r="D13" s="41">
        <f>'Watchlist Ratings'!AC9</f>
        <v>7.5</v>
      </c>
      <c r="E13" s="41">
        <f>'Watchlist Ratings'!AM9</f>
        <v>8.7100000000000009</v>
      </c>
      <c r="F13" s="41">
        <f>'Watchlist Ratings'!AN9</f>
        <v>7.82</v>
      </c>
      <c r="G13" s="42">
        <f>'Watchlist Ratings'!K9</f>
        <v>7</v>
      </c>
      <c r="H13" s="42">
        <f>'Watchlist Ratings'!L9</f>
        <v>2</v>
      </c>
      <c r="I13" s="43">
        <f>'Watchlist Ratings'!BC9</f>
        <v>0.16842105263157894</v>
      </c>
      <c r="J13" s="44">
        <f ca="1">'Watchlist Ratings'!AW9</f>
        <v>24.06478486666667</v>
      </c>
      <c r="L13" s="36" t="s">
        <v>391</v>
      </c>
      <c r="M13" t="s">
        <v>392</v>
      </c>
      <c r="O13" t="str">
        <f ca="1">'Watchlist Ratings'!B9</f>
        <v>DSGX</v>
      </c>
      <c r="P13" s="37">
        <f>'Watchlist Ratings'!AN9</f>
        <v>7.82</v>
      </c>
      <c r="Q13" s="23">
        <f ca="1">'Watchlist Ratings'!BM9</f>
        <v>0.22845688983290469</v>
      </c>
      <c r="S13" t="str">
        <f ca="1">'Watchlist Ratings'!B9</f>
        <v>DSGX</v>
      </c>
      <c r="T13" s="23">
        <f>'Watchlist Ratings'!BC9</f>
        <v>0.16842105263157894</v>
      </c>
      <c r="V13" t="str">
        <f ca="1">'Watchlist Ratings'!B9</f>
        <v>DSGX</v>
      </c>
      <c r="W13" s="38">
        <f>'Watchlist Ratings'!K9</f>
        <v>7</v>
      </c>
      <c r="X13" s="38">
        <f>'Watchlist Ratings'!L9</f>
        <v>2</v>
      </c>
      <c r="Y13" t="str">
        <f ca="1">'Watchlist Ratings'!B9</f>
        <v>DSGX</v>
      </c>
      <c r="Z13">
        <f ca="1">'Watchlist Ratings'!AW9</f>
        <v>24.06478486666667</v>
      </c>
      <c r="AA13" t="str">
        <f ca="1">'Watchlist Ratings'!B9</f>
        <v>DSGX</v>
      </c>
      <c r="AB13">
        <f ca="1">'Watchlist Ratings'!BL9</f>
        <v>1.2780072095005313E-2</v>
      </c>
      <c r="AC13">
        <f ca="1">'Watchlist Ratings'!BM9</f>
        <v>0.22845688983290469</v>
      </c>
      <c r="AE13" t="s">
        <v>384</v>
      </c>
      <c r="AF13">
        <v>37.5</v>
      </c>
      <c r="AH13" t="s">
        <v>384</v>
      </c>
      <c r="AI13">
        <v>37.5</v>
      </c>
      <c r="AJ13" t="s">
        <v>385</v>
      </c>
      <c r="AK13">
        <v>7</v>
      </c>
      <c r="AL13">
        <v>3</v>
      </c>
      <c r="AM13" t="s">
        <v>393</v>
      </c>
      <c r="AN13">
        <v>38.9</v>
      </c>
      <c r="AO13" t="s">
        <v>394</v>
      </c>
      <c r="AP13">
        <v>4.7</v>
      </c>
      <c r="AQ13">
        <v>32.9</v>
      </c>
      <c r="AS13" t="s">
        <v>389</v>
      </c>
      <c r="AT13">
        <v>29.589673076923098</v>
      </c>
      <c r="AU13">
        <v>13.4877131347373</v>
      </c>
    </row>
    <row r="14" spans="1:47" ht="15" customHeight="1" x14ac:dyDescent="0.25">
      <c r="A14" s="45">
        <v>7</v>
      </c>
      <c r="B14" s="46" t="str">
        <f ca="1">'Watchlist Ratings'!B10</f>
        <v>RAA</v>
      </c>
      <c r="C14" s="47">
        <f>'Watchlist Ratings'!S10</f>
        <v>8.1300000000000008</v>
      </c>
      <c r="D14" s="47">
        <f>'Watchlist Ratings'!AC10</f>
        <v>7.5</v>
      </c>
      <c r="E14" s="47">
        <f>'Watchlist Ratings'!AM10</f>
        <v>8.2899999999999991</v>
      </c>
      <c r="F14" s="47">
        <f>'Watchlist Ratings'!AN10</f>
        <v>7.97</v>
      </c>
      <c r="G14" s="48">
        <f>'Watchlist Ratings'!K10</f>
        <v>7</v>
      </c>
      <c r="H14" s="48">
        <f>'Watchlist Ratings'!L10</f>
        <v>2</v>
      </c>
      <c r="I14" s="49">
        <f>'Watchlist Ratings'!BC10</f>
        <v>0.38333333333333336</v>
      </c>
      <c r="J14" s="50">
        <f ca="1">'Watchlist Ratings'!AW10</f>
        <v>27.424999999999997</v>
      </c>
      <c r="L14" t="s">
        <v>395</v>
      </c>
      <c r="M14">
        <f>COUNTIF('Watchlist Ratings'!AN4:AN64,"&gt;=8")</f>
        <v>5</v>
      </c>
      <c r="O14" t="str">
        <f ca="1">'Watchlist Ratings'!B10</f>
        <v>RAA</v>
      </c>
      <c r="P14" s="37">
        <f>'Watchlist Ratings'!AN10</f>
        <v>7.97</v>
      </c>
      <c r="Q14" s="23">
        <f ca="1">'Watchlist Ratings'!BM10</f>
        <v>0.1558924719250312</v>
      </c>
      <c r="S14" t="str">
        <f ca="1">'Watchlist Ratings'!B10</f>
        <v>RAA</v>
      </c>
      <c r="T14" s="23">
        <f>'Watchlist Ratings'!BC10</f>
        <v>0.38333333333333336</v>
      </c>
      <c r="V14" t="str">
        <f ca="1">'Watchlist Ratings'!B10</f>
        <v>RAA</v>
      </c>
      <c r="W14" s="38">
        <f>'Watchlist Ratings'!K10</f>
        <v>7</v>
      </c>
      <c r="X14" s="38">
        <f>'Watchlist Ratings'!L10</f>
        <v>2</v>
      </c>
      <c r="Y14" t="str">
        <f ca="1">'Watchlist Ratings'!B10</f>
        <v>RAA</v>
      </c>
      <c r="Z14">
        <f ca="1">'Watchlist Ratings'!AW10</f>
        <v>27.424999999999997</v>
      </c>
      <c r="AA14" t="str">
        <f ca="1">'Watchlist Ratings'!B10</f>
        <v>RAA</v>
      </c>
      <c r="AB14">
        <f ca="1">'Watchlist Ratings'!BL10</f>
        <v>-6.6463091170055888E-2</v>
      </c>
      <c r="AC14">
        <f ca="1">'Watchlist Ratings'!BM10</f>
        <v>0.1558924719250312</v>
      </c>
      <c r="AE14" t="s">
        <v>396</v>
      </c>
      <c r="AF14">
        <v>37.142857142857103</v>
      </c>
      <c r="AH14" t="s">
        <v>396</v>
      </c>
      <c r="AI14">
        <v>37.1</v>
      </c>
      <c r="AJ14" t="s">
        <v>390</v>
      </c>
      <c r="AK14">
        <v>7</v>
      </c>
      <c r="AL14">
        <v>2</v>
      </c>
      <c r="AM14" t="s">
        <v>387</v>
      </c>
      <c r="AN14">
        <v>38.5</v>
      </c>
      <c r="AO14" t="s">
        <v>397</v>
      </c>
      <c r="AP14">
        <v>-4.2</v>
      </c>
      <c r="AQ14">
        <v>13.7</v>
      </c>
      <c r="AS14" t="s">
        <v>380</v>
      </c>
      <c r="AT14">
        <v>26.244954871232899</v>
      </c>
      <c r="AU14">
        <v>32.575210542620198</v>
      </c>
    </row>
    <row r="15" spans="1:47" ht="15" customHeight="1" x14ac:dyDescent="0.25">
      <c r="A15" s="39">
        <v>8</v>
      </c>
      <c r="B15" s="40" t="str">
        <f ca="1">'Watchlist Ratings'!B11</f>
        <v>ZS</v>
      </c>
      <c r="C15" s="41">
        <f>'Watchlist Ratings'!S11</f>
        <v>8.07</v>
      </c>
      <c r="D15" s="41">
        <f>'Watchlist Ratings'!AC11</f>
        <v>7</v>
      </c>
      <c r="E15" s="41">
        <f>'Watchlist Ratings'!AM11</f>
        <v>7.29</v>
      </c>
      <c r="F15" s="41">
        <f>'Watchlist Ratings'!AN11</f>
        <v>7.45</v>
      </c>
      <c r="G15" s="42">
        <f>'Watchlist Ratings'!K11</f>
        <v>6</v>
      </c>
      <c r="H15" s="42">
        <f>'Watchlist Ratings'!L11</f>
        <v>2</v>
      </c>
      <c r="I15" s="43">
        <f>'Watchlist Ratings'!BC11</f>
        <v>0.15</v>
      </c>
      <c r="J15" s="44">
        <f ca="1">'Watchlist Ratings'!AW11</f>
        <v>35.414429995890409</v>
      </c>
      <c r="L15" t="s">
        <v>398</v>
      </c>
      <c r="M15">
        <f>COUNTIFS('Watchlist Ratings'!AN4:AN64,"&gt;=7",'Watchlist Ratings'!AN4:AN64,"&lt;8")</f>
        <v>14</v>
      </c>
      <c r="O15" t="str">
        <f ca="1">'Watchlist Ratings'!B11</f>
        <v>ZS</v>
      </c>
      <c r="P15" s="37">
        <f>'Watchlist Ratings'!AN11</f>
        <v>7.45</v>
      </c>
      <c r="Q15" s="23">
        <f ca="1">'Watchlist Ratings'!BM11</f>
        <v>0.23909386335572558</v>
      </c>
      <c r="S15" t="str">
        <f ca="1">'Watchlist Ratings'!B11</f>
        <v>ZS</v>
      </c>
      <c r="T15" s="23">
        <f>'Watchlist Ratings'!BC11</f>
        <v>0.15</v>
      </c>
      <c r="V15" t="str">
        <f ca="1">'Watchlist Ratings'!B11</f>
        <v>ZS</v>
      </c>
      <c r="W15" s="38">
        <f>'Watchlist Ratings'!K11</f>
        <v>6</v>
      </c>
      <c r="X15" s="38">
        <f>'Watchlist Ratings'!L11</f>
        <v>2</v>
      </c>
      <c r="Y15" t="str">
        <f ca="1">'Watchlist Ratings'!B11</f>
        <v>ZS</v>
      </c>
      <c r="Z15">
        <f ca="1">'Watchlist Ratings'!AW11</f>
        <v>35.414429995890409</v>
      </c>
      <c r="AA15" t="str">
        <f ca="1">'Watchlist Ratings'!B11</f>
        <v>ZS</v>
      </c>
      <c r="AB15">
        <f ca="1">'Watchlist Ratings'!BL11</f>
        <v>-1.7086005469886589E-2</v>
      </c>
      <c r="AC15">
        <f ca="1">'Watchlist Ratings'!BM11</f>
        <v>0.23909386335572558</v>
      </c>
      <c r="AE15" t="s">
        <v>397</v>
      </c>
      <c r="AF15">
        <v>36.1111111111111</v>
      </c>
      <c r="AH15" t="s">
        <v>397</v>
      </c>
      <c r="AI15">
        <v>36.1</v>
      </c>
      <c r="AJ15" t="s">
        <v>389</v>
      </c>
      <c r="AK15">
        <v>7</v>
      </c>
      <c r="AL15">
        <v>2</v>
      </c>
      <c r="AM15" t="s">
        <v>399</v>
      </c>
      <c r="AN15">
        <v>37.700000000000003</v>
      </c>
      <c r="AO15" t="s">
        <v>389</v>
      </c>
      <c r="AP15">
        <v>-8</v>
      </c>
      <c r="AQ15">
        <v>13.5</v>
      </c>
      <c r="AS15" t="s">
        <v>400</v>
      </c>
      <c r="AT15">
        <v>27.905545425233299</v>
      </c>
      <c r="AU15">
        <v>8.8031472249346301</v>
      </c>
    </row>
    <row r="16" spans="1:47" ht="15" customHeight="1" x14ac:dyDescent="0.25">
      <c r="A16" s="45">
        <v>9</v>
      </c>
      <c r="B16" s="46" t="str">
        <f ca="1">'Watchlist Ratings'!B12</f>
        <v>NTO</v>
      </c>
      <c r="C16" s="47">
        <f>'Watchlist Ratings'!S12</f>
        <v>8.1300000000000008</v>
      </c>
      <c r="D16" s="47">
        <f>'Watchlist Ratings'!AC12</f>
        <v>7.5</v>
      </c>
      <c r="E16" s="47">
        <f>'Watchlist Ratings'!AM12</f>
        <v>8.14</v>
      </c>
      <c r="F16" s="47">
        <f>'Watchlist Ratings'!AN12</f>
        <v>7.92</v>
      </c>
      <c r="G16" s="48">
        <f>'Watchlist Ratings'!K12</f>
        <v>7</v>
      </c>
      <c r="H16" s="48">
        <f>'Watchlist Ratings'!L12</f>
        <v>3</v>
      </c>
      <c r="I16" s="49">
        <f>'Watchlist Ratings'!BC12</f>
        <v>0.21875</v>
      </c>
      <c r="J16" s="50">
        <f ca="1">'Watchlist Ratings'!AW12</f>
        <v>24.020130161396967</v>
      </c>
      <c r="L16" t="s">
        <v>401</v>
      </c>
      <c r="M16">
        <f>COUNTIFS('Watchlist Ratings'!AN4:AN64,"&gt;=6",'Watchlist Ratings'!AN4:AN64,"&lt;7")</f>
        <v>15</v>
      </c>
      <c r="O16" t="str">
        <f ca="1">'Watchlist Ratings'!B12</f>
        <v>NTO</v>
      </c>
      <c r="P16" s="37">
        <f>'Watchlist Ratings'!AN12</f>
        <v>7.92</v>
      </c>
      <c r="Q16" s="23">
        <f ca="1">'Watchlist Ratings'!BM12</f>
        <v>0.1218094535347829</v>
      </c>
      <c r="S16" t="str">
        <f ca="1">'Watchlist Ratings'!B12</f>
        <v>NTO</v>
      </c>
      <c r="T16" s="23">
        <f>'Watchlist Ratings'!BC12</f>
        <v>0.21875</v>
      </c>
      <c r="V16" t="str">
        <f ca="1">'Watchlist Ratings'!B12</f>
        <v>NTO</v>
      </c>
      <c r="W16" s="38">
        <f>'Watchlist Ratings'!K12</f>
        <v>7</v>
      </c>
      <c r="X16" s="38">
        <f>'Watchlist Ratings'!L12</f>
        <v>3</v>
      </c>
      <c r="Y16" t="str">
        <f ca="1">'Watchlist Ratings'!B12</f>
        <v>NTO</v>
      </c>
      <c r="Z16">
        <f ca="1">'Watchlist Ratings'!AW12</f>
        <v>24.020130161396967</v>
      </c>
      <c r="AA16" t="str">
        <f ca="1">'Watchlist Ratings'!B12</f>
        <v>NTO</v>
      </c>
      <c r="AB16">
        <f ca="1">'Watchlist Ratings'!BL12</f>
        <v>-6.9381069461507461E-2</v>
      </c>
      <c r="AC16">
        <f ca="1">'Watchlist Ratings'!BM12</f>
        <v>0.1218094535347829</v>
      </c>
      <c r="AE16" t="s">
        <v>378</v>
      </c>
      <c r="AF16">
        <v>32.142857142857103</v>
      </c>
      <c r="AH16" t="s">
        <v>378</v>
      </c>
      <c r="AI16">
        <v>32.1</v>
      </c>
      <c r="AJ16" t="s">
        <v>400</v>
      </c>
      <c r="AK16">
        <v>7</v>
      </c>
      <c r="AL16">
        <v>3</v>
      </c>
      <c r="AM16" t="s">
        <v>389</v>
      </c>
      <c r="AN16">
        <v>29.6</v>
      </c>
      <c r="AO16" t="s">
        <v>387</v>
      </c>
      <c r="AP16">
        <v>-7.9</v>
      </c>
      <c r="AQ16">
        <v>12.3</v>
      </c>
      <c r="AS16" t="s">
        <v>375</v>
      </c>
      <c r="AT16">
        <v>52.2229498644231</v>
      </c>
      <c r="AU16">
        <v>4.7817205741696798</v>
      </c>
    </row>
    <row r="17" spans="1:47" ht="15" customHeight="1" x14ac:dyDescent="0.25">
      <c r="A17" s="39">
        <v>10</v>
      </c>
      <c r="B17" s="40" t="str">
        <f ca="1">'Watchlist Ratings'!B13</f>
        <v>AMZN</v>
      </c>
      <c r="C17" s="41">
        <f>'Watchlist Ratings'!S13</f>
        <v>9.25</v>
      </c>
      <c r="D17" s="41">
        <f>'Watchlist Ratings'!AC13</f>
        <v>7.7</v>
      </c>
      <c r="E17" s="41">
        <f>'Watchlist Ratings'!AM13</f>
        <v>7.29</v>
      </c>
      <c r="F17" s="41">
        <f>'Watchlist Ratings'!AN13</f>
        <v>8.08</v>
      </c>
      <c r="G17" s="42">
        <f>'Watchlist Ratings'!K13</f>
        <v>8</v>
      </c>
      <c r="H17" s="42">
        <f>'Watchlist Ratings'!L13</f>
        <v>3</v>
      </c>
      <c r="I17" s="43">
        <f>'Watchlist Ratings'!BC13</f>
        <v>0.18333333333333335</v>
      </c>
      <c r="J17" s="44">
        <f ca="1">'Watchlist Ratings'!AW13</f>
        <v>53.315045061538463</v>
      </c>
      <c r="L17" t="s">
        <v>402</v>
      </c>
      <c r="M17">
        <f>COUNTIF('Watchlist Ratings'!AN4:AN64,"&lt;6")</f>
        <v>27</v>
      </c>
      <c r="O17" t="str">
        <f ca="1">'Watchlist Ratings'!B13</f>
        <v>AMZN</v>
      </c>
      <c r="P17" s="37">
        <f>'Watchlist Ratings'!AN13</f>
        <v>8.08</v>
      </c>
      <c r="Q17" s="23">
        <f ca="1">'Watchlist Ratings'!BM13</f>
        <v>4.2438993232079225E-2</v>
      </c>
      <c r="S17" t="str">
        <f ca="1">'Watchlist Ratings'!B13</f>
        <v>AMZN</v>
      </c>
      <c r="T17" s="23">
        <f>'Watchlist Ratings'!BC13</f>
        <v>0.18333333333333335</v>
      </c>
      <c r="V17" t="str">
        <f ca="1">'Watchlist Ratings'!B13</f>
        <v>AMZN</v>
      </c>
      <c r="W17" s="38">
        <f>'Watchlist Ratings'!K13</f>
        <v>8</v>
      </c>
      <c r="X17" s="38">
        <f>'Watchlist Ratings'!L13</f>
        <v>3</v>
      </c>
      <c r="Y17" t="str">
        <f ca="1">'Watchlist Ratings'!B13</f>
        <v>AMZN</v>
      </c>
      <c r="Z17">
        <f ca="1">'Watchlist Ratings'!AW13</f>
        <v>53.315045061538463</v>
      </c>
      <c r="AA17" t="str">
        <f ca="1">'Watchlist Ratings'!B13</f>
        <v>AMZN</v>
      </c>
      <c r="AB17">
        <f ca="1">'Watchlist Ratings'!BL13</f>
        <v>-9.8901297854279036E-2</v>
      </c>
      <c r="AC17">
        <f ca="1">'Watchlist Ratings'!BM13</f>
        <v>4.2438993232079225E-2</v>
      </c>
      <c r="AS17" t="s">
        <v>399</v>
      </c>
      <c r="AT17">
        <v>37.736707694444398</v>
      </c>
      <c r="AU17">
        <v>5.3744270407932504</v>
      </c>
    </row>
    <row r="18" spans="1:47" ht="15" customHeight="1" x14ac:dyDescent="0.25">
      <c r="A18" s="45">
        <v>11</v>
      </c>
      <c r="B18" s="46" t="str">
        <f ca="1">'Watchlist Ratings'!B14</f>
        <v>SU</v>
      </c>
      <c r="C18" s="47">
        <f>'Watchlist Ratings'!S14</f>
        <v>8.14</v>
      </c>
      <c r="D18" s="47">
        <f>'Watchlist Ratings'!AC14</f>
        <v>7.7</v>
      </c>
      <c r="E18" s="47">
        <f>'Watchlist Ratings'!AM14</f>
        <v>7.71</v>
      </c>
      <c r="F18" s="47">
        <f>'Watchlist Ratings'!AN14</f>
        <v>7.85</v>
      </c>
      <c r="G18" s="48">
        <f>'Watchlist Ratings'!K14</f>
        <v>7</v>
      </c>
      <c r="H18" s="48">
        <f>'Watchlist Ratings'!L14</f>
        <v>3</v>
      </c>
      <c r="I18" s="49">
        <f>'Watchlist Ratings'!BC14</f>
        <v>0.12631578947368421</v>
      </c>
      <c r="J18" s="50">
        <f ca="1">'Watchlist Ratings'!AW14</f>
        <v>34.806207888888885</v>
      </c>
      <c r="O18" t="str">
        <f ca="1">'Watchlist Ratings'!B14</f>
        <v>SU</v>
      </c>
      <c r="P18" s="37">
        <f>'Watchlist Ratings'!AN14</f>
        <v>7.85</v>
      </c>
      <c r="Q18" s="23">
        <f ca="1">'Watchlist Ratings'!BM14</f>
        <v>7.6526817433812955E-2</v>
      </c>
      <c r="V18" t="str">
        <f ca="1">'Watchlist Ratings'!B14</f>
        <v>SU</v>
      </c>
      <c r="W18" s="38">
        <f>'Watchlist Ratings'!K14</f>
        <v>7</v>
      </c>
      <c r="X18" s="38">
        <f>'Watchlist Ratings'!L14</f>
        <v>3</v>
      </c>
      <c r="Y18" t="str">
        <f ca="1">'Watchlist Ratings'!B14</f>
        <v>SU</v>
      </c>
      <c r="Z18">
        <f ca="1">'Watchlist Ratings'!AW14</f>
        <v>34.806207888888885</v>
      </c>
      <c r="AA18" t="str">
        <f ca="1">'Watchlist Ratings'!B14</f>
        <v>SU</v>
      </c>
      <c r="AB18">
        <f ca="1">'Watchlist Ratings'!BL14</f>
        <v>-9.1232299954577156E-2</v>
      </c>
      <c r="AC18">
        <f ca="1">'Watchlist Ratings'!BM14</f>
        <v>7.6526817433812955E-2</v>
      </c>
      <c r="AS18" t="s">
        <v>397</v>
      </c>
      <c r="AT18">
        <v>24.612029698461502</v>
      </c>
      <c r="AU18">
        <v>13.683807480135</v>
      </c>
    </row>
    <row r="19" spans="1:47" ht="15" customHeight="1" x14ac:dyDescent="0.25">
      <c r="A19" s="39">
        <v>12</v>
      </c>
      <c r="B19" s="40" t="str">
        <f ca="1">'Watchlist Ratings'!B15</f>
        <v>ITX</v>
      </c>
      <c r="C19" s="41">
        <f>'Watchlist Ratings'!S15</f>
        <v>7.2</v>
      </c>
      <c r="D19" s="41">
        <f>'Watchlist Ratings'!AC15</f>
        <v>7.7</v>
      </c>
      <c r="E19" s="41">
        <f>'Watchlist Ratings'!AM15</f>
        <v>8.14</v>
      </c>
      <c r="F19" s="41">
        <f>'Watchlist Ratings'!AN15</f>
        <v>7.68</v>
      </c>
      <c r="G19" s="42">
        <f>'Watchlist Ratings'!K15</f>
        <v>6.5</v>
      </c>
      <c r="H19" s="42">
        <f>'Watchlist Ratings'!L15</f>
        <v>2</v>
      </c>
      <c r="I19" s="43">
        <f>'Watchlist Ratings'!BC15</f>
        <v>0.36111111111111105</v>
      </c>
      <c r="J19" s="44">
        <f ca="1">'Watchlist Ratings'!AW15</f>
        <v>22.118708098461539</v>
      </c>
      <c r="O19" t="str">
        <f ca="1">'Watchlist Ratings'!B15</f>
        <v>ITX</v>
      </c>
      <c r="P19" s="37">
        <f>'Watchlist Ratings'!AN15</f>
        <v>7.68</v>
      </c>
      <c r="Q19" s="23">
        <f ca="1">'Watchlist Ratings'!BM15</f>
        <v>0.16540754702958971</v>
      </c>
      <c r="V19" t="str">
        <f ca="1">'Watchlist Ratings'!B15</f>
        <v>ITX</v>
      </c>
      <c r="W19" s="38">
        <f>'Watchlist Ratings'!K15</f>
        <v>6.5</v>
      </c>
      <c r="X19" s="38">
        <f>'Watchlist Ratings'!L15</f>
        <v>2</v>
      </c>
      <c r="Y19" t="str">
        <f ca="1">'Watchlist Ratings'!B15</f>
        <v>ITX</v>
      </c>
      <c r="Z19">
        <f ca="1">'Watchlist Ratings'!AW15</f>
        <v>22.118708098461539</v>
      </c>
      <c r="AA19" t="str">
        <f ca="1">'Watchlist Ratings'!B15</f>
        <v>ITX</v>
      </c>
      <c r="AB19">
        <f ca="1">'Watchlist Ratings'!BL15</f>
        <v>-2.3268864808639433E-2</v>
      </c>
      <c r="AC19">
        <f ca="1">'Watchlist Ratings'!BM15</f>
        <v>0.16540754702958971</v>
      </c>
      <c r="AS19" t="s">
        <v>382</v>
      </c>
      <c r="AT19">
        <v>45.617441111111098</v>
      </c>
      <c r="AU19">
        <v>3.6173393375436902</v>
      </c>
    </row>
    <row r="20" spans="1:47" ht="15" customHeight="1" x14ac:dyDescent="0.25">
      <c r="A20" s="45">
        <v>13</v>
      </c>
      <c r="B20" s="46" t="str">
        <f ca="1">'Watchlist Ratings'!B16</f>
        <v>LOTB</v>
      </c>
      <c r="C20" s="47">
        <f>'Watchlist Ratings'!S16</f>
        <v>8.09</v>
      </c>
      <c r="D20" s="47">
        <f>'Watchlist Ratings'!AC16</f>
        <v>7.9</v>
      </c>
      <c r="E20" s="47">
        <f>'Watchlist Ratings'!AM16</f>
        <v>8</v>
      </c>
      <c r="F20" s="47">
        <f>'Watchlist Ratings'!AN16</f>
        <v>8</v>
      </c>
      <c r="G20" s="48">
        <f>'Watchlist Ratings'!K16</f>
        <v>7</v>
      </c>
      <c r="H20" s="48">
        <f>'Watchlist Ratings'!L16</f>
        <v>3</v>
      </c>
      <c r="I20" s="49">
        <f>'Watchlist Ratings'!BC16</f>
        <v>0.20625000000000002</v>
      </c>
      <c r="J20" s="50">
        <f ca="1">'Watchlist Ratings'!AW16</f>
        <v>48.790813333333332</v>
      </c>
      <c r="O20" t="str">
        <f ca="1">'Watchlist Ratings'!B16</f>
        <v>LOTB</v>
      </c>
      <c r="P20" s="37">
        <f>'Watchlist Ratings'!AN16</f>
        <v>8</v>
      </c>
      <c r="Q20" s="23">
        <f ca="1">'Watchlist Ratings'!BM16</f>
        <v>1.8693712124910222E-2</v>
      </c>
      <c r="V20" t="str">
        <f ca="1">'Watchlist Ratings'!B16</f>
        <v>LOTB</v>
      </c>
      <c r="W20" s="38">
        <f>'Watchlist Ratings'!K16</f>
        <v>7</v>
      </c>
      <c r="X20" s="38">
        <f>'Watchlist Ratings'!L16</f>
        <v>3</v>
      </c>
      <c r="Y20" t="str">
        <f ca="1">'Watchlist Ratings'!B16</f>
        <v>LOTB</v>
      </c>
      <c r="Z20">
        <f ca="1">'Watchlist Ratings'!AW16</f>
        <v>48.790813333333332</v>
      </c>
      <c r="AA20" t="str">
        <f ca="1">'Watchlist Ratings'!B16</f>
        <v>LOTB</v>
      </c>
      <c r="AB20">
        <f ca="1">'Watchlist Ratings'!BL16</f>
        <v>-0.15774782346553951</v>
      </c>
      <c r="AC20">
        <f ca="1">'Watchlist Ratings'!BM16</f>
        <v>1.8693712124910222E-2</v>
      </c>
      <c r="AS20" t="s">
        <v>388</v>
      </c>
      <c r="AT20">
        <v>43.630936634999998</v>
      </c>
      <c r="AU20">
        <v>4.3482859737552504</v>
      </c>
    </row>
    <row r="21" spans="1:47" ht="15" customHeight="1" x14ac:dyDescent="0.25">
      <c r="A21" s="39">
        <v>14</v>
      </c>
      <c r="B21" s="40" t="str">
        <f ca="1">'Watchlist Ratings'!B17</f>
        <v>HLMA</v>
      </c>
      <c r="C21" s="41">
        <f>'Watchlist Ratings'!S17</f>
        <v>8.15</v>
      </c>
      <c r="D21" s="41">
        <f>'Watchlist Ratings'!AC17</f>
        <v>7.2</v>
      </c>
      <c r="E21" s="41">
        <f>'Watchlist Ratings'!AM17</f>
        <v>8.2899999999999991</v>
      </c>
      <c r="F21" s="41">
        <f>'Watchlist Ratings'!AN17</f>
        <v>7.88</v>
      </c>
      <c r="G21" s="42">
        <f>'Watchlist Ratings'!K17</f>
        <v>6</v>
      </c>
      <c r="H21" s="42">
        <f>'Watchlist Ratings'!L17</f>
        <v>3</v>
      </c>
      <c r="I21" s="43">
        <f>'Watchlist Ratings'!BC17</f>
        <v>0.1761904761904762</v>
      </c>
      <c r="J21" s="44">
        <f ca="1">'Watchlist Ratings'!AW17</f>
        <v>42.510983000000003</v>
      </c>
      <c r="O21" t="str">
        <f ca="1">'Watchlist Ratings'!B17</f>
        <v>HLMA</v>
      </c>
      <c r="P21" s="37">
        <f>'Watchlist Ratings'!AN17</f>
        <v>7.88</v>
      </c>
      <c r="Q21" s="23">
        <f ca="1">'Watchlist Ratings'!BM17</f>
        <v>5.0409660501293585E-2</v>
      </c>
      <c r="V21" t="str">
        <f ca="1">'Watchlist Ratings'!B17</f>
        <v>HLMA</v>
      </c>
      <c r="W21" s="38">
        <f>'Watchlist Ratings'!K17</f>
        <v>6</v>
      </c>
      <c r="X21" s="38">
        <f>'Watchlist Ratings'!L17</f>
        <v>3</v>
      </c>
      <c r="Y21" t="str">
        <f ca="1">'Watchlist Ratings'!B17</f>
        <v>HLMA</v>
      </c>
      <c r="Z21">
        <f ca="1">'Watchlist Ratings'!AW17</f>
        <v>42.510983000000003</v>
      </c>
      <c r="AA21" t="str">
        <f ca="1">'Watchlist Ratings'!B17</f>
        <v>HLMA</v>
      </c>
      <c r="AB21">
        <f ca="1">'Watchlist Ratings'!BL17</f>
        <v>-0.11835786122721392</v>
      </c>
      <c r="AC21">
        <f ca="1">'Watchlist Ratings'!BM17</f>
        <v>5.0409660501293585E-2</v>
      </c>
      <c r="AS21" t="s">
        <v>387</v>
      </c>
      <c r="AT21">
        <v>38.120501266027397</v>
      </c>
      <c r="AU21">
        <v>12.615575978128</v>
      </c>
    </row>
    <row r="22" spans="1:47" ht="15" customHeight="1" x14ac:dyDescent="0.25">
      <c r="A22" s="51">
        <v>15</v>
      </c>
      <c r="B22" s="52" t="str">
        <f ca="1">'Watchlist Ratings'!B18</f>
        <v>FICO</v>
      </c>
      <c r="C22" s="53">
        <f>'Watchlist Ratings'!S18</f>
        <v>6.93</v>
      </c>
      <c r="D22" s="53">
        <f>'Watchlist Ratings'!AC18</f>
        <v>6.4</v>
      </c>
      <c r="E22" s="53">
        <f>'Watchlist Ratings'!AM18</f>
        <v>8.14</v>
      </c>
      <c r="F22" s="53">
        <f>'Watchlist Ratings'!AN18</f>
        <v>7.16</v>
      </c>
      <c r="G22" s="54">
        <f>'Watchlist Ratings'!K18</f>
        <v>8</v>
      </c>
      <c r="H22" s="54">
        <f>'Watchlist Ratings'!L18</f>
        <v>2</v>
      </c>
      <c r="I22" s="55">
        <f>'Watchlist Ratings'!BC18</f>
        <v>0.29090909090909089</v>
      </c>
      <c r="J22" s="56">
        <f ca="1">'Watchlist Ratings'!AW18</f>
        <v>40.860787224589039</v>
      </c>
      <c r="O22" t="str">
        <f ca="1">'Watchlist Ratings'!B18</f>
        <v>FICO</v>
      </c>
      <c r="P22" s="37">
        <f>'Watchlist Ratings'!AN18</f>
        <v>7.16</v>
      </c>
      <c r="Q22" s="23">
        <f ca="1">'Watchlist Ratings'!BM18</f>
        <v>0.10519309436556035</v>
      </c>
      <c r="V22" t="str">
        <f ca="1">'Watchlist Ratings'!B18</f>
        <v>FICO</v>
      </c>
      <c r="W22" s="38">
        <f>'Watchlist Ratings'!K18</f>
        <v>8</v>
      </c>
      <c r="X22" s="38">
        <f>'Watchlist Ratings'!L18</f>
        <v>2</v>
      </c>
      <c r="Y22" t="str">
        <f ca="1">'Watchlist Ratings'!B18</f>
        <v>FICO</v>
      </c>
      <c r="Z22">
        <f ca="1">'Watchlist Ratings'!AW18</f>
        <v>40.860787224589039</v>
      </c>
      <c r="AA22" t="str">
        <f ca="1">'Watchlist Ratings'!B18</f>
        <v>FICO</v>
      </c>
      <c r="AB22">
        <f ca="1">'Watchlist Ratings'!BL18</f>
        <v>-9.134454503960554E-2</v>
      </c>
      <c r="AC22">
        <f ca="1">'Watchlist Ratings'!BM18</f>
        <v>0.10519309436556035</v>
      </c>
    </row>
    <row r="23" spans="1:47" ht="15" customHeight="1" x14ac:dyDescent="0.25">
      <c r="O23" t="str">
        <f ca="1">'Watchlist Ratings'!B19</f>
        <v>LIFCO B</v>
      </c>
      <c r="P23" s="37">
        <f>'Watchlist Ratings'!AN19</f>
        <v>7.9</v>
      </c>
      <c r="Q23" s="23">
        <f ca="1">'Watchlist Ratings'!BM19</f>
        <v>0.1399188881795328</v>
      </c>
    </row>
    <row r="24" spans="1:47" ht="30" customHeight="1" x14ac:dyDescent="0.3">
      <c r="A24" s="106" t="s">
        <v>403</v>
      </c>
      <c r="B24" s="96"/>
      <c r="C24" s="96"/>
      <c r="D24" s="96"/>
      <c r="E24" s="96"/>
      <c r="F24" s="96"/>
      <c r="G24" s="96"/>
      <c r="H24" s="96"/>
      <c r="I24" s="96"/>
      <c r="J24" s="96"/>
      <c r="K24" s="96"/>
      <c r="L24" s="96"/>
      <c r="M24" s="96"/>
      <c r="N24" s="96"/>
      <c r="O24" s="96"/>
      <c r="P24" s="96"/>
      <c r="Q24" s="96"/>
      <c r="R24" s="96"/>
    </row>
    <row r="25" spans="1:47" ht="4.5" customHeight="1" x14ac:dyDescent="0.25">
      <c r="O25" t="str">
        <f ca="1">'Watchlist Ratings'!B21</f>
        <v>MNST</v>
      </c>
      <c r="P25" s="37">
        <f>'Watchlist Ratings'!AN21</f>
        <v>7.41</v>
      </c>
      <c r="Q25">
        <f ca="1">'Watchlist Ratings'!BM21</f>
        <v>-4.8243303405886451E-2</v>
      </c>
    </row>
    <row r="26" spans="1:47" ht="19.5" customHeight="1" x14ac:dyDescent="0.25">
      <c r="O26" t="str">
        <f ca="1">'Watchlist Ratings'!B22</f>
        <v>ABNB</v>
      </c>
      <c r="P26" s="37">
        <f>'Watchlist Ratings'!AN22</f>
        <v>7.75</v>
      </c>
      <c r="Q26">
        <f ca="1">'Watchlist Ratings'!BM22</f>
        <v>0.28501255614383658</v>
      </c>
    </row>
    <row r="27" spans="1:47" ht="19.5" customHeight="1" x14ac:dyDescent="0.25">
      <c r="O27" t="str">
        <f ca="1">'Watchlist Ratings'!B23</f>
        <v>DNP</v>
      </c>
      <c r="P27" s="37">
        <f>'Watchlist Ratings'!AN23</f>
        <v>7.44</v>
      </c>
      <c r="Q27">
        <f ca="1">'Watchlist Ratings'!BM23</f>
        <v>6.3700785282530648E-2</v>
      </c>
    </row>
    <row r="28" spans="1:47" ht="19.5" customHeight="1" x14ac:dyDescent="0.25"/>
    <row r="29" spans="1:47" ht="19.5" customHeight="1" x14ac:dyDescent="0.25"/>
    <row r="30" spans="1:47" ht="19.5" customHeight="1" x14ac:dyDescent="0.25"/>
    <row r="31" spans="1:47" ht="19.5" customHeight="1" x14ac:dyDescent="0.25"/>
    <row r="32" spans="1:47" ht="19.5" customHeight="1" x14ac:dyDescent="0.25"/>
    <row r="33" spans="2:18" ht="19.5" customHeight="1" x14ac:dyDescent="0.25"/>
    <row r="34" spans="2:18" ht="19.5" customHeight="1" x14ac:dyDescent="0.25"/>
    <row r="35" spans="2:18" ht="19.5" customHeight="1" x14ac:dyDescent="0.25"/>
    <row r="36" spans="2:18" ht="19.5" customHeight="1" x14ac:dyDescent="0.25"/>
    <row r="37" spans="2:18" ht="19.5" customHeight="1" x14ac:dyDescent="0.25"/>
    <row r="38" spans="2:18" ht="19.5" customHeight="1" x14ac:dyDescent="0.25"/>
    <row r="39" spans="2:18" ht="19.5" customHeight="1" x14ac:dyDescent="0.25"/>
    <row r="40" spans="2:18" ht="19.5" customHeight="1" x14ac:dyDescent="0.3">
      <c r="L40" s="169"/>
      <c r="M40" s="96"/>
      <c r="N40" s="96"/>
      <c r="O40" s="96"/>
      <c r="P40" s="96"/>
      <c r="Q40" s="96"/>
      <c r="R40" s="96"/>
    </row>
    <row r="41" spans="2:18" ht="19.5" customHeight="1" x14ac:dyDescent="0.25">
      <c r="L41" s="57"/>
      <c r="M41" s="57"/>
      <c r="N41" s="57"/>
      <c r="O41" s="57"/>
      <c r="P41" s="57"/>
      <c r="Q41" s="57"/>
    </row>
    <row r="42" spans="2:18" ht="19.5" customHeight="1" x14ac:dyDescent="0.25">
      <c r="J42" s="171"/>
      <c r="K42" s="96"/>
      <c r="L42" s="96"/>
      <c r="M42" s="96"/>
      <c r="N42" s="96"/>
      <c r="O42" s="96"/>
      <c r="P42" s="96"/>
      <c r="Q42" s="96"/>
    </row>
    <row r="43" spans="2:18" ht="19.5" customHeight="1" x14ac:dyDescent="0.25">
      <c r="B43" s="58"/>
      <c r="C43" s="58"/>
      <c r="D43" s="58"/>
      <c r="E43" s="58"/>
      <c r="F43" s="58"/>
      <c r="G43" s="58"/>
      <c r="H43" s="58"/>
      <c r="J43" s="59"/>
      <c r="K43" s="59"/>
      <c r="L43" s="59"/>
      <c r="M43" s="59"/>
      <c r="N43" s="59"/>
      <c r="O43" s="59"/>
      <c r="P43" s="59"/>
      <c r="Q43" s="59"/>
    </row>
    <row r="44" spans="2:18" ht="19.5" customHeight="1" x14ac:dyDescent="0.25">
      <c r="E44" s="60"/>
      <c r="F44" s="60"/>
      <c r="G44" s="60"/>
    </row>
    <row r="45" spans="2:18" ht="19.5" customHeight="1" x14ac:dyDescent="0.25">
      <c r="E45" s="60"/>
      <c r="F45" s="60"/>
      <c r="G45" s="60"/>
    </row>
    <row r="46" spans="2:18" ht="19.5" customHeight="1" x14ac:dyDescent="0.25">
      <c r="E46" s="60"/>
      <c r="F46" s="60"/>
      <c r="G46" s="60"/>
    </row>
    <row r="47" spans="2:18" ht="19.5" customHeight="1" x14ac:dyDescent="0.25">
      <c r="E47" s="60"/>
      <c r="F47" s="60"/>
      <c r="G47" s="60"/>
    </row>
    <row r="48" spans="2:18" ht="19.5" customHeight="1" x14ac:dyDescent="0.25">
      <c r="E48" s="60"/>
      <c r="F48" s="60"/>
      <c r="G48" s="60"/>
    </row>
    <row r="49" spans="1:17" ht="19.5" customHeight="1" x14ac:dyDescent="0.25">
      <c r="E49" s="60"/>
      <c r="F49" s="60"/>
      <c r="G49" s="60"/>
    </row>
    <row r="50" spans="1:17" ht="19.5" customHeight="1" x14ac:dyDescent="0.25">
      <c r="E50" s="60"/>
      <c r="F50" s="60"/>
      <c r="G50" s="60"/>
    </row>
    <row r="51" spans="1:17" ht="19.5" customHeight="1" x14ac:dyDescent="0.25">
      <c r="E51" s="60"/>
      <c r="F51" s="60"/>
      <c r="G51" s="60"/>
    </row>
    <row r="52" spans="1:17" ht="19.5" customHeight="1" x14ac:dyDescent="0.25">
      <c r="E52" s="60"/>
      <c r="F52" s="60"/>
      <c r="G52" s="60"/>
    </row>
    <row r="53" spans="1:17" ht="19.5" customHeight="1" x14ac:dyDescent="0.25">
      <c r="E53" s="60"/>
      <c r="F53" s="60"/>
      <c r="G53" s="60"/>
    </row>
    <row r="54" spans="1:17" ht="19.5" customHeight="1" x14ac:dyDescent="0.25"/>
    <row r="55" spans="1:17" ht="19.5" customHeight="1" x14ac:dyDescent="0.25"/>
    <row r="56" spans="1:17" ht="4.5" customHeight="1" x14ac:dyDescent="0.25"/>
    <row r="57" spans="1:17" ht="4.5" customHeight="1" x14ac:dyDescent="0.25"/>
    <row r="58" spans="1:17" ht="4.5" customHeight="1" x14ac:dyDescent="0.25"/>
    <row r="59" spans="1:17" ht="4.5" customHeight="1" x14ac:dyDescent="0.25"/>
    <row r="60" spans="1:17" ht="4.5" customHeight="1" x14ac:dyDescent="0.25"/>
    <row r="61" spans="1:17" ht="4.5" customHeight="1" x14ac:dyDescent="0.25"/>
    <row r="62" spans="1:17" ht="4.5" customHeight="1" x14ac:dyDescent="0.3">
      <c r="A62" s="141" t="s">
        <v>404</v>
      </c>
      <c r="B62" s="96"/>
      <c r="C62" s="96"/>
      <c r="D62" s="96"/>
      <c r="E62" s="96"/>
      <c r="F62" s="96"/>
      <c r="G62" s="96"/>
      <c r="H62" s="96"/>
      <c r="J62" s="148" t="s">
        <v>405</v>
      </c>
      <c r="K62" s="96"/>
      <c r="L62" s="96"/>
      <c r="M62" s="96"/>
      <c r="N62" s="96"/>
      <c r="O62" s="96"/>
      <c r="P62" s="96"/>
      <c r="Q62" s="96"/>
    </row>
    <row r="63" spans="1:17" ht="4.5" customHeight="1" x14ac:dyDescent="0.25">
      <c r="A63" s="61" t="s">
        <v>358</v>
      </c>
      <c r="B63" s="61" t="s">
        <v>406</v>
      </c>
      <c r="C63" s="61" t="s">
        <v>407</v>
      </c>
      <c r="D63" s="61" t="s">
        <v>408</v>
      </c>
      <c r="E63" s="61" t="s">
        <v>372</v>
      </c>
      <c r="F63" s="61" t="s">
        <v>371</v>
      </c>
      <c r="G63" s="61" t="s">
        <v>409</v>
      </c>
      <c r="H63" s="61" t="s">
        <v>410</v>
      </c>
      <c r="J63" s="62" t="s">
        <v>358</v>
      </c>
      <c r="K63" s="62" t="s">
        <v>411</v>
      </c>
      <c r="L63" s="62" t="s">
        <v>412</v>
      </c>
      <c r="M63" s="62" t="s">
        <v>413</v>
      </c>
      <c r="N63" s="62" t="s">
        <v>414</v>
      </c>
      <c r="O63" s="62" t="s">
        <v>360</v>
      </c>
      <c r="P63" s="62" t="s">
        <v>415</v>
      </c>
      <c r="Q63" s="62" t="s">
        <v>416</v>
      </c>
    </row>
    <row r="64" spans="1:17" ht="4.5" customHeight="1" x14ac:dyDescent="0.25">
      <c r="A64" s="63" t="str">
        <f ca="1">'Watchlist Ratings'!B4</f>
        <v>VEEV</v>
      </c>
      <c r="B64" s="64">
        <f ca="1">'Watchlist Ratings'!G4</f>
        <v>164.12</v>
      </c>
      <c r="C64" s="64">
        <f ca="1">'Watchlist Ratings'!BJ4</f>
        <v>209.48696282507152</v>
      </c>
      <c r="D64" s="64">
        <f ca="1">'Watchlist Ratings'!BK4</f>
        <v>534.37925669751041</v>
      </c>
      <c r="E64" s="65">
        <f ca="1">'Watchlist Ratings'!BL4</f>
        <v>5.0023692268371889E-2</v>
      </c>
      <c r="F64" s="65">
        <f ca="1">'Watchlist Ratings'!BM4</f>
        <v>0.34329692568943093</v>
      </c>
      <c r="G64" s="65">
        <f t="shared" ref="G64:G71" ca="1" si="0">F64-E64</f>
        <v>0.29327323342105904</v>
      </c>
      <c r="H64" s="63" t="str">
        <f t="shared" ref="H64:H71" ca="1" si="1">IF(E64&gt;0,"🟢 BUY",IF(E64&gt;-0.05,"🟡 HOLD","🔴 PASS"))</f>
        <v>🟢 BUY</v>
      </c>
      <c r="J64" s="63" t="str">
        <f ca="1">'Watchlist Ratings'!B4</f>
        <v>VEEV</v>
      </c>
      <c r="K64" s="66">
        <f>'Watchlist Ratings'!AM4</f>
        <v>8.57</v>
      </c>
      <c r="L64" s="67">
        <f>'Watchlist Ratings'!AF4</f>
        <v>10</v>
      </c>
      <c r="M64" s="67">
        <f>'Watchlist Ratings'!AG4</f>
        <v>14</v>
      </c>
      <c r="N64" s="67">
        <f>'Watchlist Ratings'!AK4</f>
        <v>-5</v>
      </c>
      <c r="O64" s="67">
        <f>'Watchlist Ratings'!K4</f>
        <v>8</v>
      </c>
      <c r="P64" s="67">
        <f>'Watchlist Ratings'!L4</f>
        <v>2</v>
      </c>
      <c r="Q64" s="63" t="str">
        <f t="shared" ref="Q64:Q71" si="2">IF(K64&gt;=8,"🟢 ALTO",IF(K64&gt;=7,"🟡 MEDIO","🔴 BAJO"))</f>
        <v>🟢 ALTO</v>
      </c>
    </row>
    <row r="65" spans="1:17" ht="4.5" customHeight="1" x14ac:dyDescent="0.25">
      <c r="A65" s="63" t="str">
        <f ca="1">'Watchlist Ratings'!B5</f>
        <v>MSFT</v>
      </c>
      <c r="B65" s="64">
        <f ca="1">'Watchlist Ratings'!G5</f>
        <v>418.16</v>
      </c>
      <c r="C65" s="64">
        <f ca="1">'Watchlist Ratings'!BJ5</f>
        <v>281.35939804279099</v>
      </c>
      <c r="D65" s="64">
        <f ca="1">'Watchlist Ratings'!BK5</f>
        <v>624.24050287846626</v>
      </c>
      <c r="E65" s="65">
        <f ca="1">'Watchlist Ratings'!BL5</f>
        <v>-7.6187598967572323E-2</v>
      </c>
      <c r="F65" s="65">
        <f ca="1">'Watchlist Ratings'!BM5</f>
        <v>0.10535648659769592</v>
      </c>
      <c r="G65" s="65">
        <f t="shared" ca="1" si="0"/>
        <v>0.18154408556526824</v>
      </c>
      <c r="H65" s="63" t="str">
        <f t="shared" ca="1" si="1"/>
        <v>🔴 PASS</v>
      </c>
      <c r="J65" s="63" t="str">
        <f ca="1">'Watchlist Ratings'!B5</f>
        <v>MSFT</v>
      </c>
      <c r="K65" s="66">
        <f>'Watchlist Ratings'!AM5</f>
        <v>7.71</v>
      </c>
      <c r="L65" s="67">
        <f>'Watchlist Ratings'!AF5</f>
        <v>5</v>
      </c>
      <c r="M65" s="67">
        <f>'Watchlist Ratings'!AG5</f>
        <v>14</v>
      </c>
      <c r="N65" s="67">
        <f>'Watchlist Ratings'!AK5</f>
        <v>-6</v>
      </c>
      <c r="O65" s="67">
        <f>'Watchlist Ratings'!K5</f>
        <v>8</v>
      </c>
      <c r="P65" s="67">
        <f>'Watchlist Ratings'!L5</f>
        <v>3</v>
      </c>
      <c r="Q65" s="63" t="str">
        <f t="shared" si="2"/>
        <v>🟡 MEDIO</v>
      </c>
    </row>
    <row r="66" spans="1:17" ht="4.5" customHeight="1" x14ac:dyDescent="0.25">
      <c r="A66" s="63" t="str">
        <f ca="1">'Watchlist Ratings'!B6</f>
        <v>ADYEN</v>
      </c>
      <c r="B66" s="64">
        <f ca="1">'Watchlist Ratings'!G6</f>
        <v>952.6</v>
      </c>
      <c r="C66" s="64">
        <f ca="1">'Watchlist Ratings'!BJ6</f>
        <v>1041.5979875540768</v>
      </c>
      <c r="D66" s="64">
        <f ca="1">'Watchlist Ratings'!BK6</f>
        <v>2678.2318065860945</v>
      </c>
      <c r="E66" s="65">
        <f ca="1">'Watchlist Ratings'!BL6</f>
        <v>1.8023752328891529E-2</v>
      </c>
      <c r="F66" s="65">
        <f ca="1">'Watchlist Ratings'!BM6</f>
        <v>0.29489453079395211</v>
      </c>
      <c r="G66" s="65">
        <f t="shared" ca="1" si="0"/>
        <v>0.27687077846506059</v>
      </c>
      <c r="H66" s="63" t="str">
        <f t="shared" ca="1" si="1"/>
        <v>🟢 BUY</v>
      </c>
      <c r="J66" s="63" t="str">
        <f ca="1">'Watchlist Ratings'!B6</f>
        <v>ADYEN</v>
      </c>
      <c r="K66" s="66">
        <f>'Watchlist Ratings'!AM6</f>
        <v>8.2899999999999991</v>
      </c>
      <c r="L66" s="67">
        <f>'Watchlist Ratings'!AF6</f>
        <v>9</v>
      </c>
      <c r="M66" s="67">
        <f>'Watchlist Ratings'!AG6</f>
        <v>14</v>
      </c>
      <c r="N66" s="67">
        <f>'Watchlist Ratings'!AK6</f>
        <v>-6</v>
      </c>
      <c r="O66" s="67">
        <f>'Watchlist Ratings'!K6</f>
        <v>7</v>
      </c>
      <c r="P66" s="67">
        <f>'Watchlist Ratings'!L6</f>
        <v>2</v>
      </c>
      <c r="Q66" s="63" t="str">
        <f t="shared" si="2"/>
        <v>🟢 ALTO</v>
      </c>
    </row>
    <row r="67" spans="1:17" ht="4.5" customHeight="1" x14ac:dyDescent="0.25">
      <c r="A67" s="63" t="str">
        <f ca="1">'Watchlist Ratings'!B7</f>
        <v>BN</v>
      </c>
      <c r="B67" s="64">
        <f ca="1">'Watchlist Ratings'!G7</f>
        <v>44.620100000000001</v>
      </c>
      <c r="C67" s="64">
        <f ca="1">'Watchlist Ratings'!BJ7</f>
        <v>48.649524231530187</v>
      </c>
      <c r="D67" s="64">
        <f ca="1">'Watchlist Ratings'!BK7</f>
        <v>108.96099641067259</v>
      </c>
      <c r="E67" s="65">
        <f ca="1">'Watchlist Ratings'!BL7</f>
        <v>1.7441883555142645E-2</v>
      </c>
      <c r="F67" s="65">
        <f ca="1">'Watchlist Ratings'!BM7</f>
        <v>0.25007229949436627</v>
      </c>
      <c r="G67" s="65">
        <f t="shared" ca="1" si="0"/>
        <v>0.23263041593922362</v>
      </c>
      <c r="H67" s="63" t="str">
        <f t="shared" ca="1" si="1"/>
        <v>🟢 BUY</v>
      </c>
      <c r="J67" s="63" t="str">
        <f ca="1">'Watchlist Ratings'!B7</f>
        <v>BN</v>
      </c>
      <c r="K67" s="66">
        <f>'Watchlist Ratings'!AM7</f>
        <v>7.57</v>
      </c>
      <c r="L67" s="67">
        <f>'Watchlist Ratings'!AF7</f>
        <v>5</v>
      </c>
      <c r="M67" s="67">
        <f>'Watchlist Ratings'!AG7</f>
        <v>15</v>
      </c>
      <c r="N67" s="67">
        <f>'Watchlist Ratings'!AK7</f>
        <v>-5</v>
      </c>
      <c r="O67" s="67">
        <f>'Watchlist Ratings'!K7</f>
        <v>7</v>
      </c>
      <c r="P67" s="67">
        <f>'Watchlist Ratings'!L7</f>
        <v>3</v>
      </c>
      <c r="Q67" s="63" t="str">
        <f t="shared" si="2"/>
        <v>🟡 MEDIO</v>
      </c>
    </row>
    <row r="68" spans="1:17" ht="4.5" customHeight="1" x14ac:dyDescent="0.25">
      <c r="A68" s="63" t="str">
        <f ca="1">'Watchlist Ratings'!B8</f>
        <v>COST</v>
      </c>
      <c r="B68" s="64">
        <f ca="1">'Watchlist Ratings'!G8</f>
        <v>1092.8800000000001</v>
      </c>
      <c r="C68" s="64">
        <f ca="1">'Watchlist Ratings'!BJ8</f>
        <v>524.05880728723503</v>
      </c>
      <c r="D68" s="64">
        <f ca="1">'Watchlist Ratings'!BK8</f>
        <v>1024.2250409949229</v>
      </c>
      <c r="E68" s="65">
        <f ca="1">'Watchlist Ratings'!BL8</f>
        <v>-0.13670046069207387</v>
      </c>
      <c r="F68" s="65">
        <f ca="1">'Watchlist Ratings'!BM8</f>
        <v>-1.6089199691735612E-2</v>
      </c>
      <c r="G68" s="65">
        <f t="shared" ca="1" si="0"/>
        <v>0.12061126100033825</v>
      </c>
      <c r="H68" s="63" t="str">
        <f t="shared" ca="1" si="1"/>
        <v>🔴 PASS</v>
      </c>
      <c r="J68" s="63" t="str">
        <f ca="1">'Watchlist Ratings'!B8</f>
        <v>COST</v>
      </c>
      <c r="K68" s="66">
        <f>'Watchlist Ratings'!AM8</f>
        <v>8.43</v>
      </c>
      <c r="L68" s="67">
        <f>'Watchlist Ratings'!AF8</f>
        <v>6</v>
      </c>
      <c r="M68" s="67">
        <f>'Watchlist Ratings'!AG8</f>
        <v>13</v>
      </c>
      <c r="N68" s="67">
        <f>'Watchlist Ratings'!AK8</f>
        <v>-3</v>
      </c>
      <c r="O68" s="67">
        <f>'Watchlist Ratings'!K8</f>
        <v>8</v>
      </c>
      <c r="P68" s="67">
        <f>'Watchlist Ratings'!L8</f>
        <v>1</v>
      </c>
      <c r="Q68" s="63" t="str">
        <f t="shared" si="2"/>
        <v>🟢 ALTO</v>
      </c>
    </row>
    <row r="69" spans="1:17" ht="4.5" customHeight="1" x14ac:dyDescent="0.25">
      <c r="A69" s="63" t="str">
        <f ca="1">'Watchlist Ratings'!B9</f>
        <v>DSGX</v>
      </c>
      <c r="B69" s="64">
        <f ca="1">'Watchlist Ratings'!G9</f>
        <v>71.28</v>
      </c>
      <c r="C69" s="64">
        <f ca="1">'Watchlist Ratings'!BJ9</f>
        <v>75.952736902555898</v>
      </c>
      <c r="D69" s="64">
        <f ca="1">'Watchlist Ratings'!BK9</f>
        <v>162.33320855702007</v>
      </c>
      <c r="E69" s="65">
        <f ca="1">'Watchlist Ratings'!BL9</f>
        <v>1.2780072095005313E-2</v>
      </c>
      <c r="F69" s="65">
        <f ca="1">'Watchlist Ratings'!BM9</f>
        <v>0.22845688983290469</v>
      </c>
      <c r="G69" s="65">
        <f t="shared" ca="1" si="0"/>
        <v>0.21567681773789937</v>
      </c>
      <c r="H69" s="63" t="str">
        <f t="shared" ca="1" si="1"/>
        <v>🟢 BUY</v>
      </c>
      <c r="J69" s="63" t="str">
        <f ca="1">'Watchlist Ratings'!B9</f>
        <v>DSGX</v>
      </c>
      <c r="K69" s="66">
        <f>'Watchlist Ratings'!AM9</f>
        <v>8.7100000000000009</v>
      </c>
      <c r="L69" s="67">
        <f>'Watchlist Ratings'!AF9</f>
        <v>10</v>
      </c>
      <c r="M69" s="67">
        <f>'Watchlist Ratings'!AG9</f>
        <v>13</v>
      </c>
      <c r="N69" s="67">
        <f>'Watchlist Ratings'!AK9</f>
        <v>-3</v>
      </c>
      <c r="O69" s="67">
        <f>'Watchlist Ratings'!K9</f>
        <v>7</v>
      </c>
      <c r="P69" s="67">
        <f>'Watchlist Ratings'!L9</f>
        <v>2</v>
      </c>
      <c r="Q69" s="63" t="str">
        <f t="shared" si="2"/>
        <v>🟢 ALTO</v>
      </c>
    </row>
    <row r="70" spans="1:17" ht="4.5" customHeight="1" x14ac:dyDescent="0.25">
      <c r="A70" s="63" t="str">
        <f ca="1">'Watchlist Ratings'!B10</f>
        <v>RAA</v>
      </c>
      <c r="B70" s="64">
        <f ca="1">'Watchlist Ratings'!G10</f>
        <v>650</v>
      </c>
      <c r="C70" s="64">
        <f ca="1">'Watchlist Ratings'!BJ10</f>
        <v>460.86191732629732</v>
      </c>
      <c r="D70" s="64">
        <f ca="1">'Watchlist Ratings'!BK10</f>
        <v>1160.3342128408092</v>
      </c>
      <c r="E70" s="65">
        <f ca="1">'Watchlist Ratings'!BL10</f>
        <v>-6.6463091170055888E-2</v>
      </c>
      <c r="F70" s="65">
        <f ca="1">'Watchlist Ratings'!BM10</f>
        <v>0.1558924719250312</v>
      </c>
      <c r="G70" s="65">
        <f t="shared" ca="1" si="0"/>
        <v>0.22235556309508708</v>
      </c>
      <c r="H70" s="63" t="str">
        <f t="shared" ca="1" si="1"/>
        <v>🔴 PASS</v>
      </c>
      <c r="J70" s="63" t="str">
        <f ca="1">'Watchlist Ratings'!B10</f>
        <v>RAA</v>
      </c>
      <c r="K70" s="66">
        <f>'Watchlist Ratings'!AM10</f>
        <v>8.2899999999999991</v>
      </c>
      <c r="L70" s="67">
        <f>'Watchlist Ratings'!AF10</f>
        <v>8</v>
      </c>
      <c r="M70" s="67">
        <f>'Watchlist Ratings'!AG10</f>
        <v>13</v>
      </c>
      <c r="N70" s="67">
        <f>'Watchlist Ratings'!AK10</f>
        <v>-3</v>
      </c>
      <c r="O70" s="67">
        <f>'Watchlist Ratings'!K10</f>
        <v>7</v>
      </c>
      <c r="P70" s="67">
        <f>'Watchlist Ratings'!L10</f>
        <v>2</v>
      </c>
      <c r="Q70" s="63" t="str">
        <f t="shared" si="2"/>
        <v>🟢 ALTO</v>
      </c>
    </row>
    <row r="71" spans="1:17" ht="19.5" customHeight="1" x14ac:dyDescent="0.25">
      <c r="A71" s="63" t="str">
        <f ca="1">'Watchlist Ratings'!B11</f>
        <v>ZS</v>
      </c>
      <c r="B71" s="64">
        <f ca="1">'Watchlist Ratings'!G11</f>
        <v>175.71</v>
      </c>
      <c r="C71" s="64">
        <f ca="1">'Watchlist Ratings'!BJ11</f>
        <v>161.2033531790085</v>
      </c>
      <c r="D71" s="64">
        <f ca="1">'Watchlist Ratings'!BK11</f>
        <v>414.20306025161904</v>
      </c>
      <c r="E71" s="65">
        <f ca="1">'Watchlist Ratings'!BL11</f>
        <v>-1.7086005469886589E-2</v>
      </c>
      <c r="F71" s="65">
        <f ca="1">'Watchlist Ratings'!BM11</f>
        <v>0.23909386335572558</v>
      </c>
      <c r="G71" s="65">
        <f t="shared" ca="1" si="0"/>
        <v>0.25617986882561217</v>
      </c>
      <c r="H71" s="63" t="str">
        <f t="shared" ca="1" si="1"/>
        <v>🟡 HOLD</v>
      </c>
      <c r="J71" s="63" t="str">
        <f ca="1">'Watchlist Ratings'!B11</f>
        <v>ZS</v>
      </c>
      <c r="K71" s="66">
        <f>'Watchlist Ratings'!AM11</f>
        <v>7.29</v>
      </c>
      <c r="L71" s="67">
        <f>'Watchlist Ratings'!AF11</f>
        <v>9</v>
      </c>
      <c r="M71" s="67">
        <f>'Watchlist Ratings'!AG11</f>
        <v>11</v>
      </c>
      <c r="N71" s="67">
        <f>'Watchlist Ratings'!AK11</f>
        <v>-5</v>
      </c>
      <c r="O71" s="67">
        <f>'Watchlist Ratings'!K11</f>
        <v>6</v>
      </c>
      <c r="P71" s="67">
        <f>'Watchlist Ratings'!L11</f>
        <v>2</v>
      </c>
      <c r="Q71" s="63" t="str">
        <f t="shared" si="2"/>
        <v>🟡 MEDIO</v>
      </c>
    </row>
    <row r="72" spans="1:17" ht="27.75" customHeight="1" x14ac:dyDescent="0.25">
      <c r="A72" s="159" t="str">
        <f ca="1">'Watchlist Ratings'!B12</f>
        <v>NTO</v>
      </c>
      <c r="B72" s="160"/>
      <c r="C72" s="160"/>
      <c r="D72" s="160"/>
      <c r="E72" s="160"/>
      <c r="F72" s="160"/>
      <c r="G72" s="160"/>
      <c r="H72" s="160"/>
      <c r="I72" s="161"/>
      <c r="J72" s="170" t="str">
        <f ca="1">'Watchlist Ratings'!B12</f>
        <v>NTO</v>
      </c>
      <c r="K72" s="160"/>
      <c r="L72" s="160"/>
      <c r="M72" s="160"/>
      <c r="N72" s="160"/>
      <c r="O72" s="160"/>
      <c r="P72" s="160"/>
      <c r="Q72" s="161"/>
    </row>
    <row r="73" spans="1:17" ht="19.5" customHeight="1" x14ac:dyDescent="0.25">
      <c r="A73" s="68" t="str">
        <f ca="1">'Watchlist Ratings'!B13</f>
        <v>AMZN</v>
      </c>
      <c r="B73" s="69">
        <f ca="1">'Watchlist Ratings'!G13</f>
        <v>259.12</v>
      </c>
      <c r="C73" s="69">
        <f ca="1">'Watchlist Ratings'!BJ13</f>
        <v>153.94399611047947</v>
      </c>
      <c r="D73" s="69">
        <f ca="1">'Watchlist Ratings'!BK13</f>
        <v>305.98738880610125</v>
      </c>
      <c r="E73" s="70">
        <f ca="1">'Watchlist Ratings'!BL13</f>
        <v>-9.8901297854279036E-2</v>
      </c>
      <c r="F73" s="70">
        <f ca="1">'Watchlist Ratings'!BM13</f>
        <v>4.2438993232079225E-2</v>
      </c>
      <c r="G73" s="70">
        <f ca="1">F73-E73</f>
        <v>0.14134029108635826</v>
      </c>
      <c r="H73" s="71" t="str">
        <f ca="1">IF(E73&gt;0,"🟢 BUY",IF(E73&gt;-0.05,"🟡 HOLD","🔴 PASS"))</f>
        <v>🔴 PASS</v>
      </c>
      <c r="J73" s="72" t="str">
        <f ca="1">'Watchlist Ratings'!B13</f>
        <v>AMZN</v>
      </c>
      <c r="K73" s="73">
        <f>'Watchlist Ratings'!AM13</f>
        <v>7.29</v>
      </c>
      <c r="L73" s="74">
        <f>'Watchlist Ratings'!AF13</f>
        <v>4</v>
      </c>
      <c r="M73" s="74">
        <f>'Watchlist Ratings'!AG13</f>
        <v>13</v>
      </c>
      <c r="N73" s="74">
        <f>'Watchlist Ratings'!AK13</f>
        <v>-5</v>
      </c>
      <c r="O73" s="74">
        <f>'Watchlist Ratings'!K13</f>
        <v>8</v>
      </c>
      <c r="P73" s="74">
        <f>'Watchlist Ratings'!L13</f>
        <v>3</v>
      </c>
      <c r="Q73" s="72" t="str">
        <f>IF(K73&gt;=8,"🟢 ALTO",IF(K73&gt;=7,"🟡 MEDIO","🔴 BAJO"))</f>
        <v>🟡 MEDIO</v>
      </c>
    </row>
    <row r="74" spans="1:17" ht="19.5" customHeight="1" x14ac:dyDescent="0.25">
      <c r="A74" s="75" t="s">
        <v>374</v>
      </c>
      <c r="B74" s="76" t="str">
        <f ca="1">VLOOKUP(A74,'Watchlist Ratings'!$B$4:$BM$64,4,FALSE())</f>
        <v>XNYS</v>
      </c>
      <c r="C74" s="76">
        <f ca="1">VLOOKUP(A74,'Watchlist Ratings'!$B$4:$BM$64,59,FALSE())</f>
        <v>18</v>
      </c>
      <c r="D74" s="76">
        <f ca="1">VLOOKUP(A74,'Watchlist Ratings'!$B$4:$BM$64,60,FALSE())</f>
        <v>30</v>
      </c>
      <c r="E74" s="77">
        <f ca="1">VLOOKUP(A74,'Watchlist Ratings'!$B$4:$BM$64,61,FALSE())</f>
        <v>209.48696282507152</v>
      </c>
      <c r="F74" s="77">
        <f ca="1">VLOOKUP(A74,'Watchlist Ratings'!$B$4:$BM$64,64,FALSE())</f>
        <v>0.34329692568943093</v>
      </c>
      <c r="G74" s="77">
        <f ca="1">F74-E74</f>
        <v>-209.14366589938209</v>
      </c>
      <c r="H74" s="75" t="str">
        <f ca="1">IF(E74&gt;0,"🟢 BUY",IF(E74&gt;-0.05,"🟡 HOLD","🔴 PASS"))</f>
        <v>🟢 BUY</v>
      </c>
      <c r="J74" s="78" t="s">
        <v>374</v>
      </c>
      <c r="K74" s="78">
        <f ca="1">VLOOKUP(J74,'Watchlist Ratings'!$B$4:$BM$64,36,FALSE())</f>
        <v>-5</v>
      </c>
      <c r="L74" s="78">
        <f ca="1">VLOOKUP(J74,'Watchlist Ratings'!$B$4:$BM$64,29,FALSE())</f>
        <v>14</v>
      </c>
      <c r="M74" s="78">
        <f ca="1">VLOOKUP(J74,'Watchlist Ratings'!$B$4:$BM$64,30,FALSE())</f>
        <v>0</v>
      </c>
      <c r="N74" s="78">
        <f ca="1">VLOOKUP(J74,'Watchlist Ratings'!$B$4:$BM$64,34,FALSE())</f>
        <v>8</v>
      </c>
      <c r="O74" s="78">
        <f ca="1">VLOOKUP(J74,'Watchlist Ratings'!$B$4:$BM$64,8,FALSE())</f>
        <v>26784.170644000002</v>
      </c>
      <c r="P74" s="78">
        <f ca="1">VLOOKUP(J74,'Watchlist Ratings'!$B$4:$BM$64,9,FALSE())</f>
        <v>1.5</v>
      </c>
      <c r="Q74" s="78" t="str">
        <f ca="1">IF(K74&gt;=8.5,"🟢 ALTO",IF(K74&gt;=7.5,"🟡 MEDIO","🔴 BAJO"))</f>
        <v>🔴 BAJO</v>
      </c>
    </row>
    <row r="75" spans="1:17" ht="19.5" customHeight="1" x14ac:dyDescent="0.25">
      <c r="A75" s="79" t="s">
        <v>378</v>
      </c>
      <c r="B75" s="80" t="str">
        <f ca="1">VLOOKUP(A75,'Watchlist Ratings'!$B$4:$BM$64,4,FALSE())</f>
        <v>XNAS</v>
      </c>
      <c r="C75" s="80">
        <f ca="1">VLOOKUP(A75,'Watchlist Ratings'!$B$4:$BM$64,59,FALSE())</f>
        <v>20</v>
      </c>
      <c r="D75" s="80">
        <f ca="1">VLOOKUP(A75,'Watchlist Ratings'!$B$4:$BM$64,60,FALSE())</f>
        <v>30</v>
      </c>
      <c r="E75" s="81">
        <f ca="1">VLOOKUP(A75,'Watchlist Ratings'!$B$4:$BM$64,61,FALSE())</f>
        <v>281.35939804279099</v>
      </c>
      <c r="F75" s="81">
        <f ca="1">VLOOKUP(A75,'Watchlist Ratings'!$B$4:$BM$64,64,FALSE())</f>
        <v>0.10535648659769592</v>
      </c>
      <c r="G75" s="81">
        <f ca="1">F75-E75</f>
        <v>-281.25404155619327</v>
      </c>
      <c r="H75" s="79" t="str">
        <f ca="1">IF(E75&gt;0,"🟢 BUY",IF(E75&gt;-0.05,"🟡 HOLD","🔴 PASS"))</f>
        <v>🟢 BUY</v>
      </c>
      <c r="J75" s="79" t="s">
        <v>378</v>
      </c>
      <c r="K75" s="79">
        <f ca="1">VLOOKUP(J75,'Watchlist Ratings'!$B$4:$BM$64,36,FALSE())</f>
        <v>-6</v>
      </c>
      <c r="L75" s="79">
        <f ca="1">VLOOKUP(J75,'Watchlist Ratings'!$B$4:$BM$64,29,FALSE())</f>
        <v>14</v>
      </c>
      <c r="M75" s="79">
        <f ca="1">VLOOKUP(J75,'Watchlist Ratings'!$B$4:$BM$64,30,FALSE())</f>
        <v>0</v>
      </c>
      <c r="N75" s="79">
        <f ca="1">VLOOKUP(J75,'Watchlist Ratings'!$B$4:$BM$64,34,FALSE())</f>
        <v>9</v>
      </c>
      <c r="O75" s="79">
        <f ca="1">VLOOKUP(J75,'Watchlist Ratings'!$B$4:$BM$64,8,FALSE())</f>
        <v>3106274.3796000006</v>
      </c>
      <c r="P75" s="79">
        <f ca="1">VLOOKUP(J75,'Watchlist Ratings'!$B$4:$BM$64,9,FALSE())</f>
        <v>1</v>
      </c>
      <c r="Q75" s="79" t="str">
        <f ca="1">IF(K75&gt;=8.5,"🟢 ALTO",IF(K75&gt;=7.5,"🟡 MEDIO","🔴 BAJO"))</f>
        <v>🔴 BAJO</v>
      </c>
    </row>
    <row r="76" spans="1:17" ht="19.5" customHeight="1" x14ac:dyDescent="0.3">
      <c r="A76" s="134" t="s">
        <v>417</v>
      </c>
      <c r="B76" s="96"/>
      <c r="C76" s="96"/>
      <c r="D76" s="96"/>
      <c r="E76" s="96"/>
      <c r="F76" s="96"/>
      <c r="G76" s="96"/>
      <c r="H76" s="96"/>
      <c r="I76" s="96"/>
      <c r="J76" s="96"/>
      <c r="K76" s="96"/>
      <c r="L76" s="96"/>
      <c r="M76" s="96"/>
      <c r="N76" s="96"/>
      <c r="O76" s="96"/>
      <c r="P76" s="96"/>
      <c r="Q76" s="96"/>
    </row>
    <row r="77" spans="1:17" ht="19.5" customHeight="1" x14ac:dyDescent="0.25">
      <c r="A77" s="79" t="s">
        <v>385</v>
      </c>
      <c r="B77" s="80" t="str">
        <f ca="1">VLOOKUP(A77,'Watchlist Ratings'!$B$4:$BM$64,4,FALSE())</f>
        <v>XNYS</v>
      </c>
      <c r="C77" s="80">
        <f ca="1">VLOOKUP(A77,'Watchlist Ratings'!$B$4:$BM$64,59,FALSE())</f>
        <v>18</v>
      </c>
      <c r="D77" s="80">
        <f ca="1">VLOOKUP(A77,'Watchlist Ratings'!$B$4:$BM$64,60,FALSE())</f>
        <v>25</v>
      </c>
      <c r="E77" s="81">
        <f ca="1">VLOOKUP(A77,'Watchlist Ratings'!$B$4:$BM$64,61,FALSE())</f>
        <v>48.649524231530187</v>
      </c>
      <c r="F77" s="81">
        <f ca="1">VLOOKUP(A77,'Watchlist Ratings'!$B$4:$BM$64,64,FALSE())</f>
        <v>0.25007229949436627</v>
      </c>
      <c r="G77" s="81">
        <f ca="1">F77-E77</f>
        <v>-48.399451932035824</v>
      </c>
      <c r="H77" s="79" t="str">
        <f ca="1">IF(E77&gt;0,"🟢 BUY",IF(E77&gt;-0.05,"🟡 HOLD","🔴 PASS"))</f>
        <v>🟢 BUY</v>
      </c>
      <c r="J77" s="79" t="s">
        <v>385</v>
      </c>
      <c r="K77" s="79">
        <f ca="1">VLOOKUP(J77,'Watchlist Ratings'!$B$4:$BM$64,36,FALSE())</f>
        <v>-5</v>
      </c>
      <c r="L77" s="79">
        <f ca="1">VLOOKUP(J77,'Watchlist Ratings'!$B$4:$BM$64,29,FALSE())</f>
        <v>14</v>
      </c>
      <c r="M77" s="79">
        <f ca="1">VLOOKUP(J77,'Watchlist Ratings'!$B$4:$BM$64,30,FALSE())</f>
        <v>-1</v>
      </c>
      <c r="N77" s="79">
        <f ca="1">VLOOKUP(J77,'Watchlist Ratings'!$B$4:$BM$64,34,FALSE())</f>
        <v>10</v>
      </c>
      <c r="O77" s="79">
        <f ca="1">VLOOKUP(J77,'Watchlist Ratings'!$B$4:$BM$64,8,FALSE())</f>
        <v>109358.37682770001</v>
      </c>
      <c r="P77" s="79">
        <f ca="1">VLOOKUP(J77,'Watchlist Ratings'!$B$4:$BM$64,9,FALSE())</f>
        <v>1</v>
      </c>
      <c r="Q77" s="79" t="str">
        <f ca="1">IF(K77&gt;=8.5,"🟢 ALTO",IF(K77&gt;=7.5,"🟡 MEDIO","🔴 BAJO"))</f>
        <v>🔴 BAJO</v>
      </c>
    </row>
    <row r="78" spans="1:17" ht="19.5" customHeight="1" x14ac:dyDescent="0.25">
      <c r="A78" s="126" t="s">
        <v>418</v>
      </c>
      <c r="B78" s="111"/>
      <c r="C78" s="110" t="s">
        <v>419</v>
      </c>
      <c r="D78" s="111"/>
      <c r="E78" s="129" t="s">
        <v>420</v>
      </c>
      <c r="F78" s="111"/>
      <c r="G78" s="129" t="s">
        <v>421</v>
      </c>
      <c r="H78" s="111"/>
      <c r="I78" s="162" t="s">
        <v>422</v>
      </c>
      <c r="J78" s="96"/>
      <c r="K78" s="126" t="s">
        <v>423</v>
      </c>
      <c r="L78" s="111"/>
      <c r="M78" s="126" t="s">
        <v>424</v>
      </c>
      <c r="N78" s="111"/>
      <c r="O78" s="126" t="s">
        <v>425</v>
      </c>
      <c r="P78" s="111"/>
      <c r="Q78" s="82" t="str">
        <f>IF(K78&gt;=8.5,"🟢 ALTO",IF(K78&gt;=7.5,"🟡 MEDIO","🔴 BAJO"))</f>
        <v>🟢 ALTO</v>
      </c>
    </row>
    <row r="79" spans="1:17" ht="19.5" customHeight="1" x14ac:dyDescent="0.25">
      <c r="A79" s="135" t="str">
        <f>INDEX('Watchlist Ratings'!B:B,MATCH(MAX('Watchlist Ratings'!AN:AN),'Watchlist Ratings'!AN:AN,0))</f>
        <v>CSU</v>
      </c>
      <c r="B79" s="111"/>
      <c r="C79" s="163" t="str">
        <f ca="1">INDEX('Watchlist Ratings'!B:B,MATCH(MAX('Watchlist Ratings'!BM:BM),'Watchlist Ratings'!BM:BM,0))</f>
        <v>OTLY</v>
      </c>
      <c r="D79" s="111"/>
      <c r="E79" s="136" t="str">
        <f ca="1">INDEX('Watchlist Ratings'!B:B,MATCH(MAX('Watchlist Ratings'!BC:BC),'Watchlist Ratings'!BC:BC,0))</f>
        <v>NVDA</v>
      </c>
      <c r="F79" s="111"/>
      <c r="G79" s="136" t="str">
        <f ca="1">INDEX('Watchlist Ratings'!B:B,MATCH(MAX('Watchlist Ratings'!K:K),'Watchlist Ratings'!K:K,0))</f>
        <v>VEEV</v>
      </c>
      <c r="H79" s="111"/>
      <c r="I79" s="147" t="str">
        <f ca="1">INDEX('Watchlist Ratings'!B:B,MATCH(MAX('Watchlist Ratings'!L:L),'Watchlist Ratings'!L:L,0))</f>
        <v>MSFT</v>
      </c>
      <c r="J79" s="96"/>
      <c r="K79" s="135" t="str">
        <f>INDEX('Watchlist Ratings'!B:B,MATCH(MAX('Watchlist Ratings'!AM:AM),'Watchlist Ratings'!AM:AM,0))</f>
        <v>CSU</v>
      </c>
      <c r="L79" s="111"/>
      <c r="M79" s="135" t="str">
        <f t="array" aca="1" ref="M79" ca="1">INDEX('Watchlist Ratings'!B:B,MATCH(MIN('Watchlist Ratings'!AW4:AW64),'Watchlist Ratings'!AW4:AW64,0)+3)</f>
        <v>OTLY</v>
      </c>
      <c r="N79" s="111"/>
      <c r="O79" s="135" t="str">
        <f t="array" aca="1" ref="O79" ca="1">INDEX('Watchlist Ratings'!B:B,MATCH(MAX('Watchlist Ratings'!BM4:BM64-'Watchlist Ratings'!BL4:BL64),'Watchlist Ratings'!BM4:BM64-'Watchlist Ratings'!BL4:BL64,0)+3)</f>
        <v>OTLY</v>
      </c>
      <c r="P79" s="111"/>
      <c r="Q79" s="79" t="str">
        <f>IF(K79&gt;=8.5,"🟢 ALTO",IF(K79&gt;=7.5,"🟡 MEDIO","🔴 BAJO"))</f>
        <v>🟢 ALTO</v>
      </c>
    </row>
    <row r="80" spans="1:17" ht="19.5" customHeight="1" x14ac:dyDescent="0.25">
      <c r="A80" s="127">
        <f>MAX('Watchlist Ratings'!AN:AN)</f>
        <v>8.5500000000000007</v>
      </c>
      <c r="B80" s="111"/>
      <c r="C80" s="128">
        <f ca="1">MAX('Watchlist Ratings'!BM:BM)</f>
        <v>0.53755428253237092</v>
      </c>
      <c r="D80" s="111"/>
      <c r="E80" s="132">
        <f>MAX('Watchlist Ratings'!BC:BC)</f>
        <v>0.83333333333333326</v>
      </c>
      <c r="F80" s="111"/>
      <c r="G80" s="132" t="str">
        <f>MAX('Watchlist Ratings'!K:K)&amp;"/8"</f>
        <v>8/8</v>
      </c>
      <c r="H80" s="111"/>
      <c r="I80" s="165" t="str">
        <f>MAX('Watchlist Ratings'!L:L)&amp;"/3"</f>
        <v>3/3</v>
      </c>
      <c r="J80" s="96"/>
      <c r="K80" s="166">
        <f>MAX('Watchlist Ratings'!AM:AM)</f>
        <v>8.86</v>
      </c>
      <c r="L80" s="111"/>
      <c r="M80" s="166" t="str">
        <f ca="1">MIN('Watchlist Ratings'!AW4:AW64)&amp;"x"</f>
        <v>-8.1694355x</v>
      </c>
      <c r="N80" s="111"/>
      <c r="O80" s="166" t="str">
        <f t="array" ref="O80" ca="1">TEXT(MAX('Watchlist Ratings'!BM4:BM64-'Watchlist Ratings'!BL4:BL64),"0.0%")</f>
        <v>271.6%</v>
      </c>
      <c r="P80" s="111"/>
      <c r="Q80" s="82" t="str">
        <f>IF(K80&gt;=8.5,"🟢 ALTO",IF(K80&gt;=7.5,"🟡 MEDIO","🔴 BAJO"))</f>
        <v>🟢 ALTO</v>
      </c>
    </row>
    <row r="81" spans="1:17" ht="19.5" customHeight="1" x14ac:dyDescent="0.25">
      <c r="A81" s="79" t="s">
        <v>380</v>
      </c>
      <c r="B81" s="80" t="str">
        <f ca="1">VLOOKUP(A81,'Watchlist Ratings'!$B$4:$BM$64,4,FALSE())</f>
        <v>XNAS</v>
      </c>
      <c r="C81" s="80">
        <f ca="1">VLOOKUP(A81,'Watchlist Ratings'!$B$4:$BM$64,59,FALSE())</f>
        <v>20</v>
      </c>
      <c r="D81" s="80">
        <f ca="1">VLOOKUP(A81,'Watchlist Ratings'!$B$4:$BM$64,60,FALSE())</f>
        <v>30</v>
      </c>
      <c r="E81" s="81">
        <f ca="1">VLOOKUP(A81,'Watchlist Ratings'!$B$4:$BM$64,61,FALSE())</f>
        <v>161.2033531790085</v>
      </c>
      <c r="F81" s="81">
        <f ca="1">VLOOKUP(A81,'Watchlist Ratings'!$B$4:$BM$64,64,FALSE())</f>
        <v>0.23909386335572558</v>
      </c>
      <c r="G81" s="81">
        <f ca="1">F81-E81</f>
        <v>-160.96425931565278</v>
      </c>
      <c r="H81" s="79" t="str">
        <f ca="1">IF(E81&gt;0,"🟢 BUY",IF(E81&gt;-0.05,"🟡 HOLD","🔴 PASS"))</f>
        <v>🟢 BUY</v>
      </c>
      <c r="J81" s="79" t="s">
        <v>380</v>
      </c>
      <c r="K81" s="79">
        <f ca="1">VLOOKUP(J81,'Watchlist Ratings'!$B$4:$BM$64,36,FALSE())</f>
        <v>-5</v>
      </c>
      <c r="L81" s="79">
        <f ca="1">VLOOKUP(J81,'Watchlist Ratings'!$B$4:$BM$64,29,FALSE())</f>
        <v>13</v>
      </c>
      <c r="M81" s="79">
        <f ca="1">VLOOKUP(J81,'Watchlist Ratings'!$B$4:$BM$64,30,FALSE())</f>
        <v>-2</v>
      </c>
      <c r="N81" s="79">
        <f ca="1">VLOOKUP(J81,'Watchlist Ratings'!$B$4:$BM$64,34,FALSE())</f>
        <v>9</v>
      </c>
      <c r="O81" s="79">
        <f ca="1">VLOOKUP(J81,'Watchlist Ratings'!$B$4:$BM$64,8,FALSE())</f>
        <v>28252.533896999998</v>
      </c>
      <c r="P81" s="79">
        <f ca="1">VLOOKUP(J81,'Watchlist Ratings'!$B$4:$BM$64,9,FALSE())</f>
        <v>2</v>
      </c>
      <c r="Q81" s="79" t="str">
        <f ca="1">IF(K81&gt;=8.5,"🟢 ALTO",IF(K81&gt;=7.5,"🟡 MEDIO","🔴 BAJO"))</f>
        <v>🔴 BAJO</v>
      </c>
    </row>
    <row r="82" spans="1:17" ht="19.5" customHeight="1" x14ac:dyDescent="0.25">
      <c r="A82" s="167" t="s">
        <v>426</v>
      </c>
      <c r="B82" s="96"/>
      <c r="C82" s="96"/>
      <c r="D82" s="96"/>
      <c r="E82" s="96"/>
      <c r="F82" s="96"/>
      <c r="G82" s="96"/>
      <c r="H82" s="96"/>
      <c r="I82" s="96"/>
      <c r="J82" s="96"/>
      <c r="K82" s="96"/>
      <c r="L82" s="96"/>
      <c r="M82" s="96"/>
      <c r="N82" s="96"/>
      <c r="O82" s="96"/>
      <c r="P82" s="96"/>
      <c r="Q82" s="96"/>
    </row>
    <row r="83" spans="1:17" ht="19.5" customHeight="1" x14ac:dyDescent="0.25">
      <c r="A83" s="83" t="s">
        <v>375</v>
      </c>
      <c r="B83" s="84" t="str">
        <f ca="1">VLOOKUP(A83,'Watchlist Ratings'!$B$4:$BM$64,4,FALSE())</f>
        <v>XNAS</v>
      </c>
      <c r="C83" s="84">
        <f ca="1">VLOOKUP(A83,'Watchlist Ratings'!$B$4:$BM$64,59,FALSE())</f>
        <v>22.5</v>
      </c>
      <c r="D83" s="84">
        <f ca="1">VLOOKUP(A83,'Watchlist Ratings'!$B$4:$BM$64,60,FALSE())</f>
        <v>30</v>
      </c>
      <c r="E83" s="85">
        <f ca="1">VLOOKUP(A83,'Watchlist Ratings'!$B$4:$BM$64,61,FALSE())</f>
        <v>153.94399611047947</v>
      </c>
      <c r="F83" s="85">
        <f ca="1">VLOOKUP(A83,'Watchlist Ratings'!$B$4:$BM$64,64,FALSE())</f>
        <v>4.2438993232079225E-2</v>
      </c>
      <c r="G83" s="85">
        <f ca="1">F83-E83</f>
        <v>-153.90155711724739</v>
      </c>
      <c r="H83" s="83" t="str">
        <f ca="1">IF(E83&gt;0,"🟢 BUY",IF(E83&gt;-0.05,"🟡 HOLD","🔴 PASS"))</f>
        <v>🟢 BUY</v>
      </c>
      <c r="J83" s="83" t="s">
        <v>375</v>
      </c>
      <c r="K83" s="83">
        <f ca="1">VLOOKUP(J83,'Watchlist Ratings'!$B$4:$BM$64,36,FALSE())</f>
        <v>-5</v>
      </c>
      <c r="L83" s="83">
        <f ca="1">VLOOKUP(J83,'Watchlist Ratings'!$B$4:$BM$64,29,FALSE())</f>
        <v>14</v>
      </c>
      <c r="M83" s="83">
        <f ca="1">VLOOKUP(J83,'Watchlist Ratings'!$B$4:$BM$64,30,FALSE())</f>
        <v>-1</v>
      </c>
      <c r="N83" s="83">
        <f ca="1">VLOOKUP(J83,'Watchlist Ratings'!$B$4:$BM$64,34,FALSE())</f>
        <v>8</v>
      </c>
      <c r="O83" s="83">
        <f ca="1">VLOOKUP(J83,'Watchlist Ratings'!$B$4:$BM$64,8,FALSE())</f>
        <v>2787382.3432</v>
      </c>
      <c r="P83" s="83">
        <f ca="1">VLOOKUP(J83,'Watchlist Ratings'!$B$4:$BM$64,9,FALSE())</f>
        <v>1.5</v>
      </c>
      <c r="Q83" s="83" t="str">
        <f ca="1">IF(K83&gt;=8.5,"🟢 ALTO",IF(K83&gt;=7.5,"🟡 MEDIO","🔴 BAJO"))</f>
        <v>🔴 BAJO</v>
      </c>
    </row>
    <row r="84" spans="1:17" ht="19.5" customHeight="1" x14ac:dyDescent="0.25"/>
    <row r="85" spans="1:17" ht="27.75" customHeight="1" x14ac:dyDescent="0.25">
      <c r="A85" s="146" t="s">
        <v>417</v>
      </c>
      <c r="B85" s="96"/>
      <c r="C85" s="96"/>
      <c r="D85" s="96"/>
      <c r="E85" s="96"/>
      <c r="F85" s="96"/>
      <c r="G85" s="96"/>
      <c r="H85" s="96"/>
      <c r="I85" s="96"/>
      <c r="J85" s="96"/>
      <c r="K85" s="96"/>
      <c r="L85" s="96"/>
      <c r="M85" s="96"/>
      <c r="N85" s="96"/>
      <c r="O85" s="96"/>
      <c r="P85" s="96"/>
      <c r="Q85" s="96"/>
    </row>
    <row r="86" spans="1:17" ht="19.5" customHeight="1" x14ac:dyDescent="0.25"/>
    <row r="87" spans="1:17" ht="19.5" customHeight="1" x14ac:dyDescent="0.25">
      <c r="A87" s="168" t="s">
        <v>418</v>
      </c>
      <c r="B87" s="96"/>
      <c r="C87" s="113" t="s">
        <v>419</v>
      </c>
      <c r="D87" s="96"/>
      <c r="E87" s="164" t="s">
        <v>420</v>
      </c>
      <c r="F87" s="96"/>
      <c r="G87" s="142" t="s">
        <v>421</v>
      </c>
      <c r="H87" s="96"/>
      <c r="I87" s="143" t="s">
        <v>422</v>
      </c>
      <c r="J87" s="96"/>
      <c r="K87" s="112" t="s">
        <v>423</v>
      </c>
      <c r="L87" s="96"/>
      <c r="M87" s="139" t="s">
        <v>424</v>
      </c>
      <c r="N87" s="96"/>
      <c r="O87" s="149" t="s">
        <v>425</v>
      </c>
      <c r="P87" s="96"/>
    </row>
    <row r="88" spans="1:17" ht="19.5" customHeight="1" x14ac:dyDescent="0.3">
      <c r="A88" s="140" t="str">
        <f ca="1">INDEX('Watchlist Ratings'!B$4:B$64,MATCH(MAX('Watchlist Ratings'!AN$4:AN$64),'Watchlist Ratings'!AN$4:AN$64,0))</f>
        <v>VEEV</v>
      </c>
      <c r="B88" s="96"/>
      <c r="C88" s="150" t="str">
        <f ca="1">INDEX('Watchlist Ratings'!B$4:B$64,MATCH(MAX('Watchlist Ratings'!BM$4:BM$64),'Watchlist Ratings'!BM$4:BM$64,0))</f>
        <v>OTLY</v>
      </c>
      <c r="D88" s="96"/>
      <c r="E88" s="140" t="str">
        <f ca="1">INDEX('Watchlist Ratings'!B$4:B$64,MATCH(MAX('Watchlist Ratings'!BC$4:BC$64),'Watchlist Ratings'!BC$4:BC$64,0))</f>
        <v>NVDA</v>
      </c>
      <c r="F88" s="96"/>
      <c r="G88" s="140" t="str">
        <f ca="1">INDEX('Watchlist Ratings'!B$4:B$64,MATCH(MAX('Watchlist Ratings'!K$4:K$64),'Watchlist Ratings'!K$4:K$64,0))</f>
        <v>VEEV</v>
      </c>
      <c r="H88" s="96"/>
      <c r="I88" s="140" t="str">
        <f ca="1">INDEX('Watchlist Ratings'!B$4:B$64,MATCH(MAX('Watchlist Ratings'!L$4:L$64),'Watchlist Ratings'!L$4:L$64,0))</f>
        <v>MSFT</v>
      </c>
      <c r="J88" s="96"/>
      <c r="K88" s="140" t="str">
        <f ca="1">INDEX('Watchlist Ratings'!B$4:B$64,MATCH(MAX('Watchlist Ratings'!AM$4:AM$64),'Watchlist Ratings'!AM$4:AM$64,0))</f>
        <v>DSGX</v>
      </c>
      <c r="L88" s="96"/>
      <c r="M88" s="140" t="str">
        <f t="array" aca="1" ref="M88" ca="1">INDEX('Watchlist Ratings'!B$4:B$64,MATCH(MIN(IF('Watchlist Ratings'!AW$4:AW$64&gt;0,'Watchlist Ratings'!AW$4:AW$64)),IF('Watchlist Ratings'!AW$4:AW$64&gt;0,'Watchlist Ratings'!AW$4:AW$64),0))</f>
        <v>CHKP</v>
      </c>
      <c r="N88" s="96"/>
      <c r="O88" s="140" t="str">
        <f t="array" aca="1" ref="O88" ca="1">INDEX('Watchlist Ratings'!B$4:B$64,MATCH(MAX('Watchlist Ratings'!BM$4:BM$64-'Watchlist Ratings'!BL$4:BL$64),'Watchlist Ratings'!BM$4:BM$64-'Watchlist Ratings'!BL$4:BL$64,0))</f>
        <v>OTLY</v>
      </c>
      <c r="P88" s="96"/>
    </row>
    <row r="89" spans="1:17" ht="19.5" customHeight="1" x14ac:dyDescent="0.25">
      <c r="A89" s="138">
        <f>MAX('Watchlist Ratings'!AN$4:AN$64)</f>
        <v>8.2799999999999994</v>
      </c>
      <c r="B89" s="96"/>
      <c r="C89" s="145">
        <f ca="1">MAX('Watchlist Ratings'!BM$4:BM$64)</f>
        <v>0.53755428253237092</v>
      </c>
      <c r="D89" s="96"/>
      <c r="E89" s="145">
        <f>MAX('Watchlist Ratings'!BC$4:BC$64)</f>
        <v>0.83333333333333326</v>
      </c>
      <c r="F89" s="96"/>
      <c r="G89" s="144" t="str">
        <f>MAX('Watchlist Ratings'!K$4:K$64)&amp;"/8"</f>
        <v>8/8</v>
      </c>
      <c r="H89" s="96"/>
      <c r="I89" s="144" t="str">
        <f>MAX('Watchlist Ratings'!L$4:L$64)&amp;"/3"</f>
        <v>3/3</v>
      </c>
      <c r="J89" s="96"/>
      <c r="K89" s="144">
        <f>MAX('Watchlist Ratings'!AM$4:AM$64)</f>
        <v>8.7100000000000009</v>
      </c>
      <c r="L89" s="96"/>
      <c r="M89" s="144" t="str">
        <f t="array" aca="1" ref="M89" ca="1">MIN(IF('Watchlist Ratings'!AW$4:AW$64&gt;0,'Watchlist Ratings'!AW$4:AW$64))&amp;"x"</f>
        <v>7.84061968923077x</v>
      </c>
      <c r="N89" s="96"/>
      <c r="O89" s="144">
        <f t="array" ref="O89" ca="1">MAX('Watchlist Ratings'!BM$4:BM$64-'Watchlist Ratings'!BL$4:BL$64)</f>
        <v>2.7156389981081439</v>
      </c>
      <c r="P89" s="96"/>
    </row>
    <row r="90" spans="1:17" ht="19.5" customHeight="1" x14ac:dyDescent="0.25"/>
    <row r="91" spans="1:17" ht="19.5" customHeight="1" x14ac:dyDescent="0.25">
      <c r="A91" s="105" t="s">
        <v>426</v>
      </c>
      <c r="B91" s="96"/>
      <c r="C91" s="96"/>
      <c r="D91" s="96"/>
      <c r="E91" s="96"/>
      <c r="F91" s="96"/>
      <c r="G91" s="96"/>
      <c r="H91" s="96"/>
      <c r="I91" s="96"/>
      <c r="J91" s="96"/>
      <c r="K91" s="96"/>
      <c r="L91" s="96"/>
      <c r="M91" s="96"/>
      <c r="N91" s="96"/>
      <c r="O91" s="96"/>
      <c r="P91" s="96"/>
      <c r="Q91" s="96"/>
    </row>
  </sheetData>
  <mergeCells count="86">
    <mergeCell ref="O78:P78"/>
    <mergeCell ref="C6:D6"/>
    <mergeCell ref="L40:R40"/>
    <mergeCell ref="J72:Q72"/>
    <mergeCell ref="I89:J89"/>
    <mergeCell ref="K89:L89"/>
    <mergeCell ref="C89:D89"/>
    <mergeCell ref="O88:P88"/>
    <mergeCell ref="J42:Q42"/>
    <mergeCell ref="O89:P89"/>
    <mergeCell ref="A88:B88"/>
    <mergeCell ref="C79:D79"/>
    <mergeCell ref="M79:N79"/>
    <mergeCell ref="K88:L88"/>
    <mergeCell ref="E79:F79"/>
    <mergeCell ref="M88:N88"/>
    <mergeCell ref="E87:F87"/>
    <mergeCell ref="I80:J80"/>
    <mergeCell ref="K80:L80"/>
    <mergeCell ref="A82:Q82"/>
    <mergeCell ref="A79:B79"/>
    <mergeCell ref="K79:L79"/>
    <mergeCell ref="A87:B87"/>
    <mergeCell ref="M80:N80"/>
    <mergeCell ref="O80:P80"/>
    <mergeCell ref="C3:D3"/>
    <mergeCell ref="E3:F3"/>
    <mergeCell ref="K78:L78"/>
    <mergeCell ref="I6:J6"/>
    <mergeCell ref="C5:D5"/>
    <mergeCell ref="E5:F5"/>
    <mergeCell ref="C4:D4"/>
    <mergeCell ref="E4:F4"/>
    <mergeCell ref="K6:L6"/>
    <mergeCell ref="K3:L3"/>
    <mergeCell ref="K5:L5"/>
    <mergeCell ref="A72:I72"/>
    <mergeCell ref="I78:J78"/>
    <mergeCell ref="A89:B89"/>
    <mergeCell ref="M87:N87"/>
    <mergeCell ref="G88:H88"/>
    <mergeCell ref="I88:J88"/>
    <mergeCell ref="A62:H62"/>
    <mergeCell ref="G87:H87"/>
    <mergeCell ref="I87:J87"/>
    <mergeCell ref="M89:N89"/>
    <mergeCell ref="E89:F89"/>
    <mergeCell ref="G89:H89"/>
    <mergeCell ref="A85:Q85"/>
    <mergeCell ref="I79:J79"/>
    <mergeCell ref="J62:Q62"/>
    <mergeCell ref="O87:P87"/>
    <mergeCell ref="C88:D88"/>
    <mergeCell ref="E88:F88"/>
    <mergeCell ref="A2:L2"/>
    <mergeCell ref="A78:B78"/>
    <mergeCell ref="M78:N78"/>
    <mergeCell ref="A80:B80"/>
    <mergeCell ref="C80:D80"/>
    <mergeCell ref="E78:F78"/>
    <mergeCell ref="A3:B3"/>
    <mergeCell ref="G78:H78"/>
    <mergeCell ref="E6:F6"/>
    <mergeCell ref="E80:F80"/>
    <mergeCell ref="A5:B5"/>
    <mergeCell ref="G80:H80"/>
    <mergeCell ref="A76:Q76"/>
    <mergeCell ref="O79:P79"/>
    <mergeCell ref="G79:H79"/>
    <mergeCell ref="A4:B4"/>
    <mergeCell ref="A91:Q91"/>
    <mergeCell ref="A24:R24"/>
    <mergeCell ref="A1:L1"/>
    <mergeCell ref="K4:L4"/>
    <mergeCell ref="C78:D78"/>
    <mergeCell ref="K87:L87"/>
    <mergeCell ref="C87:D87"/>
    <mergeCell ref="A6:B6"/>
    <mergeCell ref="A8:L8"/>
    <mergeCell ref="G6:H6"/>
    <mergeCell ref="G3:H3"/>
    <mergeCell ref="I3:J3"/>
    <mergeCell ref="G5:H5"/>
    <mergeCell ref="I5:J5"/>
    <mergeCell ref="G4:H4"/>
    <mergeCell ref="I4:J4"/>
  </mergeCells>
  <conditionalFormatting sqref="F9:F22">
    <cfRule type="cellIs" dxfId="7" priority="2" operator="greaterThanOrEqual">
      <formula>8</formula>
    </cfRule>
    <cfRule type="cellIs" dxfId="6" priority="3" operator="between">
      <formula>7</formula>
      <formula>8</formula>
    </cfRule>
    <cfRule type="cellIs" dxfId="5" priority="4" operator="greaterThanOrEqual">
      <formula>8</formula>
    </cfRule>
    <cfRule type="cellIs" dxfId="4" priority="5" operator="between">
      <formula>7</formula>
      <formula>7.99</formula>
    </cfRule>
    <cfRule type="cellIs" dxfId="3" priority="6" operator="lessThan">
      <formula>7</formula>
    </cfRule>
  </conditionalFormatting>
  <conditionalFormatting sqref="G9:G22">
    <cfRule type="cellIs" dxfId="2" priority="7" operator="greaterThanOrEqual">
      <formula>7</formula>
    </cfRule>
  </conditionalFormatting>
  <conditionalFormatting sqref="I9:I22">
    <cfRule type="cellIs" dxfId="1" priority="8" operator="greaterThanOrEqual">
      <formula>0.25</formula>
    </cfRule>
    <cfRule type="cellIs" dxfId="0" priority="9" operator="between">
      <formula>0.15</formula>
      <formula>0.249</formula>
    </cfRule>
  </conditionalFormatting>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ns1="http://schemas.openxmlformats.org/markup-compatibility/2006" xmlns:ns2="http://schemas.microsoft.com/office/spreadsheetml/2014/revision" xmlns:ns3="http://schemas.microsoft.com/office/spreadsheetml/2009/9/ac" ns1:Ignorable="x14ac xr xr2 xr3" ns2:uid="{00000000-0001-0000-0300-000000000000}">
  <dimension ref="A1:E20"/>
  <sheetViews>
    <sheetView topLeftCell="B1" workbookViewId="0">
      <selection activeCell="B6" sqref="B6"/>
    </sheetView>
  </sheetViews>
  <sheetFormatPr baseColWidth="10" defaultColWidth="9.140625" defaultRowHeight="15" ns3:dyDescent="0.25"/>
  <cols>
    <col min="2" max="2" width="10.42578125" bestFit="1" customWidth="1"/>
    <col min="3" max="3" width="27.85546875" customWidth="1"/>
    <col min="4" max="4" width="52.85546875" bestFit="1" customWidth="1"/>
    <col min="5" max="5" width="192.28515625" bestFit="1" customWidth="1"/>
  </cols>
  <sheetData>
    <row r="1" spans="1:5" ns3:dyDescent="0.25">
      <c r="A1" t="s">
        <v>358</v>
      </c>
      <c r="B1" t="s">
        <v>427</v>
      </c>
      <c r="C1" t="s">
        <v>428</v>
      </c>
      <c r="D1" t="s">
        <v>429</v>
      </c>
      <c r="E1" t="s">
        <v>430</v>
      </c>
    </row>
    <row r="2" spans="1:5" ns3:dyDescent="0.25">
      <c r="A2" t="s">
        <v>431</v>
      </c>
      <c r="B2" t="s">
        <v>81</v>
      </c>
      <c r="C2" t="s">
        <v>432</v>
      </c>
      <c r="D2" t="s">
        <v>433</v>
      </c>
      <c r="E2" t="s">
        <v>434</v>
      </c>
    </row>
    <row r="3" spans="1:5" ns3:dyDescent="0.25">
      <c r="A3" t="s">
        <v>396</v>
      </c>
      <c r="B3" t="s">
        <v>81</v>
      </c>
      <c r="C3" t="s">
        <v>435</v>
      </c>
      <c r="D3" t="s">
        <v>436</v>
      </c>
      <c r="E3" t="s">
        <v>437</v>
      </c>
    </row>
    <row r="4" spans="1:5" ns3:dyDescent="0.25">
      <c r="A4" t="s">
        <v>438</v>
      </c>
      <c r="B4" t="s">
        <v>81</v>
      </c>
      <c r="C4" t="s">
        <v>439</v>
      </c>
      <c r="D4" t="s">
        <v>440</v>
      </c>
      <c r="E4" t="s">
        <v>441</v>
      </c>
    </row>
    <row r="5" spans="1:5" ns3:dyDescent="0.25">
      <c r="A5" t="s">
        <v>442</v>
      </c>
      <c r="B5" t="s">
        <v>81</v>
      </c>
      <c r="C5" t="s">
        <v>443</v>
      </c>
      <c r="D5" t="s">
        <v>444</v>
      </c>
      <c r="E5" t="s">
        <v>445</v>
      </c>
    </row>
    <row r="6" spans="1:5" ns3:dyDescent="0.25">
      <c r="A6" t="s">
        <v>282</v>
      </c>
      <c r="B6" t="s">
        <v>285</v>
      </c>
      <c r="C6" t="s">
        <v>446</v>
      </c>
      <c r="D6" t="s">
        <v>447</v>
      </c>
      <c r="E6" t="s">
        <v>448</v>
      </c>
    </row>
    <row r="7">
      <c r="A7" t="inlineStr">
        <is>
          <t>NVDA</t>
        </is>
      </c>
      <c r="B7" t="inlineStr">
        <is>
          <t>2026-06-10</t>
        </is>
      </c>
      <c r="C7" t="inlineStr">
        <is>
          <t>BN Última actualización; BO Últimos resultados; BP Próximos resultados (est.)</t>
        </is>
      </c>
      <c r="D7" t="inlineStr">
        <is>
          <t>Q1 FY27 press release + CNBC (20/05/2026)</t>
        </is>
      </c>
      <c r="E7" t="inlineStr">
        <is>
          <t>Q1 FY27: rev $81.6B (+85%), Data Center $75.2B (+92%), EPS adj $1.87 beat; guía Q2 $91B; dividendo x25 a $0.25/trim. Vigilar digestión de expectativas (acción cayó pese al beat).</t>
        </is>
      </c>
    </row>
    <row r="8">
      <c r="A8" t="inlineStr">
        <is>
          <t>CRWD</t>
        </is>
      </c>
      <c r="B8" t="inlineStr">
        <is>
          <t>2026-06-10</t>
        </is>
      </c>
      <c r="C8" t="inlineStr">
        <is>
          <t>BN Última actualización; BO Últimos resultados; BP Próximos resultados (est.)</t>
        </is>
      </c>
      <c r="D8" t="inlineStr">
        <is>
          <t>Q1 FY27 press release + transcript (03/06/2026)</t>
        </is>
      </c>
      <c r="E8" t="inlineStr">
        <is>
          <t>Q1 FY27: ARR $5.51B, NNARR $256M (+32%), FCF $469M récord; sube guía NNARR FY27 +$50M; split 4:1 (jul). AIDR ARR +250% QoQ. Tesis de plataforma intacta.</t>
        </is>
      </c>
    </row>
    <row r="9">
      <c r="A9" t="inlineStr">
        <is>
          <t>VEEV</t>
        </is>
      </c>
      <c r="B9" t="inlineStr">
        <is>
          <t>2026-06-10</t>
        </is>
      </c>
      <c r="C9" t="inlineStr">
        <is>
          <t>BN Última actualización; BO Últimos resultados; BP Próximos resultados (est.)</t>
        </is>
      </c>
      <c r="D9" t="inlineStr">
        <is>
          <t>Q1 FY27 press release + IR (03/06/2026)</t>
        </is>
      </c>
      <c r="E9" t="inlineStr">
        <is>
          <t>Q1 FY27: rev $882.9M (+16%), subs +15%, EPS adj $2.24 beat; sube guía FY27. Pivot estratégico a AI agents (Vault CRM 150+ live). Vigilar ejecución Veeva AI.</t>
        </is>
      </c>
    </row>
    <row r="10">
      <c r="A10" t="inlineStr">
        <is>
          <t>COST</t>
        </is>
      </c>
      <c r="B10" t="inlineStr">
        <is>
          <t>2026-06-10</t>
        </is>
      </c>
      <c r="C10" t="inlineStr">
        <is>
          <t>BN Última actualización; BO Últimos resultados; BP Próximos resultados (est.)</t>
        </is>
      </c>
      <c r="D10" t="inlineStr">
        <is>
          <t>Q3 FY26 press release (28/05/2026)</t>
        </is>
      </c>
      <c r="E10" t="inlineStr">
        <is>
          <t>Q3 FY26: ventas $69.2B (+11.6%), comps +9.8% (+6.6% adj), EPS $4.93 (+15%), e-comm +21.5%, renovación US/CA 92.2%. Calidad operativa intacta.</t>
        </is>
      </c>
    </row>
    <row r="11">
      <c r="A11" t="inlineStr">
        <is>
          <t>ZS</t>
        </is>
      </c>
      <c r="B11" t="inlineStr">
        <is>
          <t>2026-06-10</t>
        </is>
      </c>
      <c r="C11" t="inlineStr">
        <is>
          <t>BN Última actualización; BO Últimos resultados; BP Próximos resultados (est.)</t>
        </is>
      </c>
      <c r="D11" t="inlineStr">
        <is>
          <t>Q3 FY26 press release (28/05/2026)</t>
        </is>
      </c>
      <c r="E11" t="inlineStr">
        <is>
          <t>Q3 FY26: rev $850.5M (+25%), ARR $3.525B (+25%), NNARR $166M, margen op. non-GAAP récord 23%; guía FY26 ARR ~$3.74B (+24%).</t>
        </is>
      </c>
    </row>
    <row r="12">
      <c r="A12" t="inlineStr">
        <is>
          <t>S</t>
        </is>
      </c>
      <c r="B12" t="inlineStr">
        <is>
          <t>2026-06-10</t>
        </is>
      </c>
      <c r="C12" t="inlineStr">
        <is>
          <t>BN Última actualización; BO Últimos resultados; BP Próximos resultados (est.)</t>
        </is>
      </c>
      <c r="D12" t="inlineStr">
        <is>
          <t>Q1 FY27 press release (28/05/2026)</t>
        </is>
      </c>
      <c r="E12" t="inlineStr">
        <is>
          <t>Q1 FY27: aceleración rev +21% ($277M), ARR $1.163B (+23%), NNARR récord $44M (+55%), margen op. +550bps a 4%. Inflexión crecimiento+rentabilidad.</t>
        </is>
      </c>
    </row>
    <row r="13">
      <c r="A13" t="inlineStr">
        <is>
          <t>ITX</t>
        </is>
      </c>
      <c r="B13" t="inlineStr">
        <is>
          <t>2026-06-10</t>
        </is>
      </c>
      <c r="C13" t="inlineStr">
        <is>
          <t>BN Última actualización; BO Últimos resultados; BP Próximos resultados (est.)</t>
        </is>
      </c>
      <c r="D13" t="inlineStr">
        <is>
          <t>Q1 2026 results + IR (09/06/2026)</t>
        </is>
      </c>
      <c r="E13" t="inlineStr">
        <is>
          <t>Q1: ventas €8.75B (+5.8%; +8.8% cc), margen bruto 61.2% (+67bps), BN €1.4B (+5.4%); 1may-1jun +11.5% vs ~8% esperado; caja neta €10.8B. Momentum fuerte.</t>
        </is>
      </c>
    </row>
    <row r="14">
      <c r="A14" t="inlineStr">
        <is>
          <t>DNP</t>
        </is>
      </c>
      <c r="B14" t="inlineStr">
        <is>
          <t>2026-06-10</t>
        </is>
      </c>
      <c r="C14" t="inlineStr">
        <is>
          <t>BN Última actualización; BO Últimos resultados; BP Próximos resultados (est.)</t>
        </is>
      </c>
      <c r="D14" t="inlineStr">
        <is>
          <t>Q1 2026 report (14/05/2026)</t>
        </is>
      </c>
      <c r="E14" t="inlineStr">
        <is>
          <t>Q1: rev PLN 8.9B (+14.8%), LFL +4.4%, EBITDA beat consenso +9%; 62 tiendas nuevas; margen EBITDA 6.7% (-50bps). Acción +13.7% el día.</t>
        </is>
      </c>
    </row>
    <row r="15">
      <c r="A15" t="inlineStr">
        <is>
          <t>BN</t>
        </is>
      </c>
      <c r="B15" t="inlineStr">
        <is>
          <t>2026-06-10</t>
        </is>
      </c>
      <c r="C15" t="inlineStr">
        <is>
          <t>BN Última actualización; BO Últimos resultados; BP Próximos resultados (est.)</t>
        </is>
      </c>
      <c r="D15" t="inlineStr">
        <is>
          <t>Q1 2026 press release (14/05/2026)</t>
        </is>
      </c>
      <c r="E15" t="inlineStr">
        <is>
          <t>Q1: DE pre-realizaciones $0.59/sh (+7%), FRE +11%, capital fee-bearing +12%; $1B+ recompras YTD; avanza combinación BN+BNT. Tesis compounding intacta.</t>
        </is>
      </c>
    </row>
    <row r="16">
      <c r="A16" t="inlineStr">
        <is>
          <t>KSPI</t>
        </is>
      </c>
      <c r="B16" t="inlineStr">
        <is>
          <t>2026-06-10</t>
        </is>
      </c>
      <c r="C16" t="inlineStr">
        <is>
          <t>BN Última actualización; BO Últimos resultados; BP Próximos resultados (est.)</t>
        </is>
      </c>
      <c r="D16" t="inlineStr">
        <is>
          <t>1Q 2026 results + transcript (11/05/2026)</t>
        </is>
      </c>
      <c r="E16" t="inlineStr">
        <is>
          <t>Q1: rev +31% (KZT1.1T), GMV e-comm +41%, pero net income -1% (KZT252B); div KZT850/ADS (payout 64%); amortizó $600M notes. Vigilar compresión de márgenes.</t>
        </is>
      </c>
    </row>
    <row r="17">
      <c r="A17" t="inlineStr">
        <is>
          <t>EVD</t>
        </is>
      </c>
      <c r="B17" t="inlineStr">
        <is>
          <t>2026-06-10</t>
        </is>
      </c>
      <c r="C17" t="inlineStr">
        <is>
          <t>BN Última actualización; BO Últimos resultados; BP Próximos resultados (est.)</t>
        </is>
      </c>
      <c r="D17" t="inlineStr">
        <is>
          <t>Q1 2026 results (28/05/2026)</t>
        </is>
      </c>
      <c r="E17" t="inlineStr">
        <is>
          <t>Q1: rev €630M (+23%), aEBITDA €119M (+18.5%); Live Ent +38.3%; EPS €0.66 (+38%). Guidance reafirmado; ticketing algo débil por cambio de partner.</t>
        </is>
      </c>
    </row>
    <row r="18">
      <c r="A18" t="inlineStr">
        <is>
          <t>DSGX</t>
        </is>
      </c>
      <c r="B18" t="inlineStr">
        <is>
          <t>2026-06-10</t>
        </is>
      </c>
      <c r="C18" t="inlineStr">
        <is>
          <t>BN Última actualización; BO Últimos resultados; BP Próximos resultados (est.)</t>
        </is>
      </c>
      <c r="D18" t="inlineStr">
        <is>
          <t>Q1 FY27 press release (03/06/2026)</t>
        </is>
      </c>
      <c r="E18" t="inlineStr">
        <is>
          <t>Q1 FY27: rev $193.6M (+15%), aEBITDA récord, net income $48.5M. Récords en márgenes y cash flow pese a mercado freight débil.</t>
        </is>
      </c>
    </row>
    <row r="19">
      <c r="A19" t="inlineStr">
        <is>
          <t>WOSG</t>
        </is>
      </c>
      <c r="B19" t="inlineStr">
        <is>
          <t>2026-06-10</t>
        </is>
      </c>
      <c r="C19" t="inlineStr">
        <is>
          <t>BN Última actualización; BO Últimos resultados</t>
        </is>
      </c>
      <c r="D19" t="inlineStr">
        <is>
          <t>FY26 Trading Update RNS (14/05/2026)</t>
        </is>
      </c>
      <c r="E19" t="inlineStr">
        <is>
          <t>FY26 (53 sem): rev récord £1.83B (+13% cc); US +24% ($1.24B, &gt;50% grupo); aEBIT £152-155M sobre guía; FY27 +5-10% cc. Resultados completos 02/07.</t>
        </is>
      </c>
    </row>
    <row r="20">
      <c r="A20" t="inlineStr">
        <is>
          <t>CELH</t>
        </is>
      </c>
      <c r="B20" t="inlineStr">
        <is>
          <t>2026-06-10</t>
        </is>
      </c>
      <c r="C20" t="inlineStr">
        <is>
          <t>BN Última actualización; BO Últimos resultados; BP Próximos resultados (est.)</t>
        </is>
      </c>
      <c r="D20" t="inlineStr">
        <is>
          <t>Q1 2026 press release (07/05/2026)</t>
        </is>
      </c>
      <c r="E20" t="inlineStr">
        <is>
          <t>Q1: rev $782.6M (+138% con Alani Nu/Rockstar), EPS $0.41 beat; cuota ~20.9%; margen bruto 48.3% (-400bps por mix adquisiciones). Vigilar integración.</t>
        </is>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Watchlist Ratings</vt:lpstr>
      <vt:lpstr>Framework Notes</vt:lpstr>
      <vt:lpstr>Dashboard</vt:lpstr>
      <vt:lpstr>Updates 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Roger Salvador Guasch</cp:lastModifiedBy>
  <cp:revision>8</cp:revision>
  <dcterms:created xsi:type="dcterms:W3CDTF">2026-04-17T08:44:31Z</dcterms:created>
  <dcterms:modified xsi:type="dcterms:W3CDTF">2026-05-19T19:08:45Z</dcterms:modified>
  <dc:language>en-US</dc:languag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89f856cd-5164-4576-94af-2a31e8fe1050_Enabled">
    <vt:lpwstr>true</vt:lpwstr>
  </property>
  <property fmtid="{D5CDD505-2E9C-101B-9397-08002B2CF9AE}" pid="3" name="MSIP_Label_89f856cd-5164-4576-94af-2a31e8fe1050_SetDate">
    <vt:lpwstr>2026-05-16T07:32:30Z</vt:lpwstr>
  </property>
  <property fmtid="{D5CDD505-2E9C-101B-9397-08002B2CF9AE}" pid="4" name="MSIP_Label_89f856cd-5164-4576-94af-2a31e8fe1050_Method">
    <vt:lpwstr>Standard</vt:lpwstr>
  </property>
  <property fmtid="{D5CDD505-2E9C-101B-9397-08002B2CF9AE}" pid="5" name="MSIP_Label_89f856cd-5164-4576-94af-2a31e8fe1050_Name">
    <vt:lpwstr>Interna</vt:lpwstr>
  </property>
  <property fmtid="{D5CDD505-2E9C-101B-9397-08002B2CF9AE}" pid="6" name="MSIP_Label_89f856cd-5164-4576-94af-2a31e8fe1050_SiteId">
    <vt:lpwstr>e235031e-0483-4333-9ddc-651595b3c56f</vt:lpwstr>
  </property>
  <property fmtid="{D5CDD505-2E9C-101B-9397-08002B2CF9AE}" pid="7" name="MSIP_Label_89f856cd-5164-4576-94af-2a31e8fe1050_ActionId">
    <vt:lpwstr>d0e8afa3-85a7-42d8-9faa-f300d732d54d</vt:lpwstr>
  </property>
  <property fmtid="{D5CDD505-2E9C-101B-9397-08002B2CF9AE}" pid="8" name="MSIP_Label_89f856cd-5164-4576-94af-2a31e8fe1050_ContentBits">
    <vt:lpwstr>0</vt:lpwstr>
  </property>
  <property fmtid="{D5CDD505-2E9C-101B-9397-08002B2CF9AE}" pid="9" name="MSIP_Label_89f856cd-5164-4576-94af-2a31e8fe1050_Tag">
    <vt:lpwstr>10, 3, 0, 1</vt:lpwstr>
  </property>
</Properties>
</file>