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AA5760E5-D41A-4378-BB35-722FED9AF3A5}"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74" i="1" l="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AW74" i="1" l="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8"/>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bk>
      <extLst>
        <ext uri="{3e2802c4-a4d2-4d8b-9148-e3be6c30e623}">
          <xlrd:rvb i="221"/>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<sst xmlns="http://schemas.openxmlformats.org/spreadsheetml/2006/main" count="1975" uniqueCount="914">
  <si>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</si>
  <si>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</si>
  <si>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</si>
  <si>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</si>
  <si>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</si>
  <si>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</si>
  <si>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</si>
  <si>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</si>
  <si>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</si>
  <si>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</si>
  <si>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</si>
  <si>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</si>
  <si>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</si>
  <si>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</si>
  <si>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</si>
  <si>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</si>
  <si>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</si>
  <si>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</si>
  <si>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</si>
  <si>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</si>
  <si>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</si>
  <si>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</si>
  <si>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</si>
  <si>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</si>
  <si>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</si>
  <si>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</si>
  <si>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</si>
  <si>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</si>
  <si>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</si>
  <si>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</si>
  <si>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</si>
  <si>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</si>
  <si>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</si>
  <si>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</si>
  <si>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</si>
  <si>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</si>
  <si>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</si>
  <si>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</si>
  <si>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</si>
  <si>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</si>
  <si>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</si>
  <si>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</si>
  <si>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</si>
  <si>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</si>
  <si>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</si>
  <si>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</si>
  <si>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</si>
  <si>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</si>
  <si>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</si>
  <si>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</si>
  <si>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</si>
  <si>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</si>
  <si>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</si>
  <si>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</si>
  <si>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</si>
  <si>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</si>
  <si>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</si>
  <si>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</si>
  <si>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</si>
  <si>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</si>
  <si>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</si>
  <si>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</si>
  <si>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</si>
  <si>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</si>
  <si>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</si>
  <si>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</si>
  <si>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</si>
  <si>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</si>
  <si>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</si>
  <si>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</si>
  <si>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</si>
  <si>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</si>
  <si>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</si>
  <si>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</si>
  <si>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</si>
  <si>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</si>
  <si>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</si>
  <si>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</si>
  <si>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</si>
  <si>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</si>
  <si>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</si>
  <si>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</si>
  <si>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</si>
  <si>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</si>
  <si>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</si>
  <si>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</si>
  <si>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</si>
  <si>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</si>
  <si>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</si>
  <si>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</si>
  <si>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</si>
  <si>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</si>
  <si>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</si>
  <si>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</si>
  <si>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</si>
  <si>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</si>
  <si>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</si>
  <si>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</si>
  <si>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</si>
  <si>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</si>
  <si>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</si>
  <si>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</si>
  <si>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</si>
  <si>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</si>
  <si>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</si>
  <si>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</si>
  <si>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</si>
  <si>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</si>
  <si>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</si>
  <si>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</si>
  <si>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</si>
  <si>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</si>
  <si>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</si>
  <si>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</si>
  <si>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</si>
  <si>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</si>
  <si>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</si>
  <si>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</si>
  <si>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</si>
  <si>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</si>
  <si>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</si>
  <si>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</si>
  <si>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</si>
  <si>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</si>
  <si>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</si>
  <si>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</si>
  <si>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</si>
  <si>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</si>
  <si>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</si>
  <si>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</si>
  <si>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</si>
  <si>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IA</t>
  </si>
  <si>
    <t>Alcohol</t>
  </si>
  <si>
    <t>05/11/2026</t>
  </si>
  <si>
    <t>15/10/2026</t>
  </si>
  <si>
    <t>28/08/2026</t>
  </si>
  <si>
    <t>Special situation</t>
  </si>
  <si>
    <t>23/07/2026</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</si>
  <si>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</si>
  <si>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</si>
  <si>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</si>
  <si>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</si>
  <si>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</si>
  <si>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</si>
  <si>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</si>
  <si>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</si>
  <si>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</si>
  <si>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</si>
  <si>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</si>
  <si>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</si>
  <si>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</si>
  <si>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</si>
  <si>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</si>
  <si>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</si>
  <si>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</si>
  <si>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</si>
  <si>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</si>
  <si>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</si>
  <si>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</si>
  <si>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</si>
  <si>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</si>
  <si>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</si>
  <si>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</si>
  <si>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</si>
  <si>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</si>
  <si>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</si>
  <si>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</si>
  <si>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</si>
  <si>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</si>
  <si>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</si>
  <si>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</si>
  <si>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</si>
  <si>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</si>
  <si>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</si>
  <si>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</si>
  <si>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</si>
  <si>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</si>
  <si>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</si>
  <si>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</si>
  <si>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</si>
  <si>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</si>
  <si>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</si>
  <si>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</si>
  <si>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</si>
  <si>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</si>
  <si>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</si>
  <si>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</si>
  <si>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</si>
  <si>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</si>
  <si>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</si>
  <si>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</si>
  <si>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</si>
  <si>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</si>
  <si>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</si>
  <si>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</si>
  <si>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</si>
  <si>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</si>
  <si>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</si>
  <si>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</si>
  <si>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</si>
  <si>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</si>
  <si>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</si>
  <si>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</si>
  <si>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</si>
  <si>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</si>
  <si>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</si>
  <si>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</si>
  <si>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</si>
  <si>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</si>
  <si>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</si>
  <si>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</si>
  <si>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</si>
  <si>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</si>
  <si>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</si>
  <si>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</si>
  <si>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</si>
  <si>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</si>
  <si>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</si>
  <si>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</si>
  <si>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</si>
  <si>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</si>
  <si>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</si>
  <si>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</si>
  <si>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</si>
  <si>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</si>
  <si>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</si>
  <si>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</si>
  <si>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</si>
  <si>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</si>
  <si>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</si>
  <si>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</si>
  <si>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</si>
  <si>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</si>
  <si>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</si>
  <si>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</si>
  <si>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</si>
  <si>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</si>
  <si>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</si>
  <si>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</si>
  <si>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</si>
  <si>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</si>
  <si>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</si>
  <si>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</si>
  <si>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</si>
  <si>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</si>
  <si>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</si>
  <si>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</si>
  <si>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</si>
  <si>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</si>
  <si>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</si>
  <si>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</si>
  <si>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</si>
  <si>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</si>
  <si>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</si>
  <si>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</si>
  <si>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</si>
  <si>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</si>
  <si>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</si>
  <si>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</si>
  <si>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</si>
  <si>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</si>
  <si>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</si>
  <si>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</si>
  <si>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</si>
  <si>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</si>
  <si>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</si>
  <si>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</si>
  <si>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</si>
  <si>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</si>
  <si>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</si>
  <si>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</si>
  <si>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</si>
  <si>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</si>
  <si>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</si>
  <si>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</si>
  <si>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</si>
  <si>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</si>
  <si>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</si>
  <si>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</si>
  <si>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</si>
  <si>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</si>
  <si>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</si>
  <si>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</si>
  <si>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</si>
  <si>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</si>
  <si>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</si>
  <si>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</si>
  <si>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</si>
  <si>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</si>
  <si>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</si>
  <si>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</si>
  <si>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</si>
  <si>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</si>
  <si>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</si>
  <si>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</si>
  <si>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</si>
  <si>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</si>
  <si>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</si>
  <si>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</si>
  <si>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</si>
  <si>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</si>
  <si>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</si>
  <si>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</si>
  <si>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</si>
  <si>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</si>
  <si>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</si>
  <si>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</si>
  <si>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</si>
  <si>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</si>
  <si>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</si>
  <si>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</si>
  <si>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</si>
  <si>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</si>
  <si>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</si>
  <si>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</si>
  <si>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</si>
  <si>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</si>
  <si>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</si>
  <si>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</si>
  <si>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</si>
  <si>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</si>
  <si>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</si>
  <si>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</si>
  <si>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</si>
  <si>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</si>
  <si>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</si>
  <si>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</si>
  <si>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</si>
  <si>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</si>
  <si>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</si>
  <si>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</si>
  <si>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</si>
  <si>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</si>
  <si>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</si>
  <si>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</si>
  <si>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</si>
  <si>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</si>
  <si>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</si>
  <si>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</si>
  <si>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</si>
  <si>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</si>
  <si>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</si>
  <si>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</si>
  <si>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</si>
  <si>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</si>
  <si>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</si>
  <si>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</si>
  <si>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</si>
  <si>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</si>
  <si>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</si>
  <si>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</si>
  <si>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</si>
  <si>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</si>
  <si>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</si>
  <si>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</si>
  <si>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</si>
  <si>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</si>
  <si>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</si>
  <si>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</si>
  <si>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</si>
  <si>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</si>
  <si>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</si>
  <si>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</si>
  <si>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</si>
  <si>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</si>
  <si>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</si>
  <si>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</si>
  <si>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</si>
  <si>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</si>
  <si>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</si>
  <si>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</si>
  <si>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</si>
  <si>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</si>
  <si>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</si>
  <si>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</si>
  <si>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</si>
  <si>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</si>
  <si>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</si>
  <si>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</si>
  <si>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</si>
  <si>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</si>
  <si>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</si>
  <si>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</si>
  <si>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</si>
  <si>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</si>
  <si>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</si>
  <si>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</si>
  <si>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</si>
  <si>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</si>
  <si>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</si>
  <si>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</si>
  <si>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</si>
  <si>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</si>
  <si>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</si>
  <si>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</si>
  <si>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</si>
  <si>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</si>
  <si>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</si>
  <si>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</si>
  <si>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</si>
  <si>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</si>
  <si>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</si>
  <si>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</si>
  <si>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</si>
  <si>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</si>
  <si>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</si>
  <si>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</si>
  <si>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</si>
  <si>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</si>
  <si>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</si>
  <si>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</si>
  <si>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</si>
  <si>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</si>
  <si>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</si>
  <si>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</si>
  <si>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</si>
  <si>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</si>
  <si>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</si>
  <si>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</si>
  <si>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</si>
  <si>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</si>
  <si>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</si>
  <si>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</si>
  <si>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</si>
  <si>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</si>
  <si>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</si>
  <si>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</si>
  <si>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</si>
  <si>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</si>
  <si>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</si>
  <si>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</si>
  <si>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</si>
  <si>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</si>
  <si>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</si>
  <si>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</si>
  <si>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</si>
  <si>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</si>
  <si>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</si>
  <si>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</si>
  <si>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</si>
  <si>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</si>
  <si>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</si>
  <si>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</si>
  <si>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</si>
  <si>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</si>
  <si>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</si>
  <si>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</si>
  <si>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</si>
  <si>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</si>
  <si>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</si>
  <si>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</si>
  <si>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</si>
  <si>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</si>
  <si>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</si>
  <si>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</si>
  <si>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</si>
  <si>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</si>
  <si>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</si>
  <si>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</si>
  <si>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</si>
  <si>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</si>
  <si>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</si>
  <si>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</si>
  <si>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</si>
  <si>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</si>
  <si>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</si>
  <si>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</si>
  <si>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</si>
  <si>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</si>
  <si>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</si>
  <si>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</si>
  <si>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</si>
  <si>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</si>
  <si>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</si>
  <si>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</si>
  <si>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</si>
  <si>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</si>
  <si>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</si>
  <si>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</si>
  <si>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</si>
  <si>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</si>
  <si>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</si>
  <si>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</si>
  <si>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</si>
  <si>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</si>
  <si>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</si>
  <si>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</si>
  <si>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</si>
  <si>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</si>
  <si>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</si>
  <si>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</si>
  <si>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</si>
  <si>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</si>
  <si>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</si>
  <si>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</si>
  <si>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</si>
  <si>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</si>
  <si>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</si>
  <si>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</si>
  <si>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</si>
  <si>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</si>
  <si>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</si>
  <si>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</si>
  <si>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</si>
  <si>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</si>
  <si>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</si>
  <si>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</si>
  <si>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</si>
  <si>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</si>
  <si>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</si>
  <si>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</si>
  <si>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</si>
  <si>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</si>
  <si>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</si>
  <si>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</si>
  <si>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</si>
  <si>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</si>
  <si>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</si>
  <si>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</si>
  <si>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</si>
  <si>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</si>
  <si>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</si>
  <si>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</si>
  <si>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</si>
  <si>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</si>
  <si>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</si>
  <si>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</si>
  <si>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</si>
  <si>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</si>
  <si>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</si>
  <si>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</si>
  <si>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</si>
  <si>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</si>
  <si>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</si>
  <si>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</si>
  <si>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</si>
  <si>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</si>
  <si>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</si>
  <si>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</si>
  <si>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</si>
  <si>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</si>
  <si>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</si>
  <si>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</si>
  <si>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</si>
  <si>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</si>
  <si>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</si>
  <si>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</si>
  <si>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</si>
  <si>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</si>
  <si>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</si>
  <si>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</si>
  <si>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</si>
  <si>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</si>
  <si>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</si>
  <si>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</si>
  <si>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</si>
  <si>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</si>
  <si>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</si>
  <si>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</si>
  <si>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</si>
  <si>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</si>
  <si>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</si>
  <si>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</si>
  <si>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</si>
  <si>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</si>
  <si>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</si>
  <si>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</si>
  <si>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</si>
  <si>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</si>
  <si>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</si>
  <si>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</si>
  <si>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</si>
  <si>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</si>
  <si>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</si>
  <si>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</si>
  <si>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</si>
  <si>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</si>
  <si>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</si>
  <si>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</si>
  <si>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</si>
  <si>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</si>
  <si>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</si>
  <si>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</si>
  <si>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</si>
  <si>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</si>
  <si>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</si>
  <si>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</si>
  <si>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</si>
  <si>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</si>
  <si>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</si>
  <si>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</si>
  <si>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</si>
  <si>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</si>
  <si>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</si>
  <si>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</si>
  <si>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</si>
  <si>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</si>
  <si>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</si>
  <si>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</si>
  <si>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</si>
  <si>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</si>
  <si>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</si>
  <si>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</si>
  <si>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</si>
  <si>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</si>
  <si>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</si>
  <si>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</si>
  <si>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</si>
  <si>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</si>
  <si>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</si>
  <si>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</si>
  <si>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</si>
  <si>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</si>
  <si>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</si>
  <si>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</si>
  <si>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</si>
  <si>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</si>
  <si>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</si>
  <si>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</si>
  <si>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</si>
  <si>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</si>
  <si>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</si>
  <si>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</si>
  <si>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</si>
  <si>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</si>
  <si>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</si>
  <si>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</si>
  <si>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</si>
  <si>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</si>
  <si>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</si>
  <si>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</si>
  <si>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</si>
  <si>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</si>
  <si>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</si>
  <si>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</si>
  <si>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</si>
  <si>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</si>
  <si>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</si>
  <si>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</si>
  <si>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</si>
  <si>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</si>
  <si>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</si>
  <si>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</si>
  <si>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</si>
  <si>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</si>
  <si>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</si>
  <si>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</si>
  <si>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</si>
  <si>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</si>
  <si>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</si>
  <si>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</si>
  <si>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</si>
  <si>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</si>
  <si>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</si>
  <si>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</si>
  <si>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</si>
  <si>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</si>
  <si>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</si>
  <si>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</si>
  <si>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</si>
  <si>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</si>
  <si>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</si>
  <si>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</si>
  <si>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</si>
  <si>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</si>
  <si>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</si>
  <si>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</si>
  <si>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</si>
  <si>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</si>
  <si>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</si>
  <si>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</si>
  <si>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</si>
  <si>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</si>
  <si>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</si>
  <si>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</si>
  <si>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</si>
  <si>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</si>
  <si>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</si>
  <si>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</si>
  <si>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</si>
  <si>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</si>
  <si>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</si>
  <si>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</si>
  <si>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</si>
  <si>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</si>
  <si>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</si>
  <si>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</si>
  <si>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</si>
  <si>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</si>
  <si>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</si>
  <si>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</si>
  <si>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</si>
  <si>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</si>
  <si>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</si>
  <si>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</si>
  <si>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</si>
  <si>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</si>
  <si>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</si>
  <si>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</si>
  <si>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</si>
  <si>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</si>
  <si>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</si>
  <si>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</si>
  <si>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</si>
  <si>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</si>
  <si>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</si>
  <si>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</si>
  <si>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</si>
  <si>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</si>
  <si>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</si>
  <si>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</si>
  <si>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</si>
  <si>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</si>
  <si>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</si>
  <si>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</si>
  <si>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</si>
  <si>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</si>
  <si>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</si>
  <si>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</si>
  <si>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</si>
  <si>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</si>
  <si>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</si>
  <si>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</si>
  <si>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</si>
  <si>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</si>
  <si>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</si>
  <si>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</si>
  <si>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</si>
  <si>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</si>
  <si>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</si>
  <si>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</si>
  <si>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</si>
  <si>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</si>
  <si>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</si>
  <si>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</si>
  <si>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</si>
  <si>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</si>
  <si>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</si>
  <si>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</si>
  <si>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</si>
  <si>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</si>
  <si>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</si>
  <si>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</si>
  <si>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</si>
  <si>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</si>
  <si>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</si>
  <si>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</si>
  <si>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</si>
  <si>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</si>
  <si>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</si>
  <si>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</si>
  <si>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</si>
  <si>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</si>
  <si>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</si>
  <si>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</si>
  <si>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</si>
  <si>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</si>
  <si>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</si>
  <si>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</si>
  <si>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</si>
  <si>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</si>
  <si>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</si>
  <si>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</si>
  <si>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</si>
  <si>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</si>
  <si>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</si>
  <si>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</si>
  <si>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</si>
  <si>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</si>
  <si>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</si>
  <si>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</si>
  <si>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</si>
  <si>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</si>
  <si>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</si>
  <si>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</si>
  <si>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</si>
  <si>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</si>
  <si>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</si>
  <si>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</si>
  <si>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</si>
  <si>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</si>
  <si>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</si>
  <si>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</si>
  <si>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</si>
  <si>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</si>
  <si>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</si>
  <si>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</si>
  <si>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</si>
  <si>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</si>
  <si>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</si>
  <si>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</si>
  <si>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</si>
  <si>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</si>
  <si>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</si>
  <si>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</si>
  <si>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</si>
  <si>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</si>
  <si>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</si>
  <si>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</si>
  <si>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</si>
  <si>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</si>
  <si>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</si>
  <si>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</si>
  <si>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</si>
  <si>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</si>
  <si>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</si>
  <si>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</si>
  <si>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</si>
  <si>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</si>
  <si>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</si>
  <si>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</si>
  <si>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</si>
  <si>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</si>
  <si>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</si>
  <si>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</si>
  <si>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</si>
  <si>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</si>
  <si>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</si>
  <si>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</si>
  <si>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</si>
  <si>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</si>
  <si>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</si>
  <si>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</si>
  <si>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</si>
  <si>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</si>
  <si>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</si>
  <si>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</si>
  <si>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</si>
  <si>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</si>
  <si>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</si>
  <si>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</si>
  <si>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</si>
  <si>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</si>
  <si>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</si>
  <si>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</si>
  <si>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</si>
  <si>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</si>
  <si>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</si>
  <si>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</si>
  <si>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</si>
  <si>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</si>
  <si>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</si>
  <si>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</si>
  <si>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</si>
  <si>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</si>
  <si>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</si>
  <si>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</si>
  <si>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</si>
  <si>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</si>
  <si>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</si>
  <si>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</si>
  <si>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</si>
  <si>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</si>
  <si>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</si>
  <si>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</si>
  <si>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</si>
  <si>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</si>
  <si>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</si>
  <si>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</si>
  <si>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</si>
  <si>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</si>
  <si>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</si>
  <si>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</si>
  <si>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</si>
  <si>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</si>
  <si>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</si>
  <si>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-22.282 + capex crecimiento 80.564 (capex 151.003 - D&amp;A 70.439 como mantenimiento). TTM Q2-26. FCF@5y escalado x0,758</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</si>
  <si>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</si>
  <si>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</si>
  <si>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</si>
  <si>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</si>
  <si>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</si>
  <si>
    <t>2026-09-12</t>
  </si>
  <si>
    <t>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</si>
  <si>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</si>
  <si>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</si>
  <si>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</si>
  <si>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</si>
  <si>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</si>
  <si>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</si>
  <si>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</si>
  <si>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</si>
  <si>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</si>
  <si>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FUENTE: 8-K Q4 FY26 (24-sep-2026): ingresos 303.154, EBIT 11.685, OCF 15.825, capex 6.435, caja 20.207 + inv. 1.094, deuda 2.248 + 3.914. SBC 911 y D&amp;A 2.565 son LTM a Q3 (10-Q) hasta el 10-K de octubre. FCF-SBC 8.479; capex de crecimiento 6.435 - 2.565 = 3.870 -&gt; normalizado 12.349. FCF@5y DEVUELTO a los valores de Roger (el 26-sep los escale sin preguntar). Proximos: estimado 10-dic</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</si>
  <si>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</si>
  <si>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</si>
  <si>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</si>
  <si>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</si>
  <si>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</si>
  <si>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</si>
  <si>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</si>
  <si>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</si>
  <si>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FUENTE: 10-Q Q2 FY27 (EDGAR XBRL). OCF 57,3 - capex 0,8 - software 25,5 - SBC 322,1 = -291,1. D&amp;A 67,6 &gt; capex: nada que normalizar. Caja 201 + inversiones 454,3. FCF@5y post-SBC -287/-146 (propuesta de agosto, pendiente de Roger). Proximos estimados</t>
  </si>
  <si>
    <t>15/09/2026</t>
  </si>
  <si>
    <t>22/01/2027</t>
  </si>
  <si>
    <t>FUENTE: informe anual 2025 + informe intermedio 1S26 (kistosplc.com). LTM: OCF 257,2 (incl. devoluciones fiscales noruegas) - capex 105,6 - arrend. 0,2 - SBC 3,6 = 147,8. D&amp;A 112,1 &gt; capex: sin capex de crecimiento por regla. Caja+restringido+credito fiscal - deuda nominal = deuda neta ajustada de la compania 22,6 (30-jun, ANTES del cierre de Oman el 14-sep). Ingresos/EBITDA SIN Oman. FCF@5y/multiplos de Roger: PREGUNTA ABIERTA tras Oman. Proximo: trading update (estimado)</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</si>
  <si>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Proximo: ventas 3T (estimado)</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</si>
  <si>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t>
  </si>
  <si>
    <t>01/10/2026</t>
  </si>
  <si>
    <t>18/12/2026</t>
  </si>
  <si>
    <t>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t>
  </si>
  <si>
    <t>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</si>
  <si>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</si>
  <si>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</si>
  <si>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</si>
  <si>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DE non-GAAP LTM Q2-26 (6.200 = 2,61 $/acc) menos SBC equity-settled 120 (40-F FY25). NO usar OCF-capex consolidado | Investor Day 17-sep-2026 (segunda mano): el valor del plan, 140 $/accion, pasa de 2030 a 2031; DE antes de realizaciones 5.300 (2026) -&gt; 11.600 (2031)</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</si>
  <si>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</si>
  <si>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</si>
  <si>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</si>
  <si>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</si>
  <si>
    <t>FUENTE: estados consolidados de TSMC (6-K del 26-feb-2026, FY25, y del 14-ago-2026, H1-26; en NT$). LTM = FY25 + H1-26 - H1-25. Convertido a USD a 31,6 NT$/$ (cambio implicito de TSMC en el H1-26: Q2 NT$1.270.380 M = US$40.200 M). Ingresos NT$4.440.492 M; EBIT 2.491.157; D&amp;A 688.888; flujo de explotacion 2.634.679 - capex 1.500.530 - SBC 683 - arrendamientos 4.101 = FCF-SBC NT$1.129.365 M (35.739 M$). Capex de crecimiento (capex - D&amp;A) 811.642 (25.685 M$) -&gt; normalizado 61.424 M$ en BS. Hasta el 2-oct la columna AS llevaba el normalizado y BS vacia. Caja: efectivo + activos financieros corrientes; deuda: bonos + prestamos (sin arrendamientos). Q3 2026: 15-oct (estimado)</t>
  </si>
  <si>
    <t>FUENTE: notas de resultados FY25 (24-feb-2026) y H1-26 (28-jul-2026) e informe financiero semestral 2026 de Verallia. LTM = FY25 + H1-26 - H1-25. Ingresos 3.331,5 + 1.698,8 - 1.722,6 = 3.307,7; EBITDA ajustado LTM 693,0 (de la compania). FCF de Verallia (EBITDA aj. - capex +/- circulante - otros impactos operativos, que incluyen el efecto de caja de la NIIF 16 - intereses - impuestos): 166,0 + 102,0 - 66,2 = 201,8, menos SBC 6,2 (estado de cambios en el patrimonio) = 195,6 (incluye 19 de reestructuracion en el H1-26). La fila llevaba 249 (sin fuente). Caja 413,9; deuda bruta 2.192,8 - arrendamientos 60,9 = 2.131,9 (deuda neta de la compania 1.778,9). Capex 246 &lt; amortizacion: sin normalizar. NOPAT pendiente. Q3: 27-oct-2026 (calendario de la compania)</t>
  </si>
  <si>
    <t>VYLOR (semillas de Corteva) desde el 1-oct-2026, sustituye a CTVA por decision de Roger (2-oct). FUENTE: Form 10 de Vylor (EDGAR, 21-sep-2026): estados combinados del negocio de semillas. LTM = FY25 + H1-26 - H1-25. Ventas 9.898 + 7.555 - 7.244 = 10.209. EBITDA operativo del segmento 2.636 + 3.000 - 2.705 = 2.931 (antes de costes corporativos; pro forma FY25 2.503). Flujo de explotacion 2.506 - 2.471 + 1.557 = 1.592 - capex 350 - SBC 47 = 1.195: INCLUYE el pago unico a Bayer por el litigio (cargo de 610 en FY25, pagado en el H1-26); sin el ~1.800; FY25 2.118. Capex de crecimiento 350 - depreciacion 317 = 33 -&gt; BS 1.228. NOPAT ~1.172 (EBIT FY25 sin Bayer 1.562 x 75%). Caja 1.100 y deuda 5.659 pro forma a 30-jun-2026; capital empleado = fondos propios pro forma 12.268 + deuda neta. FCF@5y, multiplos y ratings son los de la Corteva combinada: PENDIENTES DE ROGER. Q3: ~5-nov-2026 (estimado)</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</si>
  <si>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 | 2-oct: FCF@5y 2.823 / 6.005 (escenarios 'marca madura estancada' y 'recuperacion completa' del deep dive NKE_Deep_Dive.md), por decision de Roger; multiplos 14x / 21x sin cambio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</si>
</sst>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3">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0.11915882685118606</c:v>
                </c:pt>
                <c:pt idx="1">
                  <c:v>-5.3489811176557711E-2</c:v>
                </c:pt>
                <c:pt idx="2">
                  <c:v>0.22458072777458193</c:v>
                </c:pt>
                <c:pt idx="3">
                  <c:v>0.24622447321373309</c:v>
                </c:pt>
                <c:pt idx="4">
                  <c:v>1.1710063717990105E-2</c:v>
                </c:pt>
                <c:pt idx="5">
                  <c:v>0.1783555261660732</c:v>
                </c:pt>
                <c:pt idx="6">
                  <c:v>0.12946886351410059</c:v>
                </c:pt>
                <c:pt idx="7">
                  <c:v>-0.18948800194233184</c:v>
                </c:pt>
                <c:pt idx="8">
                  <c:v>4.8334361539594806E-2</c:v>
                </c:pt>
                <c:pt idx="9">
                  <c:v>5.9461744408414008E-2</c:v>
                </c:pt>
                <c:pt idx="10">
                  <c:v>2.1547621871161882E-2</c:v>
                </c:pt>
                <c:pt idx="11">
                  <c:v>6.3097215154737762E-2</c:v>
                </c:pt>
                <c:pt idx="12">
                  <c:v>-0.16259404112325349</c:v>
                </c:pt>
                <c:pt idx="13">
                  <c:v>7.3352662328612261E-2</c:v>
                </c:pt>
                <c:pt idx="14">
                  <c:v>0.21667626318129818</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2">
  <rv s="0">
    <v>https://www.bing.com/financeapi/forcetrigger?t=a259jc&amp;q=XNYS%3aVEEV&amp;form=skydnc</v>
    <v>Learn more on Bing</v>
  </rv>
  <rv s="1">
    <v>es-ES</v>
    <v>a259jc</v>
    <v>268435456</v>
    <v>1</v>
    <v>Con tecnología de Refinitiv</v>
    <v>0</v>
    <v>1</v>
    <v>VEEVA SYSTEMS INC. (XNYS:VEEV)</v>
    <v>3</v>
    <v>4</v>
    <v>Finance</v>
    <v>5</v>
    <v>XNYS</v>
    <v>161908800</v>
    <v>2007</v>
    <v>283.10000000000002</v>
    <v>0.91410000000000002</v>
    <v>-8.7100000000000009</v>
    <v>6.2199999999999994E-4</v>
    <v>-3.0893999999999998E-2</v>
    <v>0.17</v>
    <v>44236722336</v>
    <v>281.93</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46297.853689860938</v>
    <v>New York Stock Exchange</v>
    <v>0</v>
    <v>284.58999999999997</v>
    <v>310.5</v>
    <v>272.83499999999998</v>
    <v>148.05000000000001</v>
    <v>USD</v>
    <v>VEEVA SYSTEMS INC.</v>
    <v>VEEVA SYSTEMS INC.</v>
    <v>44.682499999999997</v>
    <v>273.22000000000003</v>
    <v>273.5</v>
    <v>Healthcare Equipment &amp; Supplies</v>
    <v>4280 Hacienda Drive, PLEASANTON, CA, 94588 US</v>
    <v>VEEV</v>
    <v>Acciones</v>
    <v>VEEVA SYSTEMS INC. (XNYS:VEEV)</v>
    <v>1077576</v>
    <v>1849777</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519.38499999999999</v>
    <v>1.0488</v>
    <v>4.7300000000000004</v>
    <v>-2.5119999999999998E-4</v>
    <v>9.2239999999999996E-3</v>
    <v>-0.13</v>
    <v>3842942303850</v>
    <v>512.79999999999995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46297.855688529686</v>
    <v>6</v>
    <v>Nasdaq Stock Market</v>
    <v>7</v>
    <v>522.5</v>
    <v>553.72</v>
    <v>513.66</v>
    <v>349.2</v>
    <v>USD</v>
    <v>MICROSOFT CORPORATION</v>
    <v>MICROSOFT CORPORATION</v>
    <v>28.8371</v>
    <v>517.53</v>
    <v>517.4</v>
    <v>Software &amp; IT Services</v>
    <v>One Microsoft Way, REDMOND, WA, 98052 US</v>
    <v>MSFT</v>
    <v>Acciones</v>
    <v>MICROSOFT CORPORATION (XNAS:MSFT)</v>
    <v>17147700</v>
    <v>22115939</v>
  </rv>
  <rv s="2">
    <v>8</v>
  </rv>
  <rv s="0">
    <v>https://www.bing.com/financeapi/forcetrigger?t=b1ao52&amp;q=XAMS%3aADYEN&amp;form=skydnc</v>
    <v>Learn more on Bing</v>
  </rv>
  <rv s="6">
    <v>es-ES</v>
    <v>b1ao52</v>
    <v>268435456</v>
    <v>1</v>
    <v>Con tecnología de Refinitiv</v>
    <v>12</v>
    <v>13</v>
    <v>Adyen N.V. (XAMS:ADYEN)</v>
    <v>3</v>
    <v>14</v>
    <v>Finance</v>
    <v>15</v>
    <v>XAMS</v>
    <v>31683550</v>
    <v>2006</v>
    <v>865</v>
    <v>2.2465000000000002</v>
    <v>3.8</v>
    <v>4.4409999999999996E-3</v>
    <v>27108450000</v>
    <v>855.6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46297.666666666664</v>
    <v>Euronext Amsterdam</v>
    <v>10</v>
    <v>878.7</v>
    <v>1600.8</v>
    <v>857.1</v>
    <v>772.4</v>
    <v>EUR</v>
    <v>Adyen N.V.</v>
    <v>Adyen N.V.</v>
    <v>24.081299999999999</v>
    <v>859.4</v>
    <v>Financial Technology (Fintech) &amp; Infrastructure</v>
    <v>Simon Carmiggeltstraat 6-50, AMSTERDAM, NOORD-HOLLAND, 1011DJ NL</v>
    <v>ADYEN</v>
    <v>Acciones</v>
    <v>Adyen N.V. (XAMS:ADYEN)</v>
    <v>157956</v>
    <v>146070</v>
  </rv>
  <rv s="2">
    <v>11</v>
  </rv>
  <rv s="0">
    <v>https://www.bing.com/financeapi/forcetrigger?t=a1o5ur&amp;q=XNYS%3aBAM&amp;form=skydnc</v>
    <v>Learn more on Bing</v>
  </rv>
  <rv s="1">
    <v>es-ES</v>
    <v>a1o5ur</v>
    <v>268435456</v>
    <v>1</v>
    <v>Con tecnología de Refinitiv</v>
    <v>0</v>
    <v>1</v>
    <v>Brookfield Corporation (XNYS:BN)</v>
    <v>3</v>
    <v>4</v>
    <v>Finance</v>
    <v>5</v>
    <v>XNYS</v>
    <v>2452011000</v>
    <v>2005</v>
    <v>37.14</v>
    <v>1.56</v>
    <v>0.38500000000000001</v>
    <v>7.3129999999999992E-3</v>
    <v>1.0536E-2</v>
    <v>0.27</v>
    <v>90540506175</v>
    <v>36.54</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46297.853615520311</v>
    <v>New York Stock Exchange</v>
    <v>13</v>
    <v>37.270000000000003</v>
    <v>49.564999999999998</v>
    <v>36.56</v>
    <v>35.69</v>
    <v>USD</v>
    <v>Brookfield Corporation</v>
    <v>Brookfield Corporation</v>
    <v>72.203800000000001</v>
    <v>36.924999999999997</v>
    <v>37.19</v>
    <v>Investment Banking &amp; Investment Services</v>
    <v>Brookfield Place, 181 Bay St, Ste 100, Po Box 762, TORONTO, ON, M5J 2T3 CA</v>
    <v>BN</v>
    <v>Acciones</v>
    <v>Brookfield Corporation (XNYS:BN)</v>
    <v>6441320</v>
    <v>4949765</v>
  </rv>
  <rv s="2">
    <v>14</v>
  </rv>
  <rv s="0">
    <v>https://www.bing.com/financeapi/forcetrigger?t=a1q6k2&amp;q=XNAS%3aCOST&amp;form=skydnc</v>
    <v>Learn more on Bing</v>
  </rv>
  <rv s="1">
    <v>es-ES</v>
    <v>a1q6k2</v>
    <v>268435456</v>
    <v>1</v>
    <v>Con tecnología de Refinitiv</v>
    <v>0</v>
    <v>1</v>
    <v>COSTCO WHOLESALE CORPORATION (XNAS:COST)</v>
    <v>3</v>
    <v>4</v>
    <v>Finance</v>
    <v>5</v>
    <v>XNAS</v>
    <v>443266000</v>
    <v>1987</v>
    <v>921.18</v>
    <v>0.86319999999999997</v>
    <v>5.71</v>
    <v>-1.0460000000000001E-3</v>
    <v>6.241E-3</v>
    <v>-0.96340000000000003</v>
    <v>408092842900</v>
    <v>914.94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46297.855544941405</v>
    <v>Nasdaq Stock Market</v>
    <v>16</v>
    <v>921.18</v>
    <v>1096.5</v>
    <v>909.66</v>
    <v>844.06</v>
    <v>USD</v>
    <v>COSTCO WHOLESALE CORPORATION</v>
    <v>COSTCO WHOLESALE CORPORATION</v>
    <v>44.348799999999997</v>
    <v>920.65</v>
    <v>919.6866</v>
    <v>Diversified Retail</v>
    <v>999 Lake Dr, ISSAQUAH, WA, 98027- US</v>
    <v>COST</v>
    <v>Acciones</v>
    <v>COSTCO WHOLESALE CORPORATION (XNAS:COST)</v>
    <v>2011443</v>
    <v>2318063</v>
  </rv>
  <rv s="2">
    <v>17</v>
  </rv>
  <rv s="0">
    <v>https://www.bing.com/financeapi/forcetrigger?t=a1rb5r&amp;q=XNAS%3aDSGX&amp;form=skydnc</v>
    <v>Learn more on Bing</v>
  </rv>
  <rv s="1">
    <v>es-ES</v>
    <v>a1rb5r</v>
    <v>268435456</v>
    <v>1</v>
    <v>Con tecnología de Refinitiv</v>
    <v>0</v>
    <v>1</v>
    <v>The Descartes Systems Group Inc. (XNAS:DSGX)</v>
    <v>3</v>
    <v>16</v>
    <v>Finance</v>
    <v>17</v>
    <v>XNAS</v>
    <v>85548550</v>
    <v>2023</v>
    <v>81.465000000000003</v>
    <v>0.2172</v>
    <v>-1.1100000000000001</v>
    <v>0</v>
    <v>-1.3672E-2</v>
    <v>0</v>
    <v>9869736000</v>
    <v>81.19</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46297.840339501563</v>
    <v>Nasdaq Stock Market</v>
    <v>19</v>
    <v>82.31</v>
    <v>98.35</v>
    <v>79.959999999999994</v>
    <v>62.555</v>
    <v>USD</v>
    <v>The Descartes Systems Group Inc.</v>
    <v>The Descartes Systems Group Inc.</v>
    <v>37.223999999999997</v>
    <v>80.08</v>
    <v>80.08</v>
    <v>Software &amp; IT Services</v>
    <v>120 Randall Drive, WATERLOO, ON, N2V 1C6 CA</v>
    <v>DSGX</v>
    <v>Acciones</v>
    <v>The Descartes Systems Group Inc. (XNAS:DSGX)</v>
    <v>349204</v>
    <v>775733</v>
  </rv>
  <rv s="2">
    <v>20</v>
  </rv>
  <rv s="0">
    <v>https://www.bing.com/financeapi/forcetrigger?t=afjdk2&amp;q=XFRA%3aRAA&amp;form=skydnc</v>
    <v>Learn more on Bing</v>
  </rv>
  <rv s="6">
    <v>es-ES</v>
    <v>afjdk2</v>
    <v>268435456</v>
    <v>1</v>
    <v>Con tecnología de Refinitiv</v>
    <v>12</v>
    <v>13</v>
    <v>Rational (XFRA:RAA)</v>
    <v>3</v>
    <v>14</v>
    <v>Finance</v>
    <v>15</v>
    <v>XFRA</v>
    <v>11370000</v>
    <v>1999</v>
    <v>561</v>
    <v>1.3201000000000001</v>
    <v>-0.5</v>
    <v>-8.7179999999999994E-4</v>
    <v>6372885000</v>
    <v>573.5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46297.836805555555</v>
    <v>Deutsche Boerse AG</v>
    <v>22</v>
    <v>573</v>
    <v>1028</v>
    <v>561</v>
    <v>388.4</v>
    <v>EUR</v>
    <v>Rational</v>
    <v>Rational</v>
    <v>24.497599999999998</v>
    <v>573</v>
    <v>Household Goods</v>
    <v>Siegfried-Meister-Strasse 1, LANDSBERG AM LECH, BAYERN, 86899 DE</v>
    <v>RAA</v>
    <v>Acciones</v>
    <v>Rational (XFRA:RAA)</v>
    <v>10</v>
    <v>12500</v>
  </rv>
  <rv s="2">
    <v>23</v>
  </rv>
  <rv s="0">
    <v>https://www.bing.com/financeapi/forcetrigger?t=azbtyc&amp;q=XNAS%3aZS&amp;form=skydnc</v>
    <v>Learn more on Bing</v>
  </rv>
  <rv s="1">
    <v>es-ES</v>
    <v>azbtyc</v>
    <v>268435456</v>
    <v>1</v>
    <v>Con tecnología de Refinitiv</v>
    <v>0</v>
    <v>1</v>
    <v>ZSCALER, INC. (XNAS:ZS)</v>
    <v>3</v>
    <v>4</v>
    <v>Finance</v>
    <v>5</v>
    <v>XNAS</v>
    <v>163054700</v>
    <v>2007</v>
    <v>201.18</v>
    <v>0.85629999999999995</v>
    <v>-2.1800000000000002</v>
    <v>-2.2889999999999998E-3</v>
    <v>-1.0966999999999999E-2</v>
    <v>-0.45</v>
    <v>32056554020</v>
    <v>198.78</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8700</v>
    <v>XNAS</v>
    <v>46297.85512490703</v>
    <v>Nasdaq Stock Market</v>
    <v>25</v>
    <v>202</v>
    <v>336.99</v>
    <v>195.11</v>
    <v>114.625</v>
    <v>USD</v>
    <v>ZSCALER, INC.</v>
    <v>ZSCALER, INC.</v>
    <v>0</v>
    <v>196.6</v>
    <v>196.15</v>
    <v>Software &amp; IT Services</v>
    <v>120 Holger Way, SAN JOSE, CA, 95134 US</v>
    <v>ZS</v>
    <v>Acciones</v>
    <v>ZSCALER, INC. (XNAS:ZS)</v>
    <v>1719210</v>
    <v>3644664</v>
  </rv>
  <rv s="2">
    <v>26</v>
  </rv>
  <rv s="0">
    <v>https://www.bing.com/financeapi/forcetrigger?t=afgyk2&amp;q=XFRA%3aNTO&amp;form=skydnc</v>
    <v>Learn more on Bing</v>
  </rv>
  <rv s="6">
    <v>es-ES</v>
    <v>afgyk2</v>
    <v>268435456</v>
    <v>1</v>
    <v>Con tecnología de Refinitiv</v>
    <v>12</v>
    <v>13</v>
    <v>Nintendo Co., Ltd. (XFRA:NTO)</v>
    <v>3</v>
    <v>18</v>
    <v>Finance</v>
    <v>15</v>
    <v>XFRA</v>
    <v>1287260000</v>
    <v>1947</v>
    <v>44.61</v>
    <v>0.1784</v>
    <v>0.63500000000000001</v>
    <v>1.4432E-2</v>
    <v>10220840000000</v>
    <v>44</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46297.836805555555</v>
    <v>Deutsche Boerse AG</v>
    <v>28</v>
    <v>44.634999999999998</v>
    <v>546.1</v>
    <v>44.4</v>
    <v>34.6</v>
    <v>EUR</v>
    <v>Nintendo Co., Ltd.</v>
    <v>Nintendo Co., Ltd.</v>
    <v>20.090499999999999</v>
    <v>44.4</v>
    <v>Leisure Products</v>
    <v>11-1, Kamitoba Hokotate-cho, Minami-ku, KYOTO-SHI, KYOTO-FU, 601-8501 JP</v>
    <v>NTO</v>
    <v>Acciones</v>
    <v>Nintendo Co., Ltd. (XFRA:NTO)</v>
    <v>15</v>
    <v>7088120</v>
  </rv>
  <rv s="2">
    <v>29</v>
  </rv>
  <rv s="0">
    <v>https://www.bing.com/financeapi/forcetrigger?t=a1nhlh&amp;q=XNAS%3aAMZN&amp;form=skydnc</v>
    <v>Learn more on Bing</v>
  </rv>
  <rv s="1">
    <v>es-ES</v>
    <v>a1nhlh</v>
    <v>268435456</v>
    <v>1</v>
    <v>Con tecnología de Refinitiv</v>
    <v>0</v>
    <v>1</v>
    <v>AMAZON.COM, INC. (XNAS:AMZN)</v>
    <v>3</v>
    <v>4</v>
    <v>Finance</v>
    <v>5</v>
    <v>XNAS</v>
    <v>10786310000</v>
    <v>1996</v>
    <v>251.505</v>
    <v>1.492</v>
    <v>3.29</v>
    <v>-5.1690000000000004E-4</v>
    <v>1.3253999999999998E-2</v>
    <v>-0.13</v>
    <v>2712972691200</v>
    <v>248.23</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46297.855744745313</v>
    <v>Nasdaq Stock Market</v>
    <v>31</v>
    <v>253.55770000000001</v>
    <v>287.2</v>
    <v>250.02</v>
    <v>196</v>
    <v>USD</v>
    <v>AMAZON.COM, INC.</v>
    <v>AMAZON.COM, INC.</v>
    <v>20.230699999999999</v>
    <v>251.52</v>
    <v>251.39</v>
    <v>Diversified Retail</v>
    <v>410 Terry Avenue North, SEATTLE, WA, 98109 US</v>
    <v>AMZN</v>
    <v>Acciones</v>
    <v>AMAZON.COM, INC. (XNAS:AMZN)</v>
    <v>33018438</v>
    <v>35374853</v>
  </rv>
  <rv s="2">
    <v>32</v>
  </rv>
  <rv s="0">
    <v>https://www.bing.com/financeapi/forcetrigger?t=aea5k2&amp;q=XPAR%3aSU&amp;form=skydnc</v>
    <v>Learn more on Bing</v>
  </rv>
  <rv s="6">
    <v>es-ES</v>
    <v>aea5k2</v>
    <v>268435456</v>
    <v>1</v>
    <v>Con tecnología de Refinitiv</v>
    <v>12</v>
    <v>13</v>
    <v>Schneider Electric SE (XPAR:SU)</v>
    <v>3</v>
    <v>14</v>
    <v>Finance</v>
    <v>15</v>
    <v>XPAR</v>
    <v>578605300</v>
    <v>1988</v>
    <v>296.45</v>
    <v>1.3924000000000001</v>
    <v>10.4</v>
    <v>3.5542999999999998E-2</v>
    <v>169299900000</v>
    <v>292.60000000000002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46297.666666666664</v>
    <v>Euronext Paris</v>
    <v>34</v>
    <v>304.85000000000002</v>
    <v>312.3</v>
    <v>295.85000000000002</v>
    <v>220.4</v>
    <v>EUR</v>
    <v>Schneider Electric SE</v>
    <v>Schneider Electric SE</v>
    <v>36.012300000000003</v>
    <v>303</v>
    <v>Machinery, Equipment &amp; Components</v>
    <v>35 rue Joseph Monier, RUEIL-MALMAISON, ILE-DE-FRANCE, 92500 FR</v>
    <v>SU</v>
    <v>Acciones</v>
    <v>Schneider Electric SE (XPAR:SU)</v>
    <v>757409</v>
    <v>848330</v>
  </rv>
  <rv s="2">
    <v>35</v>
  </rv>
  <rv s="0">
    <v>https://www.bing.com/financeapi/forcetrigger?t=amfy2w&amp;q=BMEX%3aITX&amp;form=skydnc</v>
    <v>Learn more on Bing</v>
  </rv>
  <rv s="6">
    <v>es-ES</v>
    <v>amfy2w</v>
    <v>268435456</v>
    <v>1</v>
    <v>Con tecnología de Refinitiv</v>
    <v>12</v>
    <v>13</v>
    <v>Industria de Diseño Textil, S.A. (BMEX:ITX)</v>
    <v>3</v>
    <v>14</v>
    <v>Finance</v>
    <v>15</v>
    <v>BMEX</v>
    <v>3116652000</v>
    <v>1985</v>
    <v>53.46</v>
    <v>1.17</v>
    <v>0.18</v>
    <v>3.392E-3</v>
    <v>165369600000</v>
    <v>53.06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46297.666666666664</v>
    <v>Bolsas y Mercados Espanoles</v>
    <v>37</v>
    <v>54.54</v>
    <v>59.42</v>
    <v>53.24</v>
    <v>45.31</v>
    <v>EUR</v>
    <v>Industria de Diseño Textil, S.A.</v>
    <v>Industria de Diseño Textil, S.A.</v>
    <v>25.891200000000001</v>
    <v>53.24</v>
    <v>Specialty Retailers</v>
    <v>Edificio Inditex, Avda. Diputacion, s/n, ARTEIXO, LA CORUNA, 15143 ES</v>
    <v>ITX</v>
    <v>Acciones</v>
    <v>Industria de Diseño Textil, S.A. (BMEX:ITX)</v>
    <v>2217141</v>
    <v>2137020</v>
  </rv>
  <rv s="2">
    <v>38</v>
  </rv>
  <rv s="0">
    <v>https://www.bing.com/financeapi/forcetrigger?t=aaq652&amp;q=XBRU%3aLOTB&amp;form=skydnc</v>
    <v>Learn more on Bing</v>
  </rv>
  <rv s="6">
    <v>es-ES</v>
    <v>aaq652</v>
    <v>268435456</v>
    <v>1</v>
    <v>Con tecnología de Refinitiv</v>
    <v>12</v>
    <v>13</v>
    <v>Lotus Bakeries (XBRU:LOTB)</v>
    <v>3</v>
    <v>14</v>
    <v>Finance</v>
    <v>15</v>
    <v>XBRU</v>
    <v>816010</v>
    <v>1934</v>
    <v>11980</v>
    <v>0.85880000000000001</v>
    <v>120</v>
    <v>1.0049999999999998E-2</v>
    <v>9743195000</v>
    <v>11940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46297.666666666664</v>
    <v>Euronext Brussels</v>
    <v>40</v>
    <v>12220</v>
    <v>13200</v>
    <v>11920</v>
    <v>7270</v>
    <v>EUR</v>
    <v>Lotus Bakeries</v>
    <v>Lotus Bakeries</v>
    <v>51.316200000000002</v>
    <v>12060</v>
    <v>Food &amp; Tobacco</v>
    <v>Gentstraat 1, Lembeke, OOST-VLAANDEREN, 9971 BE</v>
    <v>LOTB</v>
    <v>Acciones</v>
    <v>Lotus Bakeries (XBRU:LOTB)</v>
    <v>849</v>
    <v>590</v>
  </rv>
  <rv s="2">
    <v>41</v>
  </rv>
  <rv s="0">
    <v>https://www.bing.com/financeapi/forcetrigger?t=ao9bxm&amp;q=XLON%3aHLMA&amp;form=skydnc</v>
    <v>Learn more on Bing</v>
  </rv>
  <rv s="6">
    <v>es-ES</v>
    <v>ao9bxm</v>
    <v>268435456</v>
    <v>1</v>
    <v>Con tecnología de Refinitiv</v>
    <v>12</v>
    <v>13</v>
    <v>HALMA PUBLIC LIMITED COMPANY (XLON:HLMA)</v>
    <v>3</v>
    <v>19</v>
    <v>Finance</v>
    <v>20</v>
    <v>XLON</v>
    <v>379645300</v>
    <v>1894</v>
    <v>3494</v>
    <v>1.1131</v>
    <v>136</v>
    <v>3.9260999999999997E-2</v>
    <v>13150910000</v>
    <v>3464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46297.650239316405</v>
    <v>London Stock Exchange</v>
    <v>43</v>
    <v>3614</v>
    <v>4902</v>
    <v>3494</v>
    <v>3268</v>
    <v>GBp</v>
    <v>HALMA PUBLIC LIMITED COMPANY</v>
    <v>HALMA PUBLIC LIMITED COMPANY</v>
    <v>36.529699999999998</v>
    <v>3600</v>
    <v>Electronic Equipment &amp; Parts</v>
    <v>Misbourne Court, Rectory Way, AMERSHAM, BUCKINGHAMSHIRE, HP7 0DE GB</v>
    <v>HLMA</v>
    <v>Acciones</v>
    <v>HALMA PUBLIC LIMITED COMPANY (XLON:HLMA)</v>
    <v>1105478</v>
    <v>1166350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614</v>
    <v>1.3813</v>
    <v>-0.32</v>
    <v>7.561E-4</v>
    <v>-4.8359999999999999E-4</v>
    <v>0.5</v>
    <v>14285327025</v>
    <v>661.75</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46297.855152707809</v>
    <v>New York Stock Exchange</v>
    <v>46</v>
    <v>675.5</v>
    <v>1998.01</v>
    <v>609</v>
    <v>586.04970000000003</v>
    <v>USD</v>
    <v>FAIR ISAAC CORPORATION</v>
    <v>FAIR ISAAC CORPORATION</v>
    <v>19.108499999999999</v>
    <v>661.43</v>
    <v>661.75</v>
    <v>Software &amp; IT Services</v>
    <v>5 West Mendenhall, Suites 105, BOZEMAN, MT, 59715 US</v>
    <v>FICO</v>
    <v>Acciones</v>
    <v>FAIR ISAAC CORPORATION (XNYS:FICO)</v>
    <v>1641440</v>
    <v>768832</v>
  </rv>
  <rv s="2">
    <v>47</v>
  </rv>
  <rv s="0">
    <v>https://www.bing.com/financeapi/forcetrigger?t=amwtu2&amp;q=XSTO%3aLIFCO+B&amp;form=skydnc</v>
    <v>Learn more on Bing</v>
  </rv>
  <rv s="1">
    <v>es-ES</v>
    <v>amwtu2</v>
    <v>268435456</v>
    <v>1</v>
    <v>Con tecnología de Refinitiv</v>
    <v>0</v>
    <v>1</v>
    <v>Lifco (XSTO:LIFCO B)</v>
    <v>3</v>
    <v>21</v>
    <v>Finance</v>
    <v>22</v>
    <v>XSTO</v>
    <v>423836500</v>
    <v>1993</v>
    <v>319</v>
    <v>1.2961</v>
    <v>3.6</v>
    <v>0</v>
    <v>1.1342000000000001E-2</v>
    <v>0</v>
    <v>134525700000</v>
    <v>317.39999999999998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46297.666666666664</v>
    <v>NASDAQ Stockholm</v>
    <v>49</v>
    <v>324</v>
    <v>956.5</v>
    <v>318.2</v>
    <v>140.30000000000001</v>
    <v>SEK</v>
    <v>Lifco</v>
    <v>Lifco</v>
    <v>37.8538</v>
    <v>321</v>
    <v>321</v>
    <v>Consumer Goods Conglomerates</v>
    <v>Verkmastaregatan 1, ENKOPING, UPPSALA, 745 85 SE</v>
    <v>LIFCO B</v>
    <v>Acciones</v>
    <v>Lifco (XSTO:LIFCO B)</v>
    <v>302178</v>
    <v>428260</v>
  </rv>
  <rv s="2">
    <v>50</v>
  </rv>
  <rv s="0">
    <v>https://www.bing.com/financeapi/forcetrigger?t=af9n8m&amp;q=XFRA%3aEVD&amp;form=skydnc</v>
    <v>Learn more on Bing</v>
  </rv>
  <rv s="6">
    <v>es-ES</v>
    <v>af9n8m</v>
    <v>268435456</v>
    <v>1</v>
    <v>Con tecnología de Refinitiv</v>
    <v>12</v>
    <v>13</v>
    <v>Eventim (XFRA:EVD)</v>
    <v>3</v>
    <v>14</v>
    <v>Finance</v>
    <v>15</v>
    <v>XFRA</v>
    <v>96000000</v>
    <v>2014</v>
    <v>53.35</v>
    <v>1.5115000000000001</v>
    <v>2.4500000000000002</v>
    <v>4.6666999999999993E-2</v>
    <v>5140800000</v>
    <v>52.5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46297.836805555555</v>
    <v>Deutsche Boerse AG</v>
    <v>52</v>
    <v>55.55</v>
    <v>113.8</v>
    <v>53.35</v>
    <v>25.98</v>
    <v>EUR</v>
    <v>Eventim</v>
    <v>Eventim</v>
    <v>17.171900000000001</v>
    <v>54.95</v>
    <v>Software &amp; IT Services</v>
    <v>Contrescarpe 75 A, BREMEN, BREMEN, 28195 DE</v>
    <v>EVD</v>
    <v>Acciones</v>
    <v>Eventim (XFRA:EVD)</v>
    <v>278</v>
    <v>363810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42.37</v>
    <v>0.53520000000000001</v>
    <v>0.8</v>
    <v>0</v>
    <v>1.8984000000000001E-2</v>
    <v>0</v>
    <v>83991327040</v>
    <v>42.14</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46297.847224930469</v>
    <v>Nasdaq Stock Market</v>
    <v>55</v>
    <v>42.984999999999999</v>
    <v>50.17</v>
    <v>42.11</v>
    <v>32.9375</v>
    <v>USD</v>
    <v>MONSTER BEVERAGE CORPORATION</v>
    <v>MONSTER BEVERAGE CORPORATION</v>
    <v>39.851500000000001</v>
    <v>42.94</v>
    <v>42.94</v>
    <v>Beverages</v>
    <v>1 Monster Way, CORONA, CA, 92879-7101 US</v>
    <v>MNST</v>
    <v>Acciones</v>
    <v>MONSTER BEVERAGE CORPORATION (XNAS:MNST)</v>
    <v>7726961</v>
    <v>9955571</v>
  </rv>
  <rv s="2">
    <v>56</v>
  </rv>
  <rv s="0">
    <v>https://www.bing.com/financeapi/forcetrigger?t=bwvem7&amp;q=XNAS%3aABNB&amp;form=skydnc</v>
    <v>Learn more on Bing</v>
  </rv>
  <rv s="1">
    <v>es-ES</v>
    <v>bwvem7</v>
    <v>268435456</v>
    <v>1</v>
    <v>Con tecnología de Refinitiv</v>
    <v>0</v>
    <v>1</v>
    <v>AIRBNB, INC. (XNAS:ABNB)</v>
    <v>3</v>
    <v>4</v>
    <v>Finance</v>
    <v>5</v>
    <v>XNAS</v>
    <v>589585700</v>
    <v>2008</v>
    <v>164.13200000000001</v>
    <v>1.2746</v>
    <v>1.96</v>
    <v>-1.7360000000000001E-3</v>
    <v>1.2214000000000001E-2</v>
    <v>-0.28199999999999997</v>
    <v>95766405251</v>
    <v>160.47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46297.846665289064</v>
    <v>Nasdaq Stock Market</v>
    <v>58</v>
    <v>164.91</v>
    <v>193.4529</v>
    <v>161.29</v>
    <v>110.81</v>
    <v>USD</v>
    <v>AIRBNB, INC.</v>
    <v>AIRBNB, INC.</v>
    <v>36.933500000000002</v>
    <v>162.43</v>
    <v>162.148</v>
    <v>Software &amp; IT Services</v>
    <v>888 Brannan St., SAN FRANCISCO, CA, 94103 US</v>
    <v>ABNB</v>
    <v>Acciones</v>
    <v>AIRBNB, INC. (XNAS:ABNB)</v>
    <v>3362364</v>
    <v>5078272</v>
  </rv>
  <rv s="2">
    <v>59</v>
  </rv>
  <rv s="0">
    <v>https://www.bing.com/financeapi/forcetrigger?t=aqbzjc&amp;q=XWAR%3aDNP&amp;form=skydnc</v>
    <v>Learn more on Bing</v>
  </rv>
  <rv s="6">
    <v>es-ES</v>
    <v>aqbzjc</v>
    <v>268435456</v>
    <v>1</v>
    <v>Con tecnología de Refinitiv</v>
    <v>12</v>
    <v>13</v>
    <v>Dino Polska (XWAR:DNP)</v>
    <v>3</v>
    <v>23</v>
    <v>Finance</v>
    <v>24</v>
    <v>XWAR</v>
    <v>980400000</v>
    <v>2012</v>
    <v>34.57</v>
    <v>1.0176000000000001</v>
    <v>-0.91</v>
    <v>-2.6322999999999999E-2</v>
    <v>33892430000</v>
    <v>34.57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46297.643055555556</v>
    <v>Warsaw Stock Exchange</v>
    <v>61</v>
    <v>34.700000000000003</v>
    <v>46.6</v>
    <v>33.659999999999997</v>
    <v>26.89</v>
    <v>PLN</v>
    <v>Dino Polska</v>
    <v>Dino Polska</v>
    <v>21.052</v>
    <v>33.659999999999997</v>
    <v>Food &amp; Drug Retailing</v>
    <v>ul. Ostrowska 122, KROTOSZYN, WOJ. WIELKOPOLSKIE, 63-700 PL</v>
    <v>DNP</v>
    <v>Acciones</v>
    <v>Dino Polska (XWAR:DNP)</v>
    <v>5386027</v>
    <v>3912690</v>
  </rv>
  <rv s="2">
    <v>62</v>
  </rv>
  <rv s="7">
    <v>es-ES</v>
    <v>caydcw</v>
    <v>268435456</v>
    <v>1</v>
    <v>Con tecnología de Refinitiv</v>
    <v>25</v>
    <v>26</v>
    <v>VERALTO CORPORATION (XNYS:VLTO)</v>
    <v>27</v>
    <v>4</v>
    <v>Finance</v>
    <v>5</v>
    <v>XNYS</v>
    <v>243793300</v>
    <v>2022</v>
    <v>94.7</v>
    <v>0.68700000000000006</v>
    <v>0.09</v>
    <v>0</v>
    <v>9.5140000000000003E-4</v>
    <v>0</v>
    <v>23084787577</v>
    <v>94.6</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46297.847223298435</v>
    <v>New York Stock Exchange</v>
    <v>95.37</v>
    <v>107.9</v>
    <v>94.36</v>
    <v>80.03</v>
    <v>USD</v>
    <v>VERALTO CORPORATION</v>
    <v>VERALTO CORPORATION</v>
    <v>23.869399999999999</v>
    <v>94.69</v>
    <v>94.68</v>
    <v>Professional &amp; Commercial Services</v>
    <v>225 Wyman Street, Suite 250, WALTHAM, MA, 02451 US</v>
    <v>VLTO</v>
    <v>Acciones</v>
    <v>VERALTO CORPORATION (XNYS:VLTO)</v>
    <v>1536849</v>
    <v>1756177</v>
  </rv>
  <rv s="2">
    <v>64</v>
  </rv>
  <rv s="0">
    <v>https://www.bing.com/financeapi/forcetrigger?t=ae94vh&amp;q=XPAR%3aLR&amp;form=skydnc</v>
    <v>Learn more on Bing</v>
  </rv>
  <rv s="6">
    <v>es-ES</v>
    <v>ae94vh</v>
    <v>268435456</v>
    <v>1</v>
    <v>Con tecnología de Refinitiv</v>
    <v>12</v>
    <v>13</v>
    <v>Legrand SA (XPAR:LR)</v>
    <v>3</v>
    <v>14</v>
    <v>Finance</v>
    <v>15</v>
    <v>XPAR</v>
    <v>262245700</v>
    <v>1998</v>
    <v>141.1</v>
    <v>1.2130000000000001</v>
    <v>4.8</v>
    <v>3.4346999999999996E-2</v>
    <v>36648840000</v>
    <v>139.75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46297.666666666664</v>
    <v>Euronext Paris</v>
    <v>66</v>
    <v>146.15</v>
    <v>166.95</v>
    <v>141.1</v>
    <v>121.95</v>
    <v>EUR</v>
    <v>Legrand SA</v>
    <v>Legrand SA</v>
    <v>27.8292</v>
    <v>144.55000000000001</v>
    <v>Machinery, Equipment &amp; Components</v>
    <v>128, av. du Marechal de Lattre de Tassigny, LIMOGES, NOUVELLE-AQUITAINE, 87000 FR</v>
    <v>LR</v>
    <v>Acciones</v>
    <v>Legrand SA (XPAR:LR)</v>
    <v>561126</v>
    <v>599580</v>
  </rv>
  <rv s="2">
    <v>67</v>
  </rv>
  <rv s="0">
    <v>https://www.bing.com/financeapi/forcetrigger?t=aoaorw&amp;q=XLON%3aJDG&amp;form=skydnc</v>
    <v>Learn more on Bing</v>
  </rv>
  <rv s="1">
    <v>es-ES</v>
    <v>aoaorw</v>
    <v>268435456</v>
    <v>1</v>
    <v>Con tecnología de Refinitiv</v>
    <v>0</v>
    <v>1</v>
    <v>Judges (XLON:JDG)</v>
    <v>3</v>
    <v>28</v>
    <v>Finance</v>
    <v>29</v>
    <v>XLON</v>
    <v>6660690</v>
    <v>2002</v>
    <v>3610</v>
    <v>0.81210000000000004</v>
    <v>-10</v>
    <v>-2.7700000000000003E-3</v>
    <v>-2.7620000000000001E-3</v>
    <v>-10</v>
    <v>241117200</v>
    <v>3620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46297.655365404687</v>
    <v>London Stock Exchange</v>
    <v>69</v>
    <v>3615</v>
    <v>6380</v>
    <v>3610</v>
    <v>3480</v>
    <v>GBp</v>
    <v>Judges</v>
    <v>Judges</v>
    <v>0</v>
    <v>3610</v>
    <v>3600</v>
    <v>Machinery, Equipment &amp; Components</v>
    <v>52c Borough High Street, LONDON, SE1 1XN GB</v>
    <v>JDG</v>
    <v>Acciones</v>
    <v>Judges (XLON:JDG)</v>
    <v>30195</v>
    <v>72890</v>
  </rv>
  <rv s="2">
    <v>70</v>
  </rv>
  <rv s="0">
    <v>https://www.bing.com/financeapi/forcetrigger?t=an3gc7&amp;q=XSWX%3aSTMN&amp;form=skydnc</v>
    <v>Learn more on Bing</v>
  </rv>
  <rv s="1">
    <v>es-ES</v>
    <v>an3gc7</v>
    <v>268435456</v>
    <v>1</v>
    <v>Con tecnología de Refinitiv</v>
    <v>0</v>
    <v>1</v>
    <v>Straumann Holding Ltd (XSWX:STMN)</v>
    <v>3</v>
    <v>30</v>
    <v>Finance</v>
    <v>31</v>
    <v>XSWX</v>
    <v>159455200</v>
    <v>2005</v>
    <v>91.64</v>
    <v>1.3667</v>
    <v>-1.74</v>
    <v>0</v>
    <v>-1.9008000000000001E-2</v>
    <v>0</v>
    <v>14596530000</v>
    <v>91.54</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46297.723020833335</v>
    <v>SIX Swiss Exchange</v>
    <v>72</v>
    <v>92.12</v>
    <v>109.8</v>
    <v>89.24</v>
    <v>73.02</v>
    <v>CHF</v>
    <v>Straumann Holding Ltd</v>
    <v>Straumann Holding Ltd</v>
    <v>38.706899999999997</v>
    <v>89.8</v>
    <v>89.8</v>
    <v>Healthcare Equipment &amp; Supplies</v>
    <v>Peter Merian-Weg 12, BASEL, BASEL-STADT, 4002 CH</v>
    <v>STMN</v>
    <v>Acciones</v>
    <v>Straumann Holding Ltd (XSWX:STMN)</v>
    <v>677126</v>
    <v>444640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733.25</v>
    <v>1.2553000000000001</v>
    <v>2.15</v>
    <v>-1.621E-3</v>
    <v>2.9620000000000002E-3</v>
    <v>-1.18</v>
    <v>1854788168480</v>
    <v>725.93</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46297.855588032035</v>
    <v>Nasdaq Stock Market</v>
    <v>75</v>
    <v>741.58</v>
    <v>779.81920000000002</v>
    <v>726.2</v>
    <v>520.26</v>
    <v>USD</v>
    <v>META PLATFORMS, INC.</v>
    <v>META PLATFORMS, INC.</v>
    <v>25.212</v>
    <v>728.08</v>
    <v>726.9</v>
    <v>Software &amp; IT Services</v>
    <v>1 Meta Way, MENLO PARK, CA, 94025 US</v>
    <v>META</v>
    <v>Acciones</v>
    <v>META PLATFORMS, INC. (XNAS:META)</v>
    <v>12864675</v>
    <v>22283513</v>
  </rv>
  <rv s="2">
    <v>76</v>
  </rv>
  <rv s="0">
    <v>https://www.bing.com/financeapi/forcetrigger?t=a1wj9c&amp;q=XNYS%3aKKR&amp;form=skydnc</v>
    <v>Learn more on Bing</v>
  </rv>
  <rv s="1">
    <v>es-ES</v>
    <v>a1wj9c</v>
    <v>268435456</v>
    <v>1</v>
    <v>Con tecnología de Refinitiv</v>
    <v>0</v>
    <v>1</v>
    <v>KKR &amp; CO. INC. (XNYS:KKR)</v>
    <v>3</v>
    <v>4</v>
    <v>Finance</v>
    <v>5</v>
    <v>XNYS</v>
    <v>897635600</v>
    <v>2021</v>
    <v>91.71</v>
    <v>1.7305999999999999</v>
    <v>-0.98</v>
    <v>4.2120000000000005E-3</v>
    <v>-1.0741000000000001E-2</v>
    <v>0.38030000000000003</v>
    <v>81020589256</v>
    <v>91.24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46297.846849409376</v>
    <v>New York Stock Exchange</v>
    <v>78</v>
    <v>93.35</v>
    <v>144.84</v>
    <v>90.25</v>
    <v>82.67</v>
    <v>USD</v>
    <v>KKR &amp; CO. INC.</v>
    <v>KKR &amp; CO. INC.</v>
    <v>28.7745</v>
    <v>90.26</v>
    <v>90.670299999999997</v>
    <v>Investment Banking &amp; Investment Services</v>
    <v>30 Hudson Yards, NEW YORK, NY, 10001 US</v>
    <v>KKR</v>
    <v>Acciones</v>
    <v>KKR &amp; CO. INC. (XNYS:KKR)</v>
    <v>4730443</v>
    <v>3917625</v>
  </rv>
  <rv s="2">
    <v>79</v>
  </rv>
  <rv s="0">
    <v>https://www.bing.com/financeapi/forcetrigger?t=brh6oc&amp;q=XNYS%3aNET&amp;form=skydnc</v>
    <v>Learn more on Bing</v>
  </rv>
  <rv s="8">
    <v>es-ES</v>
    <v>brh6oc</v>
    <v>268435456</v>
    <v>1</v>
    <v>Con tecnología de Refinitiv</v>
    <v>32</v>
    <v>33</v>
    <v>CLOUDFLARE, INC. (XNYS:NET)</v>
    <v>3</v>
    <v>34</v>
    <v>Finance</v>
    <v>5</v>
    <v>XNYS</v>
    <v>356079700</v>
    <v>2009</v>
    <v>351.8</v>
    <v>1.3416999999999999</v>
    <v>-2.08</v>
    <v>-2.0049999999999999E-4</v>
    <v>-5.9259999999999998E-3</v>
    <v>-7.0000000000000007E-2</v>
    <v>124243328924</v>
    <v>351</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46297.854603344531</v>
    <v>New York Stock Exchange</v>
    <v>81</v>
    <v>354.58</v>
    <v>367.43</v>
    <v>344.51</v>
    <v>158.83000000000001</v>
    <v>USD</v>
    <v>CLOUDFLARE, INC.</v>
    <v>CLOUDFLARE, INC.</v>
    <v>348.92</v>
    <v>349</v>
    <v>Software &amp; IT Services</v>
    <v>101 Townsend St, SAN FRANCISCO, CA, 94107-1934 US</v>
    <v>NET</v>
    <v>Acciones</v>
    <v>CLOUDFLARE, INC. (XNYS:NET)</v>
    <v>2832727</v>
    <v>3150420</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269.5</v>
    <v>1.1780999999999999</v>
    <v>3.95</v>
    <v>-7.2249999999999994E-4</v>
    <v>1.4844999999999999E-2</v>
    <v>-0.1951</v>
    <v>276503407400</v>
    <v>266.08999999999997</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11706</v>
    <v>XNAS</v>
    <v>46297.854815392966</v>
    <v>Nasdaq Stock Market</v>
    <v>84</v>
    <v>273.5351</v>
    <v>273.5351</v>
    <v>267.67219999999998</v>
    <v>85.68</v>
    <v>USD</v>
    <v>CROWDSTRIKE HOLDINGS, INC.</v>
    <v>CROWDSTRIKE HOLDINGS, INC.</v>
    <v>4737.5438999999997</v>
    <v>270.04000000000002</v>
    <v>269.8449</v>
    <v>Software &amp; IT Services</v>
    <v>206 E. 9TH STREET, SUITE 1400, AUSTIN, TX, 78701 US</v>
    <v>CRWD</v>
    <v>Acciones</v>
    <v>CROWDSTRIKE HOLDINGS, INC. (XNAS:CRWD)</v>
    <v>5824659</v>
    <v>12005594</v>
  </rv>
  <rv s="2">
    <v>85</v>
  </rv>
  <rv s="0">
    <v>https://www.bing.com/financeapi/forcetrigger?t=a1u3p2&amp;q=XNAS%3aGOOG&amp;form=skydnc</v>
    <v>Learn more on Bing</v>
  </rv>
  <rv s="1">
    <v>es-ES</v>
    <v>a1u3p2</v>
    <v>268435456</v>
    <v>1</v>
    <v>Con tecnología de Refinitiv</v>
    <v>0</v>
    <v>1</v>
    <v>ALPHABET INC. (XNAS:GOOG)</v>
    <v>3</v>
    <v>4</v>
    <v>Finance</v>
    <v>5</v>
    <v>XNAS</v>
    <v>12230000000</v>
    <v>2015</v>
    <v>338.1</v>
    <v>1.2044999999999999</v>
    <v>5.42</v>
    <v>-7.3450000000000002E-4</v>
    <v>1.6182000000000002E-2</v>
    <v>-0.25</v>
    <v>4162480500000</v>
    <v>334.93</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46297.855750786715</v>
    <v>Nasdaq Stock Market</v>
    <v>87</v>
    <v>342.78</v>
    <v>404.47</v>
    <v>337.96</v>
    <v>236.685</v>
    <v>USD</v>
    <v>ALPHABET INC.</v>
    <v>ALPHABET INC.</v>
    <v>17.1083</v>
    <v>340.35</v>
    <v>340.1</v>
    <v>Software &amp; IT Services</v>
    <v>1600 Amphitheatre Parkway, MOUNTAIN VIEW, CA, 94043 US</v>
    <v>GOOG</v>
    <v>Acciones</v>
    <v>ALPHABET INC. (XNAS:GOOG)</v>
    <v>17373579</v>
    <v>17655484</v>
  </rv>
  <rv s="2">
    <v>88</v>
  </rv>
  <rv s="9">
    <v>es-ES</v>
    <v>cjjy9c</v>
    <v>268435456</v>
    <v>1</v>
    <v>Con tecnología de Refinitiv</v>
    <v>35</v>
    <v>36</v>
    <v>Abb Ltd (XSWX:ABBNE)</v>
    <v>27</v>
    <v>37</v>
    <v>Finance</v>
    <v>15</v>
    <v>XSWX</v>
    <v>1823154000</v>
    <v>1999</v>
    <v>81.2</v>
    <v>1.1637</v>
    <v>2.36</v>
    <v>2.9574E-2</v>
    <v>144291100000</v>
    <v>79.8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46297.646249999998</v>
    <v>SIX Swiss Exchange</v>
    <v>82.42</v>
    <v>81.099999999999994</v>
    <v>CHF</v>
    <v>Abb Ltd</v>
    <v>Abb Ltd</v>
    <v>82.16</v>
    <v>Machinery, Equipment &amp; Components</v>
    <v>Affolternstrasse 44, ZUERICH, ZUERICH, 8050 CH</v>
    <v>ABBNE</v>
    <v>Acciones</v>
    <v>Abb Ltd (XSWX:ABBNE)</v>
    <v>60000</v>
    <v>2516410</v>
  </rv>
  <rv s="2">
    <v>90</v>
  </rv>
  <rv s="0">
    <v>https://www.bing.com/financeapi/forcetrigger?t=a1u6sm&amp;q=XNYS%3aGRMN&amp;form=skydnc</v>
    <v>Learn more on Bing</v>
  </rv>
  <rv s="1">
    <v>es-ES</v>
    <v>a1u6sm</v>
    <v>268435456</v>
    <v>1</v>
    <v>Con tecnología de Refinitiv</v>
    <v>0</v>
    <v>1</v>
    <v>Garmin Ltd. (XNYS:GRMN)</v>
    <v>3</v>
    <v>4</v>
    <v>Finance</v>
    <v>5</v>
    <v>XNYS</v>
    <v>192852500</v>
    <v>2010</v>
    <v>284.01</v>
    <v>0.9022</v>
    <v>-1.43</v>
    <v>0</v>
    <v>-5.0629999999999998E-3</v>
    <v>0</v>
    <v>54197338074</v>
    <v>282.45999999999998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46297.847224918747</v>
    <v>New York Stock Exchange</v>
    <v>92</v>
    <v>286.47000000000003</v>
    <v>314.27999999999997</v>
    <v>280.08999999999997</v>
    <v>186.67</v>
    <v>USD</v>
    <v>Garmin Ltd.</v>
    <v>Garmin Ltd.</v>
    <v>28.9817</v>
    <v>281.02999999999997</v>
    <v>281.16000000000003</v>
    <v>Communications &amp; Networking</v>
    <v>Muehlentalstrasse 2, SCHAFFHAUSEN, SCHAFFHAUSEN, 8200 CH</v>
    <v>GRMN</v>
    <v>Acciones</v>
    <v>Garmin Ltd. (XNYS:GRMN)</v>
    <v>830689</v>
    <v>837997</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180428800</v>
    <v>1979</v>
    <v>99</v>
    <v>1.2374000000000001</v>
    <v>1.85</v>
    <v>1.9043000000000001E-2</v>
    <v>17988750000</v>
    <v>97.15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46297.836805555555</v>
    <v>Deutsche Boerse AG</v>
    <v>95</v>
    <v>99</v>
    <v>108.4</v>
    <v>99</v>
    <v>32.01</v>
    <v>EUR</v>
    <v>KINGSPAN GROUP PUBLIC LIMITED COMPANY</v>
    <v>KINGSPAN GROUP PUBLIC LIMITED COMPANY</v>
    <v>26.1905</v>
    <v>99</v>
    <v>Homebuilding &amp; Construction Supplies</v>
    <v>Dublin Road,, KINGSCOURT, CAVAN, A82 XY31 IE</v>
    <v>KRX</v>
    <v>Acciones</v>
    <v>KINGSPAN GROUP PUBLIC LIMITED COMPANY (XFRA:KRX)</v>
    <v>230</v>
    <v>326610</v>
  </rv>
  <rv s="2">
    <v>96</v>
  </rv>
  <rv s="0">
    <v>https://www.bing.com/financeapi/forcetrigger?t=bpiour&amp;q=OTCM%3aKAKZF&amp;form=skydnc</v>
    <v>Learn more on Bing</v>
  </rv>
  <rv s="1">
    <v>es-ES</v>
    <v>bpiour</v>
    <v>268435456</v>
    <v>1</v>
    <v>Con tecnología de Refinitiv</v>
    <v>0</v>
    <v>1</v>
    <v>Kaspi.kz (XNAS:KSPI)</v>
    <v>3</v>
    <v>4</v>
    <v>Finance</v>
    <v>17</v>
    <v>XNAS</v>
    <v>189333500</v>
    <v>2008</v>
    <v>92.05</v>
    <v>0.2311</v>
    <v>2.0299999999999998</v>
    <v>0</v>
    <v>2.206E-2</v>
    <v>0</v>
    <v>17806815675</v>
    <v>92.02</v>
    <v>Kaspi.kz AO is a Kazakhstan-based financial technology company, which provide a range of services such as online payments, e-commerce, and digital banking. The Company operates in three segments: payments, marketplace and fintech. In payments segment the Company operates Payments Platform through which consumers can pay for shopping transactions, household bills and make peer-to-peer transactions. It also allows merchants to accept payments, issue and settle invoices, pay suppliers and monitor turnover. In marketplace segment the Company operates Marketplace Platform which offers m-Commerce, e-Commerce, and Kaspi Travel. In fintech segment the Company operates Fintech Platform which offers Buy Now, Pay Later (BNPL) services, finance and deposit products. The Company operates mobile application Super App.</v>
    <v>7700</v>
    <v>XNAS</v>
    <v>46297.843753807814</v>
    <v>Nasdaq Stock Market</v>
    <v>98</v>
    <v>94.49</v>
    <v>109.94</v>
    <v>90.77</v>
    <v>68.59</v>
    <v>USD</v>
    <v>Kaspi.kz</v>
    <v>Kaspi.kz</v>
    <v>8.0714000000000006</v>
    <v>94.05</v>
    <v>94.05</v>
    <v>Financial Technology (Fintech) &amp; Infrastructure</v>
    <v>Bostandykskiy Rayon, Ul. Nauryzbay Batyra, 154A, ALMATY, ALMATY, 050013 KZ</v>
    <v>KSPI</v>
    <v>Acciones</v>
    <v>Kaspi.kz (XNAS:KSPI)</v>
    <v>438669</v>
    <v>606984</v>
  </rv>
  <rv s="2">
    <v>99</v>
  </rv>
  <rv s="0">
    <v>https://www.bing.com/financeapi/forcetrigger?t=amft3m&amp;q=BMEX%3aCBAV&amp;form=skydnc</v>
    <v>Learn more on Bing</v>
  </rv>
  <rv s="10">
    <v>es-ES</v>
    <v>amft3m</v>
    <v>268435456</v>
    <v>1</v>
    <v>Con tecnología de Refinitiv</v>
    <v>38</v>
    <v>39</v>
    <v>CLINICA BAVIERA S.A (BMEX:CBAV)</v>
    <v>3</v>
    <v>40</v>
    <v>Finance</v>
    <v>15</v>
    <v>BMEX</v>
    <v>16307580</v>
    <v>55.2</v>
    <v>0.74360000000000004</v>
    <v>0.6</v>
    <v>1.0829999999999999E-2</v>
    <v>903439900</v>
    <v>55.4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46297.666666666664</v>
    <v>Bolsas y Mercados Espanoles</v>
    <v>101</v>
    <v>56</v>
    <v>62</v>
    <v>55</v>
    <v>40.1</v>
    <v>EUR</v>
    <v>CLINICA BAVIERA S.A</v>
    <v>CLINICA BAVIERA S.A</v>
    <v>19.548999999999999</v>
    <v>56</v>
    <v>Healthcare Providers &amp; Services</v>
    <v>Paseo de la Castellana 20, MADRID, MADRID, 28046 ES</v>
    <v>CBAV</v>
    <v>Acciones</v>
    <v>CLINICA BAVIERA S.A (BMEX:CBAV)</v>
    <v>2098</v>
    <v>1100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236.05500000000001</v>
    <v>2.1901000000000002</v>
    <v>3.09</v>
    <v>3.8470000000000003E-5</v>
    <v>1.3385000000000001E-2</v>
    <v>8.9999999999999993E-3</v>
    <v>5638195000000</v>
    <v>230.86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46297.855726365626</v>
    <v>Nasdaq Stock Market</v>
    <v>104</v>
    <v>237.88</v>
    <v>237.88</v>
    <v>233.6</v>
    <v>164.27</v>
    <v>USD</v>
    <v>NVIDIA CORPORATION</v>
    <v>NVIDIA CORPORATION</v>
    <v>29.573899999999998</v>
    <v>233.95</v>
    <v>233.959</v>
    <v>Semiconductors &amp; Semiconductor Equipment</v>
    <v>2788 San Tomas Expressway, SANTA CLARA, CA, 95051 US</v>
    <v>NVDA</v>
    <v>Acciones</v>
    <v>NVIDIA CORPORATION (XNAS:NVDA)</v>
    <v>134361543</v>
    <v>123376907</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6.98</v>
    <v>0.44750000000000001</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46297.666666666664</v>
    <v>Euronext Lisbon</v>
    <v>107</v>
    <v>7</v>
    <v>7.44</v>
    <v>6.92</v>
    <v>6.04</v>
    <v>EUR</v>
    <v>Corticeira Amori</v>
    <v>Corticeira Amori</v>
    <v>20.957000000000001</v>
    <v>6.92</v>
    <v>Paper &amp; Forest Products</v>
    <v>Rua Comendador Americo Ferreira Amorim, N 380, Apartado 20, Mozelos, AVEIRO, 4536-902 PT</v>
    <v>COR</v>
    <v>Acciones</v>
    <v>Corticeira Amori (XLIS:COR)</v>
    <v>123292</v>
    <v>146720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465.64</v>
    <v>1.4258999999999999</v>
    <v>13.67</v>
    <v>-5.4870000000000006E-4</v>
    <v>2.9769E-2</v>
    <v>-0.25940000000000002</v>
    <v>2452527960380</v>
    <v>459.2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46297.855446399997</v>
    <v>New York Stock Exchange</v>
    <v>110</v>
    <v>474.79</v>
    <v>479</v>
    <v>464.1</v>
    <v>266.82</v>
    <v>USD</v>
    <v>Taiwan Semiconductor Manufacturing Company Limited</v>
    <v>Taiwan Semiconductor Manufacturing Company Limited</v>
    <v>34.393500000000003</v>
    <v>472.87</v>
    <v>472.5206</v>
    <v>Semiconductors &amp; Semiconductor Equipment</v>
    <v>No.8, Li-Hsin 6th Road, Hsinchu Science Park, HSINCHU, HSINCHU, 300 TW</v>
    <v>TSM</v>
    <v>Acciones</v>
    <v>Taiwan Semiconductor Manufacturing Company Limited (XNYS:TSM)</v>
    <v>9720360</v>
    <v>9752833</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491.2</v>
    <v>1.5275000000000001</v>
    <v>-18.545000000000002</v>
    <v>1.227E-3</v>
    <v>-3.7738999999999995E-2</v>
    <v>0.57999999999999996</v>
    <v>97187874141</v>
    <v>491.4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46297.855739814062</v>
    <v>New York Stock Exchange</v>
    <v>113</v>
    <v>492.505</v>
    <v>716.86</v>
    <v>470.51</v>
    <v>405</v>
    <v>USD</v>
    <v>Spotify Technology S.A.</v>
    <v>Spotify Technology S.A.</v>
    <v>26.126799999999999</v>
    <v>472.85500000000002</v>
    <v>473.47</v>
    <v>Software &amp; IT Services</v>
    <v>33, Boulevard Prince Henri, LUXEMBOURG, 1724 LU</v>
    <v>SPOT</v>
    <v>Acciones</v>
    <v>Spotify Technology S.A. (XNYS:SPOT)</v>
    <v>1890869</v>
    <v>1450469</v>
  </rv>
  <rv s="2">
    <v>114</v>
  </rv>
  <rv s="0">
    <v>https://www.bing.com/financeapi/forcetrigger?t=ajg6ec&amp;q=XMIL%3aPRY&amp;form=skydnc</v>
    <v>Learn more on Bing</v>
  </rv>
  <rv s="10">
    <v>es-ES</v>
    <v>ajg6ec</v>
    <v>268435456</v>
    <v>1</v>
    <v>Con tecnología de Refinitiv</v>
    <v>38</v>
    <v>39</v>
    <v>Prysmian S.p.A. (XMIL:PRY)</v>
    <v>3</v>
    <v>40</v>
    <v>Finance</v>
    <v>41</v>
    <v>XMIL</v>
    <v>308861600</v>
    <v>126.75</v>
    <v>0.95520000000000005</v>
    <v>4.95</v>
    <v>3.9647999999999996E-2</v>
    <v>38561370000</v>
    <v>124.85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46297.666666666664</v>
    <v>Borsa Italiana</v>
    <v>116</v>
    <v>131.19999999999999</v>
    <v>157.25</v>
    <v>126.65</v>
    <v>79.16</v>
    <v>EUR</v>
    <v>Prysmian S.p.A.</v>
    <v>Prysmian S.p.A.</v>
    <v>26.557500000000001</v>
    <v>129.80000000000001</v>
    <v>Machinery, Equipment &amp; Components</v>
    <v>Via Chiese 6, MILANO, MILANO, 20126 IT</v>
    <v>PRY</v>
    <v>Acciones</v>
    <v>Prysmian S.p.A. (XMIL:PRY)</v>
    <v>1336927</v>
    <v>999470</v>
  </rv>
  <rv s="2">
    <v>117</v>
  </rv>
  <rv s="0">
    <v>https://www.bing.com/financeapi/forcetrigger?t=an2bf2&amp;q=XSWX%3aJFN&amp;form=skydnc</v>
    <v>Learn more on Bing</v>
  </rv>
  <rv s="1">
    <v>es-ES</v>
    <v>an2bf2</v>
    <v>268435456</v>
    <v>1</v>
    <v>Con tecnología de Refinitiv</v>
    <v>0</v>
    <v>1</v>
    <v>Jungfraubahn (XSWX:JFN)</v>
    <v>3</v>
    <v>30</v>
    <v>Finance</v>
    <v>31</v>
    <v>XSWX</v>
    <v>5835000</v>
    <v>1952</v>
    <v>227.5</v>
    <v>0.58599999999999997</v>
    <v>3</v>
    <v>-2.183E-3</v>
    <v>1.3273999999999999E-2</v>
    <v>-0.5</v>
    <v>1318710000</v>
    <v>226</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46297.825254629628</v>
    <v>SIX Swiss Exchange</v>
    <v>119</v>
    <v>230.5</v>
    <v>327</v>
    <v>225.5</v>
    <v>217</v>
    <v>CHF</v>
    <v>Jungfraubahn</v>
    <v>Jungfraubahn</v>
    <v>18.988399999999999</v>
    <v>229</v>
    <v>228.5</v>
    <v>Hotels &amp; Entertainment Services</v>
    <v>Harderstrasse 14, INTERLAKEN, BERN, 3800 CH</v>
    <v>JFN</v>
    <v>Acciones</v>
    <v>Jungfraubahn (XSWX:JFN)</v>
    <v>10430</v>
    <v>12380</v>
  </rv>
  <rv s="2">
    <v>120</v>
  </rv>
  <rv s="0">
    <v>https://www.bing.com/financeapi/forcetrigger?t=ajejhw&amp;q=XMIL%3aCPR&amp;form=skydnc</v>
    <v>Learn more on Bing</v>
  </rv>
  <rv s="6">
    <v>es-ES</v>
    <v>ajejhw</v>
    <v>268435456</v>
    <v>1</v>
    <v>Con tecnología de Refinitiv</v>
    <v>12</v>
    <v>13</v>
    <v>Davide Campari Milano NV (XMIL:CPR)</v>
    <v>3</v>
    <v>14</v>
    <v>Finance</v>
    <v>41</v>
    <v>XMIL</v>
    <v>1231268000</v>
    <v>2020</v>
    <v>6</v>
    <v>0.31840000000000002</v>
    <v>1.7999999999999999E-2</v>
    <v>2.9909999999999997E-3</v>
    <v>7409769000</v>
    <v>6.0179999999999998</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46297.666666666664</v>
    <v>Borsa Italiana</v>
    <v>122</v>
    <v>6.1180000000000003</v>
    <v>6.82</v>
    <v>6</v>
    <v>5.27</v>
    <v>EUR</v>
    <v>Davide Campari Milano NV</v>
    <v>Davide Campari Milano NV</v>
    <v>26.485299999999999</v>
    <v>6.0359999999999996</v>
    <v>Beverages</v>
    <v>Via Sacchetti, 20, SESTO SAN GIOVANNI, MILANO, 20099 IT</v>
    <v>CPR</v>
    <v>Acciones</v>
    <v>Davide Campari Milano NV (XMIL:CPR)</v>
    <v>3831441</v>
    <v>4999980</v>
  </rv>
  <rv s="2">
    <v>123</v>
  </rv>
  <rv s="0">
    <v>https://www.bing.com/financeapi/forcetrigger?t=b1lbp2&amp;q=XSWX%3aSIKA&amp;form=skydnc</v>
    <v>Learn more on Bing</v>
  </rv>
  <rv s="1">
    <v>es-ES</v>
    <v>b1lbp2</v>
    <v>268435456</v>
    <v>1</v>
    <v>Con tecnología de Refinitiv</v>
    <v>0</v>
    <v>1</v>
    <v>Sika Ltd (XSWX:SIKA)</v>
    <v>3</v>
    <v>30</v>
    <v>Finance</v>
    <v>31</v>
    <v>XSWX</v>
    <v>160479300</v>
    <v>1971</v>
    <v>180.7</v>
    <v>1.6346000000000001</v>
    <v>4.6500000000000004</v>
    <v>0</v>
    <v>2.5956E-2</v>
    <v>0</v>
    <v>28749870000</v>
    <v>179.15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46297.694444444445</v>
    <v>SIX Swiss Exchange</v>
    <v>125</v>
    <v>183.95</v>
    <v>197.6</v>
    <v>179.7</v>
    <v>120.35</v>
    <v>CHF</v>
    <v>Sika Ltd</v>
    <v>Sika Ltd</v>
    <v>28.3642</v>
    <v>183.8</v>
    <v>183.8</v>
    <v>Chemicals</v>
    <v>Zugerstrasse 50, BAAR, ZUG, 6340 CH</v>
    <v>SIKA</v>
    <v>Acciones</v>
    <v>Sika Ltd (XSWX:SIKA)</v>
    <v>366761</v>
    <v>347390</v>
  </rv>
  <rv s="2">
    <v>126</v>
  </rv>
  <rv s="0">
    <v>https://www.bing.com/financeapi/forcetrigger?t=a1pmur&amp;q=XNAS%3aCHKP&amp;form=skydnc</v>
    <v>Learn more on Bing</v>
  </rv>
  <rv s="1">
    <v>es-ES</v>
    <v>a1pmur</v>
    <v>268435456</v>
    <v>1</v>
    <v>Con tecnología de Refinitiv</v>
    <v>0</v>
    <v>1</v>
    <v>CHECK POINT SOFTWARE TECHNOLOGIES LTD. (XNAS:CHKP)</v>
    <v>3</v>
    <v>4</v>
    <v>Finance</v>
    <v>17</v>
    <v>XNAS</v>
    <v>102100600</v>
    <v>1993</v>
    <v>130.97</v>
    <v>0.46010000000000001</v>
    <v>-0.38</v>
    <v>0</v>
    <v>-2.9070000000000003E-3</v>
    <v>0</v>
    <v>13308813210</v>
    <v>130.72999999999999</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46297.843753390625</v>
    <v>Nasdaq Stock Market</v>
    <v>128</v>
    <v>133.02500000000001</v>
    <v>210.66</v>
    <v>129.30000000000001</v>
    <v>112.23</v>
    <v>USD</v>
    <v>CHECK POINT SOFTWARE TECHNOLOGIES LTD.</v>
    <v>CHECK POINT SOFTWARE TECHNOLOGIES LTD.</v>
    <v>13.353199999999999</v>
    <v>130.35</v>
    <v>130.35</v>
    <v>Software &amp; IT Services</v>
    <v>5 Shlomo Kaplan Street, TEL AVIV, TEL AVIV, 6789159 IL</v>
    <v>CHKP</v>
    <v>Acciones</v>
    <v>CHECK POINT SOFTWARE TECHNOLOGIES LTD. (XNAS:CHKP)</v>
    <v>611053</v>
    <v>1148919</v>
  </rv>
  <rv s="2">
    <v>129</v>
  </rv>
  <rv s="0">
    <v>https://www.bing.com/financeapi/forcetrigger?t=ajgoa2&amp;q=XMIL%3aTGYM&amp;form=skydnc</v>
    <v>Learn more on Bing</v>
  </rv>
  <rv s="10">
    <v>es-ES</v>
    <v>ajgoa2</v>
    <v>268435456</v>
    <v>1</v>
    <v>Con tecnología de Refinitiv</v>
    <v>38</v>
    <v>39</v>
    <v>Technogym S.p.A. (XMIL:TGYM)</v>
    <v>3</v>
    <v>40</v>
    <v>Finance</v>
    <v>41</v>
    <v>XMIL</v>
    <v>201327500</v>
    <v>13.28</v>
    <v>0.85950000000000004</v>
    <v>-0.21</v>
    <v>-1.5982E-2</v>
    <v>2645443000</v>
    <v>13.14</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46297.666666666664</v>
    <v>Borsa Italiana</v>
    <v>131</v>
    <v>13.28</v>
    <v>21.82</v>
    <v>12.87</v>
    <v>11.92</v>
    <v>EUR</v>
    <v>Technogym S.p.A.</v>
    <v>Technogym S.p.A.</v>
    <v>22.451799999999999</v>
    <v>12.93</v>
    <v>Leisure Products</v>
    <v>Via Calcinaro, 2861, CESENA, FORLI CESENA, 47521 IT</v>
    <v>TGYM</v>
    <v>Acciones</v>
    <v>Technogym S.p.A. (XMIL:TGYM)</v>
    <v>354487</v>
    <v>460830</v>
  </rv>
  <rv s="2">
    <v>132</v>
  </rv>
  <rv s="0">
    <v>https://www.bing.com/financeapi/forcetrigger?t=amg4gh&amp;q=BMEX%3aVID&amp;form=skydnc</v>
    <v>Learn more on Bing</v>
  </rv>
  <rv s="10">
    <v>es-ES</v>
    <v>amg4gh</v>
    <v>268435456</v>
    <v>1</v>
    <v>Con tecnología de Refinitiv</v>
    <v>38</v>
    <v>39</v>
    <v>VIDRALA, S.A. (BMEX:VID)</v>
    <v>3</v>
    <v>40</v>
    <v>Finance</v>
    <v>15</v>
    <v>BMEX</v>
    <v>35206260</v>
    <v>85.1</v>
    <v>1.0331999999999999</v>
    <v>-0.3</v>
    <v>-3.5249999999999999E-3</v>
    <v>2996052000</v>
    <v>85.1</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46297.666666666664</v>
    <v>Bolsas y Mercados Espanoles</v>
    <v>134</v>
    <v>86.4</v>
    <v>92.8</v>
    <v>84.7</v>
    <v>70.400000000000006</v>
    <v>EUR</v>
    <v>VIDRALA, S.A.</v>
    <v>VIDRALA, S.A.</v>
    <v>13.579499999999999</v>
    <v>84.8</v>
    <v>Containers &amp; Packaging</v>
    <v>Barrio Munegazo, 22, LLODIO, ALAVA, 01400 ES</v>
    <v>VID</v>
    <v>Acciones</v>
    <v>VIDRALA, S.A. (BMEX:VID)</v>
    <v>22197</v>
    <v>26080</v>
  </rv>
  <rv s="2">
    <v>135</v>
  </rv>
  <rv s="0">
    <v>https://www.bing.com/financeapi/forcetrigger?t=c276a2&amp;q=XTSE%3aTFPM&amp;form=skydnc</v>
    <v>Learn more on Bing</v>
  </rv>
  <rv s="1">
    <v>es-ES</v>
    <v>c276a2</v>
    <v>268435456</v>
    <v>1</v>
    <v>Con tecnología de Refinitiv</v>
    <v>0</v>
    <v>1</v>
    <v>Triple Flag Prec (XTSE:TFPM)</v>
    <v>3</v>
    <v>42</v>
    <v>Finance</v>
    <v>43</v>
    <v>XTSE</v>
    <v>206003000</v>
    <v>2019</v>
    <v>44.06</v>
    <v>0.3498</v>
    <v>0.34</v>
    <v>0</v>
    <v>7.8589999999999997E-3</v>
    <v>0</v>
    <v>8981730800</v>
    <v>43.26</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46297.833333333336</v>
    <v>Toronto Stock Exchange</v>
    <v>137</v>
    <v>44.06</v>
    <v>57.26</v>
    <v>43</v>
    <v>37.274999999999999</v>
    <v>CAD</v>
    <v>Triple Flag Prec</v>
    <v>Triple Flag Prec</v>
    <v>15.426500000000001</v>
    <v>43.6</v>
    <v>43.6</v>
    <v>Metals &amp; Mining</v>
    <v>TD Canada Trust Tower, 161 Bay Street, Suite 4535, Toronto, ON, M5J 2S1 CA</v>
    <v>TFPM</v>
    <v>Acciones</v>
    <v>Triple Flag Prec (XTSE:TFPM)</v>
    <v>103900</v>
    <v>166370</v>
  </rv>
  <rv s="2">
    <v>138</v>
  </rv>
  <rv s="0">
    <v>https://www.bing.com/financeapi/forcetrigger?t=a1ygoc&amp;q=XNAS%3aNFLX&amp;form=skydnc</v>
    <v>Learn more on Bing</v>
  </rv>
  <rv s="1">
    <v>es-ES</v>
    <v>a1ygoc</v>
    <v>268435456</v>
    <v>1</v>
    <v>Con tecnología de Refinitiv</v>
    <v>0</v>
    <v>1</v>
    <v>NETFLIX, INC. (XNAS:NFLX)</v>
    <v>3</v>
    <v>4</v>
    <v>Finance</v>
    <v>5</v>
    <v>XNAS</v>
    <v>4163939000</v>
    <v>1997</v>
    <v>67.599999999999994</v>
    <v>1.6013999999999999</v>
    <v>-0.79</v>
    <v>5.5620000000000008E-4</v>
    <v>-1.1642999999999999E-2</v>
    <v>3.73E-2</v>
    <v>279233749340</v>
    <v>67.849999999999994</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46297.855677649997</v>
    <v>Nasdaq Stock Market</v>
    <v>140</v>
    <v>67.87</v>
    <v>124.86</v>
    <v>66.745000000000005</v>
    <v>65.08</v>
    <v>USD</v>
    <v>NETFLIX, INC.</v>
    <v>NETFLIX, INC.</v>
    <v>21.1266</v>
    <v>67.06</v>
    <v>67.097300000000004</v>
    <v>Software &amp; IT Services</v>
    <v>121 Albright Way, LOS GATOS, CA, 95032 US</v>
    <v>NFLX</v>
    <v>Acciones</v>
    <v>NETFLIX, INC. (XNAS:NFLX)</v>
    <v>38274522</v>
    <v>33271285</v>
  </rv>
  <rv s="2">
    <v>141</v>
  </rv>
  <rv s="0">
    <v>https://www.bing.com/financeapi/forcetrigger?t=a1yjxm&amp;q=XNYS%3aNKE&amp;form=skydnc</v>
    <v>Learn more on Bing</v>
  </rv>
  <rv s="1">
    <v>es-ES</v>
    <v>a1yjxm</v>
    <v>268435456</v>
    <v>1</v>
    <v>Con tecnología de Refinitiv</v>
    <v>0</v>
    <v>1</v>
    <v>NIKE, INC. (XNYS:NKE)</v>
    <v>3</v>
    <v>4</v>
    <v>Finance</v>
    <v>5</v>
    <v>XNYS</v>
    <v>1483499000</v>
    <v>1969</v>
    <v>32.552999999999997</v>
    <v>1.0439000000000001</v>
    <v>-1.2549999999999999</v>
    <v>-1.178E-3</v>
    <v>-3.5704E-2</v>
    <v>-3.9899999999999998E-2</v>
    <v>50283198605</v>
    <v>35.15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46297.855665578129</v>
    <v>New York Stock Exchange</v>
    <v>143</v>
    <v>33.97</v>
    <v>76.97</v>
    <v>31.97</v>
    <v>31.97</v>
    <v>USD</v>
    <v>NIKE, INC.</v>
    <v>NIKE, INC.</v>
    <v>16.245699999999999</v>
    <v>33.895000000000003</v>
    <v>33.830100000000002</v>
    <v>Textiles &amp; Apparel</v>
    <v>One Bowerman Dr, BEAVERTON, OR, 97005-6453 US</v>
    <v>NKE</v>
    <v>Acciones</v>
    <v>NIKE, INC. (XNYS:NKE)</v>
    <v>141755766</v>
    <v>35960177</v>
  </rv>
  <rv s="2">
    <v>144</v>
  </rv>
  <rv s="0">
    <v>https://www.bing.com/financeapi/forcetrigger?t=amwwgh&amp;q=XSTO%3aMIPS&amp;form=skydnc</v>
    <v>Learn more on Bing</v>
  </rv>
  <rv s="11">
    <v>es-ES</v>
    <v>amwwgh</v>
    <v>268435456</v>
    <v>1</v>
    <v>Con tecnología de Refinitiv</v>
    <v>44</v>
    <v>45</v>
    <v>MIPS (XSTO:MIPS)</v>
    <v>3</v>
    <v>46</v>
    <v>Finance</v>
    <v>22</v>
    <v>XSTO</v>
    <v>26497990</v>
    <v>2001</v>
    <v>387.6</v>
    <v>1.9942</v>
    <v>8.6</v>
    <v>0</v>
    <v>2.2245000000000001E-2</v>
    <v>0</v>
    <v>10244120000</v>
    <v>386.6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46297.666666666664</v>
    <v>NASDAQ Stockholm</v>
    <v>146</v>
    <v>403.4</v>
    <v>386.6</v>
    <v>SEK</v>
    <v>MIPS</v>
    <v>MIPS</v>
    <v>63.231999999999999</v>
    <v>395.2</v>
    <v>395.2</v>
    <v>Leisure Products</v>
    <v>Kemistvagen 1 B, TABY, STOCKHOLM, 183 79 SE</v>
    <v>MIPS</v>
    <v>Acciones</v>
    <v>MIPS (XSTO:MIPS)</v>
    <v>87316</v>
    <v>109270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224.18</v>
    <v>1.1184000000000001</v>
    <v>1.88</v>
    <v>0</v>
    <v>8.4880000000000008E-3</v>
    <v>0</v>
    <v>43211529599</v>
    <v>221.49</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46297.847225253907</v>
    <v>New York Stock Exchange</v>
    <v>149</v>
    <v>226.18</v>
    <v>271.64</v>
    <v>222.535</v>
    <v>212.13</v>
    <v>USD</v>
    <v>FERGUSON ENTERPRISES INC.</v>
    <v>FERGUSON ENTERPRISES INC.</v>
    <v>21.980699999999999</v>
    <v>223.37</v>
    <v>223.33</v>
    <v>Homebuilding &amp; Construction Supplies</v>
    <v>751 Lakefront Commons, NEWPORT NEWS, VA, 23606 US</v>
    <v>FERG</v>
    <v>Acciones</v>
    <v>FERGUSON ENTERPRISES INC. (XNYS:FERG)</v>
    <v>1839338</v>
    <v>1424342</v>
  </rv>
  <rv s="2">
    <v>150</v>
  </rv>
  <rv s="0">
    <v>https://www.bing.com/financeapi/forcetrigger?t=c2kadm&amp;q=XNYS%3aS&amp;form=skydnc</v>
    <v>Learn more on Bing</v>
  </rv>
  <rv s="1">
    <v>es-ES</v>
    <v>c2kadm</v>
    <v>268435456</v>
    <v>1</v>
    <v>Con tecnología de Refinitiv</v>
    <v>0</v>
    <v>1</v>
    <v>SENTINELONE, INC. (XNYS:S)</v>
    <v>3</v>
    <v>4</v>
    <v>Finance</v>
    <v>5</v>
    <v>XNYS</v>
    <v>348049100</v>
    <v>2013</v>
    <v>24.92</v>
    <v>0.60040000000000004</v>
    <v>0.38</v>
    <v>-3.9899999999999999E-4</v>
    <v>1.5403E-2</v>
    <v>-0.01</v>
    <v>8718629955</v>
    <v>24.67</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46297.85520537031</v>
    <v>New York Stock Exchange</v>
    <v>152</v>
    <v>25.75</v>
    <v>25.75</v>
    <v>24.92</v>
    <v>11.81</v>
    <v>USD</v>
    <v>SENTINELONE, INC.</v>
    <v>SENTINELONE, INC.</v>
    <v>0</v>
    <v>25.05</v>
    <v>25.05</v>
    <v>Software &amp; IT Services</v>
    <v>444 Castro Street, Suite 400, MOUNTAIN VIEW, CA, 94041 US</v>
    <v>S</v>
    <v>Acciones</v>
    <v>SENTINELONE, INC. (XNYS:S)</v>
    <v>11314587</v>
    <v>9622873</v>
  </rv>
  <rv s="2">
    <v>153</v>
  </rv>
  <rv s="0">
    <v>https://www.bing.com/financeapi/forcetrigger?t=a24grw&amp;q=XNYS%3aTREX&amp;form=skydnc</v>
    <v>Learn more on Bing</v>
  </rv>
  <rv s="1">
    <v>es-ES</v>
    <v>a24grw</v>
    <v>268435456</v>
    <v>1</v>
    <v>Con tecnología de Refinitiv</v>
    <v>0</v>
    <v>1</v>
    <v>TREX COMPANY, INC. (XNYS:TREX)</v>
    <v>3</v>
    <v>4</v>
    <v>Finance</v>
    <v>5</v>
    <v>XNYS</v>
    <v>101865200</v>
    <v>1998</v>
    <v>44.5</v>
    <v>1.4997</v>
    <v>0.06</v>
    <v>-2.525E-5</v>
    <v>1.379E-3</v>
    <v>-1.1000000000000001E-3</v>
    <v>4437248112</v>
    <v>43.5</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46297.846442823437</v>
    <v>New York Stock Exchange</v>
    <v>155</v>
    <v>44.96</v>
    <v>54.3</v>
    <v>43.234999999999999</v>
    <v>29.77</v>
    <v>USD</v>
    <v>TREX COMPANY, INC.</v>
    <v>TREX COMPANY, INC.</v>
    <v>25.708200000000001</v>
    <v>43.56</v>
    <v>43.558900000000001</v>
    <v>Homebuilding &amp; Construction Supplies</v>
    <v>2500 TREX WAY, WINCHESTER, VA, 22601 US</v>
    <v>TREX</v>
    <v>Acciones</v>
    <v>TREX COMPANY, INC. (XNYS:TREX)</v>
    <v>1563084</v>
    <v>1569141</v>
  </rv>
  <rv s="2">
    <v>156</v>
  </rv>
  <rv s="0">
    <v>https://www.bing.com/financeapi/forcetrigger?t=aea12w&amp;q=XPAR%3aSGO&amp;form=skydnc</v>
    <v>Learn more on Bing</v>
  </rv>
  <rv s="6">
    <v>es-ES</v>
    <v>aea12w</v>
    <v>268435456</v>
    <v>1</v>
    <v>Con tecnología de Refinitiv</v>
    <v>12</v>
    <v>13</v>
    <v>Compagnie de Saint Gobain SA (XPAR:SGO)</v>
    <v>3</v>
    <v>14</v>
    <v>Finance</v>
    <v>15</v>
    <v>XPAR</v>
    <v>494834000</v>
    <v>1981</v>
    <v>66.16</v>
    <v>1.4469000000000001</v>
    <v>0.78</v>
    <v>1.1760999999999999E-2</v>
    <v>32817390000</v>
    <v>66.319999999999993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46297.666666666664</v>
    <v>Euronext Paris</v>
    <v>158</v>
    <v>67.62</v>
    <v>95.6</v>
    <v>66.14</v>
    <v>65.88</v>
    <v>EUR</v>
    <v>Compagnie de Saint Gobain SA</v>
    <v>Compagnie de Saint Gobain SA</v>
    <v>12.344099999999999</v>
    <v>67.099999999999994</v>
    <v>Homebuilding &amp; Construction Supplies</v>
    <v>Tour Saint-Gobain, 12 place de l'Iris, La Defense Cedex, 92096 FR</v>
    <v>SGO</v>
    <v>Acciones</v>
    <v>Compagnie de Saint Gobain SA (XPAR:SGO)</v>
    <v>1148954</v>
    <v>976620</v>
  </rv>
  <rv s="2">
    <v>159</v>
  </rv>
  <rv s="0">
    <v>https://www.bing.com/financeapi/forcetrigger?t=aea7cw&amp;q=XPAR%3aTFF&amp;form=skydnc</v>
    <v>Learn more on Bing</v>
  </rv>
  <rv s="6">
    <v>es-ES</v>
    <v>aea7cw</v>
    <v>268435456</v>
    <v>1</v>
    <v>Con tecnología de Refinitiv</v>
    <v>12</v>
    <v>13</v>
    <v>Tonnellerie FF (XPAR:TFF)</v>
    <v>3</v>
    <v>14</v>
    <v>Finance</v>
    <v>15</v>
    <v>XPAR</v>
    <v>21680000</v>
    <v>1956</v>
    <v>13.5</v>
    <v>0.57069999999999999</v>
    <v>0.1</v>
    <v>7.4739999999999997E-3</v>
    <v>290078400</v>
    <v>13.38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46297.666666666664</v>
    <v>Euronext Paris</v>
    <v>161</v>
    <v>13.5</v>
    <v>20</v>
    <v>13.3</v>
    <v>13.06</v>
    <v>EUR</v>
    <v>Tonnellerie FF</v>
    <v>Tonnellerie FF</v>
    <v>32.710500000000003</v>
    <v>13.48</v>
    <v>Containers &amp; Packaging</v>
    <v>Route departementale 17, Saint-Romain, SAINT-ROMAIN-AU-MONT-D OR, AUVERGNE-RHONE-ALPES, 21190 FR</v>
    <v>TFF</v>
    <v>Acciones</v>
    <v>Tonnellerie FF (XPAR:TFF)</v>
    <v>1918</v>
    <v>16030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27.75</v>
    <v>1.0061</v>
    <v>-0.66</v>
    <v>1.5809999999999999E-3</v>
    <v>-2.4079000000000003E-2</v>
    <v>4.2299999999999997E-2</v>
    <v>6768686250</v>
    <v>27.41</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46297.855420138279</v>
    <v>Nasdaq Stock Market</v>
    <v>164</v>
    <v>27.9</v>
    <v>66.739999999999995</v>
    <v>26.43</v>
    <v>23.555</v>
    <v>USD</v>
    <v>CELSIUS HOLDINGS, INC.</v>
    <v>CELSIUS HOLDINGS, INC.</v>
    <v>115.0043</v>
    <v>26.75</v>
    <v>26.792300000000001</v>
    <v>Beverages</v>
    <v>2424 N. Federal Hwy, Suite 208, BOCA RATON, FL, 33431 US</v>
    <v>CELH</v>
    <v>Acciones</v>
    <v>CELSIUS HOLDINGS, INC. (XNAS:CELH)</v>
    <v>8930419</v>
    <v>7099111</v>
  </rv>
  <rv s="2">
    <v>165</v>
  </rv>
  <rv s="0">
    <v>https://www.bing.com/financeapi/forcetrigger?t=alo1ar&amp;q=XAMS%3aBFIT&amp;form=skydnc</v>
    <v>Learn more on Bing</v>
  </rv>
  <rv s="6">
    <v>es-ES</v>
    <v>alo1ar</v>
    <v>268435456</v>
    <v>1</v>
    <v>Con tecnología de Refinitiv</v>
    <v>12</v>
    <v>13</v>
    <v>Basic-Fit N.V. (XAMS:BFIT)</v>
    <v>3</v>
    <v>14</v>
    <v>Finance</v>
    <v>15</v>
    <v>XAMS</v>
    <v>65000000</v>
    <v>2016</v>
    <v>28.92</v>
    <v>0.85829999999999995</v>
    <v>-0.28000000000000003</v>
    <v>-9.7359999999999999E-3</v>
    <v>1869400000</v>
    <v>28.76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46297.666666666664</v>
    <v>Euronext Amsterdam</v>
    <v>167</v>
    <v>29.06</v>
    <v>36.700000000000003</v>
    <v>28.06</v>
    <v>22.84</v>
    <v>EUR</v>
    <v>Basic-Fit N.V.</v>
    <v>Basic-Fit N.V.</v>
    <v>40.157899999999998</v>
    <v>28.48</v>
    <v>Hotels &amp; Entertainment Services</v>
    <v>Wegalaan 60, HOOFDDORP, NOORD-HOLLAND, 2132JC NL</v>
    <v>BFIT</v>
    <v>Acciones</v>
    <v>Basic-Fit N.V. (XAMS:BFIT)</v>
    <v>265392</v>
    <v>177330</v>
  </rv>
  <rv s="2">
    <v>168</v>
  </rv>
  <rv s="0">
    <v>https://www.bing.com/financeapi/forcetrigger?t=bscvur&amp;q=XWBO%3aVRLA&amp;form=skydnc</v>
    <v>Learn more on Bing</v>
  </rv>
  <rv s="12">
    <v>es-ES</v>
    <v>bscvur</v>
    <v>268435456</v>
    <v>1</v>
    <v>Con tecnología de Refinitiv</v>
    <v>47</v>
    <v>48</v>
    <v>Verallia SA (XWBO:VRLA)</v>
    <v>3</v>
    <v>49</v>
    <v>Finance</v>
    <v>15</v>
    <v>XWBO</v>
    <v>127587300</v>
    <v>2015</v>
    <v>18.45</v>
    <v>1.1108</v>
    <v>-0.96</v>
    <v>-4.9611999999999996E-2</v>
    <v>2086052000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40.630000000000003</v>
    <v>18.39</v>
    <v>Containers &amp; Packaging</v>
    <v>TOUR CARPE DIEM - ESPLANADE NORD, 31 PLACE DES COROLLES, COURBEVOIE, ILE-DE-FRANCE, 92400 FR</v>
    <v>VRLA</v>
    <v>Acciones</v>
    <v>Verallia SA (XWBO:VRLA)</v>
    <v>798</v>
    <v>39190</v>
  </rv>
  <rv s="2">
    <v>171</v>
  </rv>
  <rv s="13">
    <v>es-ES</v>
    <v>c8f4a2</v>
    <v>268435456</v>
    <v>1</v>
    <v>Con tecnología de Refinitiv</v>
    <v>50</v>
    <v>51</v>
    <v>Kistos Holdings (XLON:KIST)</v>
    <v>27</v>
    <v>19</v>
    <v>Finance</v>
    <v>20</v>
    <v>XLON</v>
    <v>83117650</v>
    <v>2022</v>
    <v>320</v>
    <v>1.2694000000000001</v>
    <v>-3</v>
    <v>-9.3749999999999997E-3</v>
    <v>267306600</v>
    <v>320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46297.649428911718</v>
    <v>London Stock Exchange</v>
    <v>320</v>
    <v>350</v>
    <v>317</v>
    <v>145</v>
    <v>GBp</v>
    <v>Kistos Holdings</v>
    <v>Kistos Holdings</v>
    <v>14.158099999999999</v>
    <v>317</v>
    <v>Oil &amp; Gas</v>
    <v>2nd Floor, 3 St James Square, NaN, LONDON, ENGLAND, SW1Y 4JU GB</v>
    <v>KIST</v>
    <v>Acciones</v>
    <v>Kistos Holdings (XLON:KIST)</v>
    <v>81487</v>
    <v>218930</v>
  </rv>
  <rv s="2">
    <v>173</v>
  </rv>
  <rv s="0">
    <v>https://www.bing.com/financeapi/forcetrigger?t=bq9y7w&amp;q=XLON%3aWOSG&amp;form=skydnc</v>
    <v>Learn more on Bing</v>
  </rv>
  <rv s="6">
    <v>es-ES</v>
    <v>bq9y7w</v>
    <v>268435456</v>
    <v>1</v>
    <v>Con tecnología de Refinitiv</v>
    <v>12</v>
    <v>13</v>
    <v>Watches of CH (XLON:WOSG)</v>
    <v>3</v>
    <v>19</v>
    <v>Finance</v>
    <v>20</v>
    <v>XLON</v>
    <v>233301600</v>
    <v>2019</v>
    <v>662</v>
    <v>2.3456999999999999</v>
    <v>-14.5</v>
    <v>-2.1106E-2</v>
    <v>1602782000</v>
    <v>687</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46297.651510300784</v>
    <v>London Stock Exchange</v>
    <v>175</v>
    <v>691.5</v>
    <v>801.5</v>
    <v>662</v>
    <v>357.6</v>
    <v>GBp</v>
    <v>Watches of CH</v>
    <v>Watches of CH</v>
    <v>15.7864</v>
    <v>672.5</v>
    <v>Specialty Retailers</v>
    <v>Aurum House, 2 Elland Road, LEICESTER, LEICESTERSHIRE, LE3 1TT GB</v>
    <v>WOSG</v>
    <v>Acciones</v>
    <v>Watches of CH (XLON:WOSG)</v>
    <v>404855</v>
    <v>589730</v>
  </rv>
  <rv s="2">
    <v>176</v>
  </rv>
  <rv s="0">
    <v>https://www.bing.com/financeapi/forcetrigger?t=aayx5r&amp;q=XTSE%3aIPCO&amp;form=skydnc</v>
    <v>Learn more on Bing</v>
  </rv>
  <rv s="1">
    <v>es-ES</v>
    <v>aayx5r</v>
    <v>268435456</v>
    <v>1</v>
    <v>Con tecnología de Refinitiv</v>
    <v>0</v>
    <v>1</v>
    <v>INTERNATIONAL PETROLEUM CORPORATION (XTSE:IPCO)</v>
    <v>3</v>
    <v>52</v>
    <v>Finance</v>
    <v>43</v>
    <v>XTSE</v>
    <v>112159300</v>
    <v>2017</v>
    <v>34.130000000000003</v>
    <v>0.41660000000000003</v>
    <v>0.61</v>
    <v>0</v>
    <v>1.7795000000000002E-2</v>
    <v>0</v>
    <v>27299110000</v>
    <v>34.28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46297.833333333336</v>
    <v>Toronto Stock Exchange</v>
    <v>178</v>
    <v>35.11</v>
    <v>39.47</v>
    <v>33.79</v>
    <v>20.74</v>
    <v>CAD</v>
    <v>INTERNATIONAL PETROLEUM CORPORATION</v>
    <v>INTERNATIONAL PETROLEUM CORPORATION</v>
    <v>133.42259999999999</v>
    <v>34.89</v>
    <v>34.89</v>
    <v>Oil &amp; Gas</v>
    <v>Suite 2800, 1055 Dunsmuir Street, VANCOUVER, BC, V7X 1L2 CA</v>
    <v>IPCO</v>
    <v>Acciones</v>
    <v>INTERNATIONAL PETROLEUM CORPORATION (XTSE:IPCO)</v>
    <v>71083</v>
    <v>196900</v>
  </rv>
  <rv s="2">
    <v>179</v>
  </rv>
  <rv s="0">
    <v>https://www.bing.com/financeapi/forcetrigger?t=c1w41h&amp;q=XNAS%3aOTLY&amp;form=skydnc</v>
    <v>Learn more on Bing</v>
  </rv>
  <rv s="1">
    <v>es-ES</v>
    <v>c1w41h</v>
    <v>268435456</v>
    <v>1</v>
    <v>Con tecnología de Refinitiv</v>
    <v>0</v>
    <v>1</v>
    <v>Oatly Group (XNAS:OTLY)</v>
    <v>3</v>
    <v>4</v>
    <v>Finance</v>
    <v>17</v>
    <v>XNAS</v>
    <v>31912260</v>
    <v>2016</v>
    <v>10.5</v>
    <v>1.9245000000000001</v>
    <v>0.12</v>
    <v>0</v>
    <v>1.1505000000000001E-2</v>
    <v>0</v>
    <v>336674343</v>
    <v>10.43</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46297.843753298439</v>
    <v>Nasdaq Stock Market</v>
    <v>181</v>
    <v>10.72</v>
    <v>16.424199999999999</v>
    <v>10.5</v>
    <v>8.01</v>
    <v>USD</v>
    <v>Oatly Group</v>
    <v>Oatly Group</v>
    <v>0</v>
    <v>10.55</v>
    <v>10.55</v>
    <v>Food &amp; Tobacco</v>
    <v>Angfarjekajen 8, MALMO, SKANE, 211 36 SE</v>
    <v>OTLY</v>
    <v>Acciones</v>
    <v>Oatly Group (XNAS:OTLY)</v>
    <v>53229</v>
    <v>56472</v>
  </rv>
  <rv s="2">
    <v>182</v>
  </rv>
  <rv s="0">
    <v>https://www.bing.com/financeapi/forcetrigger?t=aaxn6h&amp;q=XTSE%3aCSU&amp;form=skydnc</v>
    <v>Learn more on Bing</v>
  </rv>
  <rv s="1">
    <v>es-ES</v>
    <v>aaxn6h</v>
    <v>268435456</v>
    <v>1</v>
    <v>Con tecnología de Refinitiv</v>
    <v>0</v>
    <v>1</v>
    <v>Constellation Software Inc. (XTSE:CSU)</v>
    <v>3</v>
    <v>42</v>
    <v>Finance</v>
    <v>43</v>
    <v>XTSE</v>
    <v>21191530</v>
    <v>2002</v>
    <v>2971.5</v>
    <v>0.71750000000000003</v>
    <v>11.21</v>
    <v>0</v>
    <v>3.774E-3</v>
    <v>0</v>
    <v>63176401151</v>
    <v>2970</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46297.833333333336</v>
    <v>Toronto Stock Exchange</v>
    <v>184</v>
    <v>3042.9749999999999</v>
    <v>4110</v>
    <v>2946.95</v>
    <v>2196</v>
    <v>CAD</v>
    <v>Constellation Software Inc.</v>
    <v>Constellation Software Inc.</v>
    <v>46.3123</v>
    <v>2981.21</v>
    <v>2981.21</v>
    <v>Software &amp; IT Services</v>
    <v>#66 Wellington Street West, Suite 5300, TD Bank Tower, TORONTO, ON, M5K 1E6 CA</v>
    <v>CSU</v>
    <v>Acciones</v>
    <v>Constellation Software Inc. (XTSE:CSU)</v>
    <v>51191</v>
    <v>72480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68.239999999999995</v>
    <v>1.3212999999999999</v>
    <v>0.23</v>
    <v>5.8730000000000002E-4</v>
    <v>3.388E-3</v>
    <v>0.04</v>
    <v>139118761600</v>
    <v>67.88</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46297.8552939</v>
    <v>New York Stock Exchange</v>
    <v>187</v>
    <v>68.47</v>
    <v>101.295</v>
    <v>67.22</v>
    <v>65.41</v>
    <v>USD</v>
    <v>UBER TECHNOLOGIES, INC.</v>
    <v>UBER TECHNOLOGIES, INC.</v>
    <v>14.950799999999999</v>
    <v>68.11</v>
    <v>68.150000000000006</v>
    <v>Software &amp; IT Services</v>
    <v>1725 3Rd Street, SAN FRANCISCO, CA, 94158 US</v>
    <v>UBER</v>
    <v>Acciones</v>
    <v>UBER TECHNOLOGIES, INC. (XNYS:UBER)</v>
    <v>15476191</v>
    <v>17992531</v>
  </rv>
  <rv s="2">
    <v>188</v>
  </rv>
  <rv s="0">
    <v>https://www.bing.com/financeapi/forcetrigger?t=aodtkr&amp;q=XLON%3aSOM&amp;form=skydnc</v>
    <v>Learn more on Bing</v>
  </rv>
  <rv s="14">
    <v>es-ES</v>
    <v>aodtkr</v>
    <v>268435456</v>
    <v>1</v>
    <v>Con tecnología de Refinitiv</v>
    <v>53</v>
    <v>54</v>
    <v>Somero (XLON:SOM)</v>
    <v>3</v>
    <v>55</v>
    <v>Finance</v>
    <v>29</v>
    <v>XLON</v>
    <v>51643640</v>
    <v>2002</v>
    <v>260</v>
    <v>0.86699999999999999</v>
    <v>10</v>
    <v>7.5509999999999996E-3</v>
    <v>3.8835000000000001E-2</v>
    <v>2.02</v>
    <v>133647400</v>
    <v>257.5</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46297.647918575778</v>
    <v>London Stock Exchange</v>
    <v>190</v>
    <v>268</v>
    <v>170</v>
    <v>GBp</v>
    <v>Somero</v>
    <v>Somero</v>
    <v>12.939399999999999</v>
    <v>267.5</v>
    <v>269.52</v>
    <v>Machinery, Equipment &amp; Components</v>
    <v>14530 Global Pkwy, FORT MYERS, FL, 33913 US</v>
    <v>SOM</v>
    <v>Acciones</v>
    <v>Somero (XLON:SOM)</v>
    <v>58784</v>
    <v>53730</v>
  </rv>
  <rv s="2">
    <v>191</v>
  </rv>
  <rv s="0">
    <v>https://www.bing.com/financeapi/forcetrigger?t=ajflbh&amp;q=XMIL%3aIP&amp;form=skydnc</v>
    <v>Learn more on Bing</v>
  </rv>
  <rv s="10">
    <v>es-ES</v>
    <v>ajflbh</v>
    <v>268435456</v>
    <v>1</v>
    <v>Con tecnología de Refinitiv</v>
    <v>38</v>
    <v>39</v>
    <v>Interpump Group S.p.A. (XMIL:IP)</v>
    <v>3</v>
    <v>40</v>
    <v>Finance</v>
    <v>41</v>
    <v>XMIL</v>
    <v>108879300</v>
    <v>35.82</v>
    <v>1.2165999999999999</v>
    <v>0.08</v>
    <v>2.2620000000000001E-3</v>
    <v>3849972000</v>
    <v>35.36</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46297.666666666664</v>
    <v>Borsa Italiana</v>
    <v>193</v>
    <v>35.979999999999997</v>
    <v>51.3</v>
    <v>35.340000000000003</v>
    <v>30.1</v>
    <v>EUR</v>
    <v>Interpump Group S.p.A.</v>
    <v>Interpump Group S.p.A.</v>
    <v>17.664400000000001</v>
    <v>35.44</v>
    <v>Machinery, Equipment &amp; Components</v>
    <v>Via E. Fermi, 25, SANT'ILARIO D'ENZA, REGGIO EMILIA, 42049 IT</v>
    <v>IP</v>
    <v>Acciones</v>
    <v>Interpump Group S.p.A. (XMIL:IP)</v>
    <v>106184</v>
    <v>192270</v>
  </rv>
  <rv s="2">
    <v>194</v>
  </rv>
  <rv s="0">
    <v>https://www.bing.com/financeapi/forcetrigger?t=ae9vtc&amp;q=XPAR%3aRBT&amp;form=skydnc</v>
    <v>Learn more on Bing</v>
  </rv>
  <rv s="6">
    <v>es-ES</v>
    <v>ae9vtc</v>
    <v>268435456</v>
    <v>1</v>
    <v>Con tecnología de Refinitiv</v>
    <v>12</v>
    <v>13</v>
    <v>Robertet (XPAR:RBT)</v>
    <v>3</v>
    <v>14</v>
    <v>Finance</v>
    <v>15</v>
    <v>XPAR</v>
    <v>2169300</v>
    <v>1957</v>
    <v>741</v>
    <v>0.46110000000000001</v>
    <v>3</v>
    <v>4.032E-3</v>
    <v>1600206000</v>
    <v>744</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46297.666666666664</v>
    <v>Euronext Paris</v>
    <v>196</v>
    <v>750</v>
    <v>922</v>
    <v>741</v>
    <v>710</v>
    <v>EUR</v>
    <v>Robertet</v>
    <v>Robertet</v>
    <v>16.551100000000002</v>
    <v>747</v>
    <v>Chemicals</v>
    <v>37 Avenue Sidi Brahim, Bp 52100, GRASSE, PACA, 06130 FR</v>
    <v>RBT</v>
    <v>Acciones</v>
    <v>Robertet (XPAR:RBT)</v>
    <v>1119</v>
    <v>1720</v>
  </rv>
  <rv s="2">
    <v>197</v>
  </rv>
  <rv s="15">
    <v>es-ES</v>
    <v>cg32pr</v>
    <v>268435456</v>
    <v>1</v>
    <v>Con tecnología de Refinitiv</v>
    <v>56</v>
    <v>57</v>
    <v>Roko (XSTO:ROKO B)</v>
    <v>27</v>
    <v>46</v>
    <v>Finance</v>
    <v>22</v>
    <v>XSTO</v>
    <v>12136500</v>
    <v>2019</v>
    <v>1926</v>
    <v>0.76800000000000002</v>
    <v>-12</v>
    <v>0</v>
    <v>-6.2890000000000003E-3</v>
    <v>0</v>
    <v>23156440000</v>
    <v>1908</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46297.666666666664</v>
    <v>NASDAQ Stockholm</v>
    <v>1938</v>
    <v>1896</v>
    <v>SEK</v>
    <v>Roko</v>
    <v>Roko</v>
    <v>35.3797</v>
    <v>1896</v>
    <v>1896</v>
    <v>Investment Banking &amp; Investment Services</v>
    <v>Ostermalmsgatan 33, STOCKSUND, STOCKHOLM, 114 26 SE</v>
    <v>ROKO B</v>
    <v>Acciones</v>
    <v>Roko (XSTO:ROKO B)</v>
    <v>10507</v>
    <v>7930</v>
  </rv>
  <rv s="2">
    <v>199</v>
  </rv>
  <rv s="0">
    <v>https://www.bing.com/financeapi/forcetrigger?t=a253tc&amp;q=XNYS%3aUSPH&amp;form=skydnc</v>
    <v>Learn more on Bing</v>
  </rv>
  <rv s="1">
    <v>es-ES</v>
    <v>a253tc</v>
    <v>268435456</v>
    <v>1</v>
    <v>Con tecnología de Refinitiv</v>
    <v>0</v>
    <v>1</v>
    <v>US Physical (XNYS:USPH)</v>
    <v>3</v>
    <v>4</v>
    <v>Finance</v>
    <v>5</v>
    <v>XNYS</v>
    <v>14922700</v>
    <v>1992</v>
    <v>83.21</v>
    <v>1.1626000000000001</v>
    <v>1.24</v>
    <v>0</v>
    <v>1.5012000000000001E-2</v>
    <v>0</v>
    <v>1251119168</v>
    <v>82.6</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46297.85234924766</v>
    <v>New York Stock Exchange</v>
    <v>201</v>
    <v>84.685000000000002</v>
    <v>93.5</v>
    <v>82.55</v>
    <v>58.19</v>
    <v>USD</v>
    <v>US Physical</v>
    <v>US Physical</v>
    <v>477.17700000000002</v>
    <v>83.84</v>
    <v>83.72</v>
    <v>Healthcare Providers &amp; Services</v>
    <v>1300 West Sam Houston Parkway South, Suite 300, HOUSTON, TX, 77043 US</v>
    <v>USPH</v>
    <v>Acciones</v>
    <v>US Physical (XNYS:USPH)</v>
    <v>235743</v>
    <v>169782</v>
  </rv>
  <rv s="2">
    <v>202</v>
  </rv>
  <rv s="0">
    <v>https://www.bing.com/financeapi/forcetrigger?t=aftlr7&amp;q=XETR%3aSAP&amp;form=skydnc</v>
    <v>Learn more on Bing</v>
  </rv>
  <rv s="6">
    <v>es-ES</v>
    <v>aftlr7</v>
    <v>268435456</v>
    <v>1</v>
    <v>Con tecnología de Refinitiv</v>
    <v>12</v>
    <v>13</v>
    <v>SAP SE (XETR:SAP)</v>
    <v>3</v>
    <v>14</v>
    <v>Finance</v>
    <v>15</v>
    <v>XETR</v>
    <v>1228504000</v>
    <v>2014</v>
    <v>187.82</v>
    <v>1.1389</v>
    <v>-2.82</v>
    <v>-1.5101E-2</v>
    <v>229410900000</v>
    <v>186.74</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46297.836805555555</v>
    <v>Xetra</v>
    <v>204</v>
    <v>188.74</v>
    <v>244.3</v>
    <v>183.92</v>
    <v>127.5</v>
    <v>EUR</v>
    <v>SAP SE</v>
    <v>SAP SE</v>
    <v>27.411100000000001</v>
    <v>183.92</v>
    <v>Software &amp; IT Services</v>
    <v>Dietmar-Hopp-Allee 16, WALLDORF, BADEN-WUERTTEMBERG, 69190 DE</v>
    <v>SAP</v>
    <v>Acciones</v>
    <v>SAP SE (XETR:SAP)</v>
    <v>1469523</v>
    <v>2404890</v>
  </rv>
  <rv s="2">
    <v>205</v>
  </rv>
  <rv s="16">
    <v>es-ES</v>
    <v>dacqpr</v>
    <v>268435456</v>
    <v>1</v>
    <v>Con tecnología de Refinitiv</v>
    <v>58</v>
    <v>59</v>
    <v>Vylor (XNYS:VYLR)</v>
    <v>27</v>
    <v>60</v>
    <v>Finance</v>
    <v>5</v>
    <v>XNYS</v>
    <v>667196000</v>
    <v>2025</v>
    <v>68.709999999999994</v>
    <v>-1.4</v>
    <v>-4.6089999999999994E-3</v>
    <v>-2.051E-2</v>
    <v>-0.31</v>
    <v>44608724560</v>
    <v>68.260000000000005</v>
    <v>Vylor Inc. is focused in the seed business, including its global growth platforms in licensing, gene editing, hybrid wheat, and biofuels. The Company is a global seed producer utilizing cutting-edge technology, including advanced genetics and proprietary traits that increase yield, sustainability, and crop heal.</v>
    <v>XNYS</v>
    <v>46297.855263888283</v>
    <v>New York Stock Exchange</v>
    <v>71.36</v>
    <v>75</v>
    <v>65.11</v>
    <v>65.000100000000003</v>
    <v>USD</v>
    <v>Vylor</v>
    <v>Vylor</v>
    <v>81.706000000000003</v>
    <v>66.86</v>
    <v>66.95</v>
    <v>Food &amp; Tobacco</v>
    <v>7100 NW 62nd Avenue, JOHNSTON, IA, 50131 US</v>
    <v>VYLR</v>
    <v>Acciones</v>
    <v>Vylor (XNYS:VYLR)</v>
    <v>13479015</v>
  </rv>
  <rv s="2">
    <v>207</v>
  </rv>
  <rv s="0">
    <v>https://www.bing.com/financeapi/forcetrigger?t=a21rw7&amp;q=XNYS%3aRCL&amp;form=skydnc</v>
    <v>Learn more on Bing</v>
  </rv>
  <rv s="1">
    <v>es-ES</v>
    <v>a21rw7</v>
    <v>268435456</v>
    <v>1</v>
    <v>Con tecnología de Refinitiv</v>
    <v>0</v>
    <v>1</v>
    <v>ROYAL CARIBBEAN CRUISES LTD. (XNYS:RCL)</v>
    <v>3</v>
    <v>4</v>
    <v>Finance</v>
    <v>5</v>
    <v>XNYS</v>
    <v>267452100</v>
    <v>1985</v>
    <v>275.17500000000001</v>
    <v>1.9172</v>
    <v>7.95</v>
    <v>-6.8409999999999999E-4</v>
    <v>2.9446E-2</v>
    <v>-0.19</v>
    <v>74335636674</v>
    <v>269.99</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46297.854797534375</v>
    <v>New York Stock Exchange</v>
    <v>209</v>
    <v>279.5</v>
    <v>356.39</v>
    <v>271.56</v>
    <v>222.22</v>
    <v>USD</v>
    <v>ROYAL CARIBBEAN CRUISES LTD.</v>
    <v>ROYAL CARIBBEAN CRUISES LTD.</v>
    <v>17.144300000000001</v>
    <v>277.94</v>
    <v>277.55</v>
    <v>Hotels &amp; Entertainment Services</v>
    <v>1050 Caribbean Way, MIAMI, FL, 33132 US</v>
    <v>RCL</v>
    <v>Acciones</v>
    <v>ROYAL CARIBBEAN CRUISES LTD. (XNYS:RCL)</v>
    <v>3389481</v>
    <v>2973012</v>
  </rv>
  <rv s="2">
    <v>210</v>
  </rv>
  <rv s="17">
    <v>es-ES</v>
    <v>av8wim</v>
    <v>268435456</v>
    <v>1</v>
    <v>Con tecnología de Refinitiv</v>
    <v>61</v>
    <v>62</v>
    <v>EUR/JPY</v>
    <v>63</v>
    <v>64</v>
    <v>Finance</v>
    <v>65</v>
    <v>177.65</v>
    <v>-0.06</v>
    <v>-3.3770000000000002E-4</v>
    <v>177.69</v>
    <v>EUR</v>
    <v>46297.855717592596</v>
    <v>177.89</v>
    <v>187.93</v>
    <v>176.61</v>
    <v>172.2</v>
    <v>JPY</v>
    <v>Euro/Japanese Yen FX Cross Rate</v>
    <v>177.63</v>
    <v>EURJPY</v>
    <v>Par de divisa</v>
    <v>EUR/JPY</v>
  </rv>
  <rv s="2">
    <v>212</v>
  </rv>
  <rv s="17">
    <v>es-ES</v>
    <v>avv7r7</v>
    <v>268435456</v>
    <v>1</v>
    <v>Con tecnología de Refinitiv</v>
    <v>61</v>
    <v>62</v>
    <v>CHF/USD</v>
    <v>63</v>
    <v>66</v>
    <v>Finance</v>
    <v>65</v>
    <v>1.2024999999999999</v>
    <v>4.1000000000000003E-3</v>
    <v>3.4089999999999997E-3</v>
    <v>1.2028000000000001</v>
    <v>CHF</v>
    <v>46297.855671296296</v>
    <v>1.2152000000000001</v>
    <v>1.3149</v>
    <v>1.2011000000000001</v>
    <v>1.1926000000000001</v>
    <v>USD</v>
    <v>Swiss Franc/US Dollar FX Cross Rate</v>
    <v>1.2069000000000001</v>
    <v>CHFUSD</v>
    <v>Par de divisa</v>
    <v>CHF/USD</v>
  </rv>
  <rv s="2">
    <v>214</v>
  </rv>
  <rv s="17">
    <v>es-ES</v>
    <v>avyosm</v>
    <v>268435456</v>
    <v>1</v>
    <v>Con tecnología de Refinitiv</v>
    <v>61</v>
    <v>62</v>
    <v>USD/KZT</v>
    <v>63</v>
    <v>67</v>
    <v>Finance</v>
    <v>65</v>
    <v>443.43</v>
    <v>4.6900000000000004</v>
    <v>1.0577000000000001E-2</v>
    <v>443.43</v>
    <v>USD</v>
    <v>46297.855717592596</v>
    <v>450.25</v>
    <v>549.66</v>
    <v>441.69</v>
    <v>439.14</v>
    <v>KZT</v>
    <v>US Dollar/Kazakhstan Tenge FX Spot Rate</v>
    <v>448.12</v>
    <v>USDKZT</v>
    <v>Par de divisa</v>
    <v>USD/KZT</v>
  </rv>
  <rv s="2">
    <v>216</v>
  </rv>
  <rv s="17">
    <v>es-ES</v>
    <v>av3wnm</v>
    <v>268435456</v>
    <v>1</v>
    <v>Con tecnología de Refinitiv</v>
    <v>61</v>
    <v>62</v>
    <v>CAD/USD</v>
    <v>63</v>
    <v>66</v>
    <v>Finance</v>
    <v>65</v>
    <v>0.70320000000000005</v>
    <v>-1.1999999999999999E-3</v>
    <v>-1.707E-3</v>
    <v>0.70299999999999996</v>
    <v>CAD</v>
    <v>46297.85565972222</v>
    <v>0.70379999999999998</v>
    <v>0.74170000000000003</v>
    <v>0.70120000000000005</v>
    <v>0.70099999999999996</v>
    <v>USD</v>
    <v>Canadian Dollar/US Dollar FX Cross Rate</v>
    <v>0.70179999999999998</v>
    <v>CADUSD</v>
    <v>Par de divisa</v>
    <v>CAD/USD</v>
  </rv>
  <rv s="2">
    <v>218</v>
  </rv>
  <rv s="17">
    <v>es-ES</v>
    <v>avyn9c</v>
    <v>268435456</v>
    <v>1</v>
    <v>Con tecnología de Refinitiv</v>
    <v>61</v>
    <v>62</v>
    <v>USD/EUR</v>
    <v>63</v>
    <v>68</v>
    <v>Finance</v>
    <v>65</v>
    <v>0.88959999999999995</v>
    <v>-1.1000000000000001E-3</v>
    <v>-1.237E-3</v>
    <v>0.88939999999999997</v>
    <v>USD</v>
    <v>46297.85565972222</v>
    <v>0.8911</v>
    <v>0.89159999999999995</v>
    <v>0.8861</v>
    <v>0.82779999999999998</v>
    <v>EUR</v>
    <v>US Dollar/Euro FX Cross Rate</v>
    <v>0.88829999999999998</v>
    <v>USDEUR</v>
    <v>Par de divisa</v>
    <v>USD/EUR</v>
  </rv>
  <rv s="2">
    <v>220</v>
  </rv>
</rvData>
</file>

<file path=xl/richData/rdrichvaluestructure.xml><?xml version="1.0" encoding="utf-8"?>
<rvStructures xmlns="http://schemas.microsoft.com/office/spreadsheetml/2017/richdata" count="18">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en 52 semanas"/>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Cambio"/>
    <k n="Cambio % (horario ampliado)"/>
    <k n="Cambio (%)"/>
    <k n="Cambio (horario ampliado)"/>
    <k n="Capitalización de mercado"/>
    <k n="Cierre anterior"/>
    <k n="Descripción" t="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4">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Capitalización de mercado</v>
      <v t="s">P/I</v>
      <v t="s">Acciones en circulación</v>
      <v t="s">Descripción</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9">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 Última venta</v>
      <v xml:space="preserve">desde el cierre </v>
      <v>Tiempo real Nasdaq Última venta</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5">
      <v xml:space="preserve">desde el cierre anterior </v>
      <v xml:space="preserve">al cierre </v>
      <v xml:space="preserve">desde el cierre anterior </v>
      <v>Origen: Nasdaq</v>
      <v xml:space="preserve">desde el cierre </v>
      <v>Retrasado 15 minutos</v>
      <v xml:space="preserve">desde el cierre </v>
      <v>GMT</v>
    </spb>
    <spb s="12">
      <v>1</v>
      <v>1</v>
      <v>11</v>
      <v>11</v>
      <v>11</v>
      <v>3</v>
      <v>11</v>
      <v>4</v>
      <v>11</v>
      <v>4</v>
      <v>5</v>
      <v>11</v>
      <v>4</v>
      <v>6</v>
      <v>7</v>
      <v>11</v>
      <v>11</v>
      <v>4</v>
      <v>14</v>
      <v>9</v>
    </spb>
    <spb s="12">
      <v>1</v>
      <v>1</v>
      <v>15</v>
      <v>15</v>
      <v>15</v>
      <v>3</v>
      <v>15</v>
      <v>4</v>
      <v>15</v>
      <v>4</v>
      <v>5</v>
      <v>15</v>
      <v>4</v>
      <v>6</v>
      <v>7</v>
      <v>15</v>
      <v>15</v>
      <v>4</v>
      <v>16</v>
      <v>9</v>
    </spb>
    <spb s="14">
      <v xml:space="preserve">desde el cierre anterior </v>
      <v>Retrasado 15 minutos</v>
      <v xml:space="preserve">desde el cierre anterior </v>
      <v>LSE</v>
      <v>GMT</v>
    </spb>
    <spb s="4">
      <v>1</v>
      <v>1</v>
      <v>17</v>
      <v>17</v>
      <v>17</v>
      <v>3</v>
      <v>17</v>
      <v>4</v>
      <v>17</v>
      <v>4</v>
      <v>5</v>
      <v>17</v>
      <v>4</v>
      <v>6</v>
      <v>7</v>
      <v>17</v>
      <v>17</v>
      <v>4</v>
      <v>17</v>
      <v>18</v>
      <v>17</v>
      <v>5</v>
      <v>9</v>
    </spb>
    <spb s="5">
      <v xml:space="preserve">desde el cierre anterior </v>
      <v xml:space="preserve">al cierre </v>
      <v xml:space="preserve">desde el cierre anterior </v>
      <v>Origen: Nasdaq Nordic</v>
      <v xml:space="preserve">desde el cierre </v>
      <v>Retrasado 15 minutos</v>
      <v xml:space="preserve">desde el cierre </v>
      <v>GMT</v>
    </spb>
    <spb s="12">
      <v>1</v>
      <v>1</v>
      <v>19</v>
      <v>19</v>
      <v>19</v>
      <v>3</v>
      <v>19</v>
      <v>4</v>
      <v>19</v>
      <v>4</v>
      <v>5</v>
      <v>19</v>
      <v>4</v>
      <v>6</v>
      <v>7</v>
      <v>19</v>
      <v>19</v>
      <v>4</v>
      <v>20</v>
      <v>9</v>
    </spb>
    <spb s="13">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6">
      <v>3</v>
      <v>Name</v>
    </spb>
    <spb s="17">
      <v>2</v>
      <v>2</v>
      <v>2</v>
    </spb>
    <spb s="4">
      <v>1</v>
      <v>1</v>
      <v>15</v>
      <v>15</v>
      <v>15</v>
      <v>3</v>
      <v>15</v>
      <v>4</v>
      <v>15</v>
      <v>4</v>
      <v>5</v>
      <v>15</v>
      <v>4</v>
      <v>6</v>
      <v>7</v>
      <v>15</v>
      <v>15</v>
      <v>4</v>
      <v>15</v>
      <v>16</v>
      <v>15</v>
      <v>5</v>
      <v>9</v>
    </spb>
    <spb s="5">
      <v xml:space="preserve">desde el cierre anterior </v>
      <v xml:space="preserve">al cierre </v>
      <v xml:space="preserve">desde el cierre anterior </v>
      <v>LSE</v>
      <v xml:space="preserve">desde el cierre </v>
      <v>Retrasado 15 minutos</v>
      <v xml:space="preserve">desde el cierre </v>
      <v>GMT</v>
    </spb>
    <spb s="4">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4">
      <v xml:space="preserve">desde el cierre anterior </v>
      <v>Retrasado 15 minutos</v>
      <v xml:space="preserve">desde el cierre anterior </v>
      <v>Borsa Italia</v>
      <v>GMT</v>
    </spb>
    <spb s="4">
      <v>1</v>
      <v>1</v>
      <v>23</v>
      <v>23</v>
      <v>23</v>
      <v>3</v>
      <v>23</v>
      <v>4</v>
      <v>23</v>
      <v>4</v>
      <v>5</v>
      <v>23</v>
      <v>4</v>
      <v>6</v>
      <v>7</v>
      <v>23</v>
      <v>23</v>
      <v>4</v>
      <v>23</v>
      <v>13</v>
      <v>23</v>
      <v>5</v>
      <v>9</v>
    </spb>
    <spb s="18">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29">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9</v>
      <v>Name</v>
    </spb>
    <spb s="4">
      <v>1</v>
      <v>1</v>
      <v>23</v>
      <v>23</v>
      <v>23</v>
      <v>3</v>
      <v>23</v>
      <v>4</v>
      <v>23</v>
      <v>4</v>
      <v>5</v>
      <v>23</v>
      <v>4</v>
      <v>6</v>
      <v>7</v>
      <v>23</v>
      <v>23</v>
      <v>4</v>
      <v>23</v>
      <v>18</v>
      <v>23</v>
      <v>5</v>
      <v>9</v>
    </spb>
    <spb s="30">
      <v>P/E</v>
      <v>Beta</v>
      <v>Change</v>
      <v>Currency</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10</v>
      <v>Name</v>
      <v>LearnMoreOnLink</v>
    </spb>
    <spb s="31">
      <v>1</v>
      <v>1</v>
      <v>15</v>
      <v>3</v>
      <v>15</v>
      <v>4</v>
      <v>15</v>
      <v>4</v>
      <v>5</v>
      <v>15</v>
      <v>4</v>
      <v>6</v>
      <v>7</v>
      <v>15</v>
      <v>15</v>
      <v>4</v>
      <v>15</v>
      <v>16</v>
      <v>15</v>
      <v>5</v>
      <v>9</v>
    </spb>
    <spb s="3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11</v>
      <v>Name</v>
    </spb>
    <spb s="33">
      <v>P/E</v>
      <v>Change</v>
      <v>Currency</v>
      <v>High</v>
      <v>Low</v>
      <v>Name</v>
      <v>Price</v>
      <v>Industry</v>
      <v>Volume</v>
      <v>Open</v>
      <v>Change (%)</v>
      <v>ExchangeID</v>
      <v>UniqueName</v>
      <v>Description</v>
      <v>Exchange</v>
      <v>Headquarters</v>
      <v>%ProviderInfo</v>
      <v>Official name</v>
      <v>Previous close</v>
      <v>Ticker symbol</v>
      <v>Year incorporated</v>
      <v>Instrument type</v>
      <v>52 week high</v>
      <v>52 week low</v>
      <v>Shares outstanding</v>
      <v>Change (Extended hours)</v>
      <v>Market cap</v>
      <v>Price (Extended hours)</v>
      <v>Exchange abbreviation</v>
      <v>Change % (Extended hours)</v>
      <v>Last trade time</v>
    </spb>
    <spb s="16">
      <v>12</v>
      <v>Name</v>
    </spb>
    <spb s="34">
      <v>1</v>
      <v>2</v>
      <v>2</v>
      <v>2</v>
      <v>3</v>
      <v>2</v>
      <v>4</v>
      <v>2</v>
      <v>5</v>
      <v>2</v>
      <v>6</v>
      <v>7</v>
      <v>2</v>
      <v>2</v>
      <v>4</v>
      <v>2</v>
      <v>8</v>
      <v>2</v>
      <v>5</v>
      <v>9</v>
    </spb>
    <spb s="35">
      <v>Change</v>
      <v>Currency</v>
      <v>High</v>
      <v>Low</v>
      <v>Name</v>
      <v>Price</v>
      <v>Open</v>
      <v>Change (%)</v>
      <v>UniqueName</v>
      <v>From currency</v>
      <v>%ProviderInfo</v>
      <v>Previous close</v>
      <v>Ticker symbol</v>
      <v>Instrument type</v>
      <v>52 week high</v>
      <v>52 week low</v>
      <v>Last trade time</v>
    </spb>
    <spb s="16">
      <v>13</v>
      <v>Name</v>
    </spb>
    <spb s="36">
      <v>2</v>
      <v>2</v>
    </spb>
    <spb s="37">
      <v>25</v>
      <v>25</v>
      <v>25</v>
      <v>3</v>
      <v>25</v>
      <v>25</v>
      <v>5</v>
      <v>25</v>
      <v>6</v>
      <v>25</v>
      <v>25</v>
      <v>9</v>
    </spb>
    <spb s="38">
      <v>GMT</v>
    </spb>
    <spb s="37">
      <v>2</v>
      <v>2</v>
      <v>2</v>
      <v>3</v>
      <v>2</v>
      <v>2</v>
      <v>5</v>
      <v>2</v>
      <v>6</v>
      <v>2</v>
      <v>2</v>
      <v>9</v>
    </spb>
    <spb s="37">
      <v>26</v>
      <v>26</v>
      <v>26</v>
      <v>3</v>
      <v>26</v>
      <v>26</v>
      <v>5</v>
      <v>26</v>
      <v>6</v>
      <v>26</v>
      <v>26</v>
      <v>9</v>
    </spb>
    <spb s="37">
      <v>11</v>
      <v>11</v>
      <v>11</v>
      <v>3</v>
      <v>11</v>
      <v>11</v>
      <v>5</v>
      <v>11</v>
      <v>6</v>
      <v>11</v>
      <v>11</v>
      <v>9</v>
    </spb>
  </spbData>
</supportingPropertyBags>
</file>

<file path=xl/richData/rdsupportingpropertybagstructure.xml><?xml version="1.0" encoding="utf-8"?>
<spbStructures xmlns="http://schemas.microsoft.com/office/spreadsheetml/2017/richdata2" count="39">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s"/>
    <k n="Beta" t="s"/>
    <k n="Cambio" t="s"/>
    <k n="Moneda"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Símbolo bursátil"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Cambio" t="i"/>
    <k n="Máximo" t="i"/>
    <k n="Mínimo" t="i"/>
    <k n="Nombre" t="i"/>
    <k n="Precio" t="i"/>
    <k n="Volumen" t="i"/>
    <k n="Apertura" t="i"/>
    <k n="Cambio (%)" t="i"/>
    <k n="Cierre anterior"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BR70" activePane="bottomRight" state="frozen"/>
      <selection pane="topRight" activeCell="C1" sqref="C1"/>
      <selection pane="bottomLeft" activeCell="A4" sqref="A4"/>
      <selection pane="bottomRight" activeCell="G55" sqref="G5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10"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row>
    <row r="2" spans="1:72" ht="21.75" customHeight="1" x14ac:dyDescent="0.25">
      <c r="A2" s="113" t="s">
        <v>1</v>
      </c>
      <c r="B2" s="106"/>
      <c r="C2" s="106"/>
      <c r="D2" s="106"/>
      <c r="E2" s="106"/>
      <c r="F2" s="106"/>
      <c r="G2" s="106"/>
      <c r="H2" s="106"/>
      <c r="I2" s="106"/>
      <c r="J2" s="108" t="s">
        <v>2</v>
      </c>
      <c r="K2" s="106"/>
      <c r="L2" s="106"/>
      <c r="M2" s="106"/>
      <c r="N2" s="106"/>
      <c r="O2" s="106"/>
      <c r="P2" s="106"/>
      <c r="Q2" s="106"/>
      <c r="R2" s="106"/>
      <c r="S2" s="106"/>
      <c r="T2" s="107" t="s">
        <v>3</v>
      </c>
      <c r="U2" s="106"/>
      <c r="V2" s="106"/>
      <c r="W2" s="106"/>
      <c r="X2" s="106"/>
      <c r="Y2" s="106"/>
      <c r="Z2" s="106"/>
      <c r="AA2" s="106"/>
      <c r="AB2" s="106"/>
      <c r="AC2" s="106"/>
      <c r="AD2" s="111" t="s">
        <v>4</v>
      </c>
      <c r="AE2" s="106"/>
      <c r="AF2" s="106"/>
      <c r="AG2" s="106"/>
      <c r="AH2" s="106"/>
      <c r="AI2" s="106"/>
      <c r="AJ2" s="106"/>
      <c r="AK2" s="106"/>
      <c r="AL2" s="106"/>
      <c r="AM2" s="106"/>
      <c r="AN2" s="109" t="s">
        <v>5</v>
      </c>
      <c r="AO2" s="114" t="s">
        <v>6</v>
      </c>
      <c r="AP2" s="106"/>
      <c r="AQ2" s="106"/>
      <c r="AR2" s="106"/>
      <c r="AS2" s="106"/>
      <c r="AT2" s="106"/>
      <c r="AU2" s="106"/>
      <c r="AV2" s="106"/>
      <c r="AW2" s="106"/>
      <c r="AX2" s="106"/>
      <c r="AY2" s="106"/>
      <c r="AZ2" s="106"/>
      <c r="BA2" s="106"/>
      <c r="BB2" s="106"/>
      <c r="BC2" s="106"/>
      <c r="BD2" s="106"/>
      <c r="BE2" s="106"/>
      <c r="BF2" s="106"/>
      <c r="BG2" s="1"/>
      <c r="BH2" s="1"/>
      <c r="BI2" s="1"/>
      <c r="BJ2" s="112" t="s">
        <v>7</v>
      </c>
      <c r="BK2" s="106"/>
      <c r="BL2" s="106"/>
      <c r="BM2" s="106"/>
      <c r="BN2" s="105" t="s">
        <v>8</v>
      </c>
      <c r="BO2" s="106"/>
      <c r="BP2" s="106"/>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862</v>
      </c>
      <c r="BR3" t="s">
        <v>863</v>
      </c>
      <c r="BS3" t="s">
        <v>864</v>
      </c>
      <c r="BT3" t="s">
        <v>865</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273.22000000000003</v>
      </c>
      <c r="H4" s="13" cm="1">
        <f t="array" aca="1" ref="H4" ca="1">_FV(A4,"Acciones en circulación",TRUE)/1000000</f>
        <v>161.90880000000001</v>
      </c>
      <c r="I4" s="14">
        <f t="shared" ref="I4:I16" ca="1" si="0">G4*H4</f>
        <v>44236.722336000006</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36993.822336000005</v>
      </c>
      <c r="AS4" s="103">
        <v>1144.2</v>
      </c>
      <c r="AT4" s="19">
        <v>791</v>
      </c>
      <c r="AU4" s="104" t="s">
        <v>880</v>
      </c>
      <c r="AV4" s="19">
        <v>3458.1</v>
      </c>
      <c r="AW4" s="20">
        <f t="shared" ref="AW4:AW35" ca="1" si="9">AR4/AS4</f>
        <v>32.331604908232826</v>
      </c>
      <c r="AX4" s="20" t="e">
        <f t="shared" ref="AX4:AX35" ca="1" si="10">AR4/AU4</f>
        <v>#VALUE!</v>
      </c>
      <c r="AY4" s="20">
        <f t="shared" ref="AY4:AY35" ca="1" si="11">AR4/AV4</f>
        <v>10.697730642838554</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-9.7533120930798911E-2</v>
      </c>
      <c r="BM4" s="23">
        <f t="shared" ref="BM4:BM35" ca="1" si="19">IF(BK4&lt;=0,-0.99,MAX(-0.99,(BK4/G4)^(1/5)-1))</f>
        <v>0.11915882685118606</v>
      </c>
      <c r="BN4" s="96" t="s">
        <v>881</v>
      </c>
      <c r="BO4" s="96" t="s">
        <v>80</v>
      </c>
      <c r="BP4" s="96" t="s">
        <v>110</v>
      </c>
      <c r="BQ4" s="98">
        <v>494.6</v>
      </c>
      <c r="BR4" s="98">
        <v>0</v>
      </c>
      <c r="BS4" s="98">
        <v>1144.2</v>
      </c>
      <c r="BT4" s="96" t="s">
        <v>882</v>
      </c>
    </row>
    <row r="5" spans="1:72" ht="15" customHeight="1" x14ac:dyDescent="0.2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517.53</v>
      </c>
      <c r="H5" s="13">
        <f t="array" aca="1" ref="H5" ca="1">_FV(A5,"Acciones en circulación",TRUE())/1000000</f>
        <v>7425.5450000000001</v>
      </c>
      <c r="I5" s="14">
        <f t="shared" ca="1" si="0"/>
        <v>3842942.3038499998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3806393.3038499998</v>
      </c>
      <c r="AS5" s="103">
        <v>54582</v>
      </c>
      <c r="AT5" s="19">
        <v>125127</v>
      </c>
      <c r="AU5" s="19">
        <v>193771</v>
      </c>
      <c r="AV5" s="19">
        <v>331839</v>
      </c>
      <c r="AW5" s="20">
        <f t="shared" ca="1" si="9"/>
        <v>69.737153344509181</v>
      </c>
      <c r="AX5" s="20">
        <f t="shared" ca="1" si="10"/>
        <v>19.643771791702576</v>
      </c>
      <c r="AY5" s="20">
        <f t="shared" ca="1" si="11"/>
        <v>11.470602623109398</v>
      </c>
      <c r="AZ5" s="21">
        <v>589551</v>
      </c>
      <c r="BA5" s="22">
        <f t="shared" si="12"/>
        <v>0.37707141113612325</v>
      </c>
      <c r="BB5" s="22">
        <f t="shared" si="13"/>
        <v>0.56286733463262717</v>
      </c>
      <c r="BC5" s="23">
        <f t="shared" si="14"/>
        <v>0.21224118015235321</v>
      </c>
      <c r="BD5" s="98">
        <v>63334.9</v>
      </c>
      <c r="BE5" s="23">
        <f t="shared" si="15"/>
        <v>3.0193318394561519E-2</v>
      </c>
      <c r="BF5">
        <v>96094.3</v>
      </c>
      <c r="BG5" s="23">
        <f t="shared" si="16"/>
        <v>0.11977208446641807</v>
      </c>
      <c r="BH5" s="24">
        <v>20</v>
      </c>
      <c r="BI5" s="24">
        <v>30</v>
      </c>
      <c r="BJ5" s="25">
        <f t="shared" ref="BJ5:BJ11" ca="1" si="20">(BD5*BH5+$AP5-$AQ5)/$H5</f>
        <v>175.50859903212492</v>
      </c>
      <c r="BK5" s="25">
        <f t="shared" ca="1" si="17"/>
        <v>393.15336450051814</v>
      </c>
      <c r="BL5" s="23">
        <f t="shared" ca="1" si="18"/>
        <v>-0.19448696265283716</v>
      </c>
      <c r="BM5" s="23">
        <f t="shared" ca="1" si="19"/>
        <v>-5.3489811176557711E-2</v>
      </c>
      <c r="BN5" s="99">
        <v>46256</v>
      </c>
      <c r="BO5" s="93" t="s">
        <v>83</v>
      </c>
      <c r="BP5" s="93" t="s">
        <v>84</v>
      </c>
      <c r="BQ5" s="98">
        <v>12405</v>
      </c>
      <c r="BR5" s="98">
        <v>72500</v>
      </c>
      <c r="BS5" s="98">
        <v>127082</v>
      </c>
      <c r="BT5" t="s">
        <v>859</v>
      </c>
    </row>
    <row r="6" spans="1:72" ht="15" customHeight="1" x14ac:dyDescent="0.2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859.4</v>
      </c>
      <c r="H6" s="13">
        <f t="array" aca="1" ref="H6" ca="1">_FV(A6,"Acciones en circulación",TRUE())/1000000</f>
        <v>31.68355</v>
      </c>
      <c r="I6" s="14">
        <f t="shared" ca="1" si="0"/>
        <v>27228.84287</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2710</v>
      </c>
      <c r="AQ6" s="19">
        <v>0</v>
      </c>
      <c r="AR6" s="19">
        <f t="shared" ca="1" si="8"/>
        <v>24518.84287</v>
      </c>
      <c r="AS6" s="103">
        <v>1098</v>
      </c>
      <c r="AT6" s="19">
        <v>895</v>
      </c>
      <c r="AU6" s="19">
        <v>1344</v>
      </c>
      <c r="AV6" s="19">
        <v>2573.6</v>
      </c>
      <c r="AW6" s="20">
        <f t="shared" ca="1" si="9"/>
        <v>22.330457987249545</v>
      </c>
      <c r="AX6" s="20">
        <f t="shared" ca="1" si="10"/>
        <v>18.24318665922619</v>
      </c>
      <c r="AY6" s="20">
        <f t="shared" ca="1" si="11"/>
        <v>9.5270604872552074</v>
      </c>
      <c r="AZ6" s="21">
        <v>2500</v>
      </c>
      <c r="BA6" s="22">
        <f t="shared" si="12"/>
        <v>0.34776188995958968</v>
      </c>
      <c r="BB6" s="22">
        <f t="shared" si="13"/>
        <v>1.0294399999999999</v>
      </c>
      <c r="BC6" s="23">
        <f t="shared" si="14"/>
        <v>0.35799999999999998</v>
      </c>
      <c r="BD6" s="98">
        <v>959.1</v>
      </c>
      <c r="BE6" s="23">
        <f t="shared" si="15"/>
        <v>-2.6687479307896278E-2</v>
      </c>
      <c r="BF6">
        <v>2581.1999999999998</v>
      </c>
      <c r="BG6" s="23">
        <f t="shared" si="16"/>
        <v>0.18643476316450891</v>
      </c>
      <c r="BH6" s="24">
        <v>17.5</v>
      </c>
      <c r="BI6" s="24">
        <v>28</v>
      </c>
      <c r="BJ6" s="25">
        <f t="shared" ca="1" si="20"/>
        <v>615.27985342551574</v>
      </c>
      <c r="BK6" s="25">
        <f t="shared" ca="1" si="17"/>
        <v>2366.6413643673131</v>
      </c>
      <c r="BL6" s="23">
        <f t="shared" ca="1" si="18"/>
        <v>-6.4647160250648761E-2</v>
      </c>
      <c r="BM6" s="23">
        <f t="shared" ca="1" si="19"/>
        <v>0.22458072777458193</v>
      </c>
      <c r="BN6" s="95" t="s">
        <v>872</v>
      </c>
      <c r="BO6" s="93" t="s">
        <v>87</v>
      </c>
      <c r="BP6" s="93" t="s">
        <v>84</v>
      </c>
      <c r="BQ6" s="98">
        <v>43</v>
      </c>
      <c r="BR6" s="98">
        <v>0</v>
      </c>
      <c r="BS6" s="98">
        <v>1098</v>
      </c>
      <c r="BT6" s="96" t="s">
        <v>873</v>
      </c>
    </row>
    <row r="7" spans="1:72" ht="15" customHeight="1" x14ac:dyDescent="0.2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36.924999999999997</v>
      </c>
      <c r="H7" s="13">
        <f t="array" aca="1" ref="H7" ca="1">_FV(A7,"Acciones en circulación",TRUE())/1000000</f>
        <v>2452.011</v>
      </c>
      <c r="I7" s="14">
        <f t="shared" ca="1" si="0"/>
        <v>90540.506174999988</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98355.506174999988</v>
      </c>
      <c r="AS7" s="103">
        <v>6080</v>
      </c>
      <c r="AT7" s="19">
        <v>5700</v>
      </c>
      <c r="AU7" s="19">
        <v>5700</v>
      </c>
      <c r="AV7" s="19">
        <v>80690</v>
      </c>
      <c r="AW7" s="20">
        <f t="shared" ca="1" si="9"/>
        <v>16.176892462993418</v>
      </c>
      <c r="AX7" s="20">
        <f t="shared" ca="1" si="10"/>
        <v>17.255351960526312</v>
      </c>
      <c r="AY7" s="20">
        <f t="shared" ca="1" si="11"/>
        <v>1.2189305511835418</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3.9049204216317968E-2</v>
      </c>
      <c r="BM7" s="23">
        <f t="shared" ca="1" si="19"/>
        <v>0.24622447321373309</v>
      </c>
      <c r="BN7" s="96" t="s">
        <v>813</v>
      </c>
      <c r="BO7" t="s">
        <v>87</v>
      </c>
      <c r="BP7" s="96" t="s">
        <v>654</v>
      </c>
      <c r="BQ7" s="98">
        <v>120</v>
      </c>
      <c r="BR7" s="98">
        <v>0</v>
      </c>
      <c r="BS7" s="98">
        <v>6080</v>
      </c>
      <c r="BT7" s="96" t="s">
        <v>905</v>
      </c>
    </row>
    <row r="8" spans="1:72" ht="15" customHeight="1" x14ac:dyDescent="0.2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920.65</v>
      </c>
      <c r="H8" s="13">
        <f t="array" aca="1" ref="H8" ca="1">_FV(A8,"Acciones en circulación",TRUE())/1000000</f>
        <v>443.26600000000002</v>
      </c>
      <c r="I8" s="14">
        <f t="shared" ca="1" si="0"/>
        <v>408092.84289999999</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392953.84289999999</v>
      </c>
      <c r="AS8" s="103">
        <v>8479</v>
      </c>
      <c r="AT8" s="19">
        <v>8799</v>
      </c>
      <c r="AU8" s="19">
        <v>14250</v>
      </c>
      <c r="AV8" s="19">
        <v>303154</v>
      </c>
      <c r="AW8" s="20">
        <f t="shared" ca="1" si="9"/>
        <v>46.344361705389787</v>
      </c>
      <c r="AX8" s="20">
        <f t="shared" ca="1" si="10"/>
        <v>27.57570827368421</v>
      </c>
      <c r="AY8" s="20">
        <f t="shared" ca="1" si="11"/>
        <v>1.2962185651517051</v>
      </c>
      <c r="AZ8" s="21">
        <v>44305</v>
      </c>
      <c r="BA8" s="22">
        <f t="shared" si="12"/>
        <v>2.9024852055390991E-2</v>
      </c>
      <c r="BB8" s="22">
        <f t="shared" si="13"/>
        <v>6.8424331339577922</v>
      </c>
      <c r="BC8" s="23">
        <f t="shared" si="14"/>
        <v>0.19860060941203025</v>
      </c>
      <c r="BD8" s="98">
        <v>10565.4</v>
      </c>
      <c r="BE8" s="23">
        <f t="shared" si="15"/>
        <v>4.4980681432214897E-2</v>
      </c>
      <c r="BF8">
        <v>13913.8</v>
      </c>
      <c r="BG8" s="23">
        <f t="shared" si="16"/>
        <v>0.10413003584803193</v>
      </c>
      <c r="BH8" s="24">
        <v>20</v>
      </c>
      <c r="BI8" s="24">
        <v>30</v>
      </c>
      <c r="BJ8" s="25">
        <f t="shared" ca="1" si="20"/>
        <v>510.86029607504298</v>
      </c>
      <c r="BK8" s="25">
        <f t="shared" ca="1" si="17"/>
        <v>975.83166766681848</v>
      </c>
      <c r="BL8" s="23">
        <f t="shared" ca="1" si="18"/>
        <v>-0.11112330736625975</v>
      </c>
      <c r="BM8" s="23">
        <f t="shared" ca="1" si="19"/>
        <v>1.1710063717990105E-2</v>
      </c>
      <c r="BN8" s="96" t="s">
        <v>881</v>
      </c>
      <c r="BO8" s="96" t="s">
        <v>91</v>
      </c>
      <c r="BP8" s="96" t="s">
        <v>875</v>
      </c>
      <c r="BQ8" s="98">
        <v>911</v>
      </c>
      <c r="BR8" s="98">
        <v>3870</v>
      </c>
      <c r="BS8" s="98">
        <v>12349</v>
      </c>
      <c r="BT8" s="96" t="s">
        <v>883</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80.08</v>
      </c>
      <c r="H9" s="13">
        <f t="array" aca="1" ref="H9" ca="1">_FV(A9,"Acciones en circulación",TRUE())/1000000</f>
        <v>85.548550000000006</v>
      </c>
      <c r="I9" s="14">
        <f t="shared" ca="1" si="0"/>
        <v>6850.7278839999999</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6676.8278840000003</v>
      </c>
      <c r="AS9" s="103">
        <v>271.39999999999998</v>
      </c>
      <c r="AT9" s="19">
        <v>178</v>
      </c>
      <c r="AU9" s="19">
        <v>357</v>
      </c>
      <c r="AV9" s="19">
        <v>775.1</v>
      </c>
      <c r="AW9" s="20">
        <f t="shared" ca="1" si="9"/>
        <v>24.601429196757557</v>
      </c>
      <c r="AX9" s="20">
        <f t="shared" ca="1" si="10"/>
        <v>18.702599114845938</v>
      </c>
      <c r="AY9" s="20">
        <f t="shared" ca="1" si="11"/>
        <v>8.6141502825441876</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-5.6469741704792908E-2</v>
      </c>
      <c r="BM9" s="23">
        <f t="shared" ca="1" si="19"/>
        <v>0.1783555261660732</v>
      </c>
      <c r="BN9" s="96" t="s">
        <v>870</v>
      </c>
      <c r="BO9" s="96" t="s">
        <v>656</v>
      </c>
      <c r="BP9" s="96" t="s">
        <v>144</v>
      </c>
      <c r="BQ9" s="98">
        <v>27.1</v>
      </c>
      <c r="BR9" s="98">
        <v>0</v>
      </c>
      <c r="BS9" s="98">
        <v>271.39999999999998</v>
      </c>
      <c r="BT9" s="96" t="s">
        <v>871</v>
      </c>
    </row>
    <row r="10" spans="1:72" ht="15" customHeight="1" x14ac:dyDescent="0.2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573</v>
      </c>
      <c r="H10" s="13">
        <f t="array" aca="1" ref="H10" ca="1">_FV(A10,"Acciones en circulación",TRUE())/1000000</f>
        <v>11.37</v>
      </c>
      <c r="I10" s="14">
        <f t="shared" ca="1" si="0"/>
        <v>6515.0099999999993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6255.0099999999993</v>
      </c>
      <c r="AS10" s="103">
        <v>235.5</v>
      </c>
      <c r="AT10" s="19">
        <v>230</v>
      </c>
      <c r="AU10" s="19">
        <v>350</v>
      </c>
      <c r="AV10" s="19">
        <v>1296</v>
      </c>
      <c r="AW10" s="20">
        <f t="shared" ca="1" si="9"/>
        <v>26.560552016985135</v>
      </c>
      <c r="AX10" s="20">
        <f t="shared" ca="1" si="10"/>
        <v>17.871457142857142</v>
      </c>
      <c r="AY10" s="20">
        <f t="shared" ca="1" si="11"/>
        <v>4.8263966049382709</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-6.0428656103644229E-2</v>
      </c>
      <c r="BM10" s="23">
        <f t="shared" ca="1" si="19"/>
        <v>0.12946886351410059</v>
      </c>
      <c r="BN10" s="95" t="s">
        <v>655</v>
      </c>
      <c r="BO10" s="95" t="s">
        <v>117</v>
      </c>
      <c r="BP10" s="95" t="s">
        <v>133</v>
      </c>
      <c r="BQ10" s="98">
        <v>0</v>
      </c>
      <c r="BR10" s="98">
        <v>3.2</v>
      </c>
      <c r="BS10" s="98">
        <v>238.7</v>
      </c>
      <c r="BT10" t="s">
        <v>861</v>
      </c>
    </row>
    <row r="11" spans="1:72" ht="15" customHeight="1" x14ac:dyDescent="0.2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196.6</v>
      </c>
      <c r="H11" s="13">
        <f t="array" aca="1" ref="H11" ca="1">_FV(A11,"Acciones en circulación",TRUE())/1000000</f>
        <v>163.0547</v>
      </c>
      <c r="I11" s="14">
        <f t="shared" ca="1" si="0"/>
        <v>32056.55402</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30278.75402</v>
      </c>
      <c r="AS11" s="103">
        <v>-42.7</v>
      </c>
      <c r="AT11" s="19">
        <v>-133.30000000000001</v>
      </c>
      <c r="AU11" s="19">
        <v>15.2</v>
      </c>
      <c r="AV11" s="19">
        <v>3352.5</v>
      </c>
      <c r="AW11" s="20">
        <f t="shared" ca="1" si="9"/>
        <v>-709.10430960187352</v>
      </c>
      <c r="AX11" s="20">
        <f t="shared" ca="1" si="10"/>
        <v>1992.0232907894738</v>
      </c>
      <c r="AY11" s="20">
        <f t="shared" ca="1" si="11"/>
        <v>9.0316939656972401</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-0.33156262015673321</v>
      </c>
      <c r="BM11" s="23">
        <f t="shared" ca="1" si="19"/>
        <v>-0.18948800194233184</v>
      </c>
      <c r="BN11" s="96" t="s">
        <v>881</v>
      </c>
      <c r="BO11" s="96" t="s">
        <v>876</v>
      </c>
      <c r="BP11" s="96" t="s">
        <v>884</v>
      </c>
      <c r="BQ11" s="98">
        <v>821.9</v>
      </c>
      <c r="BR11" s="98">
        <v>202</v>
      </c>
      <c r="BS11" s="98">
        <v>159.30000000000001</v>
      </c>
      <c r="BT11" s="96" t="s">
        <v>885</v>
      </c>
    </row>
    <row r="12" spans="1:72" ht="15" customHeight="1" x14ac:dyDescent="0.2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44.4</v>
      </c>
      <c r="H12" s="13">
        <f t="array" aca="1" ref="H12" ca="1">_FV(A12,"Acciones en circulación",TRUE())/1000000</f>
        <v>1287.26</v>
      </c>
      <c r="I12" s="14">
        <f t="shared" ca="1" si="0"/>
        <v>57154.343999999997</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8184418.1247199997</v>
      </c>
      <c r="AS12" s="103">
        <v>262620</v>
      </c>
      <c r="AT12" s="19">
        <v>325400</v>
      </c>
      <c r="AU12" s="19">
        <v>461600</v>
      </c>
      <c r="AV12" s="19">
        <v>2258501</v>
      </c>
      <c r="AW12" s="20">
        <f t="shared" ca="1" si="9"/>
        <v>31.164489089635214</v>
      </c>
      <c r="AX12" s="20">
        <f t="shared" ca="1" si="10"/>
        <v>17.730541864644714</v>
      </c>
      <c r="AY12" s="20">
        <f t="shared" ca="1" si="11"/>
        <v>3.6238275407980778</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25.834476944290799</v>
      </c>
      <c r="BK12" s="25">
        <f ca="1">((BF12*BI12+$AP12-$AQ12)/$H12)/'Framework Notes'!E4</f>
        <v>56.218865232300772</v>
      </c>
      <c r="BL12" s="23">
        <f t="shared" ca="1" si="18"/>
        <v>-0.10264695553418879</v>
      </c>
      <c r="BM12" s="23">
        <f t="shared" ca="1" si="19"/>
        <v>4.8334361539594806E-2</v>
      </c>
      <c r="BN12" s="95" t="s">
        <v>655</v>
      </c>
      <c r="BO12" s="100" t="s">
        <v>117</v>
      </c>
      <c r="BP12" s="95" t="s">
        <v>133</v>
      </c>
      <c r="BQ12" s="98">
        <v>0</v>
      </c>
      <c r="BR12" s="98">
        <v>11315</v>
      </c>
      <c r="BS12" s="98">
        <v>273935</v>
      </c>
      <c r="BT12" t="s">
        <v>861</v>
      </c>
    </row>
    <row r="13" spans="1:72" ht="15" customHeight="1" x14ac:dyDescent="0.2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251.52</v>
      </c>
      <c r="H13" s="13">
        <f t="array" aca="1" ref="H13" ca="1">_FV(A13,"Acciones en circulación",TRUE())/1000000</f>
        <v>10786.31</v>
      </c>
      <c r="I13" s="14">
        <f t="shared" ca="1" si="0"/>
        <v>2712972.6911999998</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2763653.6911999998</v>
      </c>
      <c r="AS13" s="103">
        <v>58282</v>
      </c>
      <c r="AT13" s="19">
        <v>55000</v>
      </c>
      <c r="AU13" s="19">
        <v>138000</v>
      </c>
      <c r="AV13" s="19">
        <v>775656</v>
      </c>
      <c r="AW13" s="20">
        <f t="shared" ca="1" si="9"/>
        <v>47.41864883154318</v>
      </c>
      <c r="AX13" s="20">
        <f t="shared" ca="1" si="10"/>
        <v>20.026476023188405</v>
      </c>
      <c r="AY13" s="20">
        <f t="shared" ca="1" si="11"/>
        <v>3.5629888651670325</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-0.10663935627341803</v>
      </c>
      <c r="BM13" s="23">
        <f t="shared" ca="1" si="19"/>
        <v>5.9461744408414008E-2</v>
      </c>
      <c r="BN13" s="95" t="s">
        <v>655</v>
      </c>
      <c r="BO13" s="93" t="s">
        <v>102</v>
      </c>
      <c r="BP13" s="95" t="s">
        <v>104</v>
      </c>
      <c r="BQ13" s="98">
        <v>19810</v>
      </c>
      <c r="BR13" s="98">
        <v>80564</v>
      </c>
      <c r="BS13" s="98">
        <v>58282</v>
      </c>
      <c r="BT13" s="96" t="s">
        <v>866</v>
      </c>
    </row>
    <row r="14" spans="1:72" ht="15" customHeight="1" x14ac:dyDescent="0.2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303</v>
      </c>
      <c r="H14" s="13">
        <f t="array" aca="1" ref="H14" ca="1">_FV(A14,"Acciones en circulación",TRUE())/1000000</f>
        <v>578.60530000000006</v>
      </c>
      <c r="I14" s="14">
        <f t="shared" ca="1" si="0"/>
        <v>175317.40590000001</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191607.40590000001</v>
      </c>
      <c r="AS14" s="103">
        <v>4588</v>
      </c>
      <c r="AT14" s="19">
        <v>5727</v>
      </c>
      <c r="AU14" s="19">
        <v>8520</v>
      </c>
      <c r="AV14" s="19">
        <v>42040</v>
      </c>
      <c r="AW14" s="20">
        <f t="shared" ca="1" si="9"/>
        <v>41.762730143853531</v>
      </c>
      <c r="AX14" s="20">
        <f t="shared" ca="1" si="10"/>
        <v>22.489132147887325</v>
      </c>
      <c r="AY14" s="20">
        <f t="shared" ca="1" si="11"/>
        <v>4.5577403877259757</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148.94047807719699</v>
      </c>
      <c r="BK14" s="25">
        <f ca="1">(BF14*BI14+$AP14-$AQ14)/$H14</f>
        <v>337.08211798267314</v>
      </c>
      <c r="BL14" s="23">
        <f t="shared" ca="1" si="18"/>
        <v>-0.13241102803178562</v>
      </c>
      <c r="BM14" s="23">
        <f t="shared" ca="1" si="19"/>
        <v>2.1547621871161882E-2</v>
      </c>
      <c r="BN14" s="95" t="s">
        <v>813</v>
      </c>
      <c r="BO14" s="93" t="s">
        <v>102</v>
      </c>
      <c r="BP14" s="93" t="s">
        <v>104</v>
      </c>
      <c r="BQ14" s="98">
        <v>0</v>
      </c>
      <c r="BR14" s="98">
        <v>0</v>
      </c>
      <c r="BS14" s="98">
        <v>4588</v>
      </c>
      <c r="BT14" t="s">
        <v>861</v>
      </c>
    </row>
    <row r="15" spans="1:72" ht="15" customHeight="1" x14ac:dyDescent="0.2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53.24</v>
      </c>
      <c r="H15" s="13">
        <f t="array" aca="1" ref="H15" ca="1">_FV(A15,"Acciones en circulación",TRUE())/1000000</f>
        <v>3116.652</v>
      </c>
      <c r="I15" s="14">
        <f t="shared" ca="1" si="0"/>
        <v>165930.55248000001</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155532.55248000001</v>
      </c>
      <c r="AS15" s="103">
        <v>5706</v>
      </c>
      <c r="AT15" s="19">
        <v>6241</v>
      </c>
      <c r="AU15" s="19">
        <v>9797</v>
      </c>
      <c r="AV15" s="19">
        <v>41262</v>
      </c>
      <c r="AW15" s="20">
        <f t="shared" ca="1" si="9"/>
        <v>27.2577203785489</v>
      </c>
      <c r="AX15" s="20">
        <f t="shared" ca="1" si="10"/>
        <v>15.875528476064103</v>
      </c>
      <c r="AY15" s="20">
        <f t="shared" ca="1" si="11"/>
        <v>3.7693895710338814</v>
      </c>
      <c r="AZ15" s="21">
        <v>24023</v>
      </c>
      <c r="BA15" s="22">
        <f t="shared" si="12"/>
        <v>0.1512529688333091</v>
      </c>
      <c r="BB15" s="22">
        <f t="shared" si="13"/>
        <v>1.7176039628689173</v>
      </c>
      <c r="BC15" s="23">
        <f t="shared" si="14"/>
        <v>0.25979269866378057</v>
      </c>
      <c r="BD15" s="98">
        <v>7080.8</v>
      </c>
      <c r="BE15" s="23">
        <f t="shared" si="15"/>
        <v>4.4119272449552493E-2</v>
      </c>
      <c r="BF15">
        <v>8954.9</v>
      </c>
      <c r="BG15" s="23">
        <f t="shared" si="16"/>
        <v>9.4323674014397563E-2</v>
      </c>
      <c r="BH15" s="24">
        <v>16</v>
      </c>
      <c r="BI15" s="24">
        <v>24</v>
      </c>
      <c r="BJ15" s="25">
        <f ca="1">(BD15*BH15+$AP15-$AQ15)/$H15</f>
        <v>39.687074463238119</v>
      </c>
      <c r="BK15" s="25">
        <f ca="1">(BF15*BI15+$AP15-$AQ15)/$H15</f>
        <v>72.294115608672371</v>
      </c>
      <c r="BL15" s="23">
        <f t="shared" ca="1" si="18"/>
        <v>-5.7064019487563011E-2</v>
      </c>
      <c r="BM15" s="23">
        <f t="shared" ca="1" si="19"/>
        <v>6.3097215154737762E-2</v>
      </c>
      <c r="BN15" s="96" t="s">
        <v>881</v>
      </c>
      <c r="BO15" s="96" t="s">
        <v>92</v>
      </c>
      <c r="BP15" s="96" t="s">
        <v>144</v>
      </c>
      <c r="BQ15" s="98">
        <v>113</v>
      </c>
      <c r="BR15" s="98">
        <v>0</v>
      </c>
      <c r="BS15" s="98">
        <v>5706</v>
      </c>
      <c r="BT15" s="96" t="s">
        <v>897</v>
      </c>
    </row>
    <row r="16" spans="1:72" ht="15" customHeight="1" x14ac:dyDescent="0.2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12060</v>
      </c>
      <c r="H16" s="13">
        <f t="array" aca="1" ref="H16" ca="1">_FV(A16,"Acciones en circulación",TRUE())/1000000</f>
        <v>0.81601000000000001</v>
      </c>
      <c r="I16" s="14">
        <f t="shared" ca="1" si="0"/>
        <v>9841.0805999999993</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9976.0805999999993</v>
      </c>
      <c r="AS16" s="103">
        <v>90.8</v>
      </c>
      <c r="AT16" s="19">
        <v>190</v>
      </c>
      <c r="AU16" s="19">
        <v>291</v>
      </c>
      <c r="AV16" s="19">
        <v>1450</v>
      </c>
      <c r="AW16" s="20">
        <f t="shared" ca="1" si="9"/>
        <v>109.86872907488987</v>
      </c>
      <c r="AX16" s="20">
        <f t="shared" ca="1" si="10"/>
        <v>34.282063917525768</v>
      </c>
      <c r="AY16" s="20">
        <f t="shared" ca="1" si="11"/>
        <v>6.8800555862068959</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-0.28984464845101221</v>
      </c>
      <c r="BM16" s="23">
        <f t="shared" ca="1" si="19"/>
        <v>-0.16259404112325349</v>
      </c>
      <c r="BN16" s="95" t="s">
        <v>655</v>
      </c>
      <c r="BO16" s="95" t="s">
        <v>100</v>
      </c>
      <c r="BP16" s="95" t="s">
        <v>657</v>
      </c>
      <c r="BQ16" s="98">
        <v>2.1</v>
      </c>
      <c r="BR16" s="98">
        <v>72.8</v>
      </c>
      <c r="BS16" s="98">
        <v>163.6</v>
      </c>
      <c r="BT16" t="s">
        <v>860</v>
      </c>
    </row>
    <row r="17" spans="1:72" ht="15" customHeight="1" x14ac:dyDescent="0.2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3600</v>
      </c>
      <c r="H17" s="13">
        <f t="array" aca="1" ref="H17" ca="1">_FV(A17,"Acciones en circulación",TRUE())/1000000</f>
        <v>379.64530000000002</v>
      </c>
      <c r="I17" s="14">
        <f ca="1">G17/100*H17</f>
        <v>13667.230800000001</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14437.230800000001</v>
      </c>
      <c r="AS17" s="103">
        <v>392.4</v>
      </c>
      <c r="AT17" s="19">
        <v>403</v>
      </c>
      <c r="AU17" s="19">
        <v>622.79999999999995</v>
      </c>
      <c r="AV17" s="19">
        <v>2580</v>
      </c>
      <c r="AW17" s="20">
        <f t="shared" ca="1" si="9"/>
        <v>36.792127420998987</v>
      </c>
      <c r="AX17" s="20">
        <f t="shared" ca="1" si="10"/>
        <v>23.181166987797049</v>
      </c>
      <c r="AY17" s="20">
        <f t="shared" ca="1" si="11"/>
        <v>5.5958258914728685</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-9.6151367603498072E-2</v>
      </c>
      <c r="BM17" s="23">
        <f t="shared" ca="1" si="19"/>
        <v>7.3352662328612261E-2</v>
      </c>
      <c r="BN17" s="95" t="s">
        <v>813</v>
      </c>
      <c r="BO17" s="94" t="s">
        <v>109</v>
      </c>
      <c r="BP17" s="93" t="s">
        <v>110</v>
      </c>
      <c r="BQ17" s="98">
        <v>17.2</v>
      </c>
      <c r="BR17" s="98">
        <v>0</v>
      </c>
      <c r="BS17" s="98">
        <v>392.4</v>
      </c>
      <c r="BT17" s="96" t="s">
        <v>902</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661.43</v>
      </c>
      <c r="H18" s="13">
        <f t="array" aca="1" ref="H18" ca="1">_FV(A18,"Acciones en circulación",TRUE())/1000000</f>
        <v>21.597639999999998</v>
      </c>
      <c r="I18" s="14">
        <f t="shared" ref="I18:I25" ca="1" si="22">G18*H18</f>
        <v>14285.327025199998</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19619.3270252</v>
      </c>
      <c r="AS18" s="103">
        <v>786.6</v>
      </c>
      <c r="AT18" s="19">
        <v>946</v>
      </c>
      <c r="AU18" s="19">
        <v>1252</v>
      </c>
      <c r="AV18" s="19">
        <v>2393.6</v>
      </c>
      <c r="AW18" s="20">
        <f t="shared" ca="1" si="9"/>
        <v>24.941936213068903</v>
      </c>
      <c r="AX18" s="20">
        <f t="shared" ca="1" si="10"/>
        <v>15.670388997763579</v>
      </c>
      <c r="AY18" s="20">
        <f t="shared" ca="1" si="11"/>
        <v>8.1965771328542782</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-0.11384912220879151</v>
      </c>
      <c r="BM18" s="23">
        <f t="shared" ca="1" si="19"/>
        <v>0.21667626318129818</v>
      </c>
      <c r="BN18" s="95" t="s">
        <v>813</v>
      </c>
      <c r="BO18" s="93" t="s">
        <v>83</v>
      </c>
      <c r="BP18" s="95" t="s">
        <v>133</v>
      </c>
      <c r="BQ18" s="98">
        <v>174.3</v>
      </c>
      <c r="BR18" s="98">
        <v>0</v>
      </c>
      <c r="BS18" s="98">
        <v>786.6</v>
      </c>
      <c r="BT18" s="96" t="s">
        <v>900</v>
      </c>
    </row>
    <row r="19" spans="1:72" ht="15" customHeight="1" x14ac:dyDescent="0.2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321</v>
      </c>
      <c r="H19" s="13">
        <f t="array" aca="1" ref="H19" ca="1">_FV(A19,"Acciones en circulación",TRUE())/1000000</f>
        <v>423.8365</v>
      </c>
      <c r="I19" s="14">
        <f t="shared" ca="1" si="22"/>
        <v>136051.5165</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3000</v>
      </c>
      <c r="AQ19" s="19">
        <v>12500</v>
      </c>
      <c r="AR19" s="19">
        <f t="shared" ca="1" si="21"/>
        <v>145551.5165</v>
      </c>
      <c r="AS19" s="103">
        <v>4373</v>
      </c>
      <c r="AT19" s="19">
        <v>3400</v>
      </c>
      <c r="AU19" s="19">
        <v>6627</v>
      </c>
      <c r="AV19" s="19">
        <v>29251</v>
      </c>
      <c r="AW19" s="20">
        <f t="shared" ca="1" si="9"/>
        <v>33.284133661102217</v>
      </c>
      <c r="AX19" s="20">
        <f t="shared" ca="1" si="10"/>
        <v>21.963409763090386</v>
      </c>
      <c r="AY19" s="20">
        <f t="shared" ca="1" si="11"/>
        <v>4.9759501042699394</v>
      </c>
      <c r="AZ19" s="21">
        <v>22000</v>
      </c>
      <c r="BA19" s="22">
        <f t="shared" si="12"/>
        <v>0.11623534238145704</v>
      </c>
      <c r="BB19" s="22">
        <f t="shared" si="13"/>
        <v>1.329590909090909</v>
      </c>
      <c r="BC19" s="23">
        <f t="shared" si="14"/>
        <v>0.15454545454545454</v>
      </c>
      <c r="BD19" s="98">
        <v>5069.2</v>
      </c>
      <c r="BE19" s="23">
        <f t="shared" si="15"/>
        <v>2.9987584575804194E-2</v>
      </c>
      <c r="BF19" s="98">
        <v>8331</v>
      </c>
      <c r="BG19" s="23">
        <f t="shared" si="16"/>
        <v>0.13758414747876113</v>
      </c>
      <c r="BH19" s="24">
        <v>16</v>
      </c>
      <c r="BI19" s="24">
        <v>26</v>
      </c>
      <c r="BJ19" s="25">
        <f t="shared" ca="1" si="23"/>
        <v>168.95005503301391</v>
      </c>
      <c r="BK19" s="25">
        <f t="shared" ca="1" si="24"/>
        <v>488.64597551178343</v>
      </c>
      <c r="BL19" s="23">
        <f t="shared" ca="1" si="18"/>
        <v>-0.12046999274433756</v>
      </c>
      <c r="BM19" s="23">
        <f t="shared" ca="1" si="19"/>
        <v>8.7671775008154151E-2</v>
      </c>
      <c r="BN19" s="95" t="s">
        <v>813</v>
      </c>
      <c r="BO19" s="93" t="s">
        <v>114</v>
      </c>
      <c r="BP19" s="93" t="s">
        <v>115</v>
      </c>
      <c r="BQ19" s="98">
        <v>0</v>
      </c>
      <c r="BR19" s="98">
        <v>0</v>
      </c>
      <c r="BS19" s="98">
        <v>4373</v>
      </c>
      <c r="BT19" t="s">
        <v>861</v>
      </c>
    </row>
    <row r="20" spans="1:72" ht="15" customHeight="1" x14ac:dyDescent="0.2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54.95</v>
      </c>
      <c r="H20" s="13">
        <f t="array" aca="1" ref="H20" ca="1">_FV(A20,"Acciones en circulación",TRUE())/1000000</f>
        <v>96</v>
      </c>
      <c r="I20" s="14">
        <f t="shared" ca="1" si="22"/>
        <v>5275.2000000000007</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5074.4000000000005</v>
      </c>
      <c r="AS20" s="103">
        <v>60</v>
      </c>
      <c r="AT20" s="19">
        <v>331.4</v>
      </c>
      <c r="AU20" s="19">
        <v>603.1</v>
      </c>
      <c r="AV20" s="19">
        <v>3297.9</v>
      </c>
      <c r="AW20" s="20">
        <f t="shared" ca="1" si="9"/>
        <v>84.573333333333338</v>
      </c>
      <c r="AX20" s="20">
        <f t="shared" ca="1" si="10"/>
        <v>8.4138617144752121</v>
      </c>
      <c r="AY20" s="20">
        <f t="shared" ca="1" si="11"/>
        <v>1.5386761272324814</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-0.10037898051002947</v>
      </c>
      <c r="BM20" s="23">
        <f t="shared" ca="1" si="19"/>
        <v>0.11528847456626568</v>
      </c>
      <c r="BN20" s="96" t="s">
        <v>881</v>
      </c>
      <c r="BO20" s="96" t="s">
        <v>886</v>
      </c>
      <c r="BP20" s="96" t="s">
        <v>654</v>
      </c>
      <c r="BQ20" s="98">
        <v>0</v>
      </c>
      <c r="BR20" s="98">
        <v>203.4</v>
      </c>
      <c r="BS20" s="98">
        <v>263.39999999999998</v>
      </c>
      <c r="BT20" s="96" t="s">
        <v>903</v>
      </c>
    </row>
    <row r="21" spans="1:72" ht="15" customHeight="1" x14ac:dyDescent="0.2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42.94</v>
      </c>
      <c r="H21" s="13">
        <f t="array" aca="1" ref="H21" ca="1">_FV(A21,"Acciones en circulación",TRUE())/1000000</f>
        <v>1956.0160000000001</v>
      </c>
      <c r="I21" s="14">
        <f t="shared" ca="1" si="22"/>
        <v>83991.327040000004</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80665.327040000004</v>
      </c>
      <c r="AS21" s="103">
        <v>1945.7</v>
      </c>
      <c r="AT21" s="19">
        <v>2154</v>
      </c>
      <c r="AU21" s="19">
        <v>2930</v>
      </c>
      <c r="AV21" s="19">
        <v>9220</v>
      </c>
      <c r="AW21" s="20">
        <f t="shared" ca="1" si="9"/>
        <v>41.458255147247776</v>
      </c>
      <c r="AX21" s="20">
        <f t="shared" ca="1" si="10"/>
        <v>27.530828341296928</v>
      </c>
      <c r="AY21" s="20">
        <f t="shared" ca="1" si="11"/>
        <v>8.7489508720173532</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-0.11368848116265784</v>
      </c>
      <c r="BM21" s="23">
        <f t="shared" ca="1" si="19"/>
        <v>2.1085272434739899E-2</v>
      </c>
      <c r="BN21" s="95" t="s">
        <v>655</v>
      </c>
      <c r="BO21" s="93" t="s">
        <v>117</v>
      </c>
      <c r="BP21" s="95" t="s">
        <v>133</v>
      </c>
      <c r="BQ21" s="98">
        <v>135.80000000000001</v>
      </c>
      <c r="BR21" s="98">
        <v>37.1</v>
      </c>
      <c r="BS21" s="98">
        <v>1982.8</v>
      </c>
      <c r="BT21" s="96" t="s">
        <v>909</v>
      </c>
    </row>
    <row r="22" spans="1:72" ht="15" customHeight="1" x14ac:dyDescent="0.2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162.43</v>
      </c>
      <c r="H22" s="13">
        <f t="array" aca="1" ref="H22" ca="1">_FV(A22,"Acciones en circulación",TRUE())/1000000</f>
        <v>589.58569999999997</v>
      </c>
      <c r="I22" s="14">
        <f t="shared" ca="1" si="22"/>
        <v>95766.405251000004</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86193.405251000004</v>
      </c>
      <c r="AS22" s="103">
        <v>3153</v>
      </c>
      <c r="AT22" s="19">
        <v>2081</v>
      </c>
      <c r="AU22" s="19">
        <v>2874</v>
      </c>
      <c r="AV22" s="19">
        <v>13159</v>
      </c>
      <c r="AW22" s="20">
        <f t="shared" ca="1" si="9"/>
        <v>27.336950602917856</v>
      </c>
      <c r="AX22" s="20">
        <f t="shared" ca="1" si="10"/>
        <v>29.990746433890049</v>
      </c>
      <c r="AY22" s="20">
        <f t="shared" ca="1" si="11"/>
        <v>6.5501485865947267</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-7.9834676100725144E-2</v>
      </c>
      <c r="BM22" s="23">
        <f t="shared" ca="1" si="19"/>
        <v>0.110565440184615</v>
      </c>
      <c r="BN22" s="95" t="s">
        <v>655</v>
      </c>
      <c r="BO22" s="95" t="s">
        <v>117</v>
      </c>
      <c r="BP22" s="95" t="s">
        <v>133</v>
      </c>
      <c r="BQ22" s="98">
        <v>1707</v>
      </c>
      <c r="BR22" s="98">
        <v>0</v>
      </c>
      <c r="BS22" s="98">
        <v>3153</v>
      </c>
      <c r="BT22" t="s">
        <v>859</v>
      </c>
    </row>
    <row r="23" spans="1:72" ht="15" customHeight="1" x14ac:dyDescent="0.2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33.659999999999997</v>
      </c>
      <c r="H23" s="13">
        <f t="array" aca="1" ref="H23" ca="1">_FV(A23,"Acciones en circulación",TRUE())/1000000</f>
        <v>980.4</v>
      </c>
      <c r="I23" s="14">
        <f t="shared" ca="1" si="22"/>
        <v>33000.263999999996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33081.263999999996</v>
      </c>
      <c r="AS23" s="103">
        <v>669.1</v>
      </c>
      <c r="AT23" s="19">
        <v>1656</v>
      </c>
      <c r="AU23" s="19">
        <v>2609</v>
      </c>
      <c r="AV23" s="19">
        <v>35628</v>
      </c>
      <c r="AW23" s="20">
        <f t="shared" ca="1" si="9"/>
        <v>49.441434763114621</v>
      </c>
      <c r="AX23" s="20">
        <f t="shared" ca="1" si="10"/>
        <v>12.679671904944421</v>
      </c>
      <c r="AY23" s="20">
        <f t="shared" ca="1" si="11"/>
        <v>0.92851869316268087</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-0.19345019630083604</v>
      </c>
      <c r="BM23" s="23">
        <f t="shared" ca="1" si="19"/>
        <v>-4.0517988179253228E-2</v>
      </c>
      <c r="BN23" s="96" t="s">
        <v>655</v>
      </c>
      <c r="BO23" s="96" t="s">
        <v>87</v>
      </c>
      <c r="BP23" s="96" t="s">
        <v>654</v>
      </c>
      <c r="BQ23" s="98">
        <v>0</v>
      </c>
      <c r="BR23" s="98">
        <v>1460.2</v>
      </c>
      <c r="BS23" s="98">
        <v>2129.3000000000002</v>
      </c>
      <c r="BT23" t="s">
        <v>861</v>
      </c>
    </row>
    <row r="24" spans="1:72" ht="15" customHeight="1" x14ac:dyDescent="0.2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94.69</v>
      </c>
      <c r="H24" s="13">
        <f t="array" aca="1" ref="H24" ca="1">_FV(A24,"Acciones en circulación",TRUE())/1000000</f>
        <v>243.79329999999999</v>
      </c>
      <c r="I24" s="14">
        <f t="shared" ca="1" si="22"/>
        <v>23084.787576999999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24554.787576999999</v>
      </c>
      <c r="AS24" s="103">
        <v>973</v>
      </c>
      <c r="AT24" s="19">
        <v>1062</v>
      </c>
      <c r="AU24" s="19">
        <v>1390</v>
      </c>
      <c r="AV24" s="19">
        <v>5700</v>
      </c>
      <c r="AW24" s="20">
        <f t="shared" ca="1" si="9"/>
        <v>25.236164005138747</v>
      </c>
      <c r="AX24" s="20">
        <f t="shared" ca="1" si="10"/>
        <v>17.66531480359712</v>
      </c>
      <c r="AY24" s="20">
        <f t="shared" ca="1" si="11"/>
        <v>4.3078574696491225</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-0.10409879953375123</v>
      </c>
      <c r="BM24" s="23">
        <f t="shared" ca="1" si="19"/>
        <v>7.2999654813583836E-2</v>
      </c>
      <c r="BN24" s="95" t="s">
        <v>813</v>
      </c>
      <c r="BO24" s="93" t="s">
        <v>120</v>
      </c>
      <c r="BP24" s="93" t="s">
        <v>121</v>
      </c>
      <c r="BQ24" s="98">
        <v>74</v>
      </c>
      <c r="BR24" s="98">
        <v>0</v>
      </c>
      <c r="BS24" s="98">
        <v>973</v>
      </c>
      <c r="BT24" t="s">
        <v>859</v>
      </c>
    </row>
    <row r="25" spans="1:72" ht="15" customHeight="1" x14ac:dyDescent="0.2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144.55000000000001</v>
      </c>
      <c r="H25" s="13">
        <f t="array" aca="1" ref="H25" ca="1">_FV(A25,"Acciones en circulación",TRUE())/1000000</f>
        <v>262.2457</v>
      </c>
      <c r="I25" s="14">
        <f t="shared" ca="1" si="22"/>
        <v>37907.615935000002</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43660.615935000002</v>
      </c>
      <c r="AS25" s="103">
        <v>1256.4000000000001</v>
      </c>
      <c r="AT25" s="19">
        <v>1409</v>
      </c>
      <c r="AU25" s="19">
        <v>2319</v>
      </c>
      <c r="AV25" s="19">
        <v>10107</v>
      </c>
      <c r="AW25" s="20">
        <f t="shared" ca="1" si="9"/>
        <v>34.750569830468002</v>
      </c>
      <c r="AX25" s="20">
        <f t="shared" ca="1" si="10"/>
        <v>18.827346241914618</v>
      </c>
      <c r="AY25" s="20">
        <f t="shared" ca="1" si="11"/>
        <v>4.319839312852479</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-0.15725342816200683</v>
      </c>
      <c r="BM25" s="23">
        <f t="shared" ca="1" si="19"/>
        <v>7.6940322119616322E-2</v>
      </c>
      <c r="BN25" s="95" t="s">
        <v>813</v>
      </c>
      <c r="BO25" s="95" t="s">
        <v>117</v>
      </c>
      <c r="BP25" s="95" t="s">
        <v>133</v>
      </c>
      <c r="BQ25" s="98">
        <v>0</v>
      </c>
      <c r="BR25" s="98">
        <v>0</v>
      </c>
      <c r="BS25" s="98">
        <v>1256.4000000000001</v>
      </c>
      <c r="BT25" s="96" t="s">
        <v>904</v>
      </c>
    </row>
    <row r="26" spans="1:72" ht="15" customHeight="1" x14ac:dyDescent="0.2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3610</v>
      </c>
      <c r="H26" s="13">
        <f t="array" aca="1" ref="H26" ca="1">_FV(A26,"Acciones en circulación",TRUE())/1000000</f>
        <v>6.6606899999999998</v>
      </c>
      <c r="I26" s="14">
        <f ca="1">G26/100*H26</f>
        <v>240.450909</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285.75090899999998</v>
      </c>
      <c r="AS26" s="103">
        <v>11.8</v>
      </c>
      <c r="AT26" s="19">
        <v>3</v>
      </c>
      <c r="AU26" s="19">
        <v>21.6</v>
      </c>
      <c r="AV26" s="19">
        <v>131.30000000000001</v>
      </c>
      <c r="AW26" s="20">
        <f t="shared" ca="1" si="9"/>
        <v>24.216178728813556</v>
      </c>
      <c r="AX26" s="20">
        <f t="shared" ca="1" si="10"/>
        <v>13.229208749999998</v>
      </c>
      <c r="AY26" s="20">
        <f t="shared" ca="1" si="11"/>
        <v>2.1763207083015992</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-5.6581624969980537E-2</v>
      </c>
      <c r="BM26" s="23">
        <f t="shared" ca="1" si="19"/>
        <v>0.30803192526632261</v>
      </c>
      <c r="BN26" s="95" t="s">
        <v>881</v>
      </c>
      <c r="BO26" s="95" t="s">
        <v>874</v>
      </c>
      <c r="BP26" s="95" t="s">
        <v>877</v>
      </c>
      <c r="BQ26" s="98">
        <v>1.2</v>
      </c>
      <c r="BR26" s="98">
        <v>0</v>
      </c>
      <c r="BS26" s="98">
        <v>11.8</v>
      </c>
      <c r="BT26" s="96" t="s">
        <v>887</v>
      </c>
    </row>
    <row r="27" spans="1:72" ht="15" customHeight="1" x14ac:dyDescent="0.2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89.8</v>
      </c>
      <c r="H27" s="13">
        <f t="array" aca="1" ref="H27" ca="1">_FV(A27,"Acciones en circulación",TRUE())/1000000</f>
        <v>159.45519999999999</v>
      </c>
      <c r="I27" s="14">
        <f t="shared" ref="I27:I60" ca="1" si="25">G27*H27</f>
        <v>14319.076959999999</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14379.076959999999</v>
      </c>
      <c r="AS27" s="103">
        <v>261.60000000000002</v>
      </c>
      <c r="AT27" s="19">
        <v>528</v>
      </c>
      <c r="AU27" s="19">
        <v>779</v>
      </c>
      <c r="AV27" s="19">
        <v>2637</v>
      </c>
      <c r="AW27" s="20">
        <f t="shared" ca="1" si="9"/>
        <v>54.965890519877668</v>
      </c>
      <c r="AX27" s="20">
        <f t="shared" ca="1" si="10"/>
        <v>18.458378639281129</v>
      </c>
      <c r="AY27" s="20">
        <f t="shared" ca="1" si="11"/>
        <v>5.4528164429275687</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-0.15295982424516252</v>
      </c>
      <c r="BM27" s="23">
        <f t="shared" ca="1" si="19"/>
        <v>-9.0175674204159284E-3</v>
      </c>
      <c r="BN27" s="95" t="s">
        <v>655</v>
      </c>
      <c r="BO27" s="100" t="s">
        <v>123</v>
      </c>
      <c r="BP27" s="95" t="s">
        <v>104</v>
      </c>
      <c r="BQ27" s="98">
        <v>18.899999999999999</v>
      </c>
      <c r="BR27" s="98">
        <v>65.400000000000006</v>
      </c>
      <c r="BS27" s="98">
        <v>327</v>
      </c>
      <c r="BT27" t="s">
        <v>860</v>
      </c>
    </row>
    <row r="28" spans="1:72" ht="15" customHeight="1" x14ac:dyDescent="0.2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728.08</v>
      </c>
      <c r="H28" s="13">
        <f t="array" aca="1" ref="H28" ca="1">_FV(A28,"Acciones en circulación",TRUE())/1000000</f>
        <v>2547.5059999999999</v>
      </c>
      <c r="I28" s="14">
        <f t="shared" ca="1" si="25"/>
        <v>1854788.16848</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90260</v>
      </c>
      <c r="AQ28" s="19">
        <v>112320</v>
      </c>
      <c r="AR28" s="19">
        <f t="shared" ca="1" si="21"/>
        <v>1876848.16848</v>
      </c>
      <c r="AS28" s="103">
        <v>15840</v>
      </c>
      <c r="AT28" s="19">
        <v>67631</v>
      </c>
      <c r="AU28" s="19">
        <v>109660</v>
      </c>
      <c r="AV28" s="19">
        <v>228250</v>
      </c>
      <c r="AW28" s="20">
        <f t="shared" ca="1" si="9"/>
        <v>118.48788942424243</v>
      </c>
      <c r="AX28" s="20">
        <f t="shared" ca="1" si="10"/>
        <v>17.115157472916287</v>
      </c>
      <c r="AY28" s="20">
        <f t="shared" ca="1" si="11"/>
        <v>8.2227740130558598</v>
      </c>
      <c r="AZ28" s="21">
        <v>393577</v>
      </c>
      <c r="BA28" s="22">
        <f t="shared" si="12"/>
        <v>0.29630230010952902</v>
      </c>
      <c r="BB28" s="22">
        <f t="shared" si="13"/>
        <v>0.57993734389966889</v>
      </c>
      <c r="BC28" s="23">
        <f t="shared" si="14"/>
        <v>0.17183676891688282</v>
      </c>
      <c r="BD28" s="98">
        <v>12030.4</v>
      </c>
      <c r="BE28" s="23">
        <f t="shared" si="15"/>
        <v>-5.3534085706038015E-2</v>
      </c>
      <c r="BF28">
        <v>33269.4</v>
      </c>
      <c r="BG28" s="23">
        <f t="shared" si="16"/>
        <v>0.15999991732100671</v>
      </c>
      <c r="BH28" s="24">
        <v>18</v>
      </c>
      <c r="BI28" s="24">
        <v>26</v>
      </c>
      <c r="BJ28" s="25">
        <f t="shared" ca="1" si="26"/>
        <v>76.344157776272155</v>
      </c>
      <c r="BK28" s="25">
        <f t="shared" ca="1" si="27"/>
        <v>330.89005482224576</v>
      </c>
      <c r="BL28" s="23">
        <f t="shared" ca="1" si="18"/>
        <v>-0.36302946763363209</v>
      </c>
      <c r="BM28" s="23">
        <f t="shared" ca="1" si="19"/>
        <v>-0.14591533823032776</v>
      </c>
      <c r="BN28" s="95" t="s">
        <v>813</v>
      </c>
      <c r="BO28" s="93" t="s">
        <v>83</v>
      </c>
      <c r="BP28" s="93" t="s">
        <v>84</v>
      </c>
      <c r="BQ28" s="98">
        <v>25136</v>
      </c>
      <c r="BR28" s="98">
        <v>66596</v>
      </c>
      <c r="BS28" s="98">
        <v>82436</v>
      </c>
      <c r="BT28" t="s">
        <v>859</v>
      </c>
    </row>
    <row r="29" spans="1:72" ht="15" customHeight="1" x14ac:dyDescent="0.2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90.26</v>
      </c>
      <c r="H29" s="13">
        <f t="array" aca="1" ref="H29" ca="1">_FV(A29,"Acciones en circulación",TRUE())/1000000</f>
        <v>897.63559999999995</v>
      </c>
      <c r="I29" s="14">
        <f t="shared" ca="1" si="25"/>
        <v>81020.589256000007</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116104.58925600001</v>
      </c>
      <c r="AS29" s="103">
        <v>5000</v>
      </c>
      <c r="AT29" s="19">
        <v>5176</v>
      </c>
      <c r="AU29" s="19">
        <v>6752</v>
      </c>
      <c r="AV29" s="19">
        <v>25833</v>
      </c>
      <c r="AW29" s="20">
        <f t="shared" ca="1" si="9"/>
        <v>23.220917851200003</v>
      </c>
      <c r="AX29" s="20">
        <f t="shared" ca="1" si="10"/>
        <v>17.195584901658769</v>
      </c>
      <c r="AY29" s="20">
        <f t="shared" ca="1" si="11"/>
        <v>4.4944291896411572</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-2.8510406550612655E-2</v>
      </c>
      <c r="BM29" s="23">
        <f t="shared" ca="1" si="19"/>
        <v>0.27776808429597666</v>
      </c>
      <c r="BN29" s="95" t="s">
        <v>813</v>
      </c>
      <c r="BO29" s="95" t="s">
        <v>102</v>
      </c>
      <c r="BP29" s="95" t="s">
        <v>145</v>
      </c>
      <c r="BQ29" s="98"/>
      <c r="BR29" s="98"/>
      <c r="BS29" s="98"/>
    </row>
    <row r="30" spans="1:72" ht="15" customHeight="1" x14ac:dyDescent="0.2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348.92</v>
      </c>
      <c r="H30" s="13">
        <f t="array" aca="1" ref="H30" ca="1">_FV(A30,"Acciones en circulación",TRUE())/1000000</f>
        <v>356.0797</v>
      </c>
      <c r="I30" s="14">
        <f t="shared" ca="1" si="25"/>
        <v>124243.328924</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123609.328924</v>
      </c>
      <c r="AS30" s="103">
        <v>-192.8</v>
      </c>
      <c r="AT30" s="19">
        <v>-195</v>
      </c>
      <c r="AU30" s="19">
        <v>-2</v>
      </c>
      <c r="AV30" s="19">
        <v>2512</v>
      </c>
      <c r="AW30" s="20">
        <f t="shared" ca="1" si="9"/>
        <v>-641.1272247095435</v>
      </c>
      <c r="AX30" s="20">
        <f t="shared" ca="1" si="10"/>
        <v>-61804.664462000001</v>
      </c>
      <c r="AY30" s="20">
        <f t="shared" ca="1" si="11"/>
        <v>49.207535399681532</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-0.36454019504296331</v>
      </c>
      <c r="BN30" s="95" t="s">
        <v>655</v>
      </c>
      <c r="BO30" s="95" t="s">
        <v>117</v>
      </c>
      <c r="BP30" s="95" t="s">
        <v>133</v>
      </c>
      <c r="BQ30" s="98">
        <v>507.7</v>
      </c>
      <c r="BR30" s="98">
        <v>93.4</v>
      </c>
      <c r="BS30" s="98">
        <v>-99.4</v>
      </c>
      <c r="BT30" s="96" t="s">
        <v>868</v>
      </c>
    </row>
    <row r="31" spans="1:72" ht="15" customHeight="1" x14ac:dyDescent="0.2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270.04000000000002</v>
      </c>
      <c r="H31" s="13">
        <f t="array" aca="1" ref="H31" ca="1">_FV(A31,"Acciones en circulación",TRUE())/1000000</f>
        <v>1023.9349999999999</v>
      </c>
      <c r="I31" s="14">
        <f t="shared" ca="1" si="25"/>
        <v>276503.40740000003</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272235.80740000005</v>
      </c>
      <c r="AS31" s="103">
        <v>281.60000000000002</v>
      </c>
      <c r="AT31" s="19">
        <v>-133</v>
      </c>
      <c r="AU31" s="104" t="s">
        <v>880</v>
      </c>
      <c r="AV31" s="19">
        <v>5396.1</v>
      </c>
      <c r="AW31" s="20">
        <f t="shared" ca="1" si="9"/>
        <v>966.7464751420456</v>
      </c>
      <c r="AX31" s="20" t="e">
        <f t="shared" ca="1" si="10"/>
        <v>#VALUE!</v>
      </c>
      <c r="AY31" s="20">
        <f t="shared" ca="1" si="11"/>
        <v>50.450474861474035</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-0.44865009400453237</v>
      </c>
      <c r="BM31" s="23">
        <f t="shared" ca="1" si="19"/>
        <v>-0.35523307259627135</v>
      </c>
      <c r="BN31" s="96" t="s">
        <v>881</v>
      </c>
      <c r="BO31" s="96" t="s">
        <v>80</v>
      </c>
      <c r="BP31" s="96" t="s">
        <v>878</v>
      </c>
      <c r="BQ31" s="98">
        <v>1244</v>
      </c>
      <c r="BR31" s="98">
        <v>0</v>
      </c>
      <c r="BS31" s="98">
        <v>281.60000000000002</v>
      </c>
      <c r="BT31" s="96" t="s">
        <v>888</v>
      </c>
    </row>
    <row r="32" spans="1:72" ht="15" customHeight="1" x14ac:dyDescent="0.2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340.35</v>
      </c>
      <c r="H32" s="13">
        <f t="array" aca="1" ref="H32" ca="1">_FV(A32,"Acciones en circulación",TRUE())/1000000</f>
        <v>12230</v>
      </c>
      <c r="I32" s="14">
        <f t="shared" ca="1" si="25"/>
        <v>4162480.5000000005</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4040800.5000000005</v>
      </c>
      <c r="AS32" s="103">
        <v>25126</v>
      </c>
      <c r="AT32" s="19">
        <v>120466</v>
      </c>
      <c r="AU32" s="19">
        <v>173160</v>
      </c>
      <c r="AV32" s="19">
        <v>445870</v>
      </c>
      <c r="AW32" s="20">
        <f t="shared" ca="1" si="9"/>
        <v>160.82147974209983</v>
      </c>
      <c r="AX32" s="20">
        <f t="shared" ca="1" si="10"/>
        <v>23.335646223146227</v>
      </c>
      <c r="AY32" s="20">
        <f t="shared" ca="1" si="11"/>
        <v>9.0627324107923837</v>
      </c>
      <c r="AZ32" s="21">
        <v>795872</v>
      </c>
      <c r="BA32" s="22">
        <f t="shared" si="12"/>
        <v>0.27018189158274836</v>
      </c>
      <c r="BB32" s="22">
        <f t="shared" si="13"/>
        <v>0.5602282779140364</v>
      </c>
      <c r="BC32" s="23">
        <f t="shared" si="14"/>
        <v>0.15136353584495998</v>
      </c>
      <c r="BD32" s="98">
        <v>32067.8</v>
      </c>
      <c r="BE32" s="23">
        <f t="shared" si="15"/>
        <v>4.9999669036893346E-2</v>
      </c>
      <c r="BF32">
        <v>50537.4</v>
      </c>
      <c r="BG32" s="23">
        <f t="shared" si="16"/>
        <v>0.1500001788890104</v>
      </c>
      <c r="BH32" s="24">
        <v>20</v>
      </c>
      <c r="BI32" s="24">
        <v>30</v>
      </c>
      <c r="BJ32" s="25">
        <f t="shared" ca="1" si="26"/>
        <v>62.390515126737533</v>
      </c>
      <c r="BK32" s="25">
        <f t="shared" ca="1" si="27"/>
        <v>133.91676206050695</v>
      </c>
      <c r="BL32" s="23">
        <f t="shared" ca="1" si="18"/>
        <v>-0.28773998700877756</v>
      </c>
      <c r="BM32" s="23">
        <f t="shared" ca="1" si="19"/>
        <v>-0.17018393760352257</v>
      </c>
      <c r="BN32" s="95" t="s">
        <v>655</v>
      </c>
      <c r="BO32" s="93" t="s">
        <v>125</v>
      </c>
      <c r="BP32" s="93" t="s">
        <v>121</v>
      </c>
      <c r="BQ32" s="98">
        <v>28147</v>
      </c>
      <c r="BR32" s="98">
        <v>107165</v>
      </c>
      <c r="BS32" s="98">
        <v>132291</v>
      </c>
      <c r="BT32" t="s">
        <v>859</v>
      </c>
    </row>
    <row r="33" spans="1:72" ht="15" customHeight="1" x14ac:dyDescent="0.2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82.16</v>
      </c>
      <c r="H33" s="13">
        <f t="array" aca="1" ref="H33" ca="1">_FV(A33,"Acciones en circulación",TRUE())/1000000</f>
        <v>1823.154</v>
      </c>
      <c r="I33" s="14">
        <f t="shared" ca="1" si="25"/>
        <v>149790.33264000001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184071.95246321603</v>
      </c>
      <c r="AS33" s="103">
        <v>4159</v>
      </c>
      <c r="AT33" s="19">
        <v>4811</v>
      </c>
      <c r="AU33" s="19">
        <v>7150</v>
      </c>
      <c r="AV33" s="19">
        <v>35750</v>
      </c>
      <c r="AW33" s="20">
        <f t="shared" ca="1" si="9"/>
        <v>44.258704607649925</v>
      </c>
      <c r="AX33" s="20">
        <f t="shared" ca="1" si="10"/>
        <v>25.74432901583441</v>
      </c>
      <c r="AY33" s="20">
        <f t="shared" ca="1" si="11"/>
        <v>5.1488658031668821</v>
      </c>
      <c r="AZ33" s="21">
        <v>27296</v>
      </c>
      <c r="BA33" s="22">
        <f t="shared" si="12"/>
        <v>0.13457342657342658</v>
      </c>
      <c r="BB33" s="22">
        <f t="shared" si="13"/>
        <v>1.3097157092614302</v>
      </c>
      <c r="BC33" s="23">
        <f t="shared" si="14"/>
        <v>0.17625293083235638</v>
      </c>
      <c r="BD33" s="98">
        <v>5060.1000000000004</v>
      </c>
      <c r="BE33" s="23">
        <f t="shared" si="15"/>
        <v>4.000166804127181E-2</v>
      </c>
      <c r="BF33">
        <v>7329.7</v>
      </c>
      <c r="BG33" s="23">
        <f t="shared" si="16"/>
        <v>0.12000369602195815</v>
      </c>
      <c r="BH33" s="24">
        <v>14</v>
      </c>
      <c r="BI33" s="24">
        <v>25</v>
      </c>
      <c r="BJ33" s="25">
        <f ca="1">((BD33*BH33+$AP33-$AQ33)/$H33)/'Framework Notes'!E5</f>
        <v>30.700094497149948</v>
      </c>
      <c r="BK33" s="25">
        <f ca="1">((BF33*BI33+$AP33-$AQ33)/$H33)/'Framework Notes'!E5</f>
        <v>81.783038619456818</v>
      </c>
      <c r="BL33" s="23">
        <f t="shared" ca="1" si="18"/>
        <v>-0.17871128323244889</v>
      </c>
      <c r="BM33" s="23">
        <f t="shared" ca="1" si="19"/>
        <v>-9.1931624013175117E-4</v>
      </c>
      <c r="BN33" s="95" t="s">
        <v>655</v>
      </c>
      <c r="BO33" s="93" t="s">
        <v>126</v>
      </c>
      <c r="BP33" s="93" t="s">
        <v>115</v>
      </c>
      <c r="BQ33" s="98">
        <v>0</v>
      </c>
      <c r="BR33" s="98">
        <v>175</v>
      </c>
      <c r="BS33" s="98">
        <v>4334</v>
      </c>
      <c r="BT33" t="s">
        <v>861</v>
      </c>
    </row>
    <row r="34" spans="1:72" ht="15" customHeight="1" x14ac:dyDescent="0.25">
      <c r="A34" s="86" t="e" vm="31">
        <v>#VALUE!</v>
      </c>
      <c r="B34" s="10" t="str">
        <f t="array" aca="1" ref="B34" ca="1">_FV(A34,"Símbolo bursátil",TRUE())</f>
        <v>GRMN</v>
      </c>
      <c r="C34" s="88" t="s">
        <v>127</v>
      </c>
      <c r="D34" s="88" t="s">
        <v>77</v>
      </c>
      <c r="E34" s="11" t="str">
        <f t="array" aca="1" ref="E34" ca="1">_FV(A34,"Abreviatura de intercambio",TRUE())</f>
        <v>XNYS</v>
      </c>
      <c r="F34" s="11" t="str">
        <f t="array" aca="1" ref="F34" ca="1">_FV(A34,"Moneda")</f>
        <v>USD</v>
      </c>
      <c r="G34" s="12">
        <f t="array" aca="1" ref="G34" ca="1">_FV(A34,"Precio")</f>
        <v>281.02999999999997</v>
      </c>
      <c r="H34" s="13">
        <f t="array" aca="1" ref="H34" ca="1">_FV(A34,"Acciones en circulación",TRUE())/1000000</f>
        <v>192.85249999999999</v>
      </c>
      <c r="I34" s="14">
        <f t="shared" ca="1" si="25"/>
        <v>54197.338074999992</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51754.338074999992</v>
      </c>
      <c r="AS34" s="103">
        <v>1427.3</v>
      </c>
      <c r="AT34" s="19">
        <v>1754</v>
      </c>
      <c r="AU34" s="19">
        <v>2310</v>
      </c>
      <c r="AV34" s="19">
        <v>7670</v>
      </c>
      <c r="AW34" s="20">
        <f t="shared" ca="1" si="9"/>
        <v>36.260308326910945</v>
      </c>
      <c r="AX34" s="20">
        <f t="shared" ca="1" si="10"/>
        <v>22.404475357142854</v>
      </c>
      <c r="AY34" s="20">
        <f t="shared" ca="1" si="11"/>
        <v>6.7476320827900906</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-9.0612575439264487E-2</v>
      </c>
      <c r="BM34" s="23">
        <f t="shared" ca="1" si="19"/>
        <v>5.4929233984469361E-2</v>
      </c>
      <c r="BN34" s="95" t="s">
        <v>655</v>
      </c>
      <c r="BO34" s="93" t="s">
        <v>83</v>
      </c>
      <c r="BP34" s="93" t="s">
        <v>104</v>
      </c>
      <c r="BQ34" s="98">
        <v>172.5</v>
      </c>
      <c r="BR34" s="98">
        <v>185.8</v>
      </c>
      <c r="BS34" s="98">
        <v>1613.1</v>
      </c>
      <c r="BT34" t="s">
        <v>859</v>
      </c>
    </row>
    <row r="35" spans="1:72" ht="15" customHeight="1" x14ac:dyDescent="0.25">
      <c r="A35" s="86" t="e" vm="32">
        <v>#VALUE!</v>
      </c>
      <c r="B35" s="10" t="str">
        <f t="array" aca="1" ref="B35" ca="1">_FV(A35,"Símbolo bursátil",TRUE())</f>
        <v>KRX</v>
      </c>
      <c r="C35" s="88" t="s">
        <v>128</v>
      </c>
      <c r="D35" s="88" t="s">
        <v>77</v>
      </c>
      <c r="E35" s="11" t="s">
        <v>580</v>
      </c>
      <c r="F35" s="11" t="str">
        <f t="array" aca="1" ref="F35" ca="1">_FV(A35,"Moneda")</f>
        <v>EUR</v>
      </c>
      <c r="G35" s="12">
        <f t="array" aca="1" ref="G35" ca="1">_FV(A35,"Precio")</f>
        <v>99</v>
      </c>
      <c r="H35" s="13">
        <f t="array" aca="1" ref="H35" ca="1">_FV(A35,"Acciones en circulación",TRUE())/1000000</f>
        <v>180.4288</v>
      </c>
      <c r="I35" s="14">
        <f t="shared" ca="1" si="25"/>
        <v>17862.4512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19722.4512</v>
      </c>
      <c r="AS35" s="103">
        <v>433.5</v>
      </c>
      <c r="AT35" s="19">
        <v>780</v>
      </c>
      <c r="AU35" s="19">
        <v>1277</v>
      </c>
      <c r="AV35" s="19">
        <v>9561</v>
      </c>
      <c r="AW35" s="20">
        <f t="shared" ca="1" si="9"/>
        <v>45.495850519031144</v>
      </c>
      <c r="AX35" s="20">
        <f t="shared" ca="1" si="10"/>
        <v>15.44436272513704</v>
      </c>
      <c r="AY35" s="20">
        <f t="shared" ca="1" si="11"/>
        <v>2.0628021336680264</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30.629256526674236</v>
      </c>
      <c r="BK35" s="25">
        <f ca="1">(BF35*BI35+$AP35-$AQ35)/$H35</f>
        <v>96.027906853007948</v>
      </c>
      <c r="BL35" s="23">
        <f t="shared" ca="1" si="18"/>
        <v>-0.20913883144861478</v>
      </c>
      <c r="BM35" s="23">
        <f t="shared" ca="1" si="19"/>
        <v>-6.0776567743662246E-3</v>
      </c>
      <c r="BN35" s="95" t="s">
        <v>813</v>
      </c>
      <c r="BO35" s="95" t="s">
        <v>100</v>
      </c>
      <c r="BP35" s="95" t="s">
        <v>658</v>
      </c>
      <c r="BQ35" s="98">
        <v>21</v>
      </c>
      <c r="BR35" s="98">
        <v>50.5</v>
      </c>
      <c r="BS35" s="98">
        <v>484</v>
      </c>
      <c r="BT35" t="s">
        <v>860</v>
      </c>
    </row>
    <row r="36" spans="1:72" ht="15" customHeight="1" x14ac:dyDescent="0.2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94.05</v>
      </c>
      <c r="H36" s="13">
        <f t="array" aca="1" ref="H36" ca="1">_FV(A36,"Acciones en circulación",TRUE())/1000000</f>
        <v>189.33349999999999</v>
      </c>
      <c r="I36" s="14">
        <f t="shared" ca="1" si="25"/>
        <v>17806.815674999998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129</v>
      </c>
      <c r="AP36" s="19">
        <v>900000</v>
      </c>
      <c r="AQ36" s="19">
        <v>100000</v>
      </c>
      <c r="AR36" s="19">
        <f ca="1">I36*'Framework Notes'!E6-AP36+AQ36</f>
        <v>7179590.2402809989</v>
      </c>
      <c r="AS36" s="103">
        <v>1054825</v>
      </c>
      <c r="AT36" s="19">
        <v>1065825</v>
      </c>
      <c r="AU36" s="19">
        <v>1606052</v>
      </c>
      <c r="AV36" s="19">
        <v>4449504</v>
      </c>
      <c r="AW36" s="20">
        <f t="shared" ref="AW36:AW66" ca="1" si="35">AR36/AS36</f>
        <v>6.8064278342672946</v>
      </c>
      <c r="AX36" s="20">
        <f t="shared" ref="AX36:AX66" ca="1" si="36">AR36/AU36</f>
        <v>4.4703348585730716</v>
      </c>
      <c r="AY36" s="20">
        <f t="shared" ref="AY36:AY66" ca="1" si="37">AR36/AV36</f>
        <v>1.6135709149336643</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84.461727254840383</v>
      </c>
      <c r="BK36" s="25">
        <f ca="1">((BF36*BI36+$AP36-$AQ36)/$H36)/'Framework Notes'!E6</f>
        <v>499.59074351036043</v>
      </c>
      <c r="BL36" s="23">
        <f t="shared" ref="BL36:BL71" ca="1" si="43">IF($BJ36&lt;=0,-0.99,MAX(-0.99,($BJ36/G36)^(1/5)-1))</f>
        <v>-2.1276014339567495E-2</v>
      </c>
      <c r="BM36" s="23">
        <f t="shared" ref="BM36:BM71" ca="1" si="44">IF(BK36&lt;=0,-0.99,MAX(-0.99,(BK36/G36)^(1/5)-1))</f>
        <v>0.39653272387404837</v>
      </c>
      <c r="BN36" s="96" t="s">
        <v>881</v>
      </c>
      <c r="BO36" t="s">
        <v>130</v>
      </c>
      <c r="BP36" s="96" t="s">
        <v>659</v>
      </c>
      <c r="BQ36" s="98">
        <v>11000</v>
      </c>
      <c r="BR36" s="98">
        <v>0</v>
      </c>
      <c r="BS36" s="98">
        <v>941971</v>
      </c>
      <c r="BT36" s="96" t="s">
        <v>907</v>
      </c>
    </row>
    <row r="37" spans="1:72" ht="15" customHeight="1" x14ac:dyDescent="0.2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56</v>
      </c>
      <c r="H37" s="13">
        <f t="array" aca="1" ref="H37" ca="1">_FV(A37,"Acciones en circulación",TRUE())/1000000</f>
        <v>16.307580000000002</v>
      </c>
      <c r="I37" s="14">
        <f t="shared" ca="1" si="25"/>
        <v>913.22448000000009</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931.62448000000006</v>
      </c>
      <c r="AS37" s="103">
        <v>46.3</v>
      </c>
      <c r="AT37" s="19">
        <v>50</v>
      </c>
      <c r="AU37" s="19">
        <v>95</v>
      </c>
      <c r="AV37" s="19">
        <v>320</v>
      </c>
      <c r="AW37" s="20">
        <f t="shared" ca="1" si="35"/>
        <v>20.121479049676029</v>
      </c>
      <c r="AX37" s="20">
        <f t="shared" ca="1" si="36"/>
        <v>9.8065734736842121</v>
      </c>
      <c r="AY37" s="20">
        <f t="shared" ca="1" si="37"/>
        <v>2.9113265000000004</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-4.5904317505485515E-2</v>
      </c>
      <c r="BM37" s="23">
        <f t="shared" ca="1" si="44"/>
        <v>0.12623324865740848</v>
      </c>
      <c r="BN37" s="95" t="s">
        <v>655</v>
      </c>
      <c r="BO37" s="100" t="s">
        <v>83</v>
      </c>
      <c r="BP37" s="95" t="s">
        <v>657</v>
      </c>
      <c r="BQ37" s="98">
        <v>0</v>
      </c>
      <c r="BR37" s="98">
        <v>4.8</v>
      </c>
      <c r="BS37" s="98">
        <v>51.1</v>
      </c>
      <c r="BT37" t="s">
        <v>861</v>
      </c>
    </row>
    <row r="38" spans="1:72" ht="15" customHeight="1" x14ac:dyDescent="0.25">
      <c r="A38" s="86" t="e" vm="35">
        <v>#VALUE!</v>
      </c>
      <c r="B38" s="10" t="str">
        <f t="array" aca="1" ref="B38" ca="1">_FV(A38,"Símbolo bursátil",TRUE())</f>
        <v>NVDA</v>
      </c>
      <c r="C38" s="88" t="s">
        <v>131</v>
      </c>
      <c r="D38" s="88" t="s">
        <v>97</v>
      </c>
      <c r="E38" s="11" t="str">
        <f t="array" aca="1" ref="E38" ca="1">_FV(A38,"Abreviatura de intercambio",TRUE())</f>
        <v>XNAS</v>
      </c>
      <c r="F38" s="11" t="str">
        <f t="array" aca="1" ref="F38" ca="1">_FV(A38,"Moneda")</f>
        <v>USD</v>
      </c>
      <c r="G38" s="12">
        <f t="array" aca="1" ref="G38" ca="1">_FV(A38,"Precio")</f>
        <v>233.95</v>
      </c>
      <c r="H38" s="13">
        <f t="array" aca="1" ref="H38" ca="1">_FV(A38,"Acciones en circulación",TRUE())/1000000</f>
        <v>24100</v>
      </c>
      <c r="I38" s="14">
        <f t="shared" ca="1" si="25"/>
        <v>5638195</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5614975</v>
      </c>
      <c r="AS38" s="103">
        <v>119765</v>
      </c>
      <c r="AT38" s="19">
        <v>165966</v>
      </c>
      <c r="AU38" s="19">
        <v>201266</v>
      </c>
      <c r="AV38" s="19">
        <v>302970</v>
      </c>
      <c r="AW38" s="20">
        <f t="shared" ca="1" si="35"/>
        <v>46.883271406504406</v>
      </c>
      <c r="AX38" s="20">
        <f t="shared" ca="1" si="36"/>
        <v>27.898278894597201</v>
      </c>
      <c r="AY38" s="20">
        <f t="shared" ca="1" si="37"/>
        <v>18.533105588012013</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-8.4849380055757706E-2</v>
      </c>
      <c r="BM38" s="23">
        <f t="shared" ca="1" si="44"/>
        <v>8.355138399995643E-2</v>
      </c>
      <c r="BN38" s="96" t="s">
        <v>881</v>
      </c>
      <c r="BO38" s="96" t="s">
        <v>80</v>
      </c>
      <c r="BP38" s="96" t="s">
        <v>111</v>
      </c>
      <c r="BQ38" s="98">
        <v>7241</v>
      </c>
      <c r="BR38" s="98">
        <v>3667</v>
      </c>
      <c r="BS38" s="98">
        <v>123432</v>
      </c>
      <c r="BT38" s="96" t="s">
        <v>889</v>
      </c>
    </row>
    <row r="39" spans="1:72" ht="15" customHeight="1" x14ac:dyDescent="0.25">
      <c r="A39" s="86" t="e" vm="36">
        <v>#VALUE!</v>
      </c>
      <c r="B39" s="10" t="str">
        <f t="array" aca="1" ref="B39" ca="1">_FV(A39,"Símbolo bursátil",TRUE())</f>
        <v>COR</v>
      </c>
      <c r="C39" s="88" t="s">
        <v>132</v>
      </c>
      <c r="D39" s="88" t="s">
        <v>89</v>
      </c>
      <c r="E39" s="11" t="str">
        <f t="array" aca="1" ref="E39" ca="1">_FV(A39,"Abreviatura de intercambio",TRUE())</f>
        <v>XLIS</v>
      </c>
      <c r="F39" s="11" t="str">
        <f t="array" aca="1" ref="F39" ca="1">_FV(A39,"Moneda")</f>
        <v>EUR</v>
      </c>
      <c r="G39" s="12">
        <f t="array" aca="1" ref="G39" ca="1">_FV(A39,"Precio")</f>
        <v>6.92</v>
      </c>
      <c r="H39" s="13">
        <f t="array" aca="1" ref="H39" ca="1">_FV(A39,"Acciones en circulación",TRUE())/1000000</f>
        <v>133</v>
      </c>
      <c r="I39" s="14">
        <f t="shared" ca="1" si="25"/>
        <v>920.36</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1020.36</v>
      </c>
      <c r="AS39" s="103">
        <v>175.3</v>
      </c>
      <c r="AT39" s="19">
        <v>100</v>
      </c>
      <c r="AU39" s="19">
        <v>170</v>
      </c>
      <c r="AV39" s="19">
        <v>900</v>
      </c>
      <c r="AW39" s="20">
        <f t="shared" ca="1" si="35"/>
        <v>5.8206503137478602</v>
      </c>
      <c r="AX39" s="20">
        <f t="shared" ca="1" si="36"/>
        <v>6.0021176470588236</v>
      </c>
      <c r="AY39" s="20">
        <f t="shared" ca="1" si="37"/>
        <v>1.1337333333333333</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8.5961771581210433E-2</v>
      </c>
      <c r="BM39" s="23">
        <f t="shared" ca="1" si="44"/>
        <v>0.27769810695825403</v>
      </c>
      <c r="BN39" s="93" t="s">
        <v>119</v>
      </c>
      <c r="BO39" s="94" t="s">
        <v>83</v>
      </c>
      <c r="BP39" s="93" t="s">
        <v>133</v>
      </c>
      <c r="BQ39" s="98">
        <v>0</v>
      </c>
      <c r="BR39" s="98">
        <v>0</v>
      </c>
      <c r="BS39" s="98">
        <v>175.3</v>
      </c>
      <c r="BT39" t="s">
        <v>861</v>
      </c>
    </row>
    <row r="40" spans="1:72" ht="15" customHeight="1" x14ac:dyDescent="0.25">
      <c r="A40" s="86" t="e" vm="37">
        <v>#VALUE!</v>
      </c>
      <c r="B40" s="10" t="str">
        <f t="array" aca="1" ref="B40" ca="1">_FV(A40,"Símbolo bursátil",TRUE())</f>
        <v>TSM</v>
      </c>
      <c r="C40" s="88" t="s">
        <v>131</v>
      </c>
      <c r="D40" s="88" t="s">
        <v>77</v>
      </c>
      <c r="E40" s="11" t="str">
        <f t="array" aca="1" ref="E40" ca="1">_FV(A40,"Abreviatura de intercambio",TRUE())</f>
        <v>XNYS</v>
      </c>
      <c r="F40" s="11" t="str">
        <f t="array" aca="1" ref="F40" ca="1">_FV(A40,"Moneda")</f>
        <v>USD</v>
      </c>
      <c r="G40" s="12">
        <f t="array" aca="1" ref="G40" ca="1">_FV(A40,"Precio")</f>
        <v>472.87</v>
      </c>
      <c r="H40" s="13">
        <f t="array" aca="1" ref="H40" ca="1">_FV(A40,"Acciones en circulación",TRUE())/1000000</f>
        <v>5186.4740000000002</v>
      </c>
      <c r="I40" s="14">
        <f t="shared" ca="1" si="25"/>
        <v>2452527.9603800001</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111330</v>
      </c>
      <c r="AQ40" s="19">
        <v>32648</v>
      </c>
      <c r="AR40" s="19">
        <f ca="1">I40-AP40+AQ40</f>
        <v>2373845.9603800001</v>
      </c>
      <c r="AS40" s="103">
        <v>35739</v>
      </c>
      <c r="AT40" s="19">
        <v>66093</v>
      </c>
      <c r="AU40" s="19">
        <v>100634</v>
      </c>
      <c r="AV40" s="19">
        <v>140522</v>
      </c>
      <c r="AW40" s="20">
        <f t="shared" ca="1" si="35"/>
        <v>66.421723058283675</v>
      </c>
      <c r="AX40" s="20">
        <f t="shared" ca="1" si="36"/>
        <v>23.588905940139515</v>
      </c>
      <c r="AY40" s="20">
        <f t="shared" ca="1" si="37"/>
        <v>16.893055609655427</v>
      </c>
      <c r="AZ40" s="21">
        <v>244100</v>
      </c>
      <c r="BA40" s="22">
        <f t="shared" si="38"/>
        <v>0.47033916397432429</v>
      </c>
      <c r="BB40" s="22">
        <f t="shared" si="39"/>
        <v>0.57567390413764852</v>
      </c>
      <c r="BC40" s="23">
        <f t="shared" si="40"/>
        <v>0.27076198279393693</v>
      </c>
      <c r="BD40" s="98">
        <v>87064.2</v>
      </c>
      <c r="BE40" s="23">
        <f t="shared" si="41"/>
        <v>0.19492168732081039</v>
      </c>
      <c r="BF40">
        <v>124455.7</v>
      </c>
      <c r="BG40" s="23">
        <f t="shared" si="42"/>
        <v>0.28343677459168459</v>
      </c>
      <c r="BH40" s="24">
        <v>14</v>
      </c>
      <c r="BI40" s="24">
        <v>22</v>
      </c>
      <c r="BJ40" s="25">
        <f ca="1">(BD40*BH40+$AP40-$AQ40)/$H40</f>
        <v>250.18554031120181</v>
      </c>
      <c r="BK40" s="25">
        <f ca="1">(BF40*BI40+$AP40-$AQ40)/$H40</f>
        <v>543.08715323744025</v>
      </c>
      <c r="BL40" s="23">
        <f t="shared" ca="1" si="43"/>
        <v>-0.11955123484084884</v>
      </c>
      <c r="BM40" s="23">
        <f t="shared" ca="1" si="44"/>
        <v>2.8076787438463091E-2</v>
      </c>
      <c r="BN40" s="95" t="s">
        <v>655</v>
      </c>
      <c r="BO40" s="93" t="s">
        <v>126</v>
      </c>
      <c r="BP40" s="93" t="s">
        <v>134</v>
      </c>
      <c r="BQ40" s="98">
        <v>22</v>
      </c>
      <c r="BR40" s="98">
        <v>25685</v>
      </c>
      <c r="BS40" s="98">
        <v>61424</v>
      </c>
      <c r="BT40" s="96" t="s">
        <v>910</v>
      </c>
    </row>
    <row r="41" spans="1:72" ht="15" customHeight="1" x14ac:dyDescent="0.2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472.85500000000002</v>
      </c>
      <c r="H41" s="13">
        <f t="array" aca="1" ref="H41" ca="1">_FV(A41,"Acciones en circulación",TRUE())/1000000</f>
        <v>205.5342</v>
      </c>
      <c r="I41" s="14">
        <f t="shared" ca="1" si="25"/>
        <v>97187.874141000008</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6985</v>
      </c>
      <c r="AQ41" s="19">
        <v>466</v>
      </c>
      <c r="AR41" s="19">
        <f ca="1">I41*'Framework Notes'!E8-AP41+AQ41</f>
        <v>79812.988599450298</v>
      </c>
      <c r="AS41" s="103">
        <v>2993</v>
      </c>
      <c r="AT41" s="19">
        <v>2122</v>
      </c>
      <c r="AU41" s="19">
        <v>2750</v>
      </c>
      <c r="AV41" s="19">
        <v>18113</v>
      </c>
      <c r="AW41" s="20">
        <f t="shared" ca="1" si="35"/>
        <v>26.666551486618875</v>
      </c>
      <c r="AX41" s="20">
        <f t="shared" ca="1" si="36"/>
        <v>29.022904945254655</v>
      </c>
      <c r="AY41" s="20">
        <f t="shared" ca="1" si="37"/>
        <v>4.4063925688428363</v>
      </c>
      <c r="AZ41" s="21">
        <v>8834</v>
      </c>
      <c r="BA41" s="22">
        <f t="shared" si="38"/>
        <v>0.11715342571633633</v>
      </c>
      <c r="BB41" s="22">
        <f t="shared" si="39"/>
        <v>2.0503735567127008</v>
      </c>
      <c r="BC41" s="23">
        <f t="shared" si="40"/>
        <v>0.2402082861670817</v>
      </c>
      <c r="BD41" s="98">
        <v>3469.4</v>
      </c>
      <c r="BE41" s="23">
        <f t="shared" si="41"/>
        <v>2.9981754384583947E-2</v>
      </c>
      <c r="BF41">
        <v>4820.7</v>
      </c>
      <c r="BG41" s="23">
        <f t="shared" si="42"/>
        <v>0.10002024411140997</v>
      </c>
      <c r="BH41" s="24">
        <v>18</v>
      </c>
      <c r="BI41" s="24">
        <v>25</v>
      </c>
      <c r="BJ41" s="25">
        <f ca="1">((BD41*BH41+$AP41-$AQ41)/$H41)/'Framework Notes'!E8</f>
        <v>377.75057357137786</v>
      </c>
      <c r="BK41" s="25">
        <f ca="1">((BF41*BI41+$AP41-$AQ41)/$H41)/'Framework Notes'!E8</f>
        <v>695.80053908178468</v>
      </c>
      <c r="BL41" s="23">
        <f t="shared" ca="1" si="43"/>
        <v>-4.3917367129005291E-2</v>
      </c>
      <c r="BM41" s="23">
        <f t="shared" ca="1" si="44"/>
        <v>8.0317360170602203E-2</v>
      </c>
      <c r="BN41" s="95" t="s">
        <v>655</v>
      </c>
      <c r="BO41" s="95" t="s">
        <v>83</v>
      </c>
      <c r="BP41" s="95" t="s">
        <v>84</v>
      </c>
      <c r="BQ41" s="98">
        <v>274</v>
      </c>
      <c r="BR41" s="98">
        <v>0</v>
      </c>
      <c r="BS41" s="98">
        <v>2993</v>
      </c>
      <c r="BT41" t="s">
        <v>859</v>
      </c>
    </row>
    <row r="42" spans="1:72" ht="15" customHeight="1" x14ac:dyDescent="0.2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129.80000000000001</v>
      </c>
      <c r="H42" s="13">
        <f t="array" aca="1" ref="H42" ca="1">_FV(A42,"Acciones en circulación",TRUE())/1000000</f>
        <v>308.86160000000001</v>
      </c>
      <c r="I42" s="14">
        <f t="shared" ca="1" si="25"/>
        <v>40090.235680000005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2600</v>
      </c>
      <c r="AQ42" s="19">
        <v>4917</v>
      </c>
      <c r="AR42" s="19">
        <f t="shared" ref="AR42:AR48" ca="1" si="45">I42-AP42+AQ42</f>
        <v>42407.235680000005</v>
      </c>
      <c r="AS42" s="103">
        <v>1418</v>
      </c>
      <c r="AT42" s="19">
        <v>1419</v>
      </c>
      <c r="AU42" s="19">
        <v>2398</v>
      </c>
      <c r="AV42" s="19">
        <v>19650</v>
      </c>
      <c r="AW42" s="20">
        <f t="shared" ca="1" si="35"/>
        <v>29.906372129760229</v>
      </c>
      <c r="AX42" s="20">
        <f t="shared" ca="1" si="36"/>
        <v>17.68441854879066</v>
      </c>
      <c r="AY42" s="20">
        <f t="shared" ca="1" si="37"/>
        <v>2.1581290422391861</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112.54037407045745</v>
      </c>
      <c r="BK42" s="25">
        <f t="shared" ref="BK42:BK48" ca="1" si="47">(BF42*BI42+$AP42-$AQ42)/$H42</f>
        <v>300.893668879524</v>
      </c>
      <c r="BL42" s="23">
        <f t="shared" ca="1" si="43"/>
        <v>-2.8133231417661331E-2</v>
      </c>
      <c r="BM42" s="23">
        <f t="shared" ca="1" si="44"/>
        <v>0.18311693670508178</v>
      </c>
      <c r="BN42" s="95" t="s">
        <v>503</v>
      </c>
      <c r="BO42" s="93" t="s">
        <v>102</v>
      </c>
      <c r="BP42" s="93" t="s">
        <v>133</v>
      </c>
      <c r="BQ42" s="98">
        <v>86</v>
      </c>
      <c r="BR42" s="98">
        <v>89</v>
      </c>
      <c r="BS42" s="98">
        <v>1507</v>
      </c>
      <c r="BT42" t="s">
        <v>859</v>
      </c>
    </row>
    <row r="43" spans="1:72" ht="15" customHeight="1" x14ac:dyDescent="0.25">
      <c r="A43" s="86" t="e" vm="40">
        <v>#VALUE!</v>
      </c>
      <c r="B43" s="10" t="str">
        <f t="array" aca="1" ref="B43" ca="1">_FV(A43,"Símbolo bursátil",TRUE())</f>
        <v>JFN</v>
      </c>
      <c r="C43" s="88" t="s">
        <v>127</v>
      </c>
      <c r="D43" s="88" t="s">
        <v>89</v>
      </c>
      <c r="E43" s="11" t="str">
        <f t="array" aca="1" ref="E43" ca="1">_FV(A43,"Abreviatura de intercambio",TRUE())</f>
        <v>XSWX</v>
      </c>
      <c r="F43" s="11" t="str">
        <f t="array" aca="1" ref="F43" ca="1">_FV(A43,"Moneda")</f>
        <v>CHF</v>
      </c>
      <c r="G43" s="12">
        <f t="array" aca="1" ref="G43" ca="1">_FV(A43,"Precio")</f>
        <v>229</v>
      </c>
      <c r="H43" s="13">
        <f t="array" aca="1" ref="H43" ca="1">_FV(A43,"Acciones en circulación",TRUE())/1000000</f>
        <v>5.835</v>
      </c>
      <c r="I43" s="14">
        <f t="shared" ca="1" si="25"/>
        <v>1336.2149999999999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1261.2149999999999</v>
      </c>
      <c r="AS43" s="103">
        <v>76.5</v>
      </c>
      <c r="AT43" s="19">
        <v>70</v>
      </c>
      <c r="AU43" s="19">
        <v>129.30000000000001</v>
      </c>
      <c r="AV43" s="19">
        <v>293.10000000000002</v>
      </c>
      <c r="AW43" s="20">
        <f t="shared" ca="1" si="35"/>
        <v>16.486470588235292</v>
      </c>
      <c r="AX43" s="20">
        <f t="shared" ca="1" si="36"/>
        <v>9.7541763341067274</v>
      </c>
      <c r="AY43" s="20">
        <f t="shared" ca="1" si="37"/>
        <v>4.3030194472876149</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-7.7232616842758173E-2</v>
      </c>
      <c r="BM43" s="23">
        <f t="shared" ca="1" si="44"/>
        <v>5.6135742059365112E-2</v>
      </c>
      <c r="BN43" s="95" t="s">
        <v>881</v>
      </c>
      <c r="BO43" s="95" t="s">
        <v>135</v>
      </c>
      <c r="BP43" s="95" t="s">
        <v>890</v>
      </c>
      <c r="BQ43" s="98">
        <v>0</v>
      </c>
      <c r="BR43" s="98">
        <v>0</v>
      </c>
      <c r="BS43" s="98">
        <v>74.400000000000006</v>
      </c>
      <c r="BT43" s="96" t="s">
        <v>891</v>
      </c>
    </row>
    <row r="44" spans="1:72" ht="15" customHeight="1" x14ac:dyDescent="0.25">
      <c r="A44" s="86" t="e" vm="41">
        <v>#VALUE!</v>
      </c>
      <c r="B44" s="10" t="str">
        <f t="array" aca="1" ref="B44" ca="1">_FV(A44,"Símbolo bursátil",TRUE())</f>
        <v>CPR</v>
      </c>
      <c r="C44" s="88" t="s">
        <v>132</v>
      </c>
      <c r="D44" s="88" t="s">
        <v>89</v>
      </c>
      <c r="E44" s="11" t="str">
        <f t="array" aca="1" ref="E44" ca="1">_FV(A44,"Abreviatura de intercambio",TRUE())</f>
        <v>XMIL</v>
      </c>
      <c r="F44" s="11" t="str">
        <f t="array" aca="1" ref="F44" ca="1">_FV(A44,"Moneda")</f>
        <v>EUR</v>
      </c>
      <c r="G44" s="12">
        <f t="array" aca="1" ref="G44" ca="1">_FV(A44,"Precio")</f>
        <v>6.0359999999999996</v>
      </c>
      <c r="H44" s="13">
        <f t="array" aca="1" ref="H44" ca="1">_FV(A44,"Acciones en circulación",TRUE())/1000000</f>
        <v>1231.268</v>
      </c>
      <c r="I44" s="14">
        <f t="shared" ca="1" si="25"/>
        <v>7431.9336479999993</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9526.9336479999984</v>
      </c>
      <c r="AS44" s="103">
        <v>365.1</v>
      </c>
      <c r="AT44" s="19">
        <v>412</v>
      </c>
      <c r="AU44" s="19">
        <v>664</v>
      </c>
      <c r="AV44" s="19">
        <v>3035</v>
      </c>
      <c r="AW44" s="20">
        <f t="shared" ca="1" si="35"/>
        <v>26.094039024924673</v>
      </c>
      <c r="AX44" s="20">
        <f t="shared" ca="1" si="36"/>
        <v>14.347791638554215</v>
      </c>
      <c r="AY44" s="20">
        <f t="shared" ca="1" si="37"/>
        <v>3.139022618780889</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-0.10569003093166829</v>
      </c>
      <c r="BM44" s="23">
        <f t="shared" ca="1" si="44"/>
        <v>6.5430714560402059E-2</v>
      </c>
      <c r="BN44" s="95" t="s">
        <v>813</v>
      </c>
      <c r="BO44" s="95" t="s">
        <v>83</v>
      </c>
      <c r="BP44" s="95" t="s">
        <v>84</v>
      </c>
      <c r="BQ44" s="98">
        <v>23.2</v>
      </c>
      <c r="BR44" s="98">
        <v>151</v>
      </c>
      <c r="BS44" s="98">
        <v>516.1</v>
      </c>
      <c r="BT44" t="s">
        <v>860</v>
      </c>
    </row>
    <row r="45" spans="1:72" ht="15" customHeight="1" x14ac:dyDescent="0.25">
      <c r="A45" s="86" t="e" vm="42">
        <v>#VALUE!</v>
      </c>
      <c r="B45" s="10" t="str">
        <f t="array" aca="1" ref="B45" ca="1">_FV(A45,"Símbolo bursátil",TRUE())</f>
        <v>SIKA</v>
      </c>
      <c r="C45" s="88" t="s">
        <v>128</v>
      </c>
      <c r="D45" s="88" t="s">
        <v>77</v>
      </c>
      <c r="E45" s="11" t="str">
        <f t="array" aca="1" ref="E45" ca="1">_FV(A45,"Abreviatura de intercambio",TRUE())</f>
        <v>XSWX</v>
      </c>
      <c r="F45" s="11" t="str">
        <f t="array" aca="1" ref="F45" ca="1">_FV(A45,"Moneda")</f>
        <v>CHF</v>
      </c>
      <c r="G45" s="12">
        <f t="array" aca="1" ref="G45" ca="1">_FV(A45,"Precio")</f>
        <v>183.8</v>
      </c>
      <c r="H45" s="13">
        <f t="array" aca="1" ref="H45" ca="1">_FV(A45,"Acciones en circulación",TRUE())/1000000</f>
        <v>160.47929999999999</v>
      </c>
      <c r="I45" s="14">
        <f t="shared" ca="1" si="25"/>
        <v>29496.09534</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34951.09534</v>
      </c>
      <c r="AS45" s="103">
        <v>1332.5</v>
      </c>
      <c r="AT45" s="19">
        <v>1173</v>
      </c>
      <c r="AU45" s="19">
        <v>1940</v>
      </c>
      <c r="AV45" s="19">
        <v>11110</v>
      </c>
      <c r="AW45" s="20">
        <f t="shared" ca="1" si="35"/>
        <v>26.229715076923078</v>
      </c>
      <c r="AX45" s="20">
        <f t="shared" ca="1" si="36"/>
        <v>18.016028525773194</v>
      </c>
      <c r="AY45" s="20">
        <f t="shared" ca="1" si="37"/>
        <v>3.1459131719171918</v>
      </c>
      <c r="AZ45" s="21">
        <v>12207</v>
      </c>
      <c r="BA45" s="22">
        <f t="shared" si="38"/>
        <v>0.10558055805580559</v>
      </c>
      <c r="BB45" s="22">
        <f t="shared" si="39"/>
        <v>0.91013352994183661</v>
      </c>
      <c r="BC45" s="23">
        <f t="shared" si="40"/>
        <v>9.6092405996559355E-2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-5.4008894146670983E-2</v>
      </c>
      <c r="BM45" s="23">
        <f t="shared" ca="1" si="44"/>
        <v>8.8527838735971587E-2</v>
      </c>
      <c r="BN45" s="95" t="s">
        <v>655</v>
      </c>
      <c r="BO45" s="93" t="s">
        <v>120</v>
      </c>
      <c r="BP45" s="93" t="s">
        <v>115</v>
      </c>
      <c r="BQ45" s="98">
        <v>0</v>
      </c>
      <c r="BR45" s="98">
        <v>0</v>
      </c>
      <c r="BS45" s="98">
        <v>1332.5</v>
      </c>
      <c r="BT45" t="s">
        <v>861</v>
      </c>
    </row>
    <row r="46" spans="1:72" ht="15" customHeight="1" x14ac:dyDescent="0.25">
      <c r="A46" s="86" t="e" vm="43">
        <v>#VALUE!</v>
      </c>
      <c r="B46" s="10" t="str">
        <f t="array" aca="1" ref="B46" ca="1">_FV(A46,"Símbolo bursátil",TRUE())</f>
        <v>CHKP</v>
      </c>
      <c r="C46" s="88" t="s">
        <v>96</v>
      </c>
      <c r="D46" s="88" t="s">
        <v>136</v>
      </c>
      <c r="E46" s="11" t="str">
        <f t="array" aca="1" ref="E46" ca="1">_FV(A46,"Abreviatura de intercambio",TRUE())</f>
        <v>XNAS</v>
      </c>
      <c r="F46" s="11" t="str">
        <f t="array" aca="1" ref="F46" ca="1">_FV(A46,"Moneda")</f>
        <v>USD</v>
      </c>
      <c r="G46" s="12">
        <f t="array" aca="1" ref="G46" ca="1">_FV(A46,"Precio")</f>
        <v>130.35</v>
      </c>
      <c r="H46" s="13">
        <f t="array" aca="1" ref="H46" ca="1">_FV(A46,"Acciones en circulación",TRUE())/1000000</f>
        <v>102.1006</v>
      </c>
      <c r="I46" s="14">
        <f t="shared" ca="1" si="25"/>
        <v>13308.81321</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12998.81321</v>
      </c>
      <c r="AS46" s="103">
        <v>865.5</v>
      </c>
      <c r="AT46" s="19">
        <v>682</v>
      </c>
      <c r="AU46" s="19">
        <v>846</v>
      </c>
      <c r="AV46" s="19">
        <v>2760</v>
      </c>
      <c r="AW46" s="20">
        <f t="shared" ca="1" si="35"/>
        <v>15.0188483073368</v>
      </c>
      <c r="AX46" s="20">
        <f t="shared" ca="1" si="36"/>
        <v>15.36502743498818</v>
      </c>
      <c r="AY46" s="20">
        <f t="shared" ca="1" si="37"/>
        <v>4.7097149311594206</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-0.14608620748785472</v>
      </c>
      <c r="BM46" s="23">
        <f t="shared" ca="1" si="44"/>
        <v>9.7810422542290443E-2</v>
      </c>
      <c r="BN46" s="95" t="s">
        <v>813</v>
      </c>
      <c r="BO46" s="93" t="s">
        <v>102</v>
      </c>
      <c r="BP46" s="93" t="s">
        <v>84</v>
      </c>
      <c r="BQ46" s="98">
        <v>234.2</v>
      </c>
      <c r="BR46" s="98">
        <v>0</v>
      </c>
      <c r="BS46" s="98">
        <v>865.5</v>
      </c>
      <c r="BT46" t="s">
        <v>859</v>
      </c>
    </row>
    <row r="47" spans="1:72" ht="15" customHeight="1" x14ac:dyDescent="0.25">
      <c r="A47" s="86" t="e" vm="44">
        <v>#VALUE!</v>
      </c>
      <c r="B47" s="10" t="str">
        <f t="array" aca="1" ref="B47" ca="1">_FV(A47,"Símbolo bursátil",TRUE())</f>
        <v>TGYM</v>
      </c>
      <c r="C47" s="88" t="s">
        <v>127</v>
      </c>
      <c r="D47" s="88" t="s">
        <v>77</v>
      </c>
      <c r="E47" s="11" t="str">
        <f t="array" aca="1" ref="E47" ca="1">_FV(A47,"Abreviatura de intercambio",TRUE())</f>
        <v>XMIL</v>
      </c>
      <c r="F47" s="11" t="str">
        <f t="array" aca="1" ref="F47" ca="1">_FV(A47,"Moneda")</f>
        <v>EUR</v>
      </c>
      <c r="G47" s="12">
        <f t="array" aca="1" ref="G47" ca="1">_FV(A47,"Precio")</f>
        <v>12.93</v>
      </c>
      <c r="H47" s="13">
        <f t="array" aca="1" ref="H47" ca="1">_FV(A47,"Acciones en circulación",TRUE())/1000000</f>
        <v>201.32749999999999</v>
      </c>
      <c r="I47" s="14">
        <f t="shared" ca="1" si="25"/>
        <v>2603.1645749999998</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100</v>
      </c>
      <c r="AQ47" s="19">
        <v>50</v>
      </c>
      <c r="AR47" s="19">
        <f t="shared" ca="1" si="45"/>
        <v>2553.1645749999998</v>
      </c>
      <c r="AS47" s="103">
        <v>95</v>
      </c>
      <c r="AT47" s="19">
        <v>90</v>
      </c>
      <c r="AU47" s="19">
        <v>140</v>
      </c>
      <c r="AV47" s="19">
        <v>840</v>
      </c>
      <c r="AW47" s="20">
        <f t="shared" ca="1" si="35"/>
        <v>26.875416578947366</v>
      </c>
      <c r="AX47" s="20">
        <f t="shared" ca="1" si="36"/>
        <v>18.236889821428569</v>
      </c>
      <c r="AY47" s="20">
        <f t="shared" ca="1" si="37"/>
        <v>3.0394816369047617</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-7.2166004036176234E-2</v>
      </c>
      <c r="BM47" s="23">
        <f t="shared" ca="1" si="44"/>
        <v>9.8689051043352016E-2</v>
      </c>
      <c r="BN47" s="93" t="s">
        <v>82</v>
      </c>
      <c r="BO47" s="93" t="s">
        <v>102</v>
      </c>
      <c r="BP47" s="93" t="s">
        <v>133</v>
      </c>
      <c r="BQ47" s="98"/>
      <c r="BR47" s="98"/>
      <c r="BS47" s="98"/>
    </row>
    <row r="48" spans="1:72" ht="15" customHeight="1" x14ac:dyDescent="0.25">
      <c r="A48" s="86" t="e" vm="45">
        <v>#VALUE!</v>
      </c>
      <c r="B48" s="10" t="str">
        <f t="array" aca="1" ref="B48" ca="1">_FV(A48,"Símbolo bursátil",TRUE())</f>
        <v>VID</v>
      </c>
      <c r="C48" s="88" t="s">
        <v>132</v>
      </c>
      <c r="D48" s="88" t="s">
        <v>89</v>
      </c>
      <c r="E48" s="11" t="str">
        <f t="array" aca="1" ref="E48" ca="1">_FV(A48,"Abreviatura de intercambio",TRUE())</f>
        <v>BMEX</v>
      </c>
      <c r="F48" s="11" t="str">
        <f t="array" aca="1" ref="F48" ca="1">_FV(A48,"Moneda")</f>
        <v>EUR</v>
      </c>
      <c r="G48" s="12">
        <f t="array" aca="1" ref="G48" ca="1">_FV(A48,"Precio")</f>
        <v>84.8</v>
      </c>
      <c r="H48" s="13">
        <f t="array" aca="1" ref="H48" ca="1">_FV(A48,"Acciones en circulación",TRUE())/1000000</f>
        <v>35.20626</v>
      </c>
      <c r="I48" s="14">
        <f t="shared" ca="1" si="25"/>
        <v>2985.4908479999999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130</v>
      </c>
      <c r="AQ48" s="19">
        <v>235</v>
      </c>
      <c r="AR48" s="19">
        <f t="shared" ca="1" si="45"/>
        <v>3090.4908479999999</v>
      </c>
      <c r="AS48" s="103">
        <v>191.8</v>
      </c>
      <c r="AT48" s="19">
        <v>210</v>
      </c>
      <c r="AU48" s="19">
        <v>385</v>
      </c>
      <c r="AV48" s="19">
        <v>1465</v>
      </c>
      <c r="AW48" s="20">
        <f t="shared" ca="1" si="35"/>
        <v>16.113090969760165</v>
      </c>
      <c r="AX48" s="20">
        <f t="shared" ca="1" si="36"/>
        <v>8.027248955844156</v>
      </c>
      <c r="AY48" s="20">
        <f t="shared" ca="1" si="37"/>
        <v>2.1095500668941978</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-8.5554058341249517E-2</v>
      </c>
      <c r="BM48" s="23">
        <f t="shared" ca="1" si="44"/>
        <v>0.11789513346189651</v>
      </c>
      <c r="BN48" s="93" t="s">
        <v>119</v>
      </c>
      <c r="BO48" s="94" t="s">
        <v>137</v>
      </c>
      <c r="BP48" s="93" t="s">
        <v>115</v>
      </c>
      <c r="BQ48" s="98">
        <v>0</v>
      </c>
      <c r="BR48" s="98">
        <v>55.6</v>
      </c>
      <c r="BS48" s="98">
        <v>247.4</v>
      </c>
      <c r="BT48" t="s">
        <v>861</v>
      </c>
    </row>
    <row r="49" spans="1:72" ht="15" customHeight="1" x14ac:dyDescent="0.25">
      <c r="A49" s="86" t="e" vm="46">
        <v>#VALUE!</v>
      </c>
      <c r="B49" s="10" t="str">
        <f t="array" aca="1" ref="B49" ca="1">_FV(A49,"Símbolo bursátil",TRUE())</f>
        <v>TFPM</v>
      </c>
      <c r="C49" s="88" t="s">
        <v>138</v>
      </c>
      <c r="D49" s="88" t="s">
        <v>139</v>
      </c>
      <c r="E49" s="11" t="str">
        <f t="array" aca="1" ref="E49" ca="1">_FV(A49,"Abreviatura de intercambio",TRUE())</f>
        <v>XTSE</v>
      </c>
      <c r="F49" s="11" t="str">
        <f t="array" aca="1" ref="F49" ca="1">_FV(A49,"Moneda")</f>
        <v>CAD</v>
      </c>
      <c r="G49" s="12">
        <f t="array" aca="1" ref="G49" ca="1">_FV(A49,"Precio")</f>
        <v>43.6</v>
      </c>
      <c r="H49" s="13">
        <f t="array" aca="1" ref="H49" ca="1">_FV(A49,"Acciones en circulación",TRUE())/1000000</f>
        <v>206.00299999999999</v>
      </c>
      <c r="I49" s="14">
        <f t="shared" ca="1" si="25"/>
        <v>8981.7307999999994</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6504.3786754399989</v>
      </c>
      <c r="AS49" s="103">
        <v>209</v>
      </c>
      <c r="AT49" s="19">
        <v>257</v>
      </c>
      <c r="AU49" s="19">
        <v>377</v>
      </c>
      <c r="AV49" s="19">
        <v>489</v>
      </c>
      <c r="AW49" s="20">
        <f t="shared" ca="1" si="35"/>
        <v>31.121429069090905</v>
      </c>
      <c r="AX49" s="20">
        <f t="shared" ca="1" si="36"/>
        <v>17.252993834058351</v>
      </c>
      <c r="AY49" s="20">
        <f t="shared" ca="1" si="37"/>
        <v>13.301387884335377</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20.348211110931992</v>
      </c>
      <c r="BK49" s="25">
        <f ca="1">((BF49*BI49+$AP49-$AQ49)/$H49)/'Framework Notes'!E7</f>
        <v>47.56354574859364</v>
      </c>
      <c r="BL49" s="23">
        <f t="shared" ca="1" si="43"/>
        <v>-0.14136626193268187</v>
      </c>
      <c r="BM49" s="23">
        <f t="shared" ca="1" si="44"/>
        <v>1.7554189459976222E-2</v>
      </c>
      <c r="BN49" s="95" t="s">
        <v>813</v>
      </c>
      <c r="BO49" s="95" t="s">
        <v>95</v>
      </c>
      <c r="BP49" s="95" t="s">
        <v>145</v>
      </c>
      <c r="BQ49" s="98">
        <v>5.6</v>
      </c>
      <c r="BR49" s="98">
        <v>244</v>
      </c>
      <c r="BS49" s="98">
        <v>453</v>
      </c>
      <c r="BT49" t="s">
        <v>859</v>
      </c>
    </row>
    <row r="50" spans="1:72" ht="15" customHeight="1" x14ac:dyDescent="0.2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67.06</v>
      </c>
      <c r="H50" s="13">
        <f t="array" aca="1" ref="H50" ca="1">_FV(A50,"Acciones en circulación",TRUE())/1000000</f>
        <v>4163.9390000000003</v>
      </c>
      <c r="I50" s="14">
        <f t="shared" ca="1" si="25"/>
        <v>279233.74934000004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284463.74934000004</v>
      </c>
      <c r="AS50" s="103">
        <v>10664.7</v>
      </c>
      <c r="AT50" s="19">
        <v>11876</v>
      </c>
      <c r="AU50" s="19">
        <v>14730</v>
      </c>
      <c r="AV50" s="19">
        <v>48370</v>
      </c>
      <c r="AW50" s="20">
        <f t="shared" ca="1" si="35"/>
        <v>26.673394407718924</v>
      </c>
      <c r="AX50" s="20">
        <f t="shared" ca="1" si="36"/>
        <v>19.311863498981673</v>
      </c>
      <c r="AY50" s="20">
        <f t="shared" ca="1" si="37"/>
        <v>5.880995438081456</v>
      </c>
      <c r="AZ50" s="21">
        <v>46315</v>
      </c>
      <c r="BA50" s="22">
        <f t="shared" si="38"/>
        <v>0.24552408517676247</v>
      </c>
      <c r="BB50" s="22">
        <f t="shared" si="39"/>
        <v>1.044370074489906</v>
      </c>
      <c r="BC50" s="23">
        <f t="shared" si="40"/>
        <v>0.25641800712512147</v>
      </c>
      <c r="BD50" s="98">
        <v>12994.8</v>
      </c>
      <c r="BE50" s="23">
        <f t="shared" si="41"/>
        <v>4.0313397035162124E-2</v>
      </c>
      <c r="BF50">
        <v>17923.900000000001</v>
      </c>
      <c r="BG50" s="23">
        <f t="shared" si="42"/>
        <v>0.1094220001679771</v>
      </c>
      <c r="BH50" s="24">
        <v>17</v>
      </c>
      <c r="BI50" s="24">
        <v>25</v>
      </c>
      <c r="BJ50" s="25">
        <f t="shared" ref="BJ50:BJ60" ca="1" si="49">(BD50*BH50+$AP50-$AQ50)/$H50</f>
        <v>51.797492710628077</v>
      </c>
      <c r="BK50" s="25">
        <f t="shared" ref="BK50:BK60" ca="1" si="50">(BF50*BI50+$AP50-$AQ50)/$H50</f>
        <v>106.35782608726977</v>
      </c>
      <c r="BL50" s="23">
        <f t="shared" ca="1" si="43"/>
        <v>-5.0338049452169353E-2</v>
      </c>
      <c r="BM50" s="23">
        <f t="shared" ca="1" si="44"/>
        <v>9.6632671708557716E-2</v>
      </c>
      <c r="BN50" s="95" t="s">
        <v>655</v>
      </c>
      <c r="BO50" s="93" t="s">
        <v>126</v>
      </c>
      <c r="BP50" s="93" t="s">
        <v>140</v>
      </c>
      <c r="BQ50" s="98">
        <v>487.3</v>
      </c>
      <c r="BR50" s="98">
        <v>0</v>
      </c>
      <c r="BS50" s="98">
        <v>10664.7</v>
      </c>
      <c r="BT50" t="s">
        <v>859</v>
      </c>
    </row>
    <row r="51" spans="1:72" ht="15" customHeight="1" x14ac:dyDescent="0.25">
      <c r="A51" s="86" t="e" vm="48">
        <v>#VALUE!</v>
      </c>
      <c r="B51" s="10" t="str">
        <f t="array" aca="1" ref="B51" ca="1">_FV(A51,"Símbolo bursátil",TRUE())</f>
        <v>NKE</v>
      </c>
      <c r="C51" s="88" t="s">
        <v>105</v>
      </c>
      <c r="D51" s="88" t="s">
        <v>136</v>
      </c>
      <c r="E51" s="11" t="str">
        <f t="array" aca="1" ref="E51" ca="1">_FV(A51,"Abreviatura de intercambio",TRUE())</f>
        <v>XNYS</v>
      </c>
      <c r="F51" s="11" t="str">
        <f t="array" aca="1" ref="F51" ca="1">_FV(A51,"Moneda")</f>
        <v>USD</v>
      </c>
      <c r="G51" s="12">
        <f t="array" aca="1" ref="G51" ca="1">_FV(A51,"Precio")</f>
        <v>33.895000000000003</v>
      </c>
      <c r="H51" s="13">
        <f t="array" aca="1" ref="H51" ca="1">_FV(A51,"Acciones en circulación",TRUE())/1000000</f>
        <v>1483.499</v>
      </c>
      <c r="I51" s="14">
        <f t="shared" ca="1" si="25"/>
        <v>50283.198605000005</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49808.198605000005</v>
      </c>
      <c r="AS51" s="103">
        <v>1469</v>
      </c>
      <c r="AT51" s="19">
        <v>3331</v>
      </c>
      <c r="AU51" s="19">
        <v>4930</v>
      </c>
      <c r="AV51" s="19">
        <v>45891</v>
      </c>
      <c r="AW51" s="20">
        <f t="shared" ca="1" si="35"/>
        <v>33.906193740639893</v>
      </c>
      <c r="AX51" s="20">
        <f t="shared" ca="1" si="36"/>
        <v>10.103082881338743</v>
      </c>
      <c r="AY51" s="20">
        <f t="shared" ca="1" si="37"/>
        <v>1.0853587545488224</v>
      </c>
      <c r="AZ51" s="21">
        <v>25863</v>
      </c>
      <c r="BA51" s="22">
        <f t="shared" si="38"/>
        <v>7.2585038460700357E-2</v>
      </c>
      <c r="BB51" s="22">
        <f t="shared" si="39"/>
        <v>1.774388122027607</v>
      </c>
      <c r="BC51" s="23">
        <f t="shared" si="40"/>
        <v>0.12879403008158374</v>
      </c>
      <c r="BD51" s="98">
        <v>2823</v>
      </c>
      <c r="BE51" s="23">
        <f t="shared" si="41"/>
        <v>0.13956162663808036</v>
      </c>
      <c r="BF51">
        <v>6005</v>
      </c>
      <c r="BG51" s="23">
        <f t="shared" si="42"/>
        <v>0.32525131303484445</v>
      </c>
      <c r="BH51" s="24">
        <v>14</v>
      </c>
      <c r="BI51" s="24">
        <v>21</v>
      </c>
      <c r="BJ51" s="25">
        <f t="shared" ca="1" si="49"/>
        <v>26.961258484164802</v>
      </c>
      <c r="BK51" s="25">
        <f t="shared" ca="1" si="50"/>
        <v>85.325301870779825</v>
      </c>
      <c r="BL51" s="23">
        <f t="shared" ca="1" si="43"/>
        <v>-4.4741514089288947E-2</v>
      </c>
      <c r="BM51" s="23">
        <f t="shared" ca="1" si="44"/>
        <v>0.20278620664198921</v>
      </c>
      <c r="BN51" s="95" t="s">
        <v>655</v>
      </c>
      <c r="BO51" s="95" t="s">
        <v>898</v>
      </c>
      <c r="BP51" s="95" t="s">
        <v>899</v>
      </c>
      <c r="BQ51" s="98">
        <v>715</v>
      </c>
      <c r="BR51" s="98">
        <v>0</v>
      </c>
      <c r="BS51" s="98">
        <v>1469</v>
      </c>
      <c r="BT51" s="96" t="s">
        <v>913</v>
      </c>
    </row>
    <row r="52" spans="1:72" ht="15" customHeight="1" x14ac:dyDescent="0.2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395.2</v>
      </c>
      <c r="H52" s="13">
        <f t="array" aca="1" ref="H52" ca="1">_FV(A52,"Acciones en circulación",TRUE())/1000000</f>
        <v>26.497990000000001</v>
      </c>
      <c r="I52" s="14">
        <f t="shared" ca="1" si="25"/>
        <v>10472.005648</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187</v>
      </c>
      <c r="AQ52" s="19">
        <v>331</v>
      </c>
      <c r="AR52" s="19">
        <f t="shared" ca="1" si="48"/>
        <v>10616.005648</v>
      </c>
      <c r="AS52" s="103">
        <v>133</v>
      </c>
      <c r="AT52" s="19">
        <v>191</v>
      </c>
      <c r="AU52" s="19">
        <v>259</v>
      </c>
      <c r="AV52" s="19">
        <v>664</v>
      </c>
      <c r="AW52" s="20">
        <f t="shared" ca="1" si="35"/>
        <v>79.819591338345873</v>
      </c>
      <c r="AX52" s="20">
        <f t="shared" ca="1" si="36"/>
        <v>40.988438795366797</v>
      </c>
      <c r="AY52" s="20">
        <f t="shared" ca="1" si="37"/>
        <v>15.987960313253012</v>
      </c>
      <c r="AZ52" s="21">
        <v>1185</v>
      </c>
      <c r="BA52" s="22">
        <f t="shared" si="38"/>
        <v>0.28765060240963858</v>
      </c>
      <c r="BB52" s="22">
        <f t="shared" si="39"/>
        <v>0.56033755274261599</v>
      </c>
      <c r="BC52" s="23">
        <f t="shared" si="40"/>
        <v>0.16118143459915613</v>
      </c>
      <c r="BD52" s="98">
        <v>71.2</v>
      </c>
      <c r="BE52" s="23">
        <f t="shared" si="41"/>
        <v>-0.11747773582037357</v>
      </c>
      <c r="BF52">
        <v>213.8</v>
      </c>
      <c r="BG52" s="23">
        <f t="shared" si="42"/>
        <v>9.9591089718768178E-2</v>
      </c>
      <c r="BH52" s="24">
        <v>17.5</v>
      </c>
      <c r="BI52" s="24">
        <v>22.5</v>
      </c>
      <c r="BJ52" s="25">
        <f t="shared" ca="1" si="49"/>
        <v>41.588060075500067</v>
      </c>
      <c r="BK52" s="25">
        <f t="shared" ca="1" si="50"/>
        <v>176.10769722533669</v>
      </c>
      <c r="BL52" s="23">
        <f t="shared" ca="1" si="43"/>
        <v>-0.36257316135424889</v>
      </c>
      <c r="BM52" s="23">
        <f t="shared" ca="1" si="44"/>
        <v>-0.14926895686748376</v>
      </c>
      <c r="BN52" s="95" t="s">
        <v>655</v>
      </c>
      <c r="BO52" s="93" t="s">
        <v>126</v>
      </c>
      <c r="BP52" s="93" t="s">
        <v>141</v>
      </c>
      <c r="BQ52" s="98">
        <v>0</v>
      </c>
      <c r="BR52" s="98">
        <v>0</v>
      </c>
      <c r="BS52" s="98">
        <v>133</v>
      </c>
      <c r="BT52" t="s">
        <v>861</v>
      </c>
    </row>
    <row r="53" spans="1:72" ht="15" customHeight="1" x14ac:dyDescent="0.25">
      <c r="A53" s="86" t="e" vm="50">
        <v>#VALUE!</v>
      </c>
      <c r="B53" s="10" t="str">
        <f t="array" aca="1" ref="B53" ca="1">_FV(A53,"Símbolo bursátil",TRUE())</f>
        <v>FERG</v>
      </c>
      <c r="C53" s="88" t="s">
        <v>128</v>
      </c>
      <c r="D53" s="88" t="s">
        <v>89</v>
      </c>
      <c r="E53" s="11" t="str">
        <f t="array" aca="1" ref="E53" ca="1">_FV(A53,"Abreviatura de intercambio",TRUE())</f>
        <v>XNYS</v>
      </c>
      <c r="F53" s="11" t="str">
        <f t="array" aca="1" ref="F53" ca="1">_FV(A53,"Moneda")</f>
        <v>USD</v>
      </c>
      <c r="G53" s="12">
        <f t="array" aca="1" ref="G53" ca="1">_FV(A53,"Precio")</f>
        <v>223.37</v>
      </c>
      <c r="H53" s="13">
        <f t="array" aca="1" ref="H53" ca="1">_FV(A53,"Acciones en circulación",TRUE())/1000000</f>
        <v>193.45269999999999</v>
      </c>
      <c r="I53" s="14">
        <f t="shared" ca="1" si="25"/>
        <v>43211.529599000001</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49661.529599000001</v>
      </c>
      <c r="AS53" s="103">
        <v>1160</v>
      </c>
      <c r="AT53" s="19">
        <v>2015</v>
      </c>
      <c r="AU53" s="19">
        <v>3071</v>
      </c>
      <c r="AV53" s="19">
        <v>31446</v>
      </c>
      <c r="AW53" s="20">
        <f t="shared" ca="1" si="35"/>
        <v>42.811663447413792</v>
      </c>
      <c r="AX53" s="20">
        <f t="shared" ca="1" si="36"/>
        <v>16.171126538261152</v>
      </c>
      <c r="AY53" s="20">
        <f t="shared" ca="1" si="37"/>
        <v>1.5792638045856389</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-0.10402565468210778</v>
      </c>
      <c r="BM53" s="23">
        <f t="shared" ca="1" si="44"/>
        <v>8.9526465424403234E-2</v>
      </c>
      <c r="BN53" s="95" t="s">
        <v>655</v>
      </c>
      <c r="BO53" s="95" t="s">
        <v>124</v>
      </c>
      <c r="BP53" s="95" t="s">
        <v>660</v>
      </c>
      <c r="BQ53" s="98">
        <v>105</v>
      </c>
      <c r="BR53" s="98">
        <v>35</v>
      </c>
      <c r="BS53" s="98">
        <v>1195</v>
      </c>
      <c r="BT53" t="s">
        <v>859</v>
      </c>
    </row>
    <row r="54" spans="1:72" ht="15" customHeight="1" x14ac:dyDescent="0.2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25.05</v>
      </c>
      <c r="H54" s="13">
        <f t="array" aca="1" ref="H54" ca="1">_FV(A54,"Acciones en circulación",TRUE())/1000000</f>
        <v>348.04910000000001</v>
      </c>
      <c r="I54" s="14">
        <f t="shared" ca="1" si="25"/>
        <v>8718.6299550000003</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8063.3299550000002</v>
      </c>
      <c r="AS54" s="103">
        <v>-291.10000000000002</v>
      </c>
      <c r="AT54" s="19">
        <v>-323.7</v>
      </c>
      <c r="AU54" s="19">
        <v>-256.10000000000002</v>
      </c>
      <c r="AV54" s="19">
        <v>1098.7</v>
      </c>
      <c r="AW54" s="20">
        <f t="shared" ca="1" si="35"/>
        <v>-27.699518911027138</v>
      </c>
      <c r="AX54" s="20">
        <f t="shared" ca="1" si="36"/>
        <v>-31.485083775868798</v>
      </c>
      <c r="AY54" s="20">
        <f t="shared" ca="1" si="37"/>
        <v>7.3389732911622829</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881</v>
      </c>
      <c r="BO54" s="96" t="s">
        <v>116</v>
      </c>
      <c r="BP54" s="96" t="s">
        <v>878</v>
      </c>
      <c r="BQ54" s="98">
        <v>322.10000000000002</v>
      </c>
      <c r="BR54" s="98">
        <v>0</v>
      </c>
      <c r="BS54" s="98">
        <v>-291.10000000000002</v>
      </c>
      <c r="BT54" s="96" t="s">
        <v>892</v>
      </c>
    </row>
    <row r="55" spans="1:72" ht="15" customHeight="1" x14ac:dyDescent="0.25">
      <c r="A55" s="86" t="e" vm="52">
        <v>#VALUE!</v>
      </c>
      <c r="B55" s="10" t="str">
        <f t="array" aca="1" ref="B55" ca="1">_FV(A55,"Símbolo bursátil",TRUE())</f>
        <v>TREX</v>
      </c>
      <c r="C55" s="88" t="s">
        <v>128</v>
      </c>
      <c r="D55" s="88" t="s">
        <v>77</v>
      </c>
      <c r="E55" s="11" t="str">
        <f t="array" aca="1" ref="E55" ca="1">_FV(A55,"Abreviatura de intercambio",TRUE())</f>
        <v>XNYS</v>
      </c>
      <c r="F55" s="11" t="str">
        <f t="array" aca="1" ref="F55" ca="1">_FV(A55,"Moneda")</f>
        <v>USD</v>
      </c>
      <c r="G55" s="12">
        <f t="array" aca="1" ref="G55" ca="1">_FV(A55,"Precio")</f>
        <v>43.56</v>
      </c>
      <c r="H55" s="13">
        <f t="array" aca="1" ref="H55" ca="1">_FV(A55,"Acciones en circulación",TRUE())/1000000</f>
        <v>101.8652</v>
      </c>
      <c r="I55" s="14">
        <f t="shared" ca="1" si="25"/>
        <v>4437.2481120000002</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4733.7481120000002</v>
      </c>
      <c r="AS55" s="103">
        <v>189.1</v>
      </c>
      <c r="AT55" s="19">
        <v>183</v>
      </c>
      <c r="AU55" s="19">
        <v>313</v>
      </c>
      <c r="AV55" s="19">
        <v>1208</v>
      </c>
      <c r="AW55" s="20">
        <f t="shared" ca="1" si="35"/>
        <v>25.033041311475412</v>
      </c>
      <c r="AX55" s="20">
        <f t="shared" ca="1" si="36"/>
        <v>15.123795884984027</v>
      </c>
      <c r="AY55" s="20">
        <f t="shared" ca="1" si="37"/>
        <v>3.9186656556291393</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-0.14966615296103036</v>
      </c>
      <c r="BM55" s="23">
        <f t="shared" ca="1" si="44"/>
        <v>7.1222375060036702E-2</v>
      </c>
      <c r="BN55" s="95" t="s">
        <v>655</v>
      </c>
      <c r="BO55" s="95" t="s">
        <v>124</v>
      </c>
      <c r="BP55" s="95" t="s">
        <v>660</v>
      </c>
      <c r="BQ55" s="98">
        <v>9.3000000000000007</v>
      </c>
      <c r="BR55" s="98">
        <v>89.1</v>
      </c>
      <c r="BS55" s="98">
        <v>278.2</v>
      </c>
      <c r="BT55" t="s">
        <v>859</v>
      </c>
    </row>
    <row r="56" spans="1:72" ht="15" customHeight="1" x14ac:dyDescent="0.25">
      <c r="A56" s="86" t="e" vm="53">
        <v>#VALUE!</v>
      </c>
      <c r="B56" s="10" t="str">
        <f t="array" aca="1" ref="B56" ca="1">_FV(A56,"Símbolo bursátil",TRUE())</f>
        <v>SGO</v>
      </c>
      <c r="C56" s="88" t="s">
        <v>128</v>
      </c>
      <c r="D56" s="88" t="s">
        <v>136</v>
      </c>
      <c r="E56" s="11" t="str">
        <f t="array" aca="1" ref="E56" ca="1">_FV(A56,"Abreviatura de intercambio",TRUE())</f>
        <v>XPAR</v>
      </c>
      <c r="F56" s="11" t="str">
        <f t="array" aca="1" ref="F56" ca="1">_FV(A56,"Moneda")</f>
        <v>EUR</v>
      </c>
      <c r="G56" s="12">
        <f t="array" aca="1" ref="G56" ca="1">_FV(A56,"Precio")</f>
        <v>67.099999999999994</v>
      </c>
      <c r="H56" s="13">
        <f t="array" aca="1" ref="H56" ca="1">_FV(A56,"Acciones en circulación",TRUE())/1000000</f>
        <v>494.834</v>
      </c>
      <c r="I56" s="14">
        <f t="shared" ca="1" si="25"/>
        <v>33203.361399999994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44722.361399999994</v>
      </c>
      <c r="AS56" s="103">
        <v>3312</v>
      </c>
      <c r="AT56" s="19">
        <v>3632</v>
      </c>
      <c r="AU56" s="19">
        <v>7337</v>
      </c>
      <c r="AV56" s="19">
        <v>46226</v>
      </c>
      <c r="AW56" s="20">
        <f t="shared" ca="1" si="35"/>
        <v>13.503128442028984</v>
      </c>
      <c r="AX56" s="20">
        <f t="shared" ca="1" si="36"/>
        <v>6.0954560992231146</v>
      </c>
      <c r="AY56" s="20">
        <f t="shared" ca="1" si="37"/>
        <v>0.96747201574871278</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-1.8470184106066267E-2</v>
      </c>
      <c r="BM56" s="23">
        <f t="shared" ca="1" si="44"/>
        <v>0.1609465582030829</v>
      </c>
      <c r="BN56" s="95" t="s">
        <v>655</v>
      </c>
      <c r="BO56" s="95" t="s">
        <v>102</v>
      </c>
      <c r="BP56" s="95" t="s">
        <v>104</v>
      </c>
      <c r="BQ56" s="98">
        <v>136</v>
      </c>
      <c r="BR56" s="98">
        <v>0</v>
      </c>
      <c r="BS56" s="98">
        <v>3312</v>
      </c>
      <c r="BT56" t="s">
        <v>860</v>
      </c>
    </row>
    <row r="57" spans="1:72" ht="15" customHeight="1" x14ac:dyDescent="0.25">
      <c r="A57" s="86" t="e" vm="54">
        <v>#VALUE!</v>
      </c>
      <c r="B57" s="10" t="str">
        <f t="array" aca="1" ref="B57" ca="1">_FV(A57,"Símbolo bursátil",TRUE())</f>
        <v>TFF</v>
      </c>
      <c r="C57" s="88" t="s">
        <v>132</v>
      </c>
      <c r="D57" s="88" t="s">
        <v>136</v>
      </c>
      <c r="E57" s="11" t="str">
        <f t="array" aca="1" ref="E57" ca="1">_FV(A57,"Abreviatura de intercambio",TRUE())</f>
        <v>XPAR</v>
      </c>
      <c r="F57" s="11" t="str">
        <f t="array" aca="1" ref="F57" ca="1">_FV(A57,"Moneda")</f>
        <v>EUR</v>
      </c>
      <c r="G57" s="12">
        <f t="array" aca="1" ref="G57" ca="1">_FV(A57,"Precio")</f>
        <v>13.48</v>
      </c>
      <c r="H57" s="13">
        <f t="array" aca="1" ref="H57" ca="1">_FV(A57,"Acciones en circulación",TRUE())/1000000</f>
        <v>21.68</v>
      </c>
      <c r="I57" s="14">
        <f t="shared" ca="1" si="25"/>
        <v>292.24639999999999</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577.24639999999999</v>
      </c>
      <c r="AS57" s="103">
        <v>59</v>
      </c>
      <c r="AT57" s="19">
        <v>21</v>
      </c>
      <c r="AU57" s="19">
        <v>48</v>
      </c>
      <c r="AV57" s="19">
        <v>313</v>
      </c>
      <c r="AW57" s="20">
        <f t="shared" ca="1" si="35"/>
        <v>9.7838372881355937</v>
      </c>
      <c r="AX57" s="20">
        <f t="shared" ca="1" si="36"/>
        <v>12.025966666666667</v>
      </c>
      <c r="AY57" s="20">
        <f t="shared" ca="1" si="37"/>
        <v>1.8442376996805112</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-3.8625907670052695E-2</v>
      </c>
      <c r="BN57" s="95" t="s">
        <v>655</v>
      </c>
      <c r="BO57" s="93" t="s">
        <v>142</v>
      </c>
      <c r="BP57" s="93" t="s">
        <v>143</v>
      </c>
      <c r="BQ57" s="98"/>
      <c r="BR57" s="98"/>
      <c r="BS57" s="98"/>
    </row>
    <row r="58" spans="1:72" ht="15" customHeight="1" x14ac:dyDescent="0.2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26.75</v>
      </c>
      <c r="H58" s="13">
        <f t="array" aca="1" ref="H58" ca="1">_FV(A58,"Acciones en circulación",TRUE())/1000000</f>
        <v>253.035</v>
      </c>
      <c r="I58" s="14">
        <f t="shared" ca="1" si="25"/>
        <v>6768.6862499999997</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6805.6862499999997</v>
      </c>
      <c r="AS58" s="103">
        <v>428</v>
      </c>
      <c r="AT58" s="19">
        <v>430</v>
      </c>
      <c r="AU58" s="19">
        <v>719</v>
      </c>
      <c r="AV58" s="19">
        <v>3047</v>
      </c>
      <c r="AW58" s="20">
        <f t="shared" ca="1" si="35"/>
        <v>15.901136098130841</v>
      </c>
      <c r="AX58" s="20">
        <f t="shared" ca="1" si="36"/>
        <v>9.46548852573018</v>
      </c>
      <c r="AY58" s="20">
        <f t="shared" ca="1" si="37"/>
        <v>2.2335694945848377</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-7.903484363024238E-3</v>
      </c>
      <c r="BM58" s="23">
        <f t="shared" ca="1" si="44"/>
        <v>0.36064368238175315</v>
      </c>
      <c r="BN58" s="96" t="s">
        <v>655</v>
      </c>
      <c r="BO58" t="s">
        <v>117</v>
      </c>
      <c r="BP58" s="96" t="s">
        <v>133</v>
      </c>
      <c r="BQ58" s="98">
        <v>34.799999999999997</v>
      </c>
      <c r="BR58" s="98">
        <v>8.9</v>
      </c>
      <c r="BS58" s="98">
        <v>436.9</v>
      </c>
      <c r="BT58" t="s">
        <v>859</v>
      </c>
    </row>
    <row r="59" spans="1:72" ht="15" customHeight="1" x14ac:dyDescent="0.25">
      <c r="A59" s="86" t="e" vm="56">
        <v>#VALUE!</v>
      </c>
      <c r="B59" s="10" t="str">
        <f t="array" aca="1" ref="B59" ca="1">_FV(A59,"Símbolo bursátil",TRUE())</f>
        <v>BFIT</v>
      </c>
      <c r="C59" s="88" t="s">
        <v>127</v>
      </c>
      <c r="D59" s="88" t="s">
        <v>97</v>
      </c>
      <c r="E59" s="11" t="str">
        <f t="array" aca="1" ref="E59" ca="1">_FV(A59,"Abreviatura de intercambio",TRUE())</f>
        <v>XAMS</v>
      </c>
      <c r="F59" s="11" t="str">
        <f t="array" aca="1" ref="F59" ca="1">_FV(A59,"Moneda")</f>
        <v>EUR</v>
      </c>
      <c r="G59" s="12">
        <f t="array" aca="1" ref="G59" ca="1">_FV(A59,"Precio")</f>
        <v>28.48</v>
      </c>
      <c r="H59" s="13">
        <f t="array" aca="1" ref="H59" ca="1">_FV(A59,"Acciones en circulación",TRUE())/1000000</f>
        <v>65</v>
      </c>
      <c r="I59" s="14">
        <f t="shared" ca="1" si="25"/>
        <v>1851.2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86</v>
      </c>
      <c r="AP59" s="19">
        <v>40</v>
      </c>
      <c r="AQ59" s="19">
        <v>740</v>
      </c>
      <c r="AR59" s="19">
        <f t="shared" ca="1" si="48"/>
        <v>2551.1999999999998</v>
      </c>
      <c r="AS59" s="103">
        <v>367.1</v>
      </c>
      <c r="AT59" s="19">
        <v>50</v>
      </c>
      <c r="AU59" s="19">
        <v>260</v>
      </c>
      <c r="AV59" s="19">
        <v>1250</v>
      </c>
      <c r="AW59" s="20">
        <f t="shared" ca="1" si="35"/>
        <v>6.9496050122582389</v>
      </c>
      <c r="AX59" s="20">
        <f t="shared" ca="1" si="36"/>
        <v>9.8123076923076908</v>
      </c>
      <c r="AY59" s="20">
        <f t="shared" ca="1" si="37"/>
        <v>2.0409599999999997</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63.778461538461542</v>
      </c>
      <c r="BK59" s="25">
        <f t="shared" ca="1" si="50"/>
        <v>202.71076923076922</v>
      </c>
      <c r="BL59" s="23">
        <f t="shared" ca="1" si="43"/>
        <v>0.17497008849686724</v>
      </c>
      <c r="BM59" s="23">
        <f t="shared" ca="1" si="44"/>
        <v>0.48070099199639937</v>
      </c>
      <c r="BN59" s="93" t="s">
        <v>119</v>
      </c>
      <c r="BO59" s="93" t="s">
        <v>120</v>
      </c>
      <c r="BP59" s="93" t="s">
        <v>121</v>
      </c>
      <c r="BQ59" s="98">
        <v>2.2999999999999998</v>
      </c>
      <c r="BR59" s="98">
        <v>0</v>
      </c>
      <c r="BS59" s="98">
        <v>367.1</v>
      </c>
      <c r="BT59" t="s">
        <v>860</v>
      </c>
    </row>
    <row r="60" spans="1:72" ht="15" customHeight="1" x14ac:dyDescent="0.25">
      <c r="A60" s="86" t="e" vm="57">
        <v>#VALUE!</v>
      </c>
      <c r="B60" s="10" t="str">
        <f t="array" aca="1" ref="B60" ca="1">_FV(A60,"Símbolo bursátil",TRUE())</f>
        <v>VRLA</v>
      </c>
      <c r="C60" s="88" t="s">
        <v>132</v>
      </c>
      <c r="D60" s="88" t="s">
        <v>136</v>
      </c>
      <c r="E60" s="11" t="s">
        <v>579</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413.9</v>
      </c>
      <c r="AQ60" s="19">
        <v>2131.9</v>
      </c>
      <c r="AR60" s="19">
        <f t="shared" ca="1" si="48"/>
        <v>4064.3304470000003</v>
      </c>
      <c r="AS60" s="103">
        <v>195.6</v>
      </c>
      <c r="AT60" s="19">
        <v>270</v>
      </c>
      <c r="AU60" s="19">
        <v>693</v>
      </c>
      <c r="AV60" s="19">
        <v>3307.7</v>
      </c>
      <c r="AW60" s="20">
        <f t="shared" ca="1" si="35"/>
        <v>20.778785516359921</v>
      </c>
      <c r="AX60" s="20">
        <f t="shared" ca="1" si="36"/>
        <v>5.8648346998557006</v>
      </c>
      <c r="AY60" s="20">
        <f t="shared" ca="1" si="37"/>
        <v>1.2287482078181216</v>
      </c>
      <c r="AZ60" s="21">
        <v>3400</v>
      </c>
      <c r="BA60" s="22">
        <f t="shared" si="38"/>
        <v>8.1627717144843848E-2</v>
      </c>
      <c r="BB60" s="22">
        <f t="shared" si="39"/>
        <v>0.97285294117647059</v>
      </c>
      <c r="BC60" s="23">
        <f t="shared" si="40"/>
        <v>7.9411764705882348E-2</v>
      </c>
      <c r="BD60" s="98">
        <v>300</v>
      </c>
      <c r="BE60" s="23">
        <f t="shared" si="41"/>
        <v>8.9307467509151861E-2</v>
      </c>
      <c r="BF60">
        <v>490</v>
      </c>
      <c r="BG60" s="23">
        <f t="shared" si="42"/>
        <v>0.20161529006442658</v>
      </c>
      <c r="BH60" s="24">
        <v>8</v>
      </c>
      <c r="BI60" s="24">
        <v>15</v>
      </c>
      <c r="BJ60" s="25">
        <f t="shared" ca="1" si="49"/>
        <v>5.3453596086757855</v>
      </c>
      <c r="BK60" s="25">
        <f t="shared" ca="1" si="50"/>
        <v>44.142324510354868</v>
      </c>
      <c r="BL60" s="23">
        <f t="shared" ca="1" si="43"/>
        <v>-0.21894963500335884</v>
      </c>
      <c r="BM60" s="23">
        <f t="shared" ca="1" si="44"/>
        <v>0.1913920395642299</v>
      </c>
      <c r="BN60" s="93" t="s">
        <v>119</v>
      </c>
      <c r="BO60" s="93" t="s">
        <v>120</v>
      </c>
      <c r="BP60" s="95" t="s">
        <v>121</v>
      </c>
      <c r="BQ60" s="98">
        <v>6.2</v>
      </c>
      <c r="BR60" s="98">
        <v>0</v>
      </c>
      <c r="BS60" s="98">
        <v>195.6</v>
      </c>
      <c r="BT60" s="96" t="s">
        <v>911</v>
      </c>
    </row>
    <row r="61" spans="1:72" ht="15" customHeight="1" x14ac:dyDescent="0.25">
      <c r="A61" s="86" t="e" vm="58">
        <v>#VALUE!</v>
      </c>
      <c r="B61" s="10" t="str">
        <f t="array" aca="1" ref="B61" ca="1">_FV(A61,"Símbolo bursátil",TRUE())</f>
        <v>KIST</v>
      </c>
      <c r="C61" s="88" t="s">
        <v>138</v>
      </c>
      <c r="D61" s="88" t="s">
        <v>139</v>
      </c>
      <c r="E61" s="11" t="str">
        <f t="array" aca="1" ref="E61" ca="1">_FV(A61,"Abreviatura de intercambio",TRUE())</f>
        <v>XLON</v>
      </c>
      <c r="F61" s="11" t="str">
        <f t="array" aca="1" ref="F61" ca="1">_FV(A61,"Moneda")</f>
        <v>GBp</v>
      </c>
      <c r="G61" s="12">
        <f t="array" aca="1" ref="G61" ca="1">_FV(A61,"Precio")</f>
        <v>317</v>
      </c>
      <c r="H61" s="13">
        <f t="array" aca="1" ref="H61" ca="1">_FV(A61,"Acciones en circulación",TRUE())/1000000</f>
        <v>83.117649999999998</v>
      </c>
      <c r="I61" s="14">
        <f ca="1">G61/100*H61</f>
        <v>263.48295049999996</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539.20000000000005</v>
      </c>
      <c r="AQ61" s="19">
        <v>561.79999999999995</v>
      </c>
      <c r="AR61" s="19">
        <f ca="1">I61*'Framework Notes'!$E$9-AP61+AQ61</f>
        <v>382.01709277704987</v>
      </c>
      <c r="AS61" s="103">
        <v>147.80000000000001</v>
      </c>
      <c r="AT61" s="19">
        <f>390-230</f>
        <v>160</v>
      </c>
      <c r="AU61" s="19">
        <v>226.9</v>
      </c>
      <c r="AV61" s="19">
        <v>336.9</v>
      </c>
      <c r="AW61" s="20">
        <f t="shared" ca="1" si="35"/>
        <v>2.5846893963264534</v>
      </c>
      <c r="AX61" s="20">
        <f t="shared" ca="1" si="36"/>
        <v>1.6836363718688843</v>
      </c>
      <c r="AY61" s="20">
        <f t="shared" ca="1" si="37"/>
        <v>1.1339183519651228</v>
      </c>
      <c r="AZ61" s="21">
        <v>300</v>
      </c>
      <c r="BA61" s="22">
        <f t="shared" si="38"/>
        <v>0.4749183734045711</v>
      </c>
      <c r="BB61" s="22">
        <f t="shared" si="39"/>
        <v>1.123</v>
      </c>
      <c r="BC61" s="23">
        <f t="shared" si="40"/>
        <v>0.53333333333333333</v>
      </c>
      <c r="BD61" s="98">
        <v>60</v>
      </c>
      <c r="BE61" s="23">
        <f t="shared" si="41"/>
        <v>-0.1649829116562892</v>
      </c>
      <c r="BF61">
        <v>115</v>
      </c>
      <c r="BG61" s="23">
        <f t="shared" si="42"/>
        <v>-4.8947084501239524E-2</v>
      </c>
      <c r="BH61" s="24">
        <v>5.5</v>
      </c>
      <c r="BI61" s="24">
        <v>8</v>
      </c>
      <c r="BJ61" s="25">
        <f ca="1">((BD61*BH61+$AP61-$AQ61)/$H61)/'Framework Notes'!$E$9*100</f>
        <v>271.12177455746831</v>
      </c>
      <c r="BK61" s="25">
        <f ca="1">((BF61*BI61+$AP61-$AQ61)/$H61)/'Framework Notes'!$E$9*100</f>
        <v>791.4921291082369</v>
      </c>
      <c r="BL61" s="23">
        <f t="shared" ca="1" si="43"/>
        <v>-3.0782990607228111E-2</v>
      </c>
      <c r="BM61" s="23">
        <f t="shared" ca="1" si="44"/>
        <v>0.20081876971608281</v>
      </c>
      <c r="BN61" s="95" t="s">
        <v>881</v>
      </c>
      <c r="BO61" s="95" t="s">
        <v>893</v>
      </c>
      <c r="BP61" s="95" t="s">
        <v>894</v>
      </c>
      <c r="BQ61" s="98">
        <v>3.6</v>
      </c>
      <c r="BR61" s="98">
        <v>0</v>
      </c>
      <c r="BS61" s="98">
        <v>147.80000000000001</v>
      </c>
      <c r="BT61" s="96" t="s">
        <v>895</v>
      </c>
    </row>
    <row r="62" spans="1:72" ht="15" customHeight="1" x14ac:dyDescent="0.25">
      <c r="A62" s="86" t="e" vm="59">
        <v>#VALUE!</v>
      </c>
      <c r="B62" s="10" t="str">
        <f t="array" aca="1" ref="B62" ca="1">_FV(A62,"Símbolo bursátil",TRUE())</f>
        <v>WOSG</v>
      </c>
      <c r="C62" s="88" t="s">
        <v>105</v>
      </c>
      <c r="D62" s="88" t="s">
        <v>136</v>
      </c>
      <c r="E62" s="11" t="str">
        <f t="array" aca="1" ref="E62" ca="1">_FV(A62,"Abreviatura de intercambio",TRUE())</f>
        <v>XLON</v>
      </c>
      <c r="F62" s="11" t="str">
        <f t="array" aca="1" ref="F62" ca="1">_FV(A62,"Moneda")</f>
        <v>GBp</v>
      </c>
      <c r="G62" s="12">
        <f t="array" aca="1" ref="G62" ca="1">_FV(A62,"Precio")</f>
        <v>672.5</v>
      </c>
      <c r="H62" s="13">
        <f t="array" aca="1" ref="H62" ca="1">_FV(A62,"Acciones en circulación",TRUE())/1000000</f>
        <v>233.30160000000001</v>
      </c>
      <c r="I62" s="14">
        <f ca="1">G62/100*H62</f>
        <v>1568.95326</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1768.95326</v>
      </c>
      <c r="AS62" s="103">
        <v>183.9</v>
      </c>
      <c r="AT62" s="19">
        <v>80</v>
      </c>
      <c r="AU62" s="19">
        <v>170</v>
      </c>
      <c r="AV62" s="19">
        <v>1700</v>
      </c>
      <c r="AW62" s="20">
        <f t="shared" ca="1" si="35"/>
        <v>9.6191041870581842</v>
      </c>
      <c r="AX62" s="20">
        <f t="shared" ca="1" si="36"/>
        <v>10.405607411764706</v>
      </c>
      <c r="AY62" s="20">
        <f t="shared" ca="1" si="37"/>
        <v>1.0405607411764706</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-4.1216005168948522E-2</v>
      </c>
      <c r="BM62" s="23">
        <f t="shared" ca="1" si="44"/>
        <v>0.24795358429833558</v>
      </c>
      <c r="BN62" t="s">
        <v>101</v>
      </c>
      <c r="BO62" t="s">
        <v>114</v>
      </c>
      <c r="BP62" t="s">
        <v>144</v>
      </c>
      <c r="BQ62" s="98">
        <v>1.8</v>
      </c>
      <c r="BR62" s="98">
        <v>0</v>
      </c>
      <c r="BS62" s="98">
        <v>183.9</v>
      </c>
      <c r="BT62" t="s">
        <v>860</v>
      </c>
    </row>
    <row r="63" spans="1:72" ht="15" customHeight="1" x14ac:dyDescent="0.25">
      <c r="A63" s="86" t="e" vm="60">
        <v>#VALUE!</v>
      </c>
      <c r="B63" s="10" t="str">
        <f t="array" aca="1" ref="B63" ca="1">_FV(A63,"Símbolo bursátil",TRUE())</f>
        <v>IPCO</v>
      </c>
      <c r="C63" s="88" t="s">
        <v>138</v>
      </c>
      <c r="D63" s="88" t="s">
        <v>139</v>
      </c>
      <c r="E63" s="11" t="str">
        <f t="array" aca="1" ref="E63" ca="1">_FV(A63,"Abreviatura de intercambio",TRUE())</f>
        <v>XTSE</v>
      </c>
      <c r="F63" s="11" t="str">
        <f t="array" aca="1" ref="F63" ca="1">_FV(A63,"Moneda")</f>
        <v>CAD</v>
      </c>
      <c r="G63" s="12">
        <f t="array" aca="1" ref="G63" ca="1">_FV(A63,"Precio")</f>
        <v>34.89</v>
      </c>
      <c r="H63" s="13">
        <f t="array" aca="1" ref="H63" ca="1">_FV(A63,"Acciones en circulación",TRUE())/1000000</f>
        <v>112.1593</v>
      </c>
      <c r="I63" s="14">
        <f ca="1">G63*H63</f>
        <v>3913.2379770000002</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3252.0104122585999</v>
      </c>
      <c r="AS63" s="103">
        <v>50.7</v>
      </c>
      <c r="AT63" s="19">
        <v>76</v>
      </c>
      <c r="AU63" s="19">
        <v>253</v>
      </c>
      <c r="AV63" s="19">
        <v>707</v>
      </c>
      <c r="AW63" s="20">
        <f t="shared" ca="1" si="35"/>
        <v>64.142217204311635</v>
      </c>
      <c r="AX63" s="20">
        <f t="shared" ca="1" si="36"/>
        <v>12.853796095883794</v>
      </c>
      <c r="AY63" s="20">
        <f t="shared" ca="1" si="37"/>
        <v>4.5997318419499296</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16.189112054319917</v>
      </c>
      <c r="BK63" s="25">
        <f ca="1">((BF63*BI63+$AP63-$AQ63)/$H63)/'Framework Notes'!$E$7</f>
        <v>70.754156606861741</v>
      </c>
      <c r="BL63" s="23">
        <f t="shared" ca="1" si="43"/>
        <v>-0.14236121690776071</v>
      </c>
      <c r="BM63" s="23">
        <f t="shared" ca="1" si="44"/>
        <v>0.15188785108403979</v>
      </c>
      <c r="BN63" s="95" t="s">
        <v>655</v>
      </c>
      <c r="BO63" s="95" t="s">
        <v>124</v>
      </c>
      <c r="BP63" s="95" t="s">
        <v>660</v>
      </c>
      <c r="BQ63" s="98">
        <v>10.5</v>
      </c>
      <c r="BR63" s="98">
        <v>155.30000000000001</v>
      </c>
      <c r="BS63" s="98">
        <v>50.7</v>
      </c>
      <c r="BT63" s="96" t="s">
        <v>867</v>
      </c>
    </row>
    <row r="64" spans="1:72" ht="15" customHeight="1" x14ac:dyDescent="0.25">
      <c r="A64" s="86" t="e" vm="61">
        <v>#VALUE!</v>
      </c>
      <c r="B64" s="10" t="str">
        <f t="array" aca="1" ref="B64" ca="1">_FV(A64,"Símbolo bursátil",TRUE())</f>
        <v>OTLY</v>
      </c>
      <c r="C64" s="88" t="s">
        <v>105</v>
      </c>
      <c r="D64" s="88" t="s">
        <v>136</v>
      </c>
      <c r="E64" s="11" t="str">
        <f t="array" aca="1" ref="E64" ca="1">_FV(A64,"Abreviatura de intercambio",TRUE())</f>
        <v>XNAS</v>
      </c>
      <c r="F64" s="11" t="str">
        <f t="array" aca="1" ref="F64" ca="1">_FV(A64,"Moneda")</f>
        <v>USD</v>
      </c>
      <c r="G64" s="12">
        <f t="array" aca="1" ref="G64" ca="1">_FV(A64,"Precio")</f>
        <v>10.55</v>
      </c>
      <c r="H64" s="13">
        <f t="array" aca="1" ref="H64" ca="1">_FV(A64,"Acciones en circulación",TRUE())/1000000</f>
        <v>31.91226</v>
      </c>
      <c r="I64" s="14">
        <f ca="1">G64*H64</f>
        <v>336.67434300000002</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841.074343</v>
      </c>
      <c r="AS64" s="103">
        <v>-38.200000000000003</v>
      </c>
      <c r="AT64" s="19">
        <v>-49</v>
      </c>
      <c r="AU64" s="19">
        <v>-14</v>
      </c>
      <c r="AV64" s="19">
        <v>925</v>
      </c>
      <c r="AW64" s="20">
        <f t="shared" ca="1" si="35"/>
        <v>-22.017652958115182</v>
      </c>
      <c r="AX64" s="20">
        <f t="shared" ca="1" si="36"/>
        <v>-60.076738785714284</v>
      </c>
      <c r="AY64" s="20">
        <f t="shared" ca="1" si="37"/>
        <v>0.90926956000000003</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0.2624394894235822</v>
      </c>
      <c r="BN64" s="95" t="s">
        <v>655</v>
      </c>
      <c r="BO64" s="93" t="s">
        <v>125</v>
      </c>
      <c r="BP64" s="93" t="s">
        <v>145</v>
      </c>
      <c r="BQ64" s="98">
        <v>12.6</v>
      </c>
      <c r="BR64" s="98">
        <v>0</v>
      </c>
      <c r="BS64" s="98">
        <v>-38.200000000000003</v>
      </c>
      <c r="BT64" s="96" t="s">
        <v>869</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2981.21</v>
      </c>
      <c r="H65" s="13">
        <f t="array" aca="1" ref="H65" ca="1">_FV(A65,"Acciones en circulación",TRUE())/1000000</f>
        <v>21.19153</v>
      </c>
      <c r="I65" s="14">
        <f ca="1">G65*H65</f>
        <v>63176.4011513</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45379.19832798234</v>
      </c>
      <c r="AS65" s="103">
        <v>2771</v>
      </c>
      <c r="AT65" s="19">
        <v>1400</v>
      </c>
      <c r="AU65" s="19">
        <v>3428</v>
      </c>
      <c r="AV65" s="19">
        <v>12641</v>
      </c>
      <c r="AW65" s="20">
        <f t="shared" ca="1" si="35"/>
        <v>16.376469984836643</v>
      </c>
      <c r="AX65" s="20">
        <f t="shared" ca="1" si="36"/>
        <v>13.237805813297065</v>
      </c>
      <c r="AY65" s="20">
        <f t="shared" ca="1" si="37"/>
        <v>3.5898424434761758</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2497.0051950740412</v>
      </c>
      <c r="BK65" s="25">
        <f ca="1">((BF65*BI65+$AP65-$AQ65)/$H65)/'Framework Notes'!$E$7</f>
        <v>7824.3485654585529</v>
      </c>
      <c r="BL65" s="23">
        <f t="shared" ca="1" si="43"/>
        <v>-3.4826531129340421E-2</v>
      </c>
      <c r="BM65" s="23">
        <f t="shared" ca="1" si="44"/>
        <v>0.21286125877407347</v>
      </c>
      <c r="BN65" s="95" t="s">
        <v>655</v>
      </c>
      <c r="BO65" s="95" t="s">
        <v>661</v>
      </c>
      <c r="BP65" s="95" t="s">
        <v>133</v>
      </c>
      <c r="BQ65" s="98">
        <v>0</v>
      </c>
      <c r="BR65" s="98">
        <v>0</v>
      </c>
      <c r="BS65" s="98">
        <v>2771</v>
      </c>
      <c r="BT65" t="s">
        <v>861</v>
      </c>
    </row>
    <row r="66" spans="1:72" x14ac:dyDescent="0.25">
      <c r="A66" s="86" t="e" vm="63">
        <v>#VALUE!</v>
      </c>
      <c r="B66" s="10" t="str">
        <f t="array" aca="1" ref="B66" ca="1">_FV(A66,"Símbolo bursátil",TRUE())</f>
        <v>UBER</v>
      </c>
      <c r="C66" s="88" t="s">
        <v>149</v>
      </c>
      <c r="D66" s="88" t="s">
        <v>77</v>
      </c>
      <c r="E66" s="11" t="str">
        <f t="array" aca="1" ref="E66" ca="1">_FV(A66,"Abreviatura de intercambio",TRUE())</f>
        <v>XNYS</v>
      </c>
      <c r="F66" s="11" t="str">
        <f t="array" aca="1" ref="F66" ca="1">_FV(A66,"Moneda")</f>
        <v>USD</v>
      </c>
      <c r="G66" s="12">
        <f t="array" aca="1" ref="G66" ca="1">_FV(A66,"Precio")</f>
        <v>68.11</v>
      </c>
      <c r="H66" s="13">
        <f t="array" aca="1" ref="H66" ca="1">_FV(A66,"Acciones en circulación",TRUE())/1000000</f>
        <v>2042.56</v>
      </c>
      <c r="I66" s="14">
        <f ca="1">G66*H66</f>
        <v>139118.7616</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148458.7616</v>
      </c>
      <c r="AS66" s="103">
        <v>8177</v>
      </c>
      <c r="AT66" s="19">
        <v>5025</v>
      </c>
      <c r="AU66" s="19">
        <v>7475</v>
      </c>
      <c r="AV66" s="19">
        <v>55227</v>
      </c>
      <c r="AW66" s="20">
        <f t="shared" ca="1" si="35"/>
        <v>18.155651412498472</v>
      </c>
      <c r="AX66" s="20">
        <f t="shared" ca="1" si="36"/>
        <v>19.860703892976588</v>
      </c>
      <c r="AY66" s="20">
        <f t="shared" ca="1" si="37"/>
        <v>2.6881554601915729</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-7.9040380655355902E-2</v>
      </c>
      <c r="BM66" s="23">
        <f t="shared" ca="1" si="44"/>
        <v>0.29796785867231979</v>
      </c>
      <c r="BN66" s="95" t="s">
        <v>872</v>
      </c>
      <c r="BO66" s="95" t="s">
        <v>95</v>
      </c>
      <c r="BP66" s="95" t="s">
        <v>660</v>
      </c>
      <c r="BQ66" s="98">
        <v>1939</v>
      </c>
      <c r="BR66" s="98">
        <v>0</v>
      </c>
      <c r="BS66" s="98">
        <v>8177</v>
      </c>
      <c r="BT66" s="96" t="s">
        <v>908</v>
      </c>
    </row>
    <row r="67" spans="1:72" x14ac:dyDescent="0.25">
      <c r="A67" s="86" t="e" vm="64">
        <v>#VALUE!</v>
      </c>
      <c r="B67" s="10" t="str">
        <f t="array" aca="1" ref="B67" ca="1">_FV(A67,"Símbolo bursátil",TRUE())</f>
        <v>SOM</v>
      </c>
      <c r="C67" s="88" t="s">
        <v>128</v>
      </c>
      <c r="D67" s="88" t="s">
        <v>136</v>
      </c>
      <c r="E67" s="11" t="str">
        <f ca="1">_FV(A67,"Abreviatura de intercambio",TRUE)</f>
        <v>XLON</v>
      </c>
      <c r="F67" s="11" t="str">
        <f ca="1">_FV(A67,"Moneda")</f>
        <v>GBp</v>
      </c>
      <c r="G67" s="12">
        <f ca="1">_FV(A67,"Precio")</f>
        <v>267.5</v>
      </c>
      <c r="H67" s="13">
        <f ca="1">_FV(A67,"Acciones en circulación",TRUE)/1000000</f>
        <v>51.643639999999998</v>
      </c>
      <c r="I67" s="14">
        <f ca="1">G67/100*H67</f>
        <v>138.14673699999997</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159.64596394169999</v>
      </c>
      <c r="AS67" s="103">
        <v>18.399999999999999</v>
      </c>
      <c r="AT67" s="19">
        <v>13.3</v>
      </c>
      <c r="AU67" s="19">
        <v>21.2</v>
      </c>
      <c r="AV67" s="19">
        <v>97.7</v>
      </c>
      <c r="AW67" s="20">
        <f t="shared" ref="AW67:AW72" ca="1" si="56">AR67/AS67</f>
        <v>8.676411083788043</v>
      </c>
      <c r="AX67" s="20">
        <f t="shared" ref="AX67:AX72" ca="1" si="57">AR67/AU67</f>
        <v>7.53046999725</v>
      </c>
      <c r="AY67" s="20">
        <f t="shared" ref="AY67:AY72" ca="1" si="58">AR67/AV67</f>
        <v>1.634042619669396</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313.42671800746433</v>
      </c>
      <c r="BK67" s="25">
        <f ca="1">((BF67*BI67+$AP67-$AQ67)/$H67)/'Framework Notes'!$E$9*100</f>
        <v>884.06775351018484</v>
      </c>
      <c r="BL67" s="23">
        <f t="shared" ca="1" si="43"/>
        <v>3.2196651215748107E-2</v>
      </c>
      <c r="BM67" s="23">
        <f t="shared" ca="1" si="44"/>
        <v>0.27008373011461506</v>
      </c>
      <c r="BN67" s="96" t="s">
        <v>881</v>
      </c>
      <c r="BO67" s="96" t="s">
        <v>511</v>
      </c>
      <c r="BP67" s="96" t="s">
        <v>879</v>
      </c>
      <c r="BQ67" s="98">
        <v>1</v>
      </c>
      <c r="BR67" s="98">
        <v>0</v>
      </c>
      <c r="BS67" s="98">
        <v>18.399999999999999</v>
      </c>
      <c r="BT67" s="96" t="s">
        <v>906</v>
      </c>
    </row>
    <row r="68" spans="1:72" x14ac:dyDescent="0.2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35.44</v>
      </c>
      <c r="H68" s="13">
        <f t="shared" ref="H68:H74" ca="1" si="64">_FV(A68,"Acciones en circulación",TRUE)/1000000</f>
        <v>108.8793</v>
      </c>
      <c r="I68" s="14">
        <f t="shared" ref="I68:I71" ca="1" si="65">G68*H68</f>
        <v>3858.6823919999997</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4163.6823919999997</v>
      </c>
      <c r="AS68" s="103">
        <v>246.1</v>
      </c>
      <c r="AT68" s="19">
        <v>229</v>
      </c>
      <c r="AU68" s="19">
        <v>446</v>
      </c>
      <c r="AV68" s="19">
        <v>2080</v>
      </c>
      <c r="AW68" s="20">
        <f t="shared" ca="1" si="56"/>
        <v>16.918660674522553</v>
      </c>
      <c r="AX68" s="20">
        <f t="shared" ca="1" si="57"/>
        <v>9.3356107443946179</v>
      </c>
      <c r="AY68" s="20">
        <f t="shared" ca="1" si="58"/>
        <v>2.0017703807692304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-4.4637574071348829E-2</v>
      </c>
      <c r="BM68" s="23">
        <f t="shared" ca="1" si="44"/>
        <v>0.21516334967115602</v>
      </c>
      <c r="BN68" s="96" t="s">
        <v>655</v>
      </c>
      <c r="BO68" s="96" t="s">
        <v>117</v>
      </c>
      <c r="BP68" s="96" t="s">
        <v>520</v>
      </c>
      <c r="BQ68" s="98">
        <v>6.6</v>
      </c>
      <c r="BR68" s="98">
        <v>0</v>
      </c>
      <c r="BS68" s="98">
        <v>246.1</v>
      </c>
      <c r="BT68" t="s">
        <v>859</v>
      </c>
    </row>
    <row r="69" spans="1:72" x14ac:dyDescent="0.25">
      <c r="A69" s="86" t="e" vm="66">
        <v>#VALUE!</v>
      </c>
      <c r="B69" s="10" t="str">
        <f t="array" aca="1" ref="B69" ca="1">_FV(A69,"Símbolo bursátil",TRUE())</f>
        <v>RBT</v>
      </c>
      <c r="C69" s="88" t="s">
        <v>105</v>
      </c>
      <c r="D69" s="88" t="s">
        <v>77</v>
      </c>
      <c r="E69" s="11" t="str">
        <f t="shared" ca="1" si="61"/>
        <v>XPAR</v>
      </c>
      <c r="F69" s="11" t="str">
        <f t="shared" ca="1" si="62"/>
        <v>EUR</v>
      </c>
      <c r="G69" s="12">
        <f t="shared" ca="1" si="63"/>
        <v>747</v>
      </c>
      <c r="H69" s="13">
        <f t="shared" ca="1" si="64"/>
        <v>2.1692999999999998</v>
      </c>
      <c r="I69" s="14">
        <f t="shared" ca="1" si="65"/>
        <v>1620.4670999999998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1712.2671</v>
      </c>
      <c r="AS69" s="103">
        <v>64.400000000000006</v>
      </c>
      <c r="AT69" s="19">
        <v>99</v>
      </c>
      <c r="AU69" s="19">
        <v>167.5</v>
      </c>
      <c r="AV69" s="19">
        <v>841.9</v>
      </c>
      <c r="AW69" s="20">
        <f t="shared" ca="1" si="56"/>
        <v>26.587998447204967</v>
      </c>
      <c r="AX69" s="20">
        <f t="shared" ca="1" si="57"/>
        <v>10.222490149253732</v>
      </c>
      <c r="AY69" s="20">
        <f t="shared" ca="1" si="58"/>
        <v>2.0338129231500179</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-3.0775011773367167E-2</v>
      </c>
      <c r="BM69" s="23">
        <f t="shared" ca="1" si="44"/>
        <v>0.1781457594037299</v>
      </c>
      <c r="BN69" s="96" t="s">
        <v>881</v>
      </c>
      <c r="BO69" s="96" t="s">
        <v>522</v>
      </c>
      <c r="BP69" s="96" t="s">
        <v>141</v>
      </c>
      <c r="BQ69" s="98">
        <v>0</v>
      </c>
      <c r="BR69" s="98">
        <v>13.2</v>
      </c>
      <c r="BS69" s="98">
        <v>77.599999999999994</v>
      </c>
      <c r="BT69" s="96" t="s">
        <v>896</v>
      </c>
    </row>
    <row r="70" spans="1:72" x14ac:dyDescent="0.25">
      <c r="A70" s="86" t="e" vm="67">
        <v>#VALUE!</v>
      </c>
      <c r="B70" s="10" t="str">
        <f t="array" aca="1" ref="B70" ca="1">_FV(A70,"Símbolo bursátil",TRUE())</f>
        <v>ROKO B</v>
      </c>
      <c r="C70" s="88" t="s">
        <v>112</v>
      </c>
      <c r="D70" s="88" t="s">
        <v>77</v>
      </c>
      <c r="E70" s="11" t="str">
        <f t="shared" ca="1" si="61"/>
        <v>XSTO</v>
      </c>
      <c r="F70" s="11" t="str">
        <f t="shared" ca="1" si="62"/>
        <v>SEK</v>
      </c>
      <c r="G70" s="12">
        <f t="shared" ca="1" si="63"/>
        <v>1896</v>
      </c>
      <c r="H70" s="13">
        <f t="shared" ca="1" si="64"/>
        <v>12.1365</v>
      </c>
      <c r="I70" s="14">
        <f t="shared" ca="1" si="65"/>
        <v>23010.804</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435</v>
      </c>
      <c r="AQ70" s="19">
        <v>3020</v>
      </c>
      <c r="AR70" s="19">
        <f t="shared" ca="1" si="51"/>
        <v>25595.804</v>
      </c>
      <c r="AS70" s="103">
        <v>1196</v>
      </c>
      <c r="AT70" s="19">
        <v>893</v>
      </c>
      <c r="AU70" s="19">
        <v>1560</v>
      </c>
      <c r="AV70" s="19">
        <v>7090</v>
      </c>
      <c r="AW70" s="20">
        <f t="shared" ca="1" si="56"/>
        <v>21.401173913043479</v>
      </c>
      <c r="AX70" s="20">
        <f t="shared" ca="1" si="57"/>
        <v>16.407566666666668</v>
      </c>
      <c r="AY70" s="20">
        <f t="shared" ca="1" si="58"/>
        <v>3.6101275035260931</v>
      </c>
      <c r="AZ70" s="21">
        <v>9895</v>
      </c>
      <c r="BA70" s="22">
        <f t="shared" si="59"/>
        <v>0.12595204513399152</v>
      </c>
      <c r="BB70" s="22">
        <f t="shared" si="60"/>
        <v>0.71652349671551285</v>
      </c>
      <c r="BC70" s="23">
        <f t="shared" si="69"/>
        <v>9.0247599797877706E-2</v>
      </c>
      <c r="BD70" s="98">
        <v>1196</v>
      </c>
      <c r="BE70" s="23">
        <f t="shared" si="70"/>
        <v>0</v>
      </c>
      <c r="BF70">
        <v>1976</v>
      </c>
      <c r="BG70" s="23">
        <f t="shared" si="71"/>
        <v>0.10563340590814718</v>
      </c>
      <c r="BH70" s="24">
        <v>19</v>
      </c>
      <c r="BI70" s="24">
        <v>26</v>
      </c>
      <c r="BJ70" s="25">
        <f t="shared" ca="1" si="72"/>
        <v>1659.3746137683847</v>
      </c>
      <c r="BK70" s="25">
        <f t="shared" ca="1" si="73"/>
        <v>4020.1870390969389</v>
      </c>
      <c r="BL70" s="23">
        <f t="shared" ca="1" si="43"/>
        <v>-2.6308852091355361E-2</v>
      </c>
      <c r="BM70" s="23">
        <f t="shared" ca="1" si="44"/>
        <v>0.16220191102096537</v>
      </c>
      <c r="BN70" s="96" t="s">
        <v>655</v>
      </c>
      <c r="BO70" s="96" t="s">
        <v>524</v>
      </c>
      <c r="BP70" s="96" t="s">
        <v>115</v>
      </c>
      <c r="BQ70" s="98">
        <v>0</v>
      </c>
      <c r="BR70" s="98">
        <v>0</v>
      </c>
      <c r="BS70" s="98">
        <v>1196</v>
      </c>
      <c r="BT70" t="s">
        <v>861</v>
      </c>
    </row>
    <row r="71" spans="1:72" x14ac:dyDescent="0.25">
      <c r="A71" s="86" t="e" vm="68">
        <v>#VALUE!</v>
      </c>
      <c r="B71" s="10" t="str">
        <f t="array" aca="1" ref="B71" ca="1">_FV(A71,"Símbolo bursátil",TRUE())</f>
        <v>USPH</v>
      </c>
      <c r="C71" s="88" t="s">
        <v>107</v>
      </c>
      <c r="D71" s="88" t="s">
        <v>77</v>
      </c>
      <c r="E71" s="11" t="str">
        <f t="shared" ca="1" si="61"/>
        <v>XNYS</v>
      </c>
      <c r="F71" s="11" t="str">
        <f t="shared" ca="1" si="62"/>
        <v>USD</v>
      </c>
      <c r="G71" s="12">
        <f t="shared" ca="1" si="63"/>
        <v>83.84</v>
      </c>
      <c r="H71" s="13">
        <f t="shared" ca="1" si="64"/>
        <v>14.922700000000001</v>
      </c>
      <c r="I71" s="14">
        <f t="shared" ca="1" si="65"/>
        <v>1251.1191680000002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1612.019168</v>
      </c>
      <c r="AS71" s="103">
        <v>54.2</v>
      </c>
      <c r="AT71" s="19">
        <v>57</v>
      </c>
      <c r="AU71" s="19">
        <v>96</v>
      </c>
      <c r="AV71" s="19">
        <v>804.3</v>
      </c>
      <c r="AW71" s="20">
        <f t="shared" ca="1" si="56"/>
        <v>29.742051070110701</v>
      </c>
      <c r="AX71" s="20">
        <f t="shared" ca="1" si="57"/>
        <v>16.791866333333335</v>
      </c>
      <c r="AY71" s="20">
        <f t="shared" ca="1" si="58"/>
        <v>2.0042511102822331</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-0.12639805699229911</v>
      </c>
      <c r="BM71" s="23">
        <f t="shared" ca="1" si="44"/>
        <v>0.10119407329009977</v>
      </c>
      <c r="BN71" s="96" t="s">
        <v>519</v>
      </c>
      <c r="BO71" s="96" t="s">
        <v>95</v>
      </c>
      <c r="BP71" s="96" t="s">
        <v>133</v>
      </c>
      <c r="BQ71" s="98">
        <v>9.9</v>
      </c>
      <c r="BR71" s="98">
        <v>0</v>
      </c>
      <c r="BS71" s="98">
        <v>54.2</v>
      </c>
      <c r="BT71" t="s">
        <v>859</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183.92</v>
      </c>
      <c r="H72" s="13">
        <f t="shared" ca="1" si="64"/>
        <v>1228.5039999999999</v>
      </c>
      <c r="I72" s="14">
        <f t="shared" ref="I72:I73" ca="1" si="74">G72*H72</f>
        <v>225946.45567999996</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224256.45567999996</v>
      </c>
      <c r="AS72" s="103">
        <v>7231</v>
      </c>
      <c r="AT72" s="19">
        <v>7892</v>
      </c>
      <c r="AU72" s="19">
        <v>11760</v>
      </c>
      <c r="AV72" s="19">
        <v>38190</v>
      </c>
      <c r="AW72" s="20">
        <f t="shared" ca="1" si="56"/>
        <v>31.013200896141605</v>
      </c>
      <c r="AX72" s="20">
        <f t="shared" ca="1" si="57"/>
        <v>19.069426503401356</v>
      </c>
      <c r="AY72" s="20">
        <f t="shared" ca="1" si="58"/>
        <v>5.8721250505367886</v>
      </c>
      <c r="AZ72" s="21">
        <v>55875</v>
      </c>
      <c r="BA72" s="22">
        <f t="shared" si="59"/>
        <v>0.20665095574757791</v>
      </c>
      <c r="BB72" s="22">
        <f t="shared" si="60"/>
        <v>0.68348993288590609</v>
      </c>
      <c r="BC72" s="23">
        <f t="shared" si="69"/>
        <v>0.14124384787472039</v>
      </c>
      <c r="BD72" s="98">
        <v>7951.6</v>
      </c>
      <c r="BE72" s="23">
        <f t="shared" si="70"/>
        <v>1.9180798026169565E-2</v>
      </c>
      <c r="BF72">
        <v>12755.7</v>
      </c>
      <c r="BG72" s="23">
        <f t="shared" si="71"/>
        <v>0.12021449265126183</v>
      </c>
      <c r="BH72" s="24">
        <v>16</v>
      </c>
      <c r="BI72" s="24">
        <v>24</v>
      </c>
      <c r="BJ72" s="25">
        <f t="shared" ca="1" si="72"/>
        <v>104.93706166198891</v>
      </c>
      <c r="BK72" s="25">
        <f t="shared" ca="1" si="73"/>
        <v>250.57044991306506</v>
      </c>
      <c r="BL72" s="23">
        <f t="shared" ref="BL72" ca="1" si="79">IF($BJ72&lt;=0,-0.99,MAX(-0.99,($BJ72/G72)^(1/5)-1))</f>
        <v>-0.10615958329969144</v>
      </c>
      <c r="BM72" s="23">
        <f t="shared" ref="BM72" ca="1" si="80">IF(BK72&lt;=0,-0.99,MAX(-0.99,(BK72/G72)^(1/5)-1))</f>
        <v>6.3800472556603927E-2</v>
      </c>
      <c r="BN72" s="96" t="s">
        <v>813</v>
      </c>
      <c r="BO72" s="96" t="s">
        <v>125</v>
      </c>
      <c r="BP72" s="96" t="s">
        <v>816</v>
      </c>
      <c r="BQ72" s="98">
        <v>1499</v>
      </c>
      <c r="BR72" s="98">
        <v>0</v>
      </c>
      <c r="BS72" s="98">
        <v>7231</v>
      </c>
      <c r="BT72" t="s">
        <v>859</v>
      </c>
    </row>
    <row r="73" spans="1:72" x14ac:dyDescent="0.25">
      <c r="A73" s="101" t="e" vm="70">
        <v>#VALUE!</v>
      </c>
      <c r="B73" s="10" t="str">
        <f t="array" aca="1" ref="B73" ca="1">_FV(A73,"Símbolo bursátil",TRUE())</f>
        <v>VYLR</v>
      </c>
      <c r="C73" s="88" t="s">
        <v>138</v>
      </c>
      <c r="D73" s="88" t="s">
        <v>77</v>
      </c>
      <c r="E73" s="11" t="str">
        <f t="shared" ca="1" si="61"/>
        <v>XNYS</v>
      </c>
      <c r="F73" s="11" t="str">
        <f t="shared" ca="1" si="62"/>
        <v>USD</v>
      </c>
      <c r="G73" s="12">
        <f t="shared" ca="1" si="63"/>
        <v>66.86</v>
      </c>
      <c r="H73" s="13">
        <f t="shared" ca="1" si="64"/>
        <v>667.19600000000003</v>
      </c>
      <c r="I73" s="14">
        <f t="shared" ca="1" si="74"/>
        <v>44608.724560000002</v>
      </c>
      <c r="J73" s="90">
        <v>1</v>
      </c>
      <c r="K73" s="90">
        <v>6</v>
      </c>
      <c r="L73" s="90">
        <v>1</v>
      </c>
      <c r="M73" s="90">
        <v>0</v>
      </c>
      <c r="N73" s="90">
        <v>-1</v>
      </c>
      <c r="O73" s="90">
        <v>0</v>
      </c>
      <c r="P73" s="90">
        <v>0</v>
      </c>
      <c r="Q73" s="90">
        <v>0</v>
      </c>
      <c r="R73" s="15">
        <f t="shared" ref="R73" si="81">SUM(J73:N73)+SUM(P73:Q73)</f>
        <v>7</v>
      </c>
      <c r="S73" s="16">
        <f t="shared" ref="S73" si="82">ROUND(R73/16*10,2)</f>
        <v>4.38</v>
      </c>
      <c r="T73" s="90">
        <v>11</v>
      </c>
      <c r="U73" s="90">
        <v>15</v>
      </c>
      <c r="V73" s="90">
        <v>11</v>
      </c>
      <c r="W73" s="90">
        <v>9</v>
      </c>
      <c r="X73" s="90">
        <v>10</v>
      </c>
      <c r="Y73" s="90">
        <v>9</v>
      </c>
      <c r="Z73" s="90">
        <v>5</v>
      </c>
      <c r="AA73" s="90">
        <v>-11</v>
      </c>
      <c r="AB73" s="15">
        <f t="shared" ref="AB73" si="83">SUM(T73:AA73)</f>
        <v>59</v>
      </c>
      <c r="AC73" s="16">
        <f t="shared" si="53"/>
        <v>5.9</v>
      </c>
      <c r="AD73" s="90">
        <v>14</v>
      </c>
      <c r="AE73" s="90">
        <v>-1</v>
      </c>
      <c r="AF73" s="90">
        <v>6</v>
      </c>
      <c r="AG73" s="90">
        <v>9</v>
      </c>
      <c r="AH73" s="90">
        <v>3</v>
      </c>
      <c r="AI73" s="90">
        <v>6</v>
      </c>
      <c r="AJ73" s="90">
        <v>12</v>
      </c>
      <c r="AK73" s="90">
        <v>-4</v>
      </c>
      <c r="AL73" s="15">
        <f t="shared" ref="AL73" si="84">SUM(AD73:AK73)</f>
        <v>45</v>
      </c>
      <c r="AM73" s="16">
        <f t="shared" si="55"/>
        <v>6.43</v>
      </c>
      <c r="AN73" s="17">
        <f t="shared" ref="AN73" si="85">ROUND(S73*0.2+AC73*0.4+AM73*0.4,2)</f>
        <v>5.81</v>
      </c>
      <c r="AO73" s="18" t="s">
        <v>78</v>
      </c>
      <c r="AP73" s="19">
        <v>1100</v>
      </c>
      <c r="AQ73" s="19">
        <v>5659</v>
      </c>
      <c r="AR73" s="19">
        <f t="shared" ref="AR73" ca="1" si="86">I73-AP73+AQ73</f>
        <v>49167.724560000002</v>
      </c>
      <c r="AS73" s="103">
        <v>1195</v>
      </c>
      <c r="AT73" s="19">
        <v>1172</v>
      </c>
      <c r="AU73" s="19">
        <v>2931</v>
      </c>
      <c r="AV73" s="19">
        <v>10209</v>
      </c>
      <c r="AW73" s="20">
        <f t="shared" ref="AW73" ca="1" si="87">AR73/AS73</f>
        <v>41.144539380753137</v>
      </c>
      <c r="AX73" s="20">
        <f t="shared" ref="AX73" ca="1" si="88">AR73/AU73</f>
        <v>16.775068085977484</v>
      </c>
      <c r="AY73" s="20">
        <f t="shared" ref="AY73" ca="1" si="89">AR73/AV73</f>
        <v>4.816115639141934</v>
      </c>
      <c r="AZ73" s="21">
        <v>16827</v>
      </c>
      <c r="BA73" s="22">
        <f t="shared" ref="BA73" si="90">AT73/AV73</f>
        <v>0.11480066607894994</v>
      </c>
      <c r="BB73" s="22">
        <f t="shared" ref="BB73" si="91">AV73/AZ73</f>
        <v>0.60670351221251562</v>
      </c>
      <c r="BC73" s="23">
        <f t="shared" si="69"/>
        <v>6.9649967314435138E-2</v>
      </c>
      <c r="BD73" s="98">
        <v>2046</v>
      </c>
      <c r="BE73" s="23">
        <f t="shared" si="70"/>
        <v>0.11354441696879736</v>
      </c>
      <c r="BF73">
        <v>3295</v>
      </c>
      <c r="BG73" s="23">
        <f t="shared" si="71"/>
        <v>0.22489116666880382</v>
      </c>
      <c r="BH73" s="24">
        <v>14</v>
      </c>
      <c r="BI73" s="24">
        <v>22</v>
      </c>
      <c r="BJ73" s="25">
        <f t="shared" ca="1" si="72"/>
        <v>36.098837523006729</v>
      </c>
      <c r="BK73" s="25">
        <f t="shared" ca="1" si="73"/>
        <v>101.81565836725639</v>
      </c>
      <c r="BL73" s="23">
        <f t="shared" ref="BL73" ca="1" si="92">IF($BJ73&lt;=0,-0.99,MAX(-0.99,($BJ73/G73)^(1/5)-1))</f>
        <v>-0.11597332684733153</v>
      </c>
      <c r="BM73" s="23">
        <f t="shared" ref="BM73" ca="1" si="93">IF(BK73&lt;=0,-0.99,MAX(-0.99,(BK73/G73)^(1/5)-1))</f>
        <v>8.7751373438704316E-2</v>
      </c>
      <c r="BN73" s="96" t="s">
        <v>813</v>
      </c>
      <c r="BO73" s="96" t="s">
        <v>95</v>
      </c>
      <c r="BP73" s="96" t="s">
        <v>133</v>
      </c>
      <c r="BQ73" s="98">
        <v>47</v>
      </c>
      <c r="BR73" s="98">
        <v>33</v>
      </c>
      <c r="BS73" s="98">
        <v>1228</v>
      </c>
      <c r="BT73" s="96" t="s">
        <v>912</v>
      </c>
    </row>
    <row r="74" spans="1:72" x14ac:dyDescent="0.25">
      <c r="A74" s="101" t="e" vm="71">
        <v>#VALUE!</v>
      </c>
      <c r="B74" s="10" t="str">
        <f t="array" aca="1" ref="B74" ca="1">_FV(A74,"Símbolo bursátil",TRUE())</f>
        <v>RCL</v>
      </c>
      <c r="C74" s="88" t="s">
        <v>105</v>
      </c>
      <c r="D74" s="88" t="s">
        <v>136</v>
      </c>
      <c r="E74" s="11" t="str">
        <f t="shared" ca="1" si="61"/>
        <v>XNYS</v>
      </c>
      <c r="F74" s="11" t="str">
        <f t="shared" ca="1" si="62"/>
        <v>USD</v>
      </c>
      <c r="G74" s="12">
        <f t="shared" ca="1" si="63"/>
        <v>277.94</v>
      </c>
      <c r="H74" s="13">
        <f t="shared" ca="1" si="64"/>
        <v>267.45209999999997</v>
      </c>
      <c r="I74" s="14">
        <f ca="1">G74*H74</f>
        <v>74335.636673999994</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96296.636673999994</v>
      </c>
      <c r="AS74" s="103">
        <v>4821</v>
      </c>
      <c r="AT74" s="19">
        <v>4984</v>
      </c>
      <c r="AU74" s="19">
        <v>6920</v>
      </c>
      <c r="AV74" s="19">
        <v>18682</v>
      </c>
      <c r="AW74" s="20">
        <f ca="1">AR74/AS74</f>
        <v>19.974411257830326</v>
      </c>
      <c r="AX74" s="20">
        <f ca="1">AR74/AU74</f>
        <v>13.915698941329479</v>
      </c>
      <c r="AY74" s="20">
        <f ca="1">AR74/AV74</f>
        <v>5.1545143279092169</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-0.22705642796303482</v>
      </c>
      <c r="BM74" s="23">
        <f ca="1">IF(BK74&lt;=0,-0.99,MAX(-0.99,(BK74/G74)^(1/5)-1))</f>
        <v>1.6024602066594174E-2</v>
      </c>
      <c r="BN74" s="96" t="s">
        <v>881</v>
      </c>
      <c r="BO74" s="96" t="s">
        <v>120</v>
      </c>
      <c r="BP74" s="96" t="s">
        <v>121</v>
      </c>
      <c r="BQ74" s="98">
        <v>151</v>
      </c>
      <c r="BR74" s="98">
        <v>5388</v>
      </c>
      <c r="BS74" s="98">
        <v>4821</v>
      </c>
      <c r="BT74" s="96" t="s">
        <v>901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10" t="s">
        <v>150</v>
      </c>
      <c r="B1" s="106"/>
      <c r="C1" s="106"/>
      <c r="D1" s="106"/>
      <c r="E1" s="106"/>
      <c r="F1" s="106"/>
    </row>
    <row r="3" spans="1:6" ht="15" customHeight="1" x14ac:dyDescent="0.25">
      <c r="A3" s="27" t="s">
        <v>151</v>
      </c>
    </row>
    <row r="4" spans="1:6" ht="15" customHeight="1" x14ac:dyDescent="0.25">
      <c r="A4" s="28" t="s">
        <v>152</v>
      </c>
      <c r="D4" t="e" vm="72">
        <v>#VALUE!</v>
      </c>
      <c r="E4" s="29">
        <f t="array" aca="1" ref="E4" ca="1">_FV(D4,"Precio")</f>
        <v>177.63</v>
      </c>
    </row>
    <row r="5" spans="1:6" ht="15" customHeight="1" x14ac:dyDescent="0.25">
      <c r="A5" s="28" t="s">
        <v>153</v>
      </c>
      <c r="D5" t="e" vm="73">
        <v>#VALUE!</v>
      </c>
      <c r="E5" s="30">
        <f t="array" aca="1" ref="E5" ca="1">_FV(D5,"Precio")</f>
        <v>1.2069000000000001</v>
      </c>
    </row>
    <row r="6" spans="1:6" ht="15" customHeight="1" x14ac:dyDescent="0.25">
      <c r="A6" s="28" t="s">
        <v>154</v>
      </c>
      <c r="D6" t="e" vm="74">
        <v>#VALUE!</v>
      </c>
      <c r="E6" s="31">
        <f t="array" aca="1" ref="E6" ca="1">_FV(D6,"Precio")</f>
        <v>448.12</v>
      </c>
    </row>
    <row r="7" spans="1:6" ht="15" customHeight="1" x14ac:dyDescent="0.25">
      <c r="D7" t="e" vm="75">
        <v>#VALUE!</v>
      </c>
      <c r="E7" s="30">
        <f t="array" aca="1" ref="E7" ca="1">_FV(D7,"Precio")</f>
        <v>0.70179999999999998</v>
      </c>
    </row>
    <row r="8" spans="1:6" ht="15" customHeight="1" x14ac:dyDescent="0.25">
      <c r="A8" s="27" t="s">
        <v>570</v>
      </c>
      <c r="D8" t="e" vm="76">
        <v>#VALUE!</v>
      </c>
      <c r="E8" s="87">
        <f t="array" aca="1" ref="E8" ca="1">_FV(D8,"Precio")</f>
        <v>0.88829999999999998</v>
      </c>
    </row>
    <row r="9" spans="1:6" ht="15" customHeight="1" x14ac:dyDescent="0.25">
      <c r="A9" s="28" t="s">
        <v>155</v>
      </c>
      <c r="C9" t="s">
        <v>578</v>
      </c>
      <c r="E9">
        <v>1.3641000000000001</v>
      </c>
    </row>
    <row r="10" spans="1:6" ht="15" customHeight="1" x14ac:dyDescent="0.25">
      <c r="A10" s="28" t="s">
        <v>156</v>
      </c>
    </row>
    <row r="11" spans="1:6" ht="15" customHeight="1" x14ac:dyDescent="0.25">
      <c r="A11" s="28" t="s">
        <v>157</v>
      </c>
    </row>
    <row r="12" spans="1:6" ht="15" customHeight="1" x14ac:dyDescent="0.25">
      <c r="A12" s="28" t="s">
        <v>158</v>
      </c>
    </row>
    <row r="13" spans="1:6" ht="15" customHeight="1" x14ac:dyDescent="0.25">
      <c r="A13" s="28" t="s">
        <v>159</v>
      </c>
    </row>
    <row r="14" spans="1:6" ht="15" customHeight="1" x14ac:dyDescent="0.25">
      <c r="A14" s="28" t="s">
        <v>571</v>
      </c>
    </row>
    <row r="15" spans="1:6" ht="15" customHeight="1" x14ac:dyDescent="0.25">
      <c r="A15" s="28" t="s">
        <v>160</v>
      </c>
    </row>
    <row r="16" spans="1:6" ht="15" customHeight="1" x14ac:dyDescent="0.25">
      <c r="A16" s="28" t="s">
        <v>161</v>
      </c>
    </row>
    <row r="18" spans="1:1" ht="15" customHeight="1" x14ac:dyDescent="0.25">
      <c r="A18" s="27" t="s">
        <v>162</v>
      </c>
    </row>
    <row r="19" spans="1:1" ht="15" customHeight="1" x14ac:dyDescent="0.25">
      <c r="A19" s="28" t="s">
        <v>163</v>
      </c>
    </row>
    <row r="20" spans="1:1" ht="15" customHeight="1" x14ac:dyDescent="0.25">
      <c r="A20" s="28" t="s">
        <v>164</v>
      </c>
    </row>
    <row r="21" spans="1:1" ht="15" customHeight="1" x14ac:dyDescent="0.25">
      <c r="A21" s="28" t="s">
        <v>165</v>
      </c>
    </row>
    <row r="22" spans="1:1" ht="15" customHeight="1" x14ac:dyDescent="0.25">
      <c r="A22" s="28" t="s">
        <v>166</v>
      </c>
    </row>
    <row r="23" spans="1:1" ht="15" customHeight="1" x14ac:dyDescent="0.25">
      <c r="A23" s="28" t="s">
        <v>167</v>
      </c>
    </row>
    <row r="24" spans="1:1" ht="15" customHeight="1" x14ac:dyDescent="0.25">
      <c r="A24" s="28" t="s">
        <v>168</v>
      </c>
    </row>
    <row r="25" spans="1:1" ht="15" customHeight="1" x14ac:dyDescent="0.25">
      <c r="A25" s="28" t="s">
        <v>169</v>
      </c>
    </row>
    <row r="26" spans="1:1" ht="15" customHeight="1" x14ac:dyDescent="0.25">
      <c r="A26" s="28" t="s">
        <v>170</v>
      </c>
    </row>
    <row r="28" spans="1:1" ht="15" customHeight="1" x14ac:dyDescent="0.25">
      <c r="A28" s="27" t="s">
        <v>171</v>
      </c>
    </row>
    <row r="29" spans="1:1" ht="15" customHeight="1" x14ac:dyDescent="0.25">
      <c r="A29" s="28" t="s">
        <v>172</v>
      </c>
    </row>
    <row r="30" spans="1:1" ht="15" customHeight="1" x14ac:dyDescent="0.25">
      <c r="A30" s="28" t="s">
        <v>173</v>
      </c>
    </row>
    <row r="31" spans="1:1" ht="15" customHeight="1" x14ac:dyDescent="0.25">
      <c r="A31" s="28" t="s">
        <v>174</v>
      </c>
    </row>
    <row r="32" spans="1:1" ht="15" customHeight="1" x14ac:dyDescent="0.25">
      <c r="A32" s="28" t="s">
        <v>175</v>
      </c>
    </row>
    <row r="33" spans="1:1" ht="15" customHeight="1" x14ac:dyDescent="0.25">
      <c r="A33" s="28" t="s">
        <v>176</v>
      </c>
    </row>
    <row r="34" spans="1:1" ht="15" customHeight="1" x14ac:dyDescent="0.25">
      <c r="A34" s="28" t="s">
        <v>177</v>
      </c>
    </row>
    <row r="35" spans="1:1" ht="15" customHeight="1" x14ac:dyDescent="0.25">
      <c r="A35" s="28" t="s">
        <v>178</v>
      </c>
    </row>
    <row r="36" spans="1:1" ht="15" customHeight="1" x14ac:dyDescent="0.25">
      <c r="A36" s="28" t="s">
        <v>179</v>
      </c>
    </row>
    <row r="38" spans="1:1" ht="15" customHeight="1" x14ac:dyDescent="0.25">
      <c r="A38" s="27" t="s">
        <v>180</v>
      </c>
    </row>
    <row r="39" spans="1:1" ht="15" customHeight="1" x14ac:dyDescent="0.25">
      <c r="A39" s="28" t="s">
        <v>572</v>
      </c>
    </row>
    <row r="40" spans="1:1" ht="15" customHeight="1" x14ac:dyDescent="0.25">
      <c r="A40" s="28" t="s">
        <v>573</v>
      </c>
    </row>
    <row r="41" spans="1:1" x14ac:dyDescent="0.25">
      <c r="A41" t="s">
        <v>574</v>
      </c>
    </row>
    <row r="42" spans="1:1" ht="15" customHeight="1" x14ac:dyDescent="0.25">
      <c r="A42" s="27" t="s">
        <v>181</v>
      </c>
    </row>
    <row r="43" spans="1:1" ht="15" customHeight="1" x14ac:dyDescent="0.25">
      <c r="A43" s="28" t="s">
        <v>182</v>
      </c>
    </row>
    <row r="44" spans="1:1" ht="15" customHeight="1" x14ac:dyDescent="0.25">
      <c r="A44" s="28" t="s">
        <v>183</v>
      </c>
    </row>
    <row r="45" spans="1:1" ht="15" customHeight="1" x14ac:dyDescent="0.25">
      <c r="A45" s="28" t="s">
        <v>184</v>
      </c>
    </row>
    <row r="46" spans="1:1" ht="15" customHeight="1" x14ac:dyDescent="0.25">
      <c r="A46" s="28" t="s">
        <v>185</v>
      </c>
    </row>
    <row r="47" spans="1:1" ht="15" customHeight="1" x14ac:dyDescent="0.25">
      <c r="A47" s="28" t="s">
        <v>186</v>
      </c>
    </row>
    <row r="49" spans="1:1" ht="15" customHeight="1" x14ac:dyDescent="0.25">
      <c r="A49" s="27"/>
    </row>
    <row r="50" spans="1:1" ht="15" customHeight="1" x14ac:dyDescent="0.25">
      <c r="A50" s="28" t="s">
        <v>608</v>
      </c>
    </row>
    <row r="51" spans="1:1" ht="15" customHeight="1" x14ac:dyDescent="0.25">
      <c r="A51" s="28" t="s">
        <v>609</v>
      </c>
    </row>
    <row r="52" spans="1:1" ht="15" customHeight="1" x14ac:dyDescent="0.25">
      <c r="A52" s="28" t="s">
        <v>610</v>
      </c>
    </row>
    <row r="53" spans="1:1" x14ac:dyDescent="0.25">
      <c r="A53" t="s">
        <v>611</v>
      </c>
    </row>
    <row r="54" spans="1:1" x14ac:dyDescent="0.25">
      <c r="A54" t="s">
        <v>612</v>
      </c>
    </row>
    <row r="55" spans="1:1" x14ac:dyDescent="0.25">
      <c r="A55" t="s">
        <v>613</v>
      </c>
    </row>
    <row r="56" spans="1:1" x14ac:dyDescent="0.25">
      <c r="A56" t="s">
        <v>614</v>
      </c>
    </row>
    <row r="57" spans="1:1" x14ac:dyDescent="0.25">
      <c r="A57" t="s">
        <v>615</v>
      </c>
    </row>
    <row r="58" spans="1:1" x14ac:dyDescent="0.25">
      <c r="A58" t="s">
        <v>774</v>
      </c>
    </row>
    <row r="59" spans="1:1" x14ac:dyDescent="0.25">
      <c r="A59" t="s">
        <v>775</v>
      </c>
    </row>
    <row r="62" spans="1:1" x14ac:dyDescent="0.25">
      <c r="A62" t="s">
        <v>630</v>
      </c>
    </row>
    <row r="63" spans="1:1" x14ac:dyDescent="0.25">
      <c r="A63" t="s">
        <v>631</v>
      </c>
    </row>
    <row r="64" spans="1:1" x14ac:dyDescent="0.25">
      <c r="A64" t="s">
        <v>632</v>
      </c>
    </row>
    <row r="65" spans="1:1" x14ac:dyDescent="0.25">
      <c r="A65" t="s">
        <v>633</v>
      </c>
    </row>
    <row r="66" spans="1:1" x14ac:dyDescent="0.25">
      <c r="A66" t="s">
        <v>634</v>
      </c>
    </row>
    <row r="67" spans="1:1" x14ac:dyDescent="0.25">
      <c r="A67" t="s">
        <v>635</v>
      </c>
    </row>
    <row r="68" spans="1:1" x14ac:dyDescent="0.25">
      <c r="A68" t="s">
        <v>636</v>
      </c>
    </row>
    <row r="69" spans="1:1" x14ac:dyDescent="0.25">
      <c r="A69" t="s">
        <v>637</v>
      </c>
    </row>
    <row r="70" spans="1:1" x14ac:dyDescent="0.25">
      <c r="A70" t="s">
        <v>638</v>
      </c>
    </row>
    <row r="71" spans="1:1" x14ac:dyDescent="0.25">
      <c r="A71" t="s">
        <v>639</v>
      </c>
    </row>
    <row r="72" spans="1:1" x14ac:dyDescent="0.25">
      <c r="A72" t="s">
        <v>753</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7" t="s">
        <v>187</v>
      </c>
      <c r="B1" s="106"/>
      <c r="C1" s="106"/>
      <c r="D1" s="106"/>
      <c r="E1" s="106"/>
      <c r="F1" s="106"/>
      <c r="G1" s="106"/>
      <c r="H1" s="106"/>
      <c r="I1" s="106"/>
      <c r="J1" s="106"/>
      <c r="K1" s="106"/>
      <c r="L1" s="106"/>
      <c r="M1" s="32"/>
      <c r="N1" s="32"/>
      <c r="O1" s="32"/>
      <c r="P1" s="32"/>
      <c r="Q1" s="32"/>
      <c r="R1" s="32"/>
    </row>
    <row r="2" spans="1:47" ht="24.75" customHeight="1" x14ac:dyDescent="0.25">
      <c r="A2" s="134" t="s">
        <v>188</v>
      </c>
      <c r="B2" s="135"/>
      <c r="C2" s="135"/>
      <c r="D2" s="135"/>
      <c r="E2" s="135"/>
      <c r="F2" s="135"/>
      <c r="G2" s="135"/>
      <c r="H2" s="135"/>
      <c r="I2" s="135"/>
      <c r="J2" s="135"/>
      <c r="K2" s="135"/>
      <c r="L2" s="135"/>
    </row>
    <row r="3" spans="1:47" ht="24.75" customHeight="1" x14ac:dyDescent="0.25">
      <c r="A3" s="140" t="s">
        <v>189</v>
      </c>
      <c r="B3" s="129"/>
      <c r="C3" s="161" t="s">
        <v>190</v>
      </c>
      <c r="D3" s="129"/>
      <c r="E3" s="162" t="s">
        <v>191</v>
      </c>
      <c r="F3" s="129"/>
      <c r="G3" s="128" t="s">
        <v>192</v>
      </c>
      <c r="H3" s="129"/>
      <c r="I3" s="130" t="s">
        <v>193</v>
      </c>
      <c r="J3" s="129"/>
      <c r="K3" s="166" t="s">
        <v>194</v>
      </c>
      <c r="L3" s="167"/>
    </row>
    <row r="4" spans="1:47" ht="49.5" customHeight="1" x14ac:dyDescent="0.25">
      <c r="A4" s="147">
        <f ca="1">COUNTA('Watchlist Ratings'!B4:B71)</f>
        <v>68</v>
      </c>
      <c r="B4" s="132"/>
      <c r="C4" s="163">
        <f>ROUND(AVERAGE('Watchlist Ratings'!AN4:AN71),2)</f>
        <v>5.98</v>
      </c>
      <c r="D4" s="132"/>
      <c r="E4" s="133" t="str">
        <f>TEXT(AVERAGE('Watchlist Ratings'!BC4:BC71),"0.0%")</f>
        <v>16.4%</v>
      </c>
      <c r="F4" s="132"/>
      <c r="G4" s="133" t="str">
        <f ca="1">TEXT(AVERAGE('Watchlist Ratings'!AW4:AW71),"0.0x")</f>
        <v>26.1x</v>
      </c>
      <c r="H4" s="132"/>
      <c r="I4" s="133">
        <f ca="1">COUNTIF('Watchlist Ratings'!BM4:BM71,"&gt;0")</f>
        <v>54</v>
      </c>
      <c r="J4" s="132"/>
      <c r="K4" s="118">
        <f>COUNTIF('Watchlist Ratings'!AN4:AN71,"&gt;7.5")</f>
        <v>16</v>
      </c>
      <c r="L4" s="119"/>
    </row>
    <row r="5" spans="1:47" ht="19.5" customHeight="1" x14ac:dyDescent="0.25">
      <c r="A5" s="143" t="s">
        <v>195</v>
      </c>
      <c r="B5" s="132"/>
      <c r="C5" s="131" t="s">
        <v>196</v>
      </c>
      <c r="D5" s="132"/>
      <c r="E5" s="131" t="s">
        <v>197</v>
      </c>
      <c r="F5" s="132"/>
      <c r="G5" s="131" t="s">
        <v>198</v>
      </c>
      <c r="H5" s="132"/>
      <c r="I5" s="131" t="s">
        <v>199</v>
      </c>
      <c r="J5" s="132"/>
      <c r="K5" s="168" t="s">
        <v>200</v>
      </c>
      <c r="L5" s="119"/>
    </row>
    <row r="6" spans="1:47" ht="18" customHeight="1" x14ac:dyDescent="0.25">
      <c r="A6" s="124" t="s">
        <v>201</v>
      </c>
      <c r="B6" s="125"/>
      <c r="C6" s="141" t="s">
        <v>202</v>
      </c>
      <c r="D6" s="125"/>
      <c r="E6" s="141" t="s">
        <v>203</v>
      </c>
      <c r="F6" s="125"/>
      <c r="G6" s="127" t="s">
        <v>204</v>
      </c>
      <c r="H6" s="125"/>
      <c r="I6" s="141" t="s">
        <v>205</v>
      </c>
      <c r="J6" s="125"/>
      <c r="K6" s="164" t="s">
        <v>206</v>
      </c>
      <c r="L6" s="165"/>
      <c r="O6" t="s">
        <v>207</v>
      </c>
      <c r="S6" t="s">
        <v>208</v>
      </c>
      <c r="V6" t="s">
        <v>209</v>
      </c>
      <c r="Y6" t="s">
        <v>210</v>
      </c>
      <c r="AA6" t="s">
        <v>211</v>
      </c>
      <c r="AE6" t="s">
        <v>212</v>
      </c>
      <c r="AF6" t="s">
        <v>213</v>
      </c>
      <c r="AH6" t="s">
        <v>212</v>
      </c>
      <c r="AI6" t="s">
        <v>213</v>
      </c>
      <c r="AJ6" t="s">
        <v>212</v>
      </c>
      <c r="AK6" t="s">
        <v>214</v>
      </c>
      <c r="AL6" t="s">
        <v>215</v>
      </c>
      <c r="AM6" t="s">
        <v>212</v>
      </c>
      <c r="AN6" t="s">
        <v>216</v>
      </c>
      <c r="AO6" t="s">
        <v>212</v>
      </c>
      <c r="AP6" t="s">
        <v>217</v>
      </c>
      <c r="AQ6" t="s">
        <v>218</v>
      </c>
      <c r="AS6" t="s">
        <v>212</v>
      </c>
      <c r="AT6" t="s">
        <v>216</v>
      </c>
      <c r="AU6" t="s">
        <v>218</v>
      </c>
    </row>
    <row r="7" spans="1:47" ht="15.75" customHeight="1" x14ac:dyDescent="0.25">
      <c r="A7" s="33" t="s">
        <v>219</v>
      </c>
      <c r="B7" s="34" t="s">
        <v>212</v>
      </c>
      <c r="C7" s="34" t="s">
        <v>220</v>
      </c>
      <c r="D7" s="34" t="s">
        <v>221</v>
      </c>
      <c r="E7" s="34" t="s">
        <v>222</v>
      </c>
      <c r="F7" s="34" t="s">
        <v>223</v>
      </c>
      <c r="G7" s="34" t="s">
        <v>214</v>
      </c>
      <c r="H7" s="34" t="s">
        <v>224</v>
      </c>
      <c r="I7" s="34" t="s">
        <v>62</v>
      </c>
      <c r="J7" s="35" t="s">
        <v>216</v>
      </c>
      <c r="K7" s="36"/>
      <c r="O7" t="s">
        <v>212</v>
      </c>
      <c r="P7" t="s">
        <v>223</v>
      </c>
      <c r="Q7" t="s">
        <v>225</v>
      </c>
      <c r="S7" t="s">
        <v>212</v>
      </c>
      <c r="T7" t="s">
        <v>62</v>
      </c>
      <c r="V7" t="s">
        <v>212</v>
      </c>
      <c r="W7" t="s">
        <v>214</v>
      </c>
      <c r="X7" t="s">
        <v>215</v>
      </c>
      <c r="Y7" t="s">
        <v>212</v>
      </c>
      <c r="Z7" t="s">
        <v>216</v>
      </c>
      <c r="AA7" t="s">
        <v>212</v>
      </c>
      <c r="AB7" t="s">
        <v>226</v>
      </c>
      <c r="AC7" t="s">
        <v>225</v>
      </c>
      <c r="AE7" t="s">
        <v>227</v>
      </c>
      <c r="AF7">
        <v>83.3333333333333</v>
      </c>
      <c r="AH7" t="s">
        <v>227</v>
      </c>
      <c r="AI7">
        <v>83.3</v>
      </c>
      <c r="AJ7" t="s">
        <v>228</v>
      </c>
      <c r="AK7">
        <v>8</v>
      </c>
      <c r="AL7">
        <v>3</v>
      </c>
      <c r="AM7" t="s">
        <v>229</v>
      </c>
      <c r="AN7">
        <v>52.2</v>
      </c>
      <c r="AO7" t="s">
        <v>228</v>
      </c>
      <c r="AP7">
        <v>4.5</v>
      </c>
      <c r="AQ7">
        <v>33.6</v>
      </c>
      <c r="AS7" t="s">
        <v>228</v>
      </c>
      <c r="AT7">
        <v>20.173600073636401</v>
      </c>
      <c r="AU7">
        <v>33.701681153345</v>
      </c>
    </row>
    <row r="8" spans="1:47" ht="30" customHeight="1" x14ac:dyDescent="0.25">
      <c r="A8" s="126" t="s">
        <v>230</v>
      </c>
      <c r="B8" s="106"/>
      <c r="C8" s="106"/>
      <c r="D8" s="106"/>
      <c r="E8" s="106"/>
      <c r="F8" s="106"/>
      <c r="G8" s="106"/>
      <c r="H8" s="106"/>
      <c r="I8" s="106"/>
      <c r="J8" s="106"/>
      <c r="K8" s="106"/>
      <c r="L8" s="106"/>
      <c r="O8" t="str">
        <f ca="1">'Watchlist Ratings'!B4</f>
        <v>VEEV</v>
      </c>
      <c r="P8" s="37">
        <f>'Watchlist Ratings'!AN4</f>
        <v>8.33</v>
      </c>
      <c r="Q8" s="23">
        <f ca="1">'Watchlist Ratings'!BM4</f>
        <v>0.11915882685118606</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32.331604908232826</v>
      </c>
      <c r="AA8" t="str">
        <f ca="1">'Watchlist Ratings'!B4</f>
        <v>VEEV</v>
      </c>
      <c r="AB8">
        <f ca="1">'Watchlist Ratings'!BL4</f>
        <v>-9.7533120930798911E-2</v>
      </c>
      <c r="AC8">
        <f ca="1">'Watchlist Ratings'!BM4</f>
        <v>0.11915882685118606</v>
      </c>
      <c r="AE8" t="s">
        <v>231</v>
      </c>
      <c r="AF8">
        <v>83.3333333333333</v>
      </c>
      <c r="AH8" t="s">
        <v>231</v>
      </c>
      <c r="AI8">
        <v>83.3</v>
      </c>
      <c r="AJ8" t="s">
        <v>232</v>
      </c>
      <c r="AK8">
        <v>8</v>
      </c>
      <c r="AL8">
        <v>3</v>
      </c>
      <c r="AM8" t="s">
        <v>233</v>
      </c>
      <c r="AN8">
        <v>51.1</v>
      </c>
      <c r="AO8" t="s">
        <v>234</v>
      </c>
      <c r="AP8">
        <v>3.7</v>
      </c>
      <c r="AQ8">
        <v>32.4</v>
      </c>
      <c r="AS8" t="s">
        <v>232</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69.737153344509181</v>
      </c>
      <c r="O9" t="str">
        <f ca="1">'Watchlist Ratings'!B5</f>
        <v>MSFT</v>
      </c>
      <c r="P9" s="37">
        <f>'Watchlist Ratings'!AN5</f>
        <v>7.86</v>
      </c>
      <c r="Q9" s="23">
        <f ca="1">'Watchlist Ratings'!BM5</f>
        <v>-5.3489811176557711E-2</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69.737153344509181</v>
      </c>
      <c r="AA9" t="str">
        <f ca="1">'Watchlist Ratings'!B5</f>
        <v>MSFT</v>
      </c>
      <c r="AB9">
        <f ca="1">'Watchlist Ratings'!BL5</f>
        <v>-0.19448696265283716</v>
      </c>
      <c r="AC9">
        <f ca="1">'Watchlist Ratings'!BM5</f>
        <v>-5.3489811176557711E-2</v>
      </c>
      <c r="AE9" t="s">
        <v>235</v>
      </c>
      <c r="AF9">
        <v>59.375</v>
      </c>
      <c r="AH9" t="s">
        <v>235</v>
      </c>
      <c r="AI9">
        <v>59.4</v>
      </c>
      <c r="AJ9" t="s">
        <v>233</v>
      </c>
      <c r="AK9">
        <v>8</v>
      </c>
      <c r="AL9">
        <v>1</v>
      </c>
      <c r="AM9" t="s">
        <v>236</v>
      </c>
      <c r="AN9">
        <v>45.6</v>
      </c>
      <c r="AO9" t="s">
        <v>237</v>
      </c>
      <c r="AP9">
        <v>1.1000000000000001</v>
      </c>
      <c r="AQ9">
        <v>28.4</v>
      </c>
      <c r="AS9" t="s">
        <v>237</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22.330457987249545</v>
      </c>
      <c r="O10" t="str">
        <f ca="1">'Watchlist Ratings'!B6</f>
        <v>ADYEN</v>
      </c>
      <c r="P10" s="37">
        <f>'Watchlist Ratings'!AN6</f>
        <v>7.8</v>
      </c>
      <c r="Q10" s="23">
        <f ca="1">'Watchlist Ratings'!BM6</f>
        <v>0.22458072777458193</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22.330457987249545</v>
      </c>
      <c r="AA10" t="str">
        <f ca="1">'Watchlist Ratings'!B6</f>
        <v>ADYEN</v>
      </c>
      <c r="AB10">
        <f ca="1">'Watchlist Ratings'!BL6</f>
        <v>-6.4647160250648761E-2</v>
      </c>
      <c r="AC10">
        <f ca="1">'Watchlist Ratings'!BM6</f>
        <v>0.22458072777458193</v>
      </c>
      <c r="AE10" t="s">
        <v>228</v>
      </c>
      <c r="AF10">
        <v>54</v>
      </c>
      <c r="AH10" t="s">
        <v>228</v>
      </c>
      <c r="AI10">
        <v>54</v>
      </c>
      <c r="AJ10" t="s">
        <v>229</v>
      </c>
      <c r="AK10">
        <v>8</v>
      </c>
      <c r="AL10">
        <v>3</v>
      </c>
      <c r="AM10" t="s">
        <v>232</v>
      </c>
      <c r="AN10">
        <v>44.8</v>
      </c>
      <c r="AO10" t="s">
        <v>238</v>
      </c>
      <c r="AP10">
        <v>1.8</v>
      </c>
      <c r="AQ10">
        <v>25</v>
      </c>
      <c r="AS10" t="s">
        <v>239</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16.176892462993418</v>
      </c>
      <c r="O11" t="str">
        <f ca="1">'Watchlist Ratings'!B7</f>
        <v>BN</v>
      </c>
      <c r="P11" s="37">
        <f>'Watchlist Ratings'!AN7</f>
        <v>7.97</v>
      </c>
      <c r="Q11" s="23">
        <f ca="1">'Watchlist Ratings'!BM7</f>
        <v>0.24622447321373309</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16.176892462993418</v>
      </c>
      <c r="AA11" t="str">
        <f ca="1">'Watchlist Ratings'!B7</f>
        <v>BN</v>
      </c>
      <c r="AB11">
        <f ca="1">'Watchlist Ratings'!BL7</f>
        <v>3.9049204216317968E-2</v>
      </c>
      <c r="AC11">
        <f ca="1">'Watchlist Ratings'!BM7</f>
        <v>0.24622447321373309</v>
      </c>
      <c r="AE11" t="s">
        <v>240</v>
      </c>
      <c r="AF11">
        <v>41.6666666666667</v>
      </c>
      <c r="AH11" t="s">
        <v>240</v>
      </c>
      <c r="AI11">
        <v>41.7</v>
      </c>
      <c r="AJ11" t="s">
        <v>241</v>
      </c>
      <c r="AK11">
        <v>8</v>
      </c>
      <c r="AL11">
        <v>2</v>
      </c>
      <c r="AM11" t="s">
        <v>242</v>
      </c>
      <c r="AN11">
        <v>43.6</v>
      </c>
      <c r="AO11" t="s">
        <v>239</v>
      </c>
      <c r="AP11">
        <v>0.6</v>
      </c>
      <c r="AQ11">
        <v>23.3</v>
      </c>
      <c r="AS11" t="s">
        <v>233</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46.344361705389787</v>
      </c>
      <c r="O12" t="str">
        <f ca="1">'Watchlist Ratings'!B8</f>
        <v>COST</v>
      </c>
      <c r="P12" s="37">
        <f>'Watchlist Ratings'!AN8</f>
        <v>8.1300000000000008</v>
      </c>
      <c r="Q12" s="23">
        <f ca="1">'Watchlist Ratings'!BM8</f>
        <v>1.1710063717990105E-2</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46.344361705389787</v>
      </c>
      <c r="AA12" t="str">
        <f ca="1">'Watchlist Ratings'!B8</f>
        <v>COST</v>
      </c>
      <c r="AB12">
        <f ca="1">'Watchlist Ratings'!BL8</f>
        <v>-0.11112330736625975</v>
      </c>
      <c r="AC12">
        <f ca="1">'Watchlist Ratings'!BM8</f>
        <v>1.1710063717990105E-2</v>
      </c>
      <c r="AE12" t="s">
        <v>243</v>
      </c>
      <c r="AF12">
        <v>38.3333333333333</v>
      </c>
      <c r="AH12" t="s">
        <v>243</v>
      </c>
      <c r="AI12">
        <v>38.299999999999997</v>
      </c>
      <c r="AJ12" t="s">
        <v>237</v>
      </c>
      <c r="AK12">
        <v>7</v>
      </c>
      <c r="AL12">
        <v>3</v>
      </c>
      <c r="AM12" t="s">
        <v>235</v>
      </c>
      <c r="AN12">
        <v>40.299999999999997</v>
      </c>
      <c r="AO12" t="s">
        <v>244</v>
      </c>
      <c r="AP12">
        <v>-0.1</v>
      </c>
      <c r="AQ12">
        <v>20.8</v>
      </c>
      <c r="AS12" t="s">
        <v>244</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24.601429196757557</v>
      </c>
      <c r="L13" s="36" t="s">
        <v>245</v>
      </c>
      <c r="M13" t="s">
        <v>246</v>
      </c>
      <c r="O13" t="str">
        <f ca="1">'Watchlist Ratings'!B9</f>
        <v>DSGX</v>
      </c>
      <c r="P13" s="37">
        <f>'Watchlist Ratings'!AN9</f>
        <v>7.92</v>
      </c>
      <c r="Q13" s="23">
        <f ca="1">'Watchlist Ratings'!BM9</f>
        <v>0.1783555261660732</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24.601429196757557</v>
      </c>
      <c r="AA13" t="str">
        <f ca="1">'Watchlist Ratings'!B9</f>
        <v>DSGX</v>
      </c>
      <c r="AB13">
        <f ca="1">'Watchlist Ratings'!BL9</f>
        <v>-5.6469741704792908E-2</v>
      </c>
      <c r="AC13">
        <f ca="1">'Watchlist Ratings'!BM9</f>
        <v>0.1783555261660732</v>
      </c>
      <c r="AE13" t="s">
        <v>238</v>
      </c>
      <c r="AF13">
        <v>37.5</v>
      </c>
      <c r="AH13" t="s">
        <v>238</v>
      </c>
      <c r="AI13">
        <v>37.5</v>
      </c>
      <c r="AJ13" t="s">
        <v>239</v>
      </c>
      <c r="AK13">
        <v>7</v>
      </c>
      <c r="AL13">
        <v>3</v>
      </c>
      <c r="AM13" t="s">
        <v>247</v>
      </c>
      <c r="AN13">
        <v>38.9</v>
      </c>
      <c r="AO13" t="s">
        <v>248</v>
      </c>
      <c r="AP13">
        <v>4.7</v>
      </c>
      <c r="AQ13">
        <v>32.9</v>
      </c>
      <c r="AS13" t="s">
        <v>243</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26.560552016985135</v>
      </c>
      <c r="L14" t="s">
        <v>249</v>
      </c>
      <c r="M14">
        <f>COUNTIF('Watchlist Ratings'!AN4:AN71,"&gt;=8")</f>
        <v>3</v>
      </c>
      <c r="O14" t="str">
        <f ca="1">'Watchlist Ratings'!B10</f>
        <v>RAA</v>
      </c>
      <c r="P14" s="37">
        <f>'Watchlist Ratings'!AN10</f>
        <v>7.78</v>
      </c>
      <c r="Q14" s="23">
        <f ca="1">'Watchlist Ratings'!BM10</f>
        <v>0.12946886351410059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26.560552016985135</v>
      </c>
      <c r="AA14" t="str">
        <f ca="1">'Watchlist Ratings'!B10</f>
        <v>RAA</v>
      </c>
      <c r="AB14">
        <f ca="1">'Watchlist Ratings'!BL10</f>
        <v>-6.0428656103644229E-2</v>
      </c>
      <c r="AC14">
        <f ca="1">'Watchlist Ratings'!BM10</f>
        <v>0.12946886351410059</v>
      </c>
      <c r="AE14" t="s">
        <v>250</v>
      </c>
      <c r="AF14">
        <v>37.142857142857103</v>
      </c>
      <c r="AH14" t="s">
        <v>250</v>
      </c>
      <c r="AI14">
        <v>37.1</v>
      </c>
      <c r="AJ14" t="s">
        <v>244</v>
      </c>
      <c r="AK14">
        <v>7</v>
      </c>
      <c r="AL14">
        <v>2</v>
      </c>
      <c r="AM14" t="s">
        <v>241</v>
      </c>
      <c r="AN14">
        <v>38.5</v>
      </c>
      <c r="AO14" t="s">
        <v>251</v>
      </c>
      <c r="AP14">
        <v>-4.2</v>
      </c>
      <c r="AQ14">
        <v>13.7</v>
      </c>
      <c r="AS14" t="s">
        <v>234</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-709.10430960187352</v>
      </c>
      <c r="L15" t="s">
        <v>252</v>
      </c>
      <c r="M15">
        <f>COUNTIFS('Watchlist Ratings'!AN4:AN71,"&gt;=7",'Watchlist Ratings'!AN4:AN71,"&lt;8")</f>
        <v>19</v>
      </c>
      <c r="O15" t="str">
        <f ca="1">'Watchlist Ratings'!B11</f>
        <v>ZS</v>
      </c>
      <c r="P15" s="37">
        <f>'Watchlist Ratings'!AN11</f>
        <v>7.22</v>
      </c>
      <c r="Q15" s="23">
        <f ca="1">'Watchlist Ratings'!BM11</f>
        <v>-0.18948800194233184</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-709.10430960187352</v>
      </c>
      <c r="AA15" t="str">
        <f ca="1">'Watchlist Ratings'!B11</f>
        <v>ZS</v>
      </c>
      <c r="AB15">
        <f ca="1">'Watchlist Ratings'!BL11</f>
        <v>-0.33156262015673321</v>
      </c>
      <c r="AC15">
        <f ca="1">'Watchlist Ratings'!BM11</f>
        <v>-0.18948800194233184</v>
      </c>
      <c r="AE15" t="s">
        <v>251</v>
      </c>
      <c r="AF15">
        <v>36.1111111111111</v>
      </c>
      <c r="AH15" t="s">
        <v>251</v>
      </c>
      <c r="AI15">
        <v>36.1</v>
      </c>
      <c r="AJ15" t="s">
        <v>243</v>
      </c>
      <c r="AK15">
        <v>7</v>
      </c>
      <c r="AL15">
        <v>2</v>
      </c>
      <c r="AM15" t="s">
        <v>253</v>
      </c>
      <c r="AN15">
        <v>37.700000000000003</v>
      </c>
      <c r="AO15" t="s">
        <v>243</v>
      </c>
      <c r="AP15">
        <v>-8</v>
      </c>
      <c r="AQ15">
        <v>13.5</v>
      </c>
      <c r="AS15" t="s">
        <v>254</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31.164489089635214</v>
      </c>
      <c r="L16" t="s">
        <v>255</v>
      </c>
      <c r="M16">
        <f>COUNTIFS('Watchlist Ratings'!AN4:AN71,"&gt;=6",'Watchlist Ratings'!AN4:AN71,"&lt;7")</f>
        <v>15</v>
      </c>
      <c r="O16" t="str">
        <f ca="1">'Watchlist Ratings'!B12</f>
        <v>NTO</v>
      </c>
      <c r="P16" s="37">
        <f>'Watchlist Ratings'!AN12</f>
        <v>7.76</v>
      </c>
      <c r="Q16" s="23">
        <f ca="1">'Watchlist Ratings'!BM12</f>
        <v>4.8334361539594806E-2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31.164489089635214</v>
      </c>
      <c r="AA16" t="str">
        <f ca="1">'Watchlist Ratings'!B12</f>
        <v>NTO</v>
      </c>
      <c r="AB16">
        <f ca="1">'Watchlist Ratings'!BL12</f>
        <v>-0.10264695553418879</v>
      </c>
      <c r="AC16">
        <f ca="1">'Watchlist Ratings'!BM12</f>
        <v>4.8334361539594806E-2</v>
      </c>
      <c r="AE16" t="s">
        <v>232</v>
      </c>
      <c r="AF16">
        <v>32.142857142857103</v>
      </c>
      <c r="AH16" t="s">
        <v>232</v>
      </c>
      <c r="AI16">
        <v>32.1</v>
      </c>
      <c r="AJ16" t="s">
        <v>254</v>
      </c>
      <c r="AK16">
        <v>7</v>
      </c>
      <c r="AL16">
        <v>3</v>
      </c>
      <c r="AM16" t="s">
        <v>243</v>
      </c>
      <c r="AN16">
        <v>29.6</v>
      </c>
      <c r="AO16" t="s">
        <v>241</v>
      </c>
      <c r="AP16">
        <v>-7.9</v>
      </c>
      <c r="AQ16">
        <v>12.3</v>
      </c>
      <c r="AS16" t="s">
        <v>229</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47.41864883154318</v>
      </c>
      <c r="L17" t="s">
        <v>256</v>
      </c>
      <c r="M17">
        <f>COUNTIF('Watchlist Ratings'!AN4:AN71,"&lt;6")</f>
        <v>31</v>
      </c>
      <c r="O17" t="str">
        <f ca="1">'Watchlist Ratings'!B13</f>
        <v>AMZN</v>
      </c>
      <c r="P17" s="37">
        <f>'Watchlist Ratings'!AN13</f>
        <v>7.81</v>
      </c>
      <c r="Q17" s="23">
        <f ca="1">'Watchlist Ratings'!BM13</f>
        <v>5.9461744408414008E-2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47.41864883154318</v>
      </c>
      <c r="AA17" t="str">
        <f ca="1">'Watchlist Ratings'!B13</f>
        <v>AMZN</v>
      </c>
      <c r="AB17">
        <f ca="1">'Watchlist Ratings'!BL13</f>
        <v>-0.10663935627341803</v>
      </c>
      <c r="AC17">
        <f ca="1">'Watchlist Ratings'!BM13</f>
        <v>5.9461744408414008E-2</v>
      </c>
      <c r="AS17" t="s">
        <v>253</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41.762730143853531</v>
      </c>
      <c r="O18" t="str">
        <f ca="1">'Watchlist Ratings'!B14</f>
        <v>SU</v>
      </c>
      <c r="P18" s="37">
        <f>'Watchlist Ratings'!AN14</f>
        <v>7.73</v>
      </c>
      <c r="Q18" s="23">
        <f ca="1">'Watchlist Ratings'!BM14</f>
        <v>2.1547621871161882E-2</v>
      </c>
      <c r="V18" t="str">
        <f ca="1">'Watchlist Ratings'!B14</f>
        <v>SU</v>
      </c>
      <c r="W18" s="38">
        <f>'Watchlist Ratings'!K14</f>
        <v>7</v>
      </c>
      <c r="X18" s="38">
        <f>'Watchlist Ratings'!L14</f>
        <v>3</v>
      </c>
      <c r="Y18" t="str">
        <f ca="1">'Watchlist Ratings'!B14</f>
        <v>SU</v>
      </c>
      <c r="Z18">
        <f ca="1">'Watchlist Ratings'!AW14</f>
        <v>41.762730143853531</v>
      </c>
      <c r="AA18" t="str">
        <f ca="1">'Watchlist Ratings'!B14</f>
        <v>SU</v>
      </c>
      <c r="AB18">
        <f ca="1">'Watchlist Ratings'!BL14</f>
        <v>-0.13241102803178562</v>
      </c>
      <c r="AC18">
        <f ca="1">'Watchlist Ratings'!BM14</f>
        <v>2.1547621871161882E-2</v>
      </c>
      <c r="AS18" t="s">
        <v>251</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27.2577203785489</v>
      </c>
      <c r="O19" t="str">
        <f ca="1">'Watchlist Ratings'!B15</f>
        <v>ITX</v>
      </c>
      <c r="P19" s="37">
        <f>'Watchlist Ratings'!AN15</f>
        <v>7.77</v>
      </c>
      <c r="Q19" s="23">
        <f ca="1">'Watchlist Ratings'!BM15</f>
        <v>6.3097215154737762E-2</v>
      </c>
      <c r="V19" t="str">
        <f ca="1">'Watchlist Ratings'!B15</f>
        <v>ITX</v>
      </c>
      <c r="W19" s="38">
        <f>'Watchlist Ratings'!K15</f>
        <v>6.5</v>
      </c>
      <c r="X19" s="38">
        <f>'Watchlist Ratings'!L15</f>
        <v>1.5</v>
      </c>
      <c r="Y19" t="str">
        <f ca="1">'Watchlist Ratings'!B15</f>
        <v>ITX</v>
      </c>
      <c r="Z19">
        <f ca="1">'Watchlist Ratings'!AW15</f>
        <v>27.2577203785489</v>
      </c>
      <c r="AA19" t="str">
        <f ca="1">'Watchlist Ratings'!B15</f>
        <v>ITX</v>
      </c>
      <c r="AB19">
        <f ca="1">'Watchlist Ratings'!BL15</f>
        <v>-5.7064019487563011E-2</v>
      </c>
      <c r="AC19">
        <f ca="1">'Watchlist Ratings'!BM15</f>
        <v>6.3097215154737762E-2</v>
      </c>
      <c r="AS19" t="s">
        <v>236</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109.86872907488987</v>
      </c>
      <c r="O20" t="str">
        <f ca="1">'Watchlist Ratings'!B16</f>
        <v>LOTB</v>
      </c>
      <c r="P20" s="37">
        <f>'Watchlist Ratings'!AN16</f>
        <v>7.84</v>
      </c>
      <c r="Q20" s="23">
        <f ca="1">'Watchlist Ratings'!BM16</f>
        <v>-0.16259404112325349</v>
      </c>
      <c r="V20" t="str">
        <f ca="1">'Watchlist Ratings'!B16</f>
        <v>LOTB</v>
      </c>
      <c r="W20" s="38">
        <f>'Watchlist Ratings'!K16</f>
        <v>7</v>
      </c>
      <c r="X20" s="38">
        <f>'Watchlist Ratings'!L16</f>
        <v>3</v>
      </c>
      <c r="Y20" t="str">
        <f ca="1">'Watchlist Ratings'!B16</f>
        <v>LOTB</v>
      </c>
      <c r="Z20">
        <f ca="1">'Watchlist Ratings'!AW16</f>
        <v>109.86872907488987</v>
      </c>
      <c r="AA20" t="str">
        <f ca="1">'Watchlist Ratings'!B16</f>
        <v>LOTB</v>
      </c>
      <c r="AB20">
        <f ca="1">'Watchlist Ratings'!BL16</f>
        <v>-0.28984464845101221</v>
      </c>
      <c r="AC20">
        <f ca="1">'Watchlist Ratings'!BM16</f>
        <v>-0.16259404112325349</v>
      </c>
      <c r="AS20" t="s">
        <v>242</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36.792127420998987</v>
      </c>
      <c r="O21" t="str">
        <f ca="1">'Watchlist Ratings'!B17</f>
        <v>HLMA</v>
      </c>
      <c r="P21" s="37">
        <f>'Watchlist Ratings'!AN17</f>
        <v>7.78</v>
      </c>
      <c r="Q21" s="23">
        <f ca="1">'Watchlist Ratings'!BM17</f>
        <v>7.3352662328612261E-2</v>
      </c>
      <c r="V21" t="str">
        <f ca="1">'Watchlist Ratings'!B17</f>
        <v>HLMA</v>
      </c>
      <c r="W21" s="38">
        <f>'Watchlist Ratings'!K17</f>
        <v>6</v>
      </c>
      <c r="X21" s="38">
        <f>'Watchlist Ratings'!L17</f>
        <v>3</v>
      </c>
      <c r="Y21" t="str">
        <f ca="1">'Watchlist Ratings'!B17</f>
        <v>HLMA</v>
      </c>
      <c r="Z21">
        <f ca="1">'Watchlist Ratings'!AW17</f>
        <v>36.792127420998987</v>
      </c>
      <c r="AA21" t="str">
        <f ca="1">'Watchlist Ratings'!B17</f>
        <v>HLMA</v>
      </c>
      <c r="AB21">
        <f ca="1">'Watchlist Ratings'!BL17</f>
        <v>-9.6151367603498072E-2</v>
      </c>
      <c r="AC21">
        <f ca="1">'Watchlist Ratings'!BM17</f>
        <v>7.3352662328612261E-2</v>
      </c>
      <c r="AS21" t="s">
        <v>241</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24.941936213068903</v>
      </c>
      <c r="O22" t="str">
        <f ca="1">'Watchlist Ratings'!B18</f>
        <v>FICO</v>
      </c>
      <c r="P22" s="37">
        <f>'Watchlist Ratings'!AN18</f>
        <v>7.14</v>
      </c>
      <c r="Q22" s="23">
        <f ca="1">'Watchlist Ratings'!BM18</f>
        <v>0.21667626318129818</v>
      </c>
      <c r="V22" t="str">
        <f ca="1">'Watchlist Ratings'!B18</f>
        <v>FICO</v>
      </c>
      <c r="W22" s="38">
        <f>'Watchlist Ratings'!K18</f>
        <v>8</v>
      </c>
      <c r="X22" s="38">
        <f>'Watchlist Ratings'!L18</f>
        <v>2</v>
      </c>
      <c r="Y22" t="str">
        <f ca="1">'Watchlist Ratings'!B18</f>
        <v>FICO</v>
      </c>
      <c r="Z22">
        <f ca="1">'Watchlist Ratings'!AW18</f>
        <v>24.941936213068903</v>
      </c>
      <c r="AA22" t="str">
        <f ca="1">'Watchlist Ratings'!B18</f>
        <v>FICO</v>
      </c>
      <c r="AB22">
        <f ca="1">'Watchlist Ratings'!BL18</f>
        <v>-0.11384912220879151</v>
      </c>
      <c r="AC22">
        <f ca="1">'Watchlist Ratings'!BM18</f>
        <v>0.21667626318129818</v>
      </c>
    </row>
    <row r="23" spans="1:47" ht="15" customHeight="1" x14ac:dyDescent="0.25">
      <c r="O23" t="str">
        <f ca="1">'Watchlist Ratings'!B19</f>
        <v>LIFCO B</v>
      </c>
      <c r="P23" s="37">
        <f>'Watchlist Ratings'!AN19</f>
        <v>7.9</v>
      </c>
      <c r="Q23" s="23">
        <f ca="1">'Watchlist Ratings'!BM19</f>
        <v>8.7671775008154151E-2</v>
      </c>
    </row>
    <row r="24" spans="1:47" ht="30" customHeight="1" x14ac:dyDescent="0.3">
      <c r="A24" s="172" t="s">
        <v>257</v>
      </c>
      <c r="B24" s="106"/>
      <c r="C24" s="106"/>
      <c r="D24" s="106"/>
      <c r="E24" s="106"/>
      <c r="F24" s="106"/>
      <c r="G24" s="106"/>
      <c r="H24" s="106"/>
      <c r="I24" s="106"/>
      <c r="J24" s="106"/>
      <c r="K24" s="106"/>
      <c r="L24" s="106"/>
      <c r="M24" s="106"/>
      <c r="N24" s="106"/>
      <c r="O24" s="106"/>
      <c r="P24" s="106"/>
      <c r="Q24" s="106"/>
      <c r="R24" s="106"/>
    </row>
    <row r="25" spans="1:47" ht="4.5" customHeight="1" x14ac:dyDescent="0.25">
      <c r="O25" t="str">
        <f ca="1">'Watchlist Ratings'!B21</f>
        <v>MNST</v>
      </c>
      <c r="P25" s="37">
        <f>'Watchlist Ratings'!AN21</f>
        <v>7.58</v>
      </c>
      <c r="Q25">
        <f ca="1">'Watchlist Ratings'!BM21</f>
        <v>2.1085272434739899E-2</v>
      </c>
    </row>
    <row r="26" spans="1:47" ht="19.5" customHeight="1" x14ac:dyDescent="0.25">
      <c r="O26" t="str">
        <f ca="1">'Watchlist Ratings'!B22</f>
        <v>ABNB</v>
      </c>
      <c r="P26" s="37">
        <f>'Watchlist Ratings'!AN22</f>
        <v>7.3</v>
      </c>
      <c r="Q26">
        <f ca="1">'Watchlist Ratings'!BM22</f>
        <v>0.110565440184615</v>
      </c>
    </row>
    <row r="27" spans="1:47" ht="19.5" customHeight="1" x14ac:dyDescent="0.25">
      <c r="O27" t="str">
        <f ca="1">'Watchlist Ratings'!B23</f>
        <v>DNP</v>
      </c>
      <c r="P27" s="37">
        <f>'Watchlist Ratings'!AN23</f>
        <v>7.48</v>
      </c>
      <c r="Q27">
        <f ca="1">'Watchlist Ratings'!BM23</f>
        <v>-4.0517988179253228E-2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80"/>
      <c r="M40" s="106"/>
      <c r="N40" s="106"/>
      <c r="O40" s="106"/>
      <c r="P40" s="106"/>
      <c r="Q40" s="106"/>
      <c r="R40" s="106"/>
    </row>
    <row r="41" spans="2:18" ht="19.5" customHeight="1" x14ac:dyDescent="0.25">
      <c r="L41" s="57"/>
      <c r="M41" s="57"/>
      <c r="N41" s="57"/>
      <c r="O41" s="57"/>
      <c r="P41" s="57"/>
      <c r="Q41" s="57"/>
    </row>
    <row r="42" spans="2:18" ht="19.5" customHeight="1" x14ac:dyDescent="0.25">
      <c r="J42" s="182"/>
      <c r="K42" s="106"/>
      <c r="L42" s="106"/>
      <c r="M42" s="106"/>
      <c r="N42" s="106"/>
      <c r="O42" s="106"/>
      <c r="P42" s="106"/>
      <c r="Q42" s="10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1" t="s">
        <v>258</v>
      </c>
      <c r="B62" s="106"/>
      <c r="C62" s="106"/>
      <c r="D62" s="106"/>
      <c r="E62" s="106"/>
      <c r="F62" s="106"/>
      <c r="G62" s="106"/>
      <c r="H62" s="106"/>
      <c r="J62" s="158" t="s">
        <v>259</v>
      </c>
      <c r="K62" s="106"/>
      <c r="L62" s="106"/>
      <c r="M62" s="106"/>
      <c r="N62" s="106"/>
      <c r="O62" s="106"/>
      <c r="P62" s="106"/>
      <c r="Q62" s="106"/>
    </row>
    <row r="63" spans="1:17" ht="4.5" customHeight="1" x14ac:dyDescent="0.25">
      <c r="A63" s="61" t="s">
        <v>212</v>
      </c>
      <c r="B63" s="61" t="s">
        <v>260</v>
      </c>
      <c r="C63" s="61" t="s">
        <v>261</v>
      </c>
      <c r="D63" s="61" t="s">
        <v>262</v>
      </c>
      <c r="E63" s="61" t="s">
        <v>226</v>
      </c>
      <c r="F63" s="61" t="s">
        <v>225</v>
      </c>
      <c r="G63" s="61" t="s">
        <v>263</v>
      </c>
      <c r="H63" s="61" t="s">
        <v>264</v>
      </c>
      <c r="J63" s="62" t="s">
        <v>212</v>
      </c>
      <c r="K63" s="62" t="s">
        <v>265</v>
      </c>
      <c r="L63" s="62" t="s">
        <v>266</v>
      </c>
      <c r="M63" s="62" t="s">
        <v>267</v>
      </c>
      <c r="N63" s="62" t="s">
        <v>268</v>
      </c>
      <c r="O63" s="62" t="s">
        <v>214</v>
      </c>
      <c r="P63" s="62" t="s">
        <v>269</v>
      </c>
      <c r="Q63" s="62" t="s">
        <v>270</v>
      </c>
    </row>
    <row r="64" spans="1:17" ht="4.5" customHeight="1" x14ac:dyDescent="0.25">
      <c r="A64" s="63" t="str">
        <f ca="1">'Watchlist Ratings'!B4</f>
        <v>VEEV</v>
      </c>
      <c r="B64" s="64">
        <f ca="1">'Watchlist Ratings'!G4</f>
        <v>273.22000000000003</v>
      </c>
      <c r="C64" s="64">
        <f ca="1">'Watchlist Ratings'!BJ4</f>
        <v>163.55689128694669</v>
      </c>
      <c r="D64" s="64">
        <f ca="1">'Watchlist Ratings'!BK4</f>
        <v>479.70153567934534</v>
      </c>
      <c r="E64" s="65">
        <f ca="1">'Watchlist Ratings'!BL4</f>
        <v>-9.7533120930798911E-2</v>
      </c>
      <c r="F64" s="65">
        <f ca="1">'Watchlist Ratings'!BM4</f>
        <v>0.11915882685118606</v>
      </c>
      <c r="G64" s="65">
        <f t="shared" ref="G64:G71" ca="1" si="0">F64-E64</f>
        <v>0.21669194778198497</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517.53</v>
      </c>
      <c r="C65" s="64">
        <f ca="1">'Watchlist Ratings'!BJ5</f>
        <v>175.50859903212492</v>
      </c>
      <c r="D65" s="64">
        <f ca="1">'Watchlist Ratings'!BK5</f>
        <v>393.15336450051814</v>
      </c>
      <c r="E65" s="65">
        <f ca="1">'Watchlist Ratings'!BL5</f>
        <v>-0.19448696265283716</v>
      </c>
      <c r="F65" s="65">
        <f ca="1">'Watchlist Ratings'!BM5</f>
        <v>-5.3489811176557711E-2</v>
      </c>
      <c r="G65" s="65">
        <f t="shared" ca="1" si="0"/>
        <v>0.14099715147627945</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859.4</v>
      </c>
      <c r="C66" s="64">
        <f ca="1">'Watchlist Ratings'!BJ6</f>
        <v>615.27985342551574</v>
      </c>
      <c r="D66" s="64">
        <f ca="1">'Watchlist Ratings'!BK6</f>
        <v>2366.6413643673131</v>
      </c>
      <c r="E66" s="65">
        <f ca="1">'Watchlist Ratings'!BL6</f>
        <v>-6.4647160250648761E-2</v>
      </c>
      <c r="F66" s="65">
        <f ca="1">'Watchlist Ratings'!BM6</f>
        <v>0.22458072777458193</v>
      </c>
      <c r="G66" s="65">
        <f t="shared" ca="1" si="0"/>
        <v>0.28922788802523069</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36.924999999999997</v>
      </c>
      <c r="C67" s="64">
        <f ca="1">'Watchlist Ratings'!BJ7</f>
        <v>44.719925807836916</v>
      </c>
      <c r="D67" s="64">
        <f ca="1">'Watchlist Ratings'!BK7</f>
        <v>110.99460809922957</v>
      </c>
      <c r="E67" s="65">
        <f ca="1">'Watchlist Ratings'!BL7</f>
        <v>3.9049204216317968E-2</v>
      </c>
      <c r="F67" s="65">
        <f ca="1">'Watchlist Ratings'!BM7</f>
        <v>0.24622447321373309</v>
      </c>
      <c r="G67" s="65">
        <f t="shared" ca="1" si="0"/>
        <v>0.20717526899741512</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920.65</v>
      </c>
      <c r="C68" s="64">
        <f ca="1">'Watchlist Ratings'!BJ8</f>
        <v>510.86029607504298</v>
      </c>
      <c r="D68" s="64">
        <f ca="1">'Watchlist Ratings'!BK8</f>
        <v>975.83166766681848</v>
      </c>
      <c r="E68" s="65">
        <f ca="1">'Watchlist Ratings'!BL8</f>
        <v>-0.11112330736625975</v>
      </c>
      <c r="F68" s="65">
        <f ca="1">'Watchlist Ratings'!BM8</f>
        <v>1.1710063717990105E-2</v>
      </c>
      <c r="G68" s="65">
        <f t="shared" ca="1" si="0"/>
        <v>0.12283337108424985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80.08</v>
      </c>
      <c r="C69" s="64">
        <f ca="1">'Watchlist Ratings'!BJ9</f>
        <v>59.882955351084256</v>
      </c>
      <c r="D69" s="64">
        <f ca="1">'Watchlist Ratings'!BK9</f>
        <v>181.93061133122652</v>
      </c>
      <c r="E69" s="65">
        <f ca="1">'Watchlist Ratings'!BL9</f>
        <v>-5.6469741704792908E-2</v>
      </c>
      <c r="F69" s="65">
        <f ca="1">'Watchlist Ratings'!BM9</f>
        <v>0.1783555261660732</v>
      </c>
      <c r="G69" s="65">
        <f t="shared" ca="1" si="0"/>
        <v>0.23482526787086611</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573</v>
      </c>
      <c r="C70" s="64">
        <f ca="1">'Watchlist Ratings'!BJ10</f>
        <v>419.5690413368514</v>
      </c>
      <c r="D70" s="64">
        <f ca="1">'Watchlist Ratings'!BK10</f>
        <v>1053.2365875109938</v>
      </c>
      <c r="E70" s="65">
        <f ca="1">'Watchlist Ratings'!BL10</f>
        <v>-6.0428656103644229E-2</v>
      </c>
      <c r="F70" s="65">
        <f ca="1">'Watchlist Ratings'!BM10</f>
        <v>0.12946886351410059</v>
      </c>
      <c r="G70" s="65">
        <f t="shared" ca="1" si="0"/>
        <v>0.18989751961774481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196.6</v>
      </c>
      <c r="C71" s="64">
        <f ca="1">'Watchlist Ratings'!BJ11</f>
        <v>26.235367640429864</v>
      </c>
      <c r="D71" s="64">
        <f ca="1">'Watchlist Ratings'!BK11</f>
        <v>68.767106989249626</v>
      </c>
      <c r="E71" s="65">
        <f ca="1">'Watchlist Ratings'!BL11</f>
        <v>-0.33156262015673321</v>
      </c>
      <c r="F71" s="65">
        <f ca="1">'Watchlist Ratings'!BM11</f>
        <v>-0.18948800194233184</v>
      </c>
      <c r="G71" s="65">
        <f t="shared" ca="1" si="0"/>
        <v>0.14207461821440137</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9" t="str">
        <f ca="1">'Watchlist Ratings'!B12</f>
        <v>NTO</v>
      </c>
      <c r="B72" s="170"/>
      <c r="C72" s="170"/>
      <c r="D72" s="170"/>
      <c r="E72" s="170"/>
      <c r="F72" s="170"/>
      <c r="G72" s="170"/>
      <c r="H72" s="170"/>
      <c r="I72" s="171"/>
      <c r="J72" s="179" t="str">
        <f ca="1">'Watchlist Ratings'!B12</f>
        <v>NTO</v>
      </c>
      <c r="K72" s="170"/>
      <c r="L72" s="170"/>
      <c r="M72" s="170"/>
      <c r="N72" s="170"/>
      <c r="O72" s="170"/>
      <c r="P72" s="170"/>
      <c r="Q72" s="171"/>
    </row>
    <row r="73" spans="1:17" ht="19.5" customHeight="1" x14ac:dyDescent="0.25">
      <c r="A73" s="68" t="str">
        <f ca="1">'Watchlist Ratings'!B13</f>
        <v>AMZN</v>
      </c>
      <c r="B73" s="69">
        <f ca="1">'Watchlist Ratings'!G13</f>
        <v>251.52</v>
      </c>
      <c r="C73" s="69">
        <f ca="1">'Watchlist Ratings'!BJ13</f>
        <v>143.12206862217013</v>
      </c>
      <c r="D73" s="69">
        <f ca="1">'Watchlist Ratings'!BK13</f>
        <v>335.73678116056374</v>
      </c>
      <c r="E73" s="70">
        <f ca="1">'Watchlist Ratings'!BL13</f>
        <v>-0.10663935627341803</v>
      </c>
      <c r="F73" s="70">
        <f ca="1">'Watchlist Ratings'!BM13</f>
        <v>5.9461744408414008E-2</v>
      </c>
      <c r="G73" s="70">
        <f ca="1">F73-E73</f>
        <v>0.16610110068183204</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228</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0.11915882685118606</v>
      </c>
      <c r="G74" s="77">
        <f ca="1">F74-E74</f>
        <v>-163.4377324600955</v>
      </c>
      <c r="H74" s="75" t="str">
        <f ca="1">IF(E74&gt;0,"🟢 BUY",IF(E74&gt;-0.05,"🟡 HOLD","🔴 PASS"))</f>
        <v>🟢 BUY</v>
      </c>
      <c r="J74" s="78" t="s">
        <v>228</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44236.722336000006</v>
      </c>
      <c r="P74" s="78">
        <f ca="1">VLOOKUP(J74,'Watchlist Ratings'!$B$4:$BM$71,9,FALSE())</f>
        <v>1.5</v>
      </c>
      <c r="Q74" s="78" t="str">
        <f ca="1">IF(K74&gt;=8.5,"🟢 ALTO",IF(K74&gt;=7.5,"🟡 MEDIO","🔴 BAJO"))</f>
        <v>🔴 BAJO</v>
      </c>
    </row>
    <row r="75" spans="1:17" ht="19.5" customHeight="1" x14ac:dyDescent="0.25">
      <c r="A75" s="79" t="s">
        <v>232</v>
      </c>
      <c r="B75" s="80" t="str">
        <f ca="1">VLOOKUP(A75,'Watchlist Ratings'!$B$4:$BM$71,4,FALSE())</f>
        <v>XNAS</v>
      </c>
      <c r="C75" s="80">
        <f ca="1">VLOOKUP(A75,'Watchlist Ratings'!$B$4:$BM$71,59,FALSE())</f>
        <v>20</v>
      </c>
      <c r="D75" s="80">
        <f ca="1">VLOOKUP(A75,'Watchlist Ratings'!$B$4:$BM$71,60,FALSE())</f>
        <v>30</v>
      </c>
      <c r="E75" s="81">
        <f ca="1">VLOOKUP(A75,'Watchlist Ratings'!$B$4:$BM$71,61,FALSE())</f>
        <v>175.50859903212492</v>
      </c>
      <c r="F75" s="81">
        <f ca="1">VLOOKUP(A75,'Watchlist Ratings'!$B$4:$BM$71,64,FALSE())</f>
        <v>-5.3489811176557711E-2</v>
      </c>
      <c r="G75" s="81">
        <f ca="1">F75-E75</f>
        <v>-175.56208884330147</v>
      </c>
      <c r="H75" s="79" t="str">
        <f ca="1">IF(E75&gt;0,"🟢 BUY",IF(E75&gt;-0.05,"🟡 HOLD","🔴 PASS"))</f>
        <v>🟢 BUY</v>
      </c>
      <c r="J75" s="79" t="s">
        <v>232</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3842942.3038499998</v>
      </c>
      <c r="P75" s="79">
        <f ca="1">VLOOKUP(J75,'Watchlist Ratings'!$B$4:$BM$71,9,FALSE())</f>
        <v>1</v>
      </c>
      <c r="Q75" s="79" t="str">
        <f ca="1">IF(K75&gt;=8.5,"🟢 ALTO",IF(K75&gt;=7.5,"🟡 MEDIO","🔴 BAJO"))</f>
        <v>🔴 BAJO</v>
      </c>
    </row>
    <row r="76" spans="1:17" ht="19.5" customHeight="1" x14ac:dyDescent="0.3">
      <c r="A76" s="144" t="s">
        <v>271</v>
      </c>
      <c r="B76" s="106"/>
      <c r="C76" s="106"/>
      <c r="D76" s="106"/>
      <c r="E76" s="106"/>
      <c r="F76" s="106"/>
      <c r="G76" s="106"/>
      <c r="H76" s="106"/>
      <c r="I76" s="106"/>
      <c r="J76" s="106"/>
      <c r="K76" s="106"/>
      <c r="L76" s="106"/>
      <c r="M76" s="106"/>
      <c r="N76" s="106"/>
      <c r="O76" s="106"/>
      <c r="P76" s="106"/>
      <c r="Q76" s="106"/>
    </row>
    <row r="77" spans="1:17" ht="19.5" customHeight="1" x14ac:dyDescent="0.25">
      <c r="A77" s="79" t="s">
        <v>239</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0.24622447321373309</v>
      </c>
      <c r="G77" s="81">
        <f ca="1">F77-E77</f>
        <v>-44.473701334623179</v>
      </c>
      <c r="H77" s="79" t="str">
        <f ca="1">IF(E77&gt;0,"🟢 BUY",IF(E77&gt;-0.05,"🟡 HOLD","🔴 PASS"))</f>
        <v>🟢 BUY</v>
      </c>
      <c r="J77" s="79" t="s">
        <v>239</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90540.506174999988</v>
      </c>
      <c r="P77" s="79">
        <f ca="1">VLOOKUP(J77,'Watchlist Ratings'!$B$4:$BM$71,9,FALSE())</f>
        <v>1</v>
      </c>
      <c r="Q77" s="79" t="str">
        <f ca="1">IF(K77&gt;=8.5,"🟢 ALTO",IF(K77&gt;=7.5,"🟡 MEDIO","🔴 BAJO"))</f>
        <v>🔴 BAJO</v>
      </c>
    </row>
    <row r="78" spans="1:17" ht="19.5" customHeight="1" x14ac:dyDescent="0.25">
      <c r="A78" s="136" t="s">
        <v>272</v>
      </c>
      <c r="B78" s="121"/>
      <c r="C78" s="120" t="s">
        <v>273</v>
      </c>
      <c r="D78" s="121"/>
      <c r="E78" s="139" t="s">
        <v>274</v>
      </c>
      <c r="F78" s="121"/>
      <c r="G78" s="139" t="s">
        <v>275</v>
      </c>
      <c r="H78" s="121"/>
      <c r="I78" s="116" t="s">
        <v>276</v>
      </c>
      <c r="J78" s="106"/>
      <c r="K78" s="136" t="s">
        <v>277</v>
      </c>
      <c r="L78" s="121"/>
      <c r="M78" s="136" t="s">
        <v>278</v>
      </c>
      <c r="N78" s="121"/>
      <c r="O78" s="136" t="s">
        <v>279</v>
      </c>
      <c r="P78" s="121"/>
      <c r="Q78" s="82" t="str">
        <f>IF(K78&gt;=8.5,"🟢 ALTO",IF(K78&gt;=7.5,"🟡 MEDIO","🔴 BAJO"))</f>
        <v>🟢 ALTO</v>
      </c>
    </row>
    <row r="79" spans="1:17" ht="19.5" customHeight="1" x14ac:dyDescent="0.25">
      <c r="A79" s="145" t="str">
        <f ca="1">INDEX('Watchlist Ratings'!B:B,MATCH(MAX('Watchlist Ratings'!AN:AN),'Watchlist Ratings'!AN:AN,0))</f>
        <v>CSU</v>
      </c>
      <c r="B79" s="121"/>
      <c r="C79" s="173" t="str">
        <f ca="1">INDEX('Watchlist Ratings'!B:B,MATCH(MAX('Watchlist Ratings'!BM:BM),'Watchlist Ratings'!BM:BM,0))</f>
        <v>BFIT</v>
      </c>
      <c r="D79" s="121"/>
      <c r="E79" s="146" t="str">
        <f ca="1">INDEX('Watchlist Ratings'!B:B,MATCH(MAX('Watchlist Ratings'!BC:BC),'Watchlist Ratings'!BC:BC,0))</f>
        <v>NVDA</v>
      </c>
      <c r="F79" s="121"/>
      <c r="G79" s="146" t="str">
        <f ca="1">INDEX('Watchlist Ratings'!B:B,MATCH(MAX('Watchlist Ratings'!K:K),'Watchlist Ratings'!K:K,0))</f>
        <v>VEEV</v>
      </c>
      <c r="H79" s="121"/>
      <c r="I79" s="157" t="str">
        <f ca="1">INDEX('Watchlist Ratings'!B:B,MATCH(MAX('Watchlist Ratings'!L:L),'Watchlist Ratings'!L:L,0))</f>
        <v>MSFT</v>
      </c>
      <c r="J79" s="106"/>
      <c r="K79" s="145" t="str">
        <f ca="1">INDEX('Watchlist Ratings'!B:B,MATCH(MAX('Watchlist Ratings'!AM:AM),'Watchlist Ratings'!AM:AM,0))</f>
        <v>DSGX</v>
      </c>
      <c r="L79" s="121"/>
      <c r="M79" s="145" t="str">
        <f t="array" aca="1" ref="M79" ca="1">INDEX('Watchlist Ratings'!B:B,MATCH(MIN('Watchlist Ratings'!AW4:AW64),'Watchlist Ratings'!AW4:AW64,0)+3)</f>
        <v>ZS</v>
      </c>
      <c r="N79" s="121"/>
      <c r="O79" s="145"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25">
      <c r="A80" s="137">
        <f>MAX('Watchlist Ratings'!AN:AN)</f>
        <v>8.4499999999999993</v>
      </c>
      <c r="B80" s="121"/>
      <c r="C80" s="138">
        <f ca="1">MAX('Watchlist Ratings'!BM:BM)</f>
        <v>0.48070099199639937</v>
      </c>
      <c r="D80" s="121"/>
      <c r="E80" s="142">
        <f>MAX('Watchlist Ratings'!BC:BC)</f>
        <v>0.76982234797532345</v>
      </c>
      <c r="F80" s="121"/>
      <c r="G80" s="142" t="str">
        <f>MAX('Watchlist Ratings'!K:K)&amp;"/8"</f>
        <v>8/8</v>
      </c>
      <c r="H80" s="121"/>
      <c r="I80" s="175" t="str">
        <f>MAX('Watchlist Ratings'!L:L)&amp;"/3"</f>
        <v>3/3</v>
      </c>
      <c r="J80" s="106"/>
      <c r="K80" s="176">
        <f>MAX('Watchlist Ratings'!AM:AM)</f>
        <v>8.7100000000000009</v>
      </c>
      <c r="L80" s="121"/>
      <c r="M80" s="176" t="str">
        <f ca="1">MIN('Watchlist Ratings'!AW4:AW64)&amp;"x"</f>
        <v>-709.104309601874x</v>
      </c>
      <c r="N80" s="121"/>
      <c r="O80" s="176" t="str">
        <f t="array" aca="1" ref="O80" ca="1">TEXT(MAX('Watchlist Ratings'!BM4:BM64-'Watchlist Ratings'!BL4:BL64),"0.0%")</f>
        <v>125.2%</v>
      </c>
      <c r="P80" s="121"/>
      <c r="Q80" s="82" t="str">
        <f>IF(K80&gt;=8.5,"🟢 ALTO",IF(K80&gt;=7.5,"🟡 MEDIO","🔴 BAJO"))</f>
        <v>🟢 ALTO</v>
      </c>
    </row>
    <row r="81" spans="1:17" ht="19.5" customHeight="1" x14ac:dyDescent="0.25">
      <c r="A81" s="79" t="s">
        <v>234</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-0.18948800194233184</v>
      </c>
      <c r="G81" s="81">
        <f ca="1">F81-E81</f>
        <v>-26.424855642372197</v>
      </c>
      <c r="H81" s="79" t="str">
        <f ca="1">IF(E81&gt;0,"🟢 BUY",IF(E81&gt;-0.05,"🟡 HOLD","🔴 PASS"))</f>
        <v>🟢 BUY</v>
      </c>
      <c r="J81" s="79" t="s">
        <v>234</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32056.55402</v>
      </c>
      <c r="P81" s="79">
        <f ca="1">VLOOKUP(J81,'Watchlist Ratings'!$B$4:$BM$71,9,FALSE())</f>
        <v>1</v>
      </c>
      <c r="Q81" s="79" t="str">
        <f ca="1">IF(K81&gt;=8.5,"🟢 ALTO",IF(K81&gt;=7.5,"🟡 MEDIO","🔴 BAJO"))</f>
        <v>🔴 BAJO</v>
      </c>
    </row>
    <row r="82" spans="1:17" ht="19.5" customHeight="1" x14ac:dyDescent="0.25">
      <c r="A82" s="177" t="s">
        <v>280</v>
      </c>
      <c r="B82" s="106"/>
      <c r="C82" s="106"/>
      <c r="D82" s="106"/>
      <c r="E82" s="106"/>
      <c r="F82" s="106"/>
      <c r="G82" s="106"/>
      <c r="H82" s="106"/>
      <c r="I82" s="106"/>
      <c r="J82" s="106"/>
      <c r="K82" s="106"/>
      <c r="L82" s="106"/>
      <c r="M82" s="106"/>
      <c r="N82" s="106"/>
      <c r="O82" s="106"/>
      <c r="P82" s="106"/>
      <c r="Q82" s="106"/>
    </row>
    <row r="83" spans="1:17" ht="19.5" customHeight="1" x14ac:dyDescent="0.25">
      <c r="A83" s="83" t="s">
        <v>229</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5.9461744408414008E-2</v>
      </c>
      <c r="G83" s="85">
        <f ca="1">F83-E83</f>
        <v>-143.06260687776171</v>
      </c>
      <c r="H83" s="83" t="str">
        <f ca="1">IF(E83&gt;0,"🟢 BUY",IF(E83&gt;-0.05,"🟡 HOLD","🔴 PASS"))</f>
        <v>🟢 BUY</v>
      </c>
      <c r="J83" s="83" t="s">
        <v>229</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2712972.6911999998</v>
      </c>
      <c r="P83" s="83">
        <f ca="1">VLOOKUP(J83,'Watchlist Ratings'!$B$4:$BM$71,9,FALSE())</f>
        <v>1.5</v>
      </c>
      <c r="Q83" s="83" t="str">
        <f ca="1">IF(K83&gt;=8.5,"🟢 ALTO",IF(K83&gt;=7.5,"🟡 MEDIO","🔴 BAJO"))</f>
        <v>🔴 BAJO</v>
      </c>
    </row>
    <row r="84" spans="1:17" ht="19.5" customHeight="1" x14ac:dyDescent="0.25"/>
    <row r="85" spans="1:17" ht="27.75" customHeight="1" x14ac:dyDescent="0.25">
      <c r="A85" s="156" t="s">
        <v>271</v>
      </c>
      <c r="B85" s="106"/>
      <c r="C85" s="106"/>
      <c r="D85" s="106"/>
      <c r="E85" s="106"/>
      <c r="F85" s="106"/>
      <c r="G85" s="106"/>
      <c r="H85" s="106"/>
      <c r="I85" s="106"/>
      <c r="J85" s="106"/>
      <c r="K85" s="106"/>
      <c r="L85" s="106"/>
      <c r="M85" s="106"/>
      <c r="N85" s="106"/>
      <c r="O85" s="106"/>
      <c r="P85" s="106"/>
      <c r="Q85" s="106"/>
    </row>
    <row r="86" spans="1:17" ht="19.5" customHeight="1" x14ac:dyDescent="0.25"/>
    <row r="87" spans="1:17" ht="19.5" customHeight="1" x14ac:dyDescent="0.25">
      <c r="A87" s="178" t="s">
        <v>272</v>
      </c>
      <c r="B87" s="106"/>
      <c r="C87" s="123" t="s">
        <v>273</v>
      </c>
      <c r="D87" s="106"/>
      <c r="E87" s="174" t="s">
        <v>274</v>
      </c>
      <c r="F87" s="106"/>
      <c r="G87" s="152" t="s">
        <v>275</v>
      </c>
      <c r="H87" s="106"/>
      <c r="I87" s="153" t="s">
        <v>276</v>
      </c>
      <c r="J87" s="106"/>
      <c r="K87" s="122" t="s">
        <v>277</v>
      </c>
      <c r="L87" s="106"/>
      <c r="M87" s="149" t="s">
        <v>278</v>
      </c>
      <c r="N87" s="106"/>
      <c r="O87" s="159" t="s">
        <v>279</v>
      </c>
      <c r="P87" s="106"/>
    </row>
    <row r="88" spans="1:17" ht="19.5" customHeight="1" x14ac:dyDescent="0.3">
      <c r="A88" s="150" t="str">
        <f ca="1">INDEX('Watchlist Ratings'!B$4:B$71,MATCH(MAX('Watchlist Ratings'!AN$4:AN$71),'Watchlist Ratings'!AN$4:AN$71,0))</f>
        <v>CSU</v>
      </c>
      <c r="B88" s="106"/>
      <c r="C88" s="160" t="str">
        <f ca="1">INDEX('Watchlist Ratings'!B$4:B$71,MATCH(MAX('Watchlist Ratings'!BM$4:BM$71),'Watchlist Ratings'!BM$4:BM$71,0))</f>
        <v>BFIT</v>
      </c>
      <c r="D88" s="106"/>
      <c r="E88" s="150" t="str">
        <f ca="1">INDEX('Watchlist Ratings'!B$4:B$71,MATCH(MAX('Watchlist Ratings'!BC$4:BC$71),'Watchlist Ratings'!BC$4:BC$71,0))</f>
        <v>NVDA</v>
      </c>
      <c r="F88" s="106"/>
      <c r="G88" s="150" t="str">
        <f ca="1">INDEX('Watchlist Ratings'!B$4:B$71,MATCH(MAX('Watchlist Ratings'!K$4:K$71),'Watchlist Ratings'!K$4:K$71,0))</f>
        <v>VEEV</v>
      </c>
      <c r="H88" s="106"/>
      <c r="I88" s="150" t="str">
        <f ca="1">INDEX('Watchlist Ratings'!B$4:B$71,MATCH(MAX('Watchlist Ratings'!L$4:L$71),'Watchlist Ratings'!L$4:L$71,0))</f>
        <v>MSFT</v>
      </c>
      <c r="J88" s="106"/>
      <c r="K88" s="150" t="str">
        <f ca="1">INDEX('Watchlist Ratings'!B$4:B$71,MATCH(MAX('Watchlist Ratings'!AM$4:AM$71),'Watchlist Ratings'!AM$4:AM$71,0))</f>
        <v>DSGX</v>
      </c>
      <c r="L88" s="106"/>
      <c r="M88" s="150" t="str">
        <f t="array" aca="1" ref="M88" ca="1">INDEX('Watchlist Ratings'!B$4:B$64,MATCH(MIN(IF('Watchlist Ratings'!AW$4:AW$64&gt;0,'Watchlist Ratings'!AW$4:AW$64)),IF('Watchlist Ratings'!AW$4:AW$64&gt;0,'Watchlist Ratings'!AW$4:AW$64),0))</f>
        <v>KIST</v>
      </c>
      <c r="N88" s="106"/>
      <c r="O88" s="150" t="str">
        <f t="array" aca="1" ref="O88" ca="1">INDEX('Watchlist Ratings'!B$4:B$64,MATCH(MAX('Watchlist Ratings'!BM$4:BM$64-'Watchlist Ratings'!BL$4:BL$64),'Watchlist Ratings'!BM$4:BM$64-'Watchlist Ratings'!BL$4:BL$64,0))</f>
        <v>OTLY</v>
      </c>
      <c r="P88" s="106"/>
    </row>
    <row r="89" spans="1:17" ht="19.5" customHeight="1" x14ac:dyDescent="0.25">
      <c r="A89" s="148">
        <f>MAX('Watchlist Ratings'!AN$4:AN$71)</f>
        <v>8.4499999999999993</v>
      </c>
      <c r="B89" s="106"/>
      <c r="C89" s="155">
        <f ca="1">MAX('Watchlist Ratings'!BM$4:BM$64)</f>
        <v>0.48070099199639937</v>
      </c>
      <c r="D89" s="106"/>
      <c r="E89" s="155">
        <f>MAX('Watchlist Ratings'!BC$4:BC$71)</f>
        <v>0.76982234797532345</v>
      </c>
      <c r="F89" s="106"/>
      <c r="G89" s="154" t="str">
        <f>MAX('Watchlist Ratings'!K$4:K$71)&amp;"/8"</f>
        <v>8/8</v>
      </c>
      <c r="H89" s="106"/>
      <c r="I89" s="154" t="str">
        <f>MAX('Watchlist Ratings'!L$4:L$71)&amp;"/3"</f>
        <v>3/3</v>
      </c>
      <c r="J89" s="106"/>
      <c r="K89" s="181">
        <f>MAX('Watchlist Ratings'!AM$4:AM$71)</f>
        <v>8.7100000000000009</v>
      </c>
      <c r="L89" s="106"/>
      <c r="M89" s="154" t="str">
        <f t="array" aca="1" ref="M89" ca="1">MIN(IF('Watchlist Ratings'!AW$4:AW$64&gt;0,'Watchlist Ratings'!AW$4:AW$64))&amp;"x"</f>
        <v>2.58468939632645x</v>
      </c>
      <c r="N89" s="106"/>
      <c r="O89" s="154">
        <f t="array" aca="1" ref="O89" ca="1">MAX('Watchlist Ratings'!BM$4:BM$64-'Watchlist Ratings'!BL$4:BL$64)</f>
        <v>1.2524394894235822</v>
      </c>
      <c r="P89" s="106"/>
    </row>
    <row r="90" spans="1:17" ht="19.5" customHeight="1" x14ac:dyDescent="0.25"/>
    <row r="91" spans="1:17" ht="19.5" customHeight="1" x14ac:dyDescent="0.25">
      <c r="A91" s="115" t="s">
        <v>280</v>
      </c>
      <c r="B91" s="106"/>
      <c r="C91" s="106"/>
      <c r="D91" s="106"/>
      <c r="E91" s="106"/>
      <c r="F91" s="106"/>
      <c r="G91" s="106"/>
      <c r="H91" s="106"/>
      <c r="I91" s="106"/>
      <c r="J91" s="106"/>
      <c r="K91" s="106"/>
      <c r="L91" s="106"/>
      <c r="M91" s="106"/>
      <c r="N91" s="106"/>
      <c r="O91" s="106"/>
      <c r="P91" s="106"/>
      <c r="Q91" s="106"/>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0"/>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212</v>
      </c>
      <c r="B1" t="s">
        <v>281</v>
      </c>
      <c r="C1" t="s">
        <v>282</v>
      </c>
      <c r="D1" t="s">
        <v>283</v>
      </c>
      <c r="E1" t="s">
        <v>284</v>
      </c>
    </row>
    <row r="2" spans="1:5" x14ac:dyDescent="0.25">
      <c r="A2" t="s">
        <v>285</v>
      </c>
      <c r="B2" t="s">
        <v>106</v>
      </c>
      <c r="C2" t="s">
        <v>286</v>
      </c>
      <c r="D2" t="s">
        <v>287</v>
      </c>
      <c r="E2" t="s">
        <v>288</v>
      </c>
    </row>
    <row r="3" spans="1:5" x14ac:dyDescent="0.25">
      <c r="A3" t="s">
        <v>250</v>
      </c>
      <c r="B3" t="s">
        <v>106</v>
      </c>
      <c r="C3" t="s">
        <v>289</v>
      </c>
      <c r="D3" t="s">
        <v>290</v>
      </c>
      <c r="E3" t="s">
        <v>291</v>
      </c>
    </row>
    <row r="4" spans="1:5" x14ac:dyDescent="0.25">
      <c r="A4" t="s">
        <v>292</v>
      </c>
      <c r="B4" t="s">
        <v>106</v>
      </c>
      <c r="C4" t="s">
        <v>293</v>
      </c>
      <c r="D4" t="s">
        <v>294</v>
      </c>
      <c r="E4" t="s">
        <v>295</v>
      </c>
    </row>
    <row r="5" spans="1:5" x14ac:dyDescent="0.25">
      <c r="A5" t="s">
        <v>296</v>
      </c>
      <c r="B5" t="s">
        <v>106</v>
      </c>
      <c r="C5" t="s">
        <v>297</v>
      </c>
      <c r="D5" t="s">
        <v>298</v>
      </c>
      <c r="E5" t="s">
        <v>299</v>
      </c>
    </row>
    <row r="6" spans="1:5" x14ac:dyDescent="0.25">
      <c r="A6" t="s">
        <v>146</v>
      </c>
      <c r="B6" t="s">
        <v>147</v>
      </c>
      <c r="C6" t="s">
        <v>300</v>
      </c>
      <c r="D6" t="s">
        <v>301</v>
      </c>
      <c r="E6" t="s">
        <v>302</v>
      </c>
    </row>
    <row r="7" spans="1:5" x14ac:dyDescent="0.25">
      <c r="A7" t="s">
        <v>227</v>
      </c>
      <c r="B7" t="s">
        <v>90</v>
      </c>
      <c r="C7" t="s">
        <v>303</v>
      </c>
      <c r="D7" t="s">
        <v>304</v>
      </c>
      <c r="E7" t="s">
        <v>305</v>
      </c>
    </row>
    <row r="8" spans="1:5" x14ac:dyDescent="0.25">
      <c r="A8" t="s">
        <v>306</v>
      </c>
      <c r="B8" t="s">
        <v>90</v>
      </c>
      <c r="C8" t="s">
        <v>303</v>
      </c>
      <c r="D8" t="s">
        <v>307</v>
      </c>
      <c r="E8" t="s">
        <v>308</v>
      </c>
    </row>
    <row r="9" spans="1:5" x14ac:dyDescent="0.25">
      <c r="A9" t="s">
        <v>228</v>
      </c>
      <c r="B9" t="s">
        <v>90</v>
      </c>
      <c r="C9" t="s">
        <v>303</v>
      </c>
      <c r="D9" t="s">
        <v>309</v>
      </c>
      <c r="E9" t="s">
        <v>310</v>
      </c>
    </row>
    <row r="10" spans="1:5" x14ac:dyDescent="0.25">
      <c r="A10" t="s">
        <v>233</v>
      </c>
      <c r="B10" t="s">
        <v>90</v>
      </c>
      <c r="C10" t="s">
        <v>303</v>
      </c>
      <c r="D10" t="s">
        <v>311</v>
      </c>
      <c r="E10" t="s">
        <v>312</v>
      </c>
    </row>
    <row r="11" spans="1:5" x14ac:dyDescent="0.25">
      <c r="A11" t="s">
        <v>234</v>
      </c>
      <c r="B11" t="s">
        <v>90</v>
      </c>
      <c r="C11" t="s">
        <v>303</v>
      </c>
      <c r="D11" t="s">
        <v>311</v>
      </c>
      <c r="E11" t="s">
        <v>313</v>
      </c>
    </row>
    <row r="12" spans="1:5" x14ac:dyDescent="0.25">
      <c r="A12" t="s">
        <v>314</v>
      </c>
      <c r="B12" t="s">
        <v>90</v>
      </c>
      <c r="C12" t="s">
        <v>303</v>
      </c>
      <c r="D12" t="s">
        <v>315</v>
      </c>
      <c r="E12" t="s">
        <v>316</v>
      </c>
    </row>
    <row r="13" spans="1:5" x14ac:dyDescent="0.25">
      <c r="A13" t="s">
        <v>251</v>
      </c>
      <c r="B13" t="s">
        <v>90</v>
      </c>
      <c r="C13" t="s">
        <v>303</v>
      </c>
      <c r="D13" t="s">
        <v>317</v>
      </c>
      <c r="E13" t="s">
        <v>318</v>
      </c>
    </row>
    <row r="14" spans="1:5" x14ac:dyDescent="0.25">
      <c r="A14" t="s">
        <v>319</v>
      </c>
      <c r="B14" t="s">
        <v>90</v>
      </c>
      <c r="C14" t="s">
        <v>303</v>
      </c>
      <c r="D14" t="s">
        <v>320</v>
      </c>
      <c r="E14" t="s">
        <v>321</v>
      </c>
    </row>
    <row r="15" spans="1:5" x14ac:dyDescent="0.25">
      <c r="A15" t="s">
        <v>239</v>
      </c>
      <c r="B15" t="s">
        <v>90</v>
      </c>
      <c r="C15" t="s">
        <v>303</v>
      </c>
      <c r="D15" t="s">
        <v>322</v>
      </c>
      <c r="E15" t="s">
        <v>323</v>
      </c>
    </row>
    <row r="16" spans="1:5" x14ac:dyDescent="0.25">
      <c r="A16" t="s">
        <v>324</v>
      </c>
      <c r="B16" t="s">
        <v>90</v>
      </c>
      <c r="C16" t="s">
        <v>303</v>
      </c>
      <c r="D16" t="s">
        <v>325</v>
      </c>
      <c r="E16" t="s">
        <v>326</v>
      </c>
    </row>
    <row r="17" spans="1:5" x14ac:dyDescent="0.25">
      <c r="A17" t="s">
        <v>248</v>
      </c>
      <c r="B17" t="s">
        <v>90</v>
      </c>
      <c r="C17" t="s">
        <v>303</v>
      </c>
      <c r="D17" t="s">
        <v>327</v>
      </c>
      <c r="E17" t="s">
        <v>328</v>
      </c>
    </row>
    <row r="18" spans="1:5" x14ac:dyDescent="0.25">
      <c r="A18" t="s">
        <v>244</v>
      </c>
      <c r="B18" t="s">
        <v>90</v>
      </c>
      <c r="C18" t="s">
        <v>303</v>
      </c>
      <c r="D18" t="s">
        <v>329</v>
      </c>
      <c r="E18" t="s">
        <v>330</v>
      </c>
    </row>
    <row r="19" spans="1:5" x14ac:dyDescent="0.25">
      <c r="A19" t="s">
        <v>331</v>
      </c>
      <c r="B19" t="s">
        <v>90</v>
      </c>
      <c r="C19" t="s">
        <v>332</v>
      </c>
      <c r="D19" t="s">
        <v>333</v>
      </c>
      <c r="E19" t="s">
        <v>334</v>
      </c>
    </row>
    <row r="20" spans="1:5" x14ac:dyDescent="0.25">
      <c r="A20" t="s">
        <v>335</v>
      </c>
      <c r="B20" t="s">
        <v>90</v>
      </c>
      <c r="C20" t="s">
        <v>303</v>
      </c>
      <c r="D20" t="s">
        <v>336</v>
      </c>
      <c r="E20" t="s">
        <v>337</v>
      </c>
    </row>
    <row r="21" spans="1:5" x14ac:dyDescent="0.25">
      <c r="A21" t="s">
        <v>232</v>
      </c>
      <c r="B21" t="s">
        <v>94</v>
      </c>
      <c r="C21" t="s">
        <v>303</v>
      </c>
      <c r="D21" t="s">
        <v>338</v>
      </c>
      <c r="E21" t="s">
        <v>339</v>
      </c>
    </row>
    <row r="22" spans="1:5" x14ac:dyDescent="0.25">
      <c r="A22" t="s">
        <v>243</v>
      </c>
      <c r="B22" t="s">
        <v>94</v>
      </c>
      <c r="C22" t="s">
        <v>303</v>
      </c>
      <c r="D22" t="s">
        <v>338</v>
      </c>
      <c r="E22" t="s">
        <v>340</v>
      </c>
    </row>
    <row r="23" spans="1:5" x14ac:dyDescent="0.25">
      <c r="A23" t="s">
        <v>254</v>
      </c>
      <c r="B23" t="s">
        <v>94</v>
      </c>
      <c r="C23" t="s">
        <v>303</v>
      </c>
      <c r="D23" t="s">
        <v>338</v>
      </c>
      <c r="E23" t="s">
        <v>341</v>
      </c>
    </row>
    <row r="24" spans="1:5" x14ac:dyDescent="0.25">
      <c r="A24" t="s">
        <v>229</v>
      </c>
      <c r="B24" t="s">
        <v>94</v>
      </c>
      <c r="C24" t="s">
        <v>303</v>
      </c>
      <c r="D24" t="s">
        <v>338</v>
      </c>
      <c r="E24" t="s">
        <v>342</v>
      </c>
    </row>
    <row r="25" spans="1:5" x14ac:dyDescent="0.25">
      <c r="A25" t="s">
        <v>242</v>
      </c>
      <c r="B25" t="s">
        <v>94</v>
      </c>
      <c r="C25" t="s">
        <v>303</v>
      </c>
      <c r="D25" t="s">
        <v>343</v>
      </c>
      <c r="E25" t="s">
        <v>344</v>
      </c>
    </row>
    <row r="26" spans="1:5" x14ac:dyDescent="0.25">
      <c r="A26" t="s">
        <v>241</v>
      </c>
      <c r="B26" t="s">
        <v>94</v>
      </c>
      <c r="C26" t="s">
        <v>303</v>
      </c>
      <c r="D26" t="s">
        <v>338</v>
      </c>
      <c r="E26" t="s">
        <v>345</v>
      </c>
    </row>
    <row r="27" spans="1:5" x14ac:dyDescent="0.25">
      <c r="A27" t="s">
        <v>235</v>
      </c>
      <c r="B27" t="s">
        <v>94</v>
      </c>
      <c r="C27" t="s">
        <v>303</v>
      </c>
      <c r="D27" t="s">
        <v>338</v>
      </c>
      <c r="E27" t="s">
        <v>346</v>
      </c>
    </row>
    <row r="28" spans="1:5" x14ac:dyDescent="0.25">
      <c r="A28" t="s">
        <v>238</v>
      </c>
      <c r="B28" t="s">
        <v>94</v>
      </c>
      <c r="C28" t="s">
        <v>303</v>
      </c>
      <c r="D28" t="s">
        <v>338</v>
      </c>
      <c r="E28" t="s">
        <v>346</v>
      </c>
    </row>
    <row r="29" spans="1:5" x14ac:dyDescent="0.25">
      <c r="A29" t="s">
        <v>347</v>
      </c>
      <c r="B29" t="s">
        <v>94</v>
      </c>
      <c r="C29" t="s">
        <v>303</v>
      </c>
      <c r="D29" t="s">
        <v>338</v>
      </c>
      <c r="E29" t="s">
        <v>345</v>
      </c>
    </row>
    <row r="30" spans="1:5" x14ac:dyDescent="0.25">
      <c r="A30" t="s">
        <v>348</v>
      </c>
      <c r="B30" t="s">
        <v>94</v>
      </c>
      <c r="C30" t="s">
        <v>303</v>
      </c>
      <c r="D30" t="s">
        <v>338</v>
      </c>
      <c r="E30" t="s">
        <v>346</v>
      </c>
    </row>
    <row r="31" spans="1:5" x14ac:dyDescent="0.25">
      <c r="A31" t="s">
        <v>349</v>
      </c>
      <c r="B31" t="s">
        <v>94</v>
      </c>
      <c r="C31" t="s">
        <v>303</v>
      </c>
      <c r="D31" t="s">
        <v>338</v>
      </c>
      <c r="E31" t="s">
        <v>339</v>
      </c>
    </row>
    <row r="32" spans="1:5" x14ac:dyDescent="0.25">
      <c r="A32" t="s">
        <v>350</v>
      </c>
      <c r="B32" t="s">
        <v>94</v>
      </c>
      <c r="C32" t="s">
        <v>303</v>
      </c>
      <c r="D32" t="s">
        <v>338</v>
      </c>
      <c r="E32" t="s">
        <v>339</v>
      </c>
    </row>
    <row r="33" spans="1:5" x14ac:dyDescent="0.25">
      <c r="A33" t="s">
        <v>351</v>
      </c>
      <c r="B33" t="s">
        <v>94</v>
      </c>
      <c r="C33" t="s">
        <v>303</v>
      </c>
      <c r="D33" t="s">
        <v>338</v>
      </c>
      <c r="E33" t="s">
        <v>352</v>
      </c>
    </row>
    <row r="34" spans="1:5" x14ac:dyDescent="0.25">
      <c r="A34" t="s">
        <v>353</v>
      </c>
      <c r="B34" t="s">
        <v>94</v>
      </c>
      <c r="C34" t="s">
        <v>303</v>
      </c>
      <c r="D34" t="s">
        <v>338</v>
      </c>
      <c r="E34" t="s">
        <v>346</v>
      </c>
    </row>
    <row r="35" spans="1:5" x14ac:dyDescent="0.25">
      <c r="A35" t="s">
        <v>354</v>
      </c>
      <c r="B35" t="s">
        <v>94</v>
      </c>
      <c r="C35" t="s">
        <v>303</v>
      </c>
      <c r="D35" t="s">
        <v>338</v>
      </c>
      <c r="E35" t="s">
        <v>355</v>
      </c>
    </row>
    <row r="36" spans="1:5" x14ac:dyDescent="0.25">
      <c r="A36" t="s">
        <v>356</v>
      </c>
      <c r="B36" t="s">
        <v>94</v>
      </c>
      <c r="C36" t="s">
        <v>303</v>
      </c>
      <c r="D36" t="s">
        <v>338</v>
      </c>
      <c r="E36" t="s">
        <v>339</v>
      </c>
    </row>
    <row r="37" spans="1:5" x14ac:dyDescent="0.25">
      <c r="A37" t="s">
        <v>357</v>
      </c>
      <c r="B37" t="s">
        <v>94</v>
      </c>
      <c r="C37" t="s">
        <v>303</v>
      </c>
      <c r="D37" t="s">
        <v>338</v>
      </c>
      <c r="E37" t="s">
        <v>352</v>
      </c>
    </row>
    <row r="38" spans="1:5" x14ac:dyDescent="0.25">
      <c r="A38" t="s">
        <v>358</v>
      </c>
      <c r="B38" t="s">
        <v>94</v>
      </c>
      <c r="C38" t="s">
        <v>303</v>
      </c>
      <c r="D38" t="s">
        <v>338</v>
      </c>
      <c r="E38" t="s">
        <v>345</v>
      </c>
    </row>
    <row r="39" spans="1:5" x14ac:dyDescent="0.25">
      <c r="A39" t="s">
        <v>359</v>
      </c>
      <c r="B39" t="s">
        <v>94</v>
      </c>
      <c r="C39" t="s">
        <v>303</v>
      </c>
      <c r="D39" t="s">
        <v>338</v>
      </c>
      <c r="E39" t="s">
        <v>360</v>
      </c>
    </row>
    <row r="40" spans="1:5" x14ac:dyDescent="0.25">
      <c r="A40" t="s">
        <v>361</v>
      </c>
      <c r="B40" t="s">
        <v>94</v>
      </c>
      <c r="C40" t="s">
        <v>303</v>
      </c>
      <c r="D40" t="s">
        <v>338</v>
      </c>
      <c r="E40" t="s">
        <v>340</v>
      </c>
    </row>
    <row r="41" spans="1:5" x14ac:dyDescent="0.25">
      <c r="A41" t="s">
        <v>231</v>
      </c>
      <c r="B41" t="s">
        <v>94</v>
      </c>
      <c r="C41" t="s">
        <v>303</v>
      </c>
      <c r="D41" t="s">
        <v>338</v>
      </c>
      <c r="E41" t="s">
        <v>360</v>
      </c>
    </row>
    <row r="42" spans="1:5" x14ac:dyDescent="0.25">
      <c r="A42" t="s">
        <v>362</v>
      </c>
      <c r="B42" t="s">
        <v>94</v>
      </c>
      <c r="C42" t="s">
        <v>303</v>
      </c>
      <c r="D42" t="s">
        <v>338</v>
      </c>
      <c r="E42" t="s">
        <v>339</v>
      </c>
    </row>
    <row r="43" spans="1:5" x14ac:dyDescent="0.25">
      <c r="A43" t="s">
        <v>363</v>
      </c>
      <c r="B43" t="s">
        <v>94</v>
      </c>
      <c r="C43" t="s">
        <v>303</v>
      </c>
      <c r="D43" t="s">
        <v>338</v>
      </c>
      <c r="E43" t="s">
        <v>352</v>
      </c>
    </row>
    <row r="44" spans="1:5" x14ac:dyDescent="0.25">
      <c r="A44" t="s">
        <v>364</v>
      </c>
      <c r="B44" t="s">
        <v>94</v>
      </c>
      <c r="C44" t="s">
        <v>303</v>
      </c>
      <c r="D44" t="s">
        <v>338</v>
      </c>
      <c r="E44" t="s">
        <v>352</v>
      </c>
    </row>
    <row r="45" spans="1:5" x14ac:dyDescent="0.25">
      <c r="A45" t="s">
        <v>365</v>
      </c>
      <c r="B45" t="s">
        <v>94</v>
      </c>
      <c r="C45" t="s">
        <v>303</v>
      </c>
      <c r="D45" t="s">
        <v>338</v>
      </c>
      <c r="E45" t="s">
        <v>346</v>
      </c>
    </row>
    <row r="46" spans="1:5" x14ac:dyDescent="0.25">
      <c r="A46" t="s">
        <v>366</v>
      </c>
      <c r="B46" t="s">
        <v>94</v>
      </c>
      <c r="C46" t="s">
        <v>303</v>
      </c>
      <c r="D46" t="s">
        <v>338</v>
      </c>
      <c r="E46" t="s">
        <v>352</v>
      </c>
    </row>
    <row r="47" spans="1:5" x14ac:dyDescent="0.25">
      <c r="A47" t="s">
        <v>367</v>
      </c>
      <c r="B47" t="s">
        <v>94</v>
      </c>
      <c r="C47" t="s">
        <v>303</v>
      </c>
      <c r="D47" t="s">
        <v>338</v>
      </c>
      <c r="E47" t="s">
        <v>339</v>
      </c>
    </row>
    <row r="48" spans="1:5" x14ac:dyDescent="0.25">
      <c r="A48" t="s">
        <v>240</v>
      </c>
      <c r="B48" t="s">
        <v>101</v>
      </c>
      <c r="C48" t="s">
        <v>368</v>
      </c>
      <c r="D48" t="s">
        <v>369</v>
      </c>
      <c r="E48" t="s">
        <v>370</v>
      </c>
    </row>
    <row r="49" spans="1:5" x14ac:dyDescent="0.25">
      <c r="A49" t="s">
        <v>285</v>
      </c>
      <c r="B49" t="s">
        <v>101</v>
      </c>
      <c r="C49" t="s">
        <v>368</v>
      </c>
      <c r="D49" t="s">
        <v>369</v>
      </c>
      <c r="E49" t="s">
        <v>371</v>
      </c>
    </row>
    <row r="50" spans="1:5" x14ac:dyDescent="0.25">
      <c r="A50" t="s">
        <v>372</v>
      </c>
      <c r="B50" t="s">
        <v>101</v>
      </c>
      <c r="C50" t="s">
        <v>368</v>
      </c>
      <c r="D50" t="s">
        <v>369</v>
      </c>
      <c r="E50" t="s">
        <v>373</v>
      </c>
    </row>
    <row r="51" spans="1:5" x14ac:dyDescent="0.25">
      <c r="A51" t="s">
        <v>247</v>
      </c>
      <c r="B51" t="s">
        <v>101</v>
      </c>
      <c r="C51" t="s">
        <v>368</v>
      </c>
      <c r="D51" t="s">
        <v>374</v>
      </c>
      <c r="E51" t="s">
        <v>375</v>
      </c>
    </row>
    <row r="52" spans="1:5" x14ac:dyDescent="0.25">
      <c r="A52" t="s">
        <v>376</v>
      </c>
      <c r="B52" t="s">
        <v>101</v>
      </c>
      <c r="C52" t="s">
        <v>368</v>
      </c>
      <c r="D52" t="s">
        <v>377</v>
      </c>
      <c r="E52" t="s">
        <v>378</v>
      </c>
    </row>
    <row r="53" spans="1:5" x14ac:dyDescent="0.25">
      <c r="A53" t="s">
        <v>250</v>
      </c>
      <c r="B53" t="s">
        <v>101</v>
      </c>
      <c r="C53" t="s">
        <v>368</v>
      </c>
      <c r="D53" t="s">
        <v>379</v>
      </c>
      <c r="E53" t="s">
        <v>380</v>
      </c>
    </row>
    <row r="54" spans="1:5" x14ac:dyDescent="0.25">
      <c r="A54" t="s">
        <v>331</v>
      </c>
      <c r="B54" t="s">
        <v>101</v>
      </c>
      <c r="C54" t="s">
        <v>368</v>
      </c>
      <c r="D54" t="s">
        <v>381</v>
      </c>
      <c r="E54" t="s">
        <v>382</v>
      </c>
    </row>
    <row r="55" spans="1:5" x14ac:dyDescent="0.25">
      <c r="A55" t="s">
        <v>383</v>
      </c>
      <c r="B55" t="s">
        <v>101</v>
      </c>
      <c r="C55" t="s">
        <v>368</v>
      </c>
      <c r="D55" t="s">
        <v>384</v>
      </c>
      <c r="E55" t="s">
        <v>385</v>
      </c>
    </row>
    <row r="56" spans="1:5" x14ac:dyDescent="0.25">
      <c r="A56" t="s">
        <v>296</v>
      </c>
      <c r="B56" t="s">
        <v>101</v>
      </c>
      <c r="C56" t="s">
        <v>368</v>
      </c>
      <c r="D56" t="s">
        <v>386</v>
      </c>
      <c r="E56" t="s">
        <v>387</v>
      </c>
    </row>
    <row r="57" spans="1:5" x14ac:dyDescent="0.25">
      <c r="A57" t="s">
        <v>365</v>
      </c>
      <c r="B57" t="s">
        <v>101</v>
      </c>
      <c r="C57" t="s">
        <v>388</v>
      </c>
      <c r="D57" t="s">
        <v>389</v>
      </c>
      <c r="E57" t="s">
        <v>390</v>
      </c>
    </row>
    <row r="58" spans="1:5" x14ac:dyDescent="0.25">
      <c r="A58" t="s">
        <v>232</v>
      </c>
      <c r="B58" t="s">
        <v>101</v>
      </c>
      <c r="C58" t="s">
        <v>239</v>
      </c>
      <c r="D58" t="s">
        <v>391</v>
      </c>
      <c r="E58" t="s">
        <v>392</v>
      </c>
    </row>
    <row r="59" spans="1:5" x14ac:dyDescent="0.25">
      <c r="A59" t="s">
        <v>350</v>
      </c>
      <c r="B59" t="s">
        <v>101</v>
      </c>
      <c r="C59" t="s">
        <v>239</v>
      </c>
      <c r="D59" t="s">
        <v>393</v>
      </c>
      <c r="E59" t="s">
        <v>394</v>
      </c>
    </row>
    <row r="60" spans="1:5" x14ac:dyDescent="0.25">
      <c r="A60" t="s">
        <v>229</v>
      </c>
      <c r="B60" t="s">
        <v>101</v>
      </c>
      <c r="C60" t="s">
        <v>239</v>
      </c>
      <c r="D60" t="s">
        <v>393</v>
      </c>
      <c r="E60" t="s">
        <v>395</v>
      </c>
    </row>
    <row r="61" spans="1:5" x14ac:dyDescent="0.25">
      <c r="A61" t="s">
        <v>354</v>
      </c>
      <c r="B61" t="s">
        <v>101</v>
      </c>
      <c r="C61" t="s">
        <v>239</v>
      </c>
      <c r="D61" t="s">
        <v>396</v>
      </c>
      <c r="E61" t="s">
        <v>397</v>
      </c>
    </row>
    <row r="62" spans="1:5" x14ac:dyDescent="0.25">
      <c r="A62" t="s">
        <v>351</v>
      </c>
      <c r="B62" t="s">
        <v>101</v>
      </c>
      <c r="C62" t="s">
        <v>239</v>
      </c>
      <c r="D62" t="s">
        <v>393</v>
      </c>
      <c r="E62" t="s">
        <v>398</v>
      </c>
    </row>
    <row r="63" spans="1:5" x14ac:dyDescent="0.25">
      <c r="A63" t="s">
        <v>239</v>
      </c>
      <c r="B63" t="s">
        <v>101</v>
      </c>
      <c r="C63" t="s">
        <v>239</v>
      </c>
      <c r="D63" t="s">
        <v>399</v>
      </c>
      <c r="E63" t="s">
        <v>400</v>
      </c>
    </row>
    <row r="64" spans="1:5" x14ac:dyDescent="0.25">
      <c r="A64" t="s">
        <v>357</v>
      </c>
      <c r="B64" t="s">
        <v>101</v>
      </c>
      <c r="C64" t="s">
        <v>239</v>
      </c>
      <c r="D64" t="s">
        <v>401</v>
      </c>
      <c r="E64" t="s">
        <v>402</v>
      </c>
    </row>
    <row r="65" spans="1:5" x14ac:dyDescent="0.25">
      <c r="A65" t="s">
        <v>253</v>
      </c>
      <c r="B65" t="s">
        <v>101</v>
      </c>
      <c r="C65" t="s">
        <v>239</v>
      </c>
      <c r="D65" t="s">
        <v>403</v>
      </c>
      <c r="E65" t="s">
        <v>404</v>
      </c>
    </row>
    <row r="66" spans="1:5" x14ac:dyDescent="0.25">
      <c r="A66" t="s">
        <v>405</v>
      </c>
      <c r="B66" t="s">
        <v>101</v>
      </c>
      <c r="C66" t="s">
        <v>239</v>
      </c>
      <c r="D66" t="s">
        <v>393</v>
      </c>
      <c r="E66" t="s">
        <v>406</v>
      </c>
    </row>
    <row r="67" spans="1:5" x14ac:dyDescent="0.25">
      <c r="A67" t="s">
        <v>348</v>
      </c>
      <c r="B67" t="s">
        <v>101</v>
      </c>
      <c r="C67" t="s">
        <v>239</v>
      </c>
      <c r="D67" t="s">
        <v>401</v>
      </c>
      <c r="E67" t="s">
        <v>407</v>
      </c>
    </row>
    <row r="68" spans="1:5" x14ac:dyDescent="0.25">
      <c r="A68" t="s">
        <v>359</v>
      </c>
      <c r="B68" t="s">
        <v>101</v>
      </c>
      <c r="C68" t="s">
        <v>239</v>
      </c>
      <c r="D68" t="s">
        <v>393</v>
      </c>
      <c r="E68" t="s">
        <v>408</v>
      </c>
    </row>
    <row r="69" spans="1:5" x14ac:dyDescent="0.25">
      <c r="A69" t="s">
        <v>237</v>
      </c>
      <c r="B69" t="s">
        <v>101</v>
      </c>
      <c r="C69" t="s">
        <v>239</v>
      </c>
      <c r="D69" t="s">
        <v>409</v>
      </c>
      <c r="E69" t="s">
        <v>410</v>
      </c>
    </row>
    <row r="70" spans="1:5" x14ac:dyDescent="0.25">
      <c r="A70" t="s">
        <v>349</v>
      </c>
      <c r="B70" t="s">
        <v>101</v>
      </c>
      <c r="C70" t="s">
        <v>388</v>
      </c>
      <c r="D70" t="s">
        <v>411</v>
      </c>
      <c r="E70" t="s">
        <v>412</v>
      </c>
    </row>
    <row r="71" spans="1:5" x14ac:dyDescent="0.25">
      <c r="A71" t="s">
        <v>241</v>
      </c>
      <c r="B71" t="s">
        <v>101</v>
      </c>
      <c r="C71" t="s">
        <v>239</v>
      </c>
      <c r="D71" t="s">
        <v>393</v>
      </c>
      <c r="E71" t="s">
        <v>413</v>
      </c>
    </row>
    <row r="72" spans="1:5" x14ac:dyDescent="0.25">
      <c r="A72" t="s">
        <v>353</v>
      </c>
      <c r="B72" t="s">
        <v>101</v>
      </c>
      <c r="C72" t="s">
        <v>239</v>
      </c>
      <c r="D72" t="s">
        <v>414</v>
      </c>
      <c r="E72" t="s">
        <v>415</v>
      </c>
    </row>
    <row r="73" spans="1:5" x14ac:dyDescent="0.25">
      <c r="A73" t="s">
        <v>231</v>
      </c>
      <c r="B73" t="s">
        <v>101</v>
      </c>
      <c r="C73" t="s">
        <v>239</v>
      </c>
      <c r="D73" t="s">
        <v>416</v>
      </c>
      <c r="E73" t="s">
        <v>417</v>
      </c>
    </row>
    <row r="74" spans="1:5" x14ac:dyDescent="0.25">
      <c r="A74" t="s">
        <v>238</v>
      </c>
      <c r="B74" t="s">
        <v>101</v>
      </c>
      <c r="C74" t="s">
        <v>239</v>
      </c>
      <c r="D74" t="s">
        <v>418</v>
      </c>
      <c r="E74" t="s">
        <v>419</v>
      </c>
    </row>
    <row r="75" spans="1:5" x14ac:dyDescent="0.25">
      <c r="A75" t="s">
        <v>235</v>
      </c>
      <c r="B75" t="s">
        <v>101</v>
      </c>
      <c r="C75" t="s">
        <v>239</v>
      </c>
      <c r="D75" t="s">
        <v>401</v>
      </c>
      <c r="E75" t="s">
        <v>420</v>
      </c>
    </row>
    <row r="76" spans="1:5" x14ac:dyDescent="0.25">
      <c r="A76" t="s">
        <v>363</v>
      </c>
      <c r="B76" t="s">
        <v>101</v>
      </c>
      <c r="C76" t="s">
        <v>239</v>
      </c>
      <c r="D76" t="s">
        <v>421</v>
      </c>
      <c r="E76" t="s">
        <v>422</v>
      </c>
    </row>
    <row r="77" spans="1:5" x14ac:dyDescent="0.25">
      <c r="A77" t="s">
        <v>364</v>
      </c>
      <c r="B77" t="s">
        <v>101</v>
      </c>
      <c r="C77" t="s">
        <v>239</v>
      </c>
      <c r="D77" t="s">
        <v>393</v>
      </c>
      <c r="E77" t="s">
        <v>423</v>
      </c>
    </row>
    <row r="78" spans="1:5" x14ac:dyDescent="0.25">
      <c r="A78" t="s">
        <v>366</v>
      </c>
      <c r="B78" t="s">
        <v>101</v>
      </c>
      <c r="C78" t="s">
        <v>239</v>
      </c>
      <c r="D78" t="s">
        <v>401</v>
      </c>
      <c r="E78" t="s">
        <v>424</v>
      </c>
    </row>
    <row r="79" spans="1:5" x14ac:dyDescent="0.25">
      <c r="A79" t="s">
        <v>227</v>
      </c>
      <c r="B79" t="s">
        <v>101</v>
      </c>
      <c r="C79" t="s">
        <v>239</v>
      </c>
      <c r="D79" t="s">
        <v>391</v>
      </c>
      <c r="E79" t="s">
        <v>425</v>
      </c>
    </row>
    <row r="80" spans="1:5" x14ac:dyDescent="0.25">
      <c r="A80" t="s">
        <v>292</v>
      </c>
      <c r="B80" t="s">
        <v>101</v>
      </c>
      <c r="C80" t="s">
        <v>239</v>
      </c>
      <c r="D80" t="s">
        <v>426</v>
      </c>
      <c r="E80" t="s">
        <v>427</v>
      </c>
    </row>
    <row r="81" spans="1:5" x14ac:dyDescent="0.25">
      <c r="A81" t="s">
        <v>362</v>
      </c>
      <c r="B81" t="s">
        <v>101</v>
      </c>
      <c r="C81" t="s">
        <v>388</v>
      </c>
      <c r="D81" t="s">
        <v>428</v>
      </c>
      <c r="E81" t="s">
        <v>429</v>
      </c>
    </row>
    <row r="82" spans="1:5" x14ac:dyDescent="0.25">
      <c r="A82" t="s">
        <v>367</v>
      </c>
      <c r="B82" t="s">
        <v>101</v>
      </c>
      <c r="C82" t="s">
        <v>388</v>
      </c>
      <c r="D82" t="s">
        <v>428</v>
      </c>
      <c r="E82" t="s">
        <v>430</v>
      </c>
    </row>
    <row r="83" spans="1:5" x14ac:dyDescent="0.25">
      <c r="A83" t="s">
        <v>431</v>
      </c>
      <c r="B83" t="s">
        <v>101</v>
      </c>
      <c r="C83" t="s">
        <v>432</v>
      </c>
      <c r="D83" t="s">
        <v>433</v>
      </c>
      <c r="E83" t="s">
        <v>434</v>
      </c>
    </row>
    <row r="84" spans="1:5" x14ac:dyDescent="0.25">
      <c r="A84" t="s">
        <v>357</v>
      </c>
      <c r="B84" t="s">
        <v>119</v>
      </c>
      <c r="C84" t="s">
        <v>435</v>
      </c>
      <c r="D84" t="s">
        <v>436</v>
      </c>
      <c r="E84" t="s">
        <v>437</v>
      </c>
    </row>
    <row r="85" spans="1:5" x14ac:dyDescent="0.25">
      <c r="A85" t="s">
        <v>438</v>
      </c>
      <c r="B85" t="s">
        <v>119</v>
      </c>
      <c r="C85" t="s">
        <v>435</v>
      </c>
      <c r="D85" t="s">
        <v>439</v>
      </c>
      <c r="E85" t="s">
        <v>440</v>
      </c>
    </row>
    <row r="86" spans="1:5" x14ac:dyDescent="0.25">
      <c r="A86" t="s">
        <v>347</v>
      </c>
      <c r="B86" t="s">
        <v>119</v>
      </c>
      <c r="C86" t="s">
        <v>435</v>
      </c>
      <c r="D86" t="s">
        <v>441</v>
      </c>
      <c r="E86" t="s">
        <v>442</v>
      </c>
    </row>
    <row r="87" spans="1:5" x14ac:dyDescent="0.25">
      <c r="A87" t="s">
        <v>354</v>
      </c>
      <c r="B87" t="s">
        <v>119</v>
      </c>
      <c r="C87" t="s">
        <v>435</v>
      </c>
      <c r="D87" t="s">
        <v>443</v>
      </c>
      <c r="E87" t="s">
        <v>444</v>
      </c>
    </row>
    <row r="88" spans="1:5" x14ac:dyDescent="0.25">
      <c r="A88" t="s">
        <v>356</v>
      </c>
      <c r="B88" t="s">
        <v>119</v>
      </c>
      <c r="C88" t="s">
        <v>435</v>
      </c>
      <c r="D88" t="s">
        <v>445</v>
      </c>
      <c r="E88" t="s">
        <v>446</v>
      </c>
    </row>
    <row r="89" spans="1:5" x14ac:dyDescent="0.25">
      <c r="A89" t="s">
        <v>447</v>
      </c>
      <c r="B89" t="s">
        <v>119</v>
      </c>
      <c r="C89" t="s">
        <v>435</v>
      </c>
      <c r="D89" t="s">
        <v>448</v>
      </c>
      <c r="E89" t="s">
        <v>449</v>
      </c>
    </row>
    <row r="90" spans="1:5" x14ac:dyDescent="0.25">
      <c r="A90" t="s">
        <v>362</v>
      </c>
      <c r="B90" t="s">
        <v>119</v>
      </c>
      <c r="C90" t="s">
        <v>435</v>
      </c>
      <c r="D90" t="s">
        <v>450</v>
      </c>
      <c r="E90" t="s">
        <v>451</v>
      </c>
    </row>
    <row r="91" spans="1:5" x14ac:dyDescent="0.25">
      <c r="A91" t="s">
        <v>452</v>
      </c>
      <c r="B91" t="s">
        <v>119</v>
      </c>
      <c r="C91" t="s">
        <v>435</v>
      </c>
      <c r="D91" t="s">
        <v>453</v>
      </c>
      <c r="E91" t="s">
        <v>454</v>
      </c>
    </row>
    <row r="92" spans="1:5" x14ac:dyDescent="0.25">
      <c r="A92" t="s">
        <v>367</v>
      </c>
      <c r="B92" t="s">
        <v>119</v>
      </c>
      <c r="C92" t="s">
        <v>435</v>
      </c>
      <c r="D92" t="s">
        <v>455</v>
      </c>
      <c r="E92" t="s">
        <v>456</v>
      </c>
    </row>
    <row r="93" spans="1:5" x14ac:dyDescent="0.25">
      <c r="A93" t="s">
        <v>241</v>
      </c>
      <c r="B93" t="s">
        <v>119</v>
      </c>
      <c r="C93" t="s">
        <v>457</v>
      </c>
      <c r="D93" t="s">
        <v>458</v>
      </c>
      <c r="E93" t="s">
        <v>459</v>
      </c>
    </row>
    <row r="94" spans="1:5" x14ac:dyDescent="0.25">
      <c r="A94" t="s">
        <v>324</v>
      </c>
      <c r="B94" t="s">
        <v>119</v>
      </c>
      <c r="C94" t="s">
        <v>457</v>
      </c>
      <c r="D94" t="s">
        <v>460</v>
      </c>
      <c r="E94" t="s">
        <v>461</v>
      </c>
    </row>
    <row r="95" spans="1:5" x14ac:dyDescent="0.25">
      <c r="A95" t="s">
        <v>358</v>
      </c>
      <c r="B95" t="s">
        <v>119</v>
      </c>
      <c r="C95" t="s">
        <v>457</v>
      </c>
      <c r="D95" t="s">
        <v>462</v>
      </c>
      <c r="E95" t="s">
        <v>463</v>
      </c>
    </row>
    <row r="96" spans="1:5" x14ac:dyDescent="0.25">
      <c r="A96" t="s">
        <v>232</v>
      </c>
      <c r="B96" t="s">
        <v>82</v>
      </c>
      <c r="C96" t="s">
        <v>435</v>
      </c>
      <c r="D96" t="s">
        <v>464</v>
      </c>
      <c r="E96" t="s">
        <v>465</v>
      </c>
    </row>
    <row r="97" spans="1:5" x14ac:dyDescent="0.25">
      <c r="A97" t="s">
        <v>350</v>
      </c>
      <c r="B97" t="s">
        <v>82</v>
      </c>
      <c r="C97" t="s">
        <v>435</v>
      </c>
      <c r="D97" t="s">
        <v>466</v>
      </c>
      <c r="E97" t="s">
        <v>467</v>
      </c>
    </row>
    <row r="98" spans="1:5" x14ac:dyDescent="0.25">
      <c r="A98" t="s">
        <v>241</v>
      </c>
      <c r="B98" t="s">
        <v>82</v>
      </c>
      <c r="C98" t="s">
        <v>435</v>
      </c>
      <c r="D98" t="s">
        <v>468</v>
      </c>
      <c r="E98" t="s">
        <v>469</v>
      </c>
    </row>
    <row r="99" spans="1:5" x14ac:dyDescent="0.25">
      <c r="A99" t="s">
        <v>253</v>
      </c>
      <c r="B99" t="s">
        <v>82</v>
      </c>
      <c r="C99" t="s">
        <v>435</v>
      </c>
      <c r="D99" t="s">
        <v>470</v>
      </c>
      <c r="E99" t="s">
        <v>471</v>
      </c>
    </row>
    <row r="100" spans="1:5" x14ac:dyDescent="0.25">
      <c r="A100" t="s">
        <v>359</v>
      </c>
      <c r="B100" t="s">
        <v>82</v>
      </c>
      <c r="C100" t="s">
        <v>435</v>
      </c>
      <c r="D100" t="s">
        <v>472</v>
      </c>
      <c r="E100" t="s">
        <v>473</v>
      </c>
    </row>
    <row r="101" spans="1:5" x14ac:dyDescent="0.25">
      <c r="A101" t="s">
        <v>231</v>
      </c>
      <c r="B101" t="s">
        <v>82</v>
      </c>
      <c r="C101" t="s">
        <v>435</v>
      </c>
      <c r="D101" t="s">
        <v>474</v>
      </c>
      <c r="E101" t="s">
        <v>475</v>
      </c>
    </row>
    <row r="102" spans="1:5" x14ac:dyDescent="0.25">
      <c r="A102" t="s">
        <v>476</v>
      </c>
      <c r="B102" t="s">
        <v>82</v>
      </c>
      <c r="C102" t="s">
        <v>435</v>
      </c>
      <c r="D102" t="s">
        <v>477</v>
      </c>
      <c r="E102" t="s">
        <v>478</v>
      </c>
    </row>
    <row r="103" spans="1:5" x14ac:dyDescent="0.25">
      <c r="A103" t="s">
        <v>148</v>
      </c>
      <c r="B103" t="s">
        <v>79</v>
      </c>
      <c r="C103" t="s">
        <v>479</v>
      </c>
      <c r="D103" t="s">
        <v>480</v>
      </c>
      <c r="E103" t="s">
        <v>481</v>
      </c>
    </row>
    <row r="104" spans="1:5" x14ac:dyDescent="0.25">
      <c r="A104" t="s">
        <v>228</v>
      </c>
      <c r="B104" t="s">
        <v>79</v>
      </c>
      <c r="C104" t="s">
        <v>482</v>
      </c>
      <c r="D104" t="s">
        <v>483</v>
      </c>
      <c r="E104" t="s">
        <v>484</v>
      </c>
    </row>
    <row r="105" spans="1:5" x14ac:dyDescent="0.25">
      <c r="A105" t="s">
        <v>237</v>
      </c>
      <c r="B105" t="s">
        <v>79</v>
      </c>
      <c r="C105" t="s">
        <v>485</v>
      </c>
      <c r="D105" t="s">
        <v>486</v>
      </c>
      <c r="E105" t="s">
        <v>487</v>
      </c>
    </row>
    <row r="106" spans="1:5" x14ac:dyDescent="0.25">
      <c r="A106" t="s">
        <v>239</v>
      </c>
      <c r="B106" t="s">
        <v>79</v>
      </c>
      <c r="C106" t="s">
        <v>488</v>
      </c>
      <c r="D106" t="s">
        <v>489</v>
      </c>
      <c r="E106" t="s">
        <v>490</v>
      </c>
    </row>
    <row r="107" spans="1:5" x14ac:dyDescent="0.25">
      <c r="A107" t="s">
        <v>335</v>
      </c>
      <c r="B107" t="s">
        <v>79</v>
      </c>
      <c r="C107" t="s">
        <v>491</v>
      </c>
      <c r="D107" t="s">
        <v>492</v>
      </c>
      <c r="E107" t="s">
        <v>493</v>
      </c>
    </row>
    <row r="108" spans="1:5" x14ac:dyDescent="0.25">
      <c r="A108" t="s">
        <v>235</v>
      </c>
      <c r="B108" t="s">
        <v>79</v>
      </c>
      <c r="C108" t="s">
        <v>494</v>
      </c>
      <c r="D108" t="s">
        <v>495</v>
      </c>
      <c r="E108" t="s">
        <v>496</v>
      </c>
    </row>
    <row r="109" spans="1:5" x14ac:dyDescent="0.25">
      <c r="A109" t="s">
        <v>324</v>
      </c>
      <c r="B109" t="s">
        <v>79</v>
      </c>
      <c r="C109" t="s">
        <v>497</v>
      </c>
      <c r="D109" t="s">
        <v>498</v>
      </c>
      <c r="E109" t="s">
        <v>499</v>
      </c>
    </row>
    <row r="110" spans="1:5" x14ac:dyDescent="0.25">
      <c r="A110" t="s">
        <v>367</v>
      </c>
      <c r="B110" t="s">
        <v>79</v>
      </c>
      <c r="C110" t="s">
        <v>500</v>
      </c>
      <c r="D110" t="s">
        <v>501</v>
      </c>
      <c r="E110" t="s">
        <v>502</v>
      </c>
    </row>
    <row r="111" spans="1:5" x14ac:dyDescent="0.25">
      <c r="A111" t="s">
        <v>359</v>
      </c>
      <c r="B111" s="97">
        <v>46254</v>
      </c>
      <c r="C111" t="s">
        <v>505</v>
      </c>
      <c r="D111" t="s">
        <v>506</v>
      </c>
      <c r="E111" t="s">
        <v>507</v>
      </c>
    </row>
    <row r="112" spans="1:5" x14ac:dyDescent="0.25">
      <c r="A112" t="s">
        <v>504</v>
      </c>
      <c r="B112" s="97">
        <v>46254</v>
      </c>
      <c r="C112" t="s">
        <v>508</v>
      </c>
      <c r="D112" t="s">
        <v>509</v>
      </c>
      <c r="E112" t="s">
        <v>510</v>
      </c>
    </row>
    <row r="113" spans="1:5" x14ac:dyDescent="0.25">
      <c r="A113" t="s">
        <v>504</v>
      </c>
      <c r="B113" s="97">
        <v>46254</v>
      </c>
      <c r="C113" t="s">
        <v>512</v>
      </c>
      <c r="D113" t="s">
        <v>513</v>
      </c>
      <c r="E113" t="s">
        <v>514</v>
      </c>
    </row>
    <row r="114" spans="1:5" x14ac:dyDescent="0.25">
      <c r="A114" t="s">
        <v>359</v>
      </c>
      <c r="B114" s="97">
        <v>46254</v>
      </c>
      <c r="C114" t="s">
        <v>515</v>
      </c>
      <c r="D114" t="s">
        <v>516</v>
      </c>
      <c r="E114" t="s">
        <v>517</v>
      </c>
    </row>
    <row r="115" spans="1:5" x14ac:dyDescent="0.25">
      <c r="A115" t="s">
        <v>518</v>
      </c>
      <c r="B115" s="97">
        <v>46255</v>
      </c>
      <c r="C115" t="s">
        <v>526</v>
      </c>
      <c r="D115" t="s">
        <v>527</v>
      </c>
      <c r="E115" t="s">
        <v>528</v>
      </c>
    </row>
    <row r="116" spans="1:5" x14ac:dyDescent="0.25">
      <c r="A116" t="s">
        <v>521</v>
      </c>
      <c r="B116" s="97">
        <v>46255</v>
      </c>
      <c r="C116" t="s">
        <v>529</v>
      </c>
      <c r="D116" t="s">
        <v>530</v>
      </c>
      <c r="E116" t="s">
        <v>531</v>
      </c>
    </row>
    <row r="117" spans="1:5" x14ac:dyDescent="0.25">
      <c r="A117" t="s">
        <v>523</v>
      </c>
      <c r="B117" s="97">
        <v>46255</v>
      </c>
      <c r="C117" t="s">
        <v>532</v>
      </c>
      <c r="D117" t="s">
        <v>533</v>
      </c>
      <c r="E117" t="s">
        <v>534</v>
      </c>
    </row>
    <row r="118" spans="1:5" x14ac:dyDescent="0.25">
      <c r="A118" t="s">
        <v>525</v>
      </c>
      <c r="B118" s="97">
        <v>46255</v>
      </c>
      <c r="C118" t="s">
        <v>535</v>
      </c>
      <c r="D118" t="s">
        <v>536</v>
      </c>
      <c r="E118" t="s">
        <v>537</v>
      </c>
    </row>
    <row r="119" spans="1:5" x14ac:dyDescent="0.25">
      <c r="A119" t="s">
        <v>359</v>
      </c>
      <c r="B119" s="97">
        <v>46255</v>
      </c>
      <c r="C119" t="s">
        <v>538</v>
      </c>
      <c r="D119" t="s">
        <v>539</v>
      </c>
      <c r="E119" t="s">
        <v>540</v>
      </c>
    </row>
    <row r="120" spans="1:5" x14ac:dyDescent="0.25">
      <c r="A120" t="s">
        <v>354</v>
      </c>
      <c r="B120" s="97">
        <v>46255</v>
      </c>
      <c r="C120" t="s">
        <v>541</v>
      </c>
      <c r="D120" t="s">
        <v>539</v>
      </c>
      <c r="E120" t="s">
        <v>542</v>
      </c>
    </row>
    <row r="121" spans="1:5" x14ac:dyDescent="0.25">
      <c r="A121" t="s">
        <v>353</v>
      </c>
      <c r="B121" s="97">
        <v>46255</v>
      </c>
      <c r="C121" t="s">
        <v>543</v>
      </c>
      <c r="D121" t="s">
        <v>539</v>
      </c>
      <c r="E121" t="s">
        <v>544</v>
      </c>
    </row>
    <row r="122" spans="1:5" x14ac:dyDescent="0.25">
      <c r="A122" t="s">
        <v>306</v>
      </c>
      <c r="B122" s="97">
        <v>46255</v>
      </c>
      <c r="C122" t="s">
        <v>545</v>
      </c>
      <c r="D122" t="s">
        <v>539</v>
      </c>
      <c r="E122" t="s">
        <v>546</v>
      </c>
    </row>
    <row r="123" spans="1:5" x14ac:dyDescent="0.25">
      <c r="A123" t="s">
        <v>234</v>
      </c>
      <c r="B123" s="97">
        <v>46255</v>
      </c>
      <c r="C123" t="s">
        <v>545</v>
      </c>
      <c r="D123" t="s">
        <v>539</v>
      </c>
      <c r="E123" t="s">
        <v>547</v>
      </c>
    </row>
    <row r="124" spans="1:5" x14ac:dyDescent="0.25">
      <c r="A124" t="s">
        <v>238</v>
      </c>
      <c r="B124" s="97">
        <v>46255</v>
      </c>
      <c r="C124" t="s">
        <v>548</v>
      </c>
      <c r="D124" t="s">
        <v>539</v>
      </c>
      <c r="E124" t="s">
        <v>549</v>
      </c>
    </row>
    <row r="125" spans="1:5" x14ac:dyDescent="0.25">
      <c r="A125" t="s">
        <v>364</v>
      </c>
      <c r="B125" s="97">
        <v>46255</v>
      </c>
      <c r="C125" t="s">
        <v>550</v>
      </c>
      <c r="D125" t="s">
        <v>539</v>
      </c>
      <c r="E125" t="s">
        <v>551</v>
      </c>
    </row>
    <row r="126" spans="1:5" x14ac:dyDescent="0.25">
      <c r="A126" t="s">
        <v>363</v>
      </c>
      <c r="B126" s="97">
        <v>46255</v>
      </c>
      <c r="C126" t="s">
        <v>552</v>
      </c>
      <c r="D126" t="s">
        <v>539</v>
      </c>
      <c r="E126" t="s">
        <v>553</v>
      </c>
    </row>
    <row r="127" spans="1:5" x14ac:dyDescent="0.25">
      <c r="A127" t="s">
        <v>447</v>
      </c>
      <c r="B127" s="97">
        <v>46255</v>
      </c>
      <c r="C127" t="s">
        <v>552</v>
      </c>
      <c r="D127" t="s">
        <v>539</v>
      </c>
      <c r="E127" t="s">
        <v>554</v>
      </c>
    </row>
    <row r="128" spans="1:5" x14ac:dyDescent="0.25">
      <c r="A128" t="s">
        <v>347</v>
      </c>
      <c r="B128" s="97">
        <v>46255</v>
      </c>
      <c r="C128" t="s">
        <v>552</v>
      </c>
      <c r="D128" t="s">
        <v>539</v>
      </c>
      <c r="E128" t="s">
        <v>555</v>
      </c>
    </row>
    <row r="129" spans="1:5" x14ac:dyDescent="0.25">
      <c r="A129" t="s">
        <v>523</v>
      </c>
      <c r="B129" s="97">
        <v>46255</v>
      </c>
      <c r="C129" t="s">
        <v>552</v>
      </c>
      <c r="D129" t="s">
        <v>539</v>
      </c>
      <c r="E129" t="s">
        <v>556</v>
      </c>
    </row>
    <row r="130" spans="1:5" x14ac:dyDescent="0.25">
      <c r="A130" t="s">
        <v>324</v>
      </c>
      <c r="B130" s="97">
        <v>46255</v>
      </c>
      <c r="C130" t="s">
        <v>552</v>
      </c>
      <c r="D130" t="s">
        <v>539</v>
      </c>
      <c r="E130" t="s">
        <v>557</v>
      </c>
    </row>
    <row r="131" spans="1:5" x14ac:dyDescent="0.25">
      <c r="A131" t="s">
        <v>525</v>
      </c>
      <c r="B131" s="97">
        <v>46255</v>
      </c>
      <c r="C131" t="s">
        <v>552</v>
      </c>
      <c r="D131" t="s">
        <v>539</v>
      </c>
      <c r="E131" t="s">
        <v>558</v>
      </c>
    </row>
    <row r="132" spans="1:5" x14ac:dyDescent="0.25">
      <c r="A132" t="s">
        <v>236</v>
      </c>
      <c r="B132" s="97">
        <v>46255</v>
      </c>
      <c r="C132" t="s">
        <v>559</v>
      </c>
      <c r="D132" t="s">
        <v>539</v>
      </c>
      <c r="E132" t="s">
        <v>560</v>
      </c>
    </row>
    <row r="133" spans="1:5" x14ac:dyDescent="0.25">
      <c r="A133" t="s">
        <v>243</v>
      </c>
      <c r="B133" s="97">
        <v>46255</v>
      </c>
      <c r="C133" t="s">
        <v>559</v>
      </c>
      <c r="D133" t="s">
        <v>539</v>
      </c>
      <c r="E133" t="s">
        <v>561</v>
      </c>
    </row>
    <row r="134" spans="1:5" x14ac:dyDescent="0.25">
      <c r="A134" t="s">
        <v>254</v>
      </c>
      <c r="B134" s="97">
        <v>46255</v>
      </c>
      <c r="C134" t="s">
        <v>559</v>
      </c>
      <c r="D134" t="s">
        <v>539</v>
      </c>
      <c r="E134" t="s">
        <v>562</v>
      </c>
    </row>
    <row r="135" spans="1:5" x14ac:dyDescent="0.25">
      <c r="A135" t="s">
        <v>358</v>
      </c>
      <c r="B135" s="97">
        <v>46255</v>
      </c>
      <c r="C135" t="s">
        <v>559</v>
      </c>
      <c r="D135" t="s">
        <v>539</v>
      </c>
      <c r="E135" t="s">
        <v>563</v>
      </c>
    </row>
    <row r="136" spans="1:5" x14ac:dyDescent="0.25">
      <c r="A136" t="s">
        <v>319</v>
      </c>
      <c r="B136" s="97">
        <v>46255</v>
      </c>
      <c r="C136" t="s">
        <v>564</v>
      </c>
      <c r="D136" t="s">
        <v>539</v>
      </c>
      <c r="E136" t="s">
        <v>565</v>
      </c>
    </row>
    <row r="137" spans="1:5" x14ac:dyDescent="0.25">
      <c r="A137" t="s">
        <v>367</v>
      </c>
      <c r="B137" s="97">
        <v>46255</v>
      </c>
      <c r="C137" t="s">
        <v>566</v>
      </c>
      <c r="D137" t="s">
        <v>539</v>
      </c>
      <c r="E137" t="s">
        <v>567</v>
      </c>
    </row>
    <row r="138" spans="1:5" x14ac:dyDescent="0.25">
      <c r="A138" t="s">
        <v>431</v>
      </c>
      <c r="B138" s="97">
        <v>46255</v>
      </c>
      <c r="C138" t="s">
        <v>568</v>
      </c>
      <c r="D138" t="s">
        <v>539</v>
      </c>
      <c r="E138" t="s">
        <v>569</v>
      </c>
    </row>
    <row r="139" spans="1:5" x14ac:dyDescent="0.25">
      <c r="A139" t="s">
        <v>431</v>
      </c>
      <c r="B139" s="97">
        <v>46255</v>
      </c>
      <c r="C139" t="s">
        <v>575</v>
      </c>
      <c r="D139" t="s">
        <v>576</v>
      </c>
      <c r="E139" t="s">
        <v>577</v>
      </c>
    </row>
    <row r="140" spans="1:5" x14ac:dyDescent="0.25">
      <c r="A140" t="s">
        <v>296</v>
      </c>
      <c r="B140" s="97">
        <v>46255</v>
      </c>
      <c r="C140" t="s">
        <v>581</v>
      </c>
      <c r="D140" t="s">
        <v>582</v>
      </c>
      <c r="E140" t="s">
        <v>583</v>
      </c>
    </row>
    <row r="141" spans="1:5" x14ac:dyDescent="0.25">
      <c r="A141" t="s">
        <v>504</v>
      </c>
      <c r="B141" s="97">
        <v>46255</v>
      </c>
      <c r="C141" t="s">
        <v>584</v>
      </c>
      <c r="D141" t="s">
        <v>582</v>
      </c>
      <c r="E141" t="s">
        <v>585</v>
      </c>
    </row>
    <row r="142" spans="1:5" x14ac:dyDescent="0.25">
      <c r="A142" t="s">
        <v>146</v>
      </c>
      <c r="B142" s="97">
        <v>46255</v>
      </c>
      <c r="C142" t="s">
        <v>586</v>
      </c>
      <c r="D142" t="s">
        <v>582</v>
      </c>
      <c r="E142" t="s">
        <v>587</v>
      </c>
    </row>
    <row r="143" spans="1:5" x14ac:dyDescent="0.25">
      <c r="A143" t="s">
        <v>366</v>
      </c>
      <c r="B143" s="97">
        <v>46255</v>
      </c>
      <c r="C143" t="s">
        <v>588</v>
      </c>
      <c r="D143" t="s">
        <v>582</v>
      </c>
      <c r="E143" t="s">
        <v>589</v>
      </c>
    </row>
    <row r="144" spans="1:5" x14ac:dyDescent="0.25">
      <c r="A144" t="s">
        <v>319</v>
      </c>
      <c r="B144" s="97">
        <v>46255</v>
      </c>
      <c r="C144" t="s">
        <v>564</v>
      </c>
      <c r="D144" t="s">
        <v>582</v>
      </c>
      <c r="E144" t="s">
        <v>590</v>
      </c>
    </row>
    <row r="145" spans="1:5" x14ac:dyDescent="0.25">
      <c r="A145" t="s">
        <v>431</v>
      </c>
      <c r="B145" s="97">
        <v>46255</v>
      </c>
      <c r="C145" t="s">
        <v>591</v>
      </c>
      <c r="D145" t="s">
        <v>582</v>
      </c>
      <c r="E145" t="s">
        <v>592</v>
      </c>
    </row>
    <row r="146" spans="1:5" x14ac:dyDescent="0.25">
      <c r="A146" t="s">
        <v>232</v>
      </c>
      <c r="B146" s="97">
        <v>46256</v>
      </c>
      <c r="C146" t="s">
        <v>593</v>
      </c>
      <c r="D146" t="s">
        <v>594</v>
      </c>
      <c r="E146" t="s">
        <v>595</v>
      </c>
    </row>
    <row r="147" spans="1:5" x14ac:dyDescent="0.25">
      <c r="A147" t="s">
        <v>229</v>
      </c>
      <c r="B147" s="97">
        <v>46256</v>
      </c>
      <c r="C147" t="s">
        <v>596</v>
      </c>
      <c r="D147" t="s">
        <v>597</v>
      </c>
      <c r="E147" t="s">
        <v>598</v>
      </c>
    </row>
    <row r="148" spans="1:5" x14ac:dyDescent="0.25">
      <c r="A148" t="s">
        <v>236</v>
      </c>
      <c r="B148" s="97">
        <v>46256</v>
      </c>
      <c r="C148" t="s">
        <v>599</v>
      </c>
      <c r="D148" t="s">
        <v>600</v>
      </c>
      <c r="E148" t="s">
        <v>601</v>
      </c>
    </row>
    <row r="149" spans="1:5" x14ac:dyDescent="0.25">
      <c r="A149" t="s">
        <v>244</v>
      </c>
      <c r="B149" s="97">
        <v>46256</v>
      </c>
      <c r="C149" t="s">
        <v>602</v>
      </c>
      <c r="D149" t="s">
        <v>603</v>
      </c>
      <c r="E149" t="s">
        <v>604</v>
      </c>
    </row>
    <row r="150" spans="1:5" x14ac:dyDescent="0.25">
      <c r="A150" t="s">
        <v>232</v>
      </c>
      <c r="B150" s="97">
        <v>46256</v>
      </c>
      <c r="C150" t="s">
        <v>605</v>
      </c>
      <c r="D150" t="s">
        <v>606</v>
      </c>
      <c r="E150" t="s">
        <v>607</v>
      </c>
    </row>
    <row r="151" spans="1:5" x14ac:dyDescent="0.25">
      <c r="A151" t="s">
        <v>229</v>
      </c>
      <c r="B151" s="97">
        <v>46256</v>
      </c>
      <c r="C151" t="s">
        <v>616</v>
      </c>
      <c r="D151" t="s">
        <v>617</v>
      </c>
      <c r="E151" t="s">
        <v>618</v>
      </c>
    </row>
    <row r="152" spans="1:5" x14ac:dyDescent="0.25">
      <c r="A152" t="s">
        <v>232</v>
      </c>
      <c r="B152" s="97">
        <v>46256</v>
      </c>
      <c r="C152" t="s">
        <v>616</v>
      </c>
      <c r="D152" t="s">
        <v>617</v>
      </c>
      <c r="E152" t="s">
        <v>619</v>
      </c>
    </row>
    <row r="153" spans="1:5" x14ac:dyDescent="0.25">
      <c r="A153" t="s">
        <v>146</v>
      </c>
      <c r="B153" s="97">
        <v>46256</v>
      </c>
      <c r="C153" t="s">
        <v>620</v>
      </c>
      <c r="D153" t="s">
        <v>617</v>
      </c>
      <c r="E153" t="s">
        <v>621</v>
      </c>
    </row>
    <row r="154" spans="1:5" x14ac:dyDescent="0.25">
      <c r="A154" t="s">
        <v>233</v>
      </c>
      <c r="B154" s="97">
        <v>46256</v>
      </c>
      <c r="C154" t="s">
        <v>622</v>
      </c>
      <c r="D154" t="s">
        <v>623</v>
      </c>
      <c r="E154" t="s">
        <v>624</v>
      </c>
    </row>
    <row r="155" spans="1:5" x14ac:dyDescent="0.25">
      <c r="A155" t="s">
        <v>239</v>
      </c>
      <c r="B155" s="97">
        <v>46256</v>
      </c>
      <c r="C155" t="s">
        <v>625</v>
      </c>
      <c r="D155" t="s">
        <v>623</v>
      </c>
      <c r="E155" t="s">
        <v>626</v>
      </c>
    </row>
    <row r="156" spans="1:5" x14ac:dyDescent="0.25">
      <c r="A156" t="s">
        <v>243</v>
      </c>
      <c r="B156" s="97">
        <v>46256</v>
      </c>
      <c r="C156" t="s">
        <v>599</v>
      </c>
      <c r="D156" t="s">
        <v>623</v>
      </c>
      <c r="E156" t="s">
        <v>627</v>
      </c>
    </row>
    <row r="157" spans="1:5" x14ac:dyDescent="0.25">
      <c r="A157" t="s">
        <v>247</v>
      </c>
      <c r="B157" s="97">
        <v>46256</v>
      </c>
      <c r="C157" t="s">
        <v>628</v>
      </c>
      <c r="D157" t="s">
        <v>623</v>
      </c>
      <c r="E157" t="s">
        <v>629</v>
      </c>
    </row>
    <row r="158" spans="1:5" x14ac:dyDescent="0.25">
      <c r="A158" t="s">
        <v>232</v>
      </c>
      <c r="B158" s="97">
        <v>46256</v>
      </c>
      <c r="C158" t="s">
        <v>640</v>
      </c>
      <c r="D158" t="s">
        <v>641</v>
      </c>
      <c r="E158" t="s">
        <v>642</v>
      </c>
    </row>
    <row r="159" spans="1:5" x14ac:dyDescent="0.25">
      <c r="A159" t="s">
        <v>236</v>
      </c>
      <c r="B159" s="97">
        <v>46256</v>
      </c>
      <c r="C159" t="s">
        <v>643</v>
      </c>
      <c r="D159" t="s">
        <v>641</v>
      </c>
      <c r="E159" t="s">
        <v>644</v>
      </c>
    </row>
    <row r="160" spans="1:5" x14ac:dyDescent="0.25">
      <c r="A160" t="s">
        <v>243</v>
      </c>
      <c r="B160" s="97">
        <v>46256</v>
      </c>
      <c r="C160" t="s">
        <v>645</v>
      </c>
      <c r="D160" t="s">
        <v>641</v>
      </c>
      <c r="E160" t="s">
        <v>646</v>
      </c>
    </row>
    <row r="161" spans="1:5" x14ac:dyDescent="0.25">
      <c r="A161" t="s">
        <v>146</v>
      </c>
      <c r="B161" s="97">
        <v>46256</v>
      </c>
      <c r="C161" t="s">
        <v>647</v>
      </c>
      <c r="D161" t="s">
        <v>641</v>
      </c>
      <c r="E161" t="s">
        <v>648</v>
      </c>
    </row>
    <row r="162" spans="1:5" x14ac:dyDescent="0.25">
      <c r="A162" t="s">
        <v>239</v>
      </c>
      <c r="B162" s="97">
        <v>46256</v>
      </c>
      <c r="C162" t="s">
        <v>647</v>
      </c>
      <c r="D162" t="s">
        <v>641</v>
      </c>
      <c r="E162" t="s">
        <v>649</v>
      </c>
    </row>
    <row r="163" spans="1:5" x14ac:dyDescent="0.25">
      <c r="A163" t="s">
        <v>229</v>
      </c>
      <c r="B163" s="97">
        <v>46256</v>
      </c>
      <c r="C163" t="s">
        <v>650</v>
      </c>
      <c r="D163" t="s">
        <v>641</v>
      </c>
      <c r="E163" t="s">
        <v>651</v>
      </c>
    </row>
    <row r="164" spans="1:5" x14ac:dyDescent="0.25">
      <c r="A164" t="s">
        <v>431</v>
      </c>
      <c r="B164" s="97">
        <v>46256</v>
      </c>
      <c r="C164" t="s">
        <v>652</v>
      </c>
      <c r="D164" t="s">
        <v>641</v>
      </c>
      <c r="E164" t="s">
        <v>653</v>
      </c>
    </row>
    <row r="165" spans="1:5" x14ac:dyDescent="0.25">
      <c r="A165" t="s">
        <v>431</v>
      </c>
      <c r="B165">
        <v>46259</v>
      </c>
      <c r="C165" t="s">
        <v>662</v>
      </c>
      <c r="D165" t="s">
        <v>663</v>
      </c>
      <c r="E165" t="s">
        <v>664</v>
      </c>
    </row>
    <row r="166" spans="1:5" x14ac:dyDescent="0.25">
      <c r="A166" t="s">
        <v>254</v>
      </c>
      <c r="B166">
        <v>46259</v>
      </c>
      <c r="C166" t="s">
        <v>665</v>
      </c>
      <c r="D166" t="s">
        <v>666</v>
      </c>
      <c r="E166" t="s">
        <v>667</v>
      </c>
    </row>
    <row r="167" spans="1:5" x14ac:dyDescent="0.25">
      <c r="A167" t="s">
        <v>238</v>
      </c>
      <c r="B167">
        <v>46259</v>
      </c>
      <c r="C167" t="s">
        <v>668</v>
      </c>
      <c r="D167" t="s">
        <v>669</v>
      </c>
      <c r="E167" t="s">
        <v>670</v>
      </c>
    </row>
    <row r="168" spans="1:5" x14ac:dyDescent="0.25">
      <c r="A168" t="s">
        <v>319</v>
      </c>
      <c r="B168">
        <v>46259</v>
      </c>
      <c r="C168" t="s">
        <v>668</v>
      </c>
      <c r="D168" t="s">
        <v>671</v>
      </c>
      <c r="E168" t="s">
        <v>672</v>
      </c>
    </row>
    <row r="169" spans="1:5" x14ac:dyDescent="0.25">
      <c r="A169" t="s">
        <v>348</v>
      </c>
      <c r="B169">
        <v>46259</v>
      </c>
      <c r="C169" t="s">
        <v>668</v>
      </c>
      <c r="D169" t="s">
        <v>673</v>
      </c>
      <c r="E169" t="s">
        <v>674</v>
      </c>
    </row>
    <row r="170" spans="1:5" x14ac:dyDescent="0.25">
      <c r="A170" t="s">
        <v>349</v>
      </c>
      <c r="B170">
        <v>46259</v>
      </c>
      <c r="C170" t="s">
        <v>668</v>
      </c>
      <c r="D170" t="s">
        <v>675</v>
      </c>
      <c r="E170" t="s">
        <v>676</v>
      </c>
    </row>
    <row r="171" spans="1:5" x14ac:dyDescent="0.25">
      <c r="A171" t="s">
        <v>351</v>
      </c>
      <c r="B171">
        <v>46259</v>
      </c>
      <c r="C171" t="s">
        <v>665</v>
      </c>
      <c r="D171" t="s">
        <v>677</v>
      </c>
      <c r="E171" t="s">
        <v>678</v>
      </c>
    </row>
    <row r="172" spans="1:5" x14ac:dyDescent="0.25">
      <c r="A172" t="s">
        <v>353</v>
      </c>
      <c r="B172">
        <v>46259</v>
      </c>
      <c r="C172" t="s">
        <v>668</v>
      </c>
      <c r="D172" t="s">
        <v>669</v>
      </c>
      <c r="E172" t="s">
        <v>679</v>
      </c>
    </row>
    <row r="173" spans="1:5" x14ac:dyDescent="0.25">
      <c r="A173" t="s">
        <v>680</v>
      </c>
      <c r="B173">
        <v>46259</v>
      </c>
      <c r="C173" t="s">
        <v>681</v>
      </c>
      <c r="D173" t="s">
        <v>682</v>
      </c>
      <c r="E173" t="s">
        <v>683</v>
      </c>
    </row>
    <row r="174" spans="1:5" x14ac:dyDescent="0.25">
      <c r="A174" t="s">
        <v>684</v>
      </c>
      <c r="B174">
        <v>46259</v>
      </c>
      <c r="C174" t="s">
        <v>685</v>
      </c>
      <c r="D174" t="s">
        <v>686</v>
      </c>
      <c r="E174" t="s">
        <v>687</v>
      </c>
    </row>
    <row r="175" spans="1:5" x14ac:dyDescent="0.25">
      <c r="A175" t="s">
        <v>358</v>
      </c>
      <c r="B175">
        <v>46259</v>
      </c>
      <c r="C175" t="s">
        <v>688</v>
      </c>
      <c r="D175" t="s">
        <v>689</v>
      </c>
      <c r="E175" t="s">
        <v>690</v>
      </c>
    </row>
    <row r="176" spans="1:5" x14ac:dyDescent="0.25">
      <c r="A176" t="s">
        <v>361</v>
      </c>
      <c r="B176">
        <v>46259</v>
      </c>
      <c r="C176" t="s">
        <v>668</v>
      </c>
      <c r="D176" t="s">
        <v>686</v>
      </c>
      <c r="E176" t="s">
        <v>691</v>
      </c>
    </row>
    <row r="177" spans="1:5" x14ac:dyDescent="0.25">
      <c r="A177" t="s">
        <v>363</v>
      </c>
      <c r="B177">
        <v>46259</v>
      </c>
      <c r="C177" t="s">
        <v>692</v>
      </c>
      <c r="D177" t="s">
        <v>693</v>
      </c>
      <c r="E177" t="s">
        <v>694</v>
      </c>
    </row>
    <row r="178" spans="1:5" x14ac:dyDescent="0.25">
      <c r="A178" t="s">
        <v>364</v>
      </c>
      <c r="B178">
        <v>46259</v>
      </c>
      <c r="C178" t="s">
        <v>695</v>
      </c>
      <c r="D178" t="s">
        <v>696</v>
      </c>
      <c r="E178" t="s">
        <v>697</v>
      </c>
    </row>
    <row r="179" spans="1:5" x14ac:dyDescent="0.25">
      <c r="A179" t="s">
        <v>365</v>
      </c>
      <c r="B179">
        <v>46259</v>
      </c>
      <c r="C179" t="s">
        <v>668</v>
      </c>
      <c r="D179" t="s">
        <v>698</v>
      </c>
      <c r="E179" t="s">
        <v>699</v>
      </c>
    </row>
    <row r="180" spans="1:5" x14ac:dyDescent="0.25">
      <c r="A180" t="s">
        <v>405</v>
      </c>
      <c r="B180">
        <v>46259</v>
      </c>
      <c r="C180" t="s">
        <v>668</v>
      </c>
      <c r="D180" t="s">
        <v>700</v>
      </c>
      <c r="E180" t="s">
        <v>701</v>
      </c>
    </row>
    <row r="181" spans="1:5" x14ac:dyDescent="0.25">
      <c r="A181" t="s">
        <v>366</v>
      </c>
      <c r="B181">
        <v>46259</v>
      </c>
      <c r="C181" t="s">
        <v>695</v>
      </c>
      <c r="D181" t="s">
        <v>698</v>
      </c>
      <c r="E181" t="s">
        <v>702</v>
      </c>
    </row>
    <row r="182" spans="1:5" x14ac:dyDescent="0.25">
      <c r="A182" t="s">
        <v>703</v>
      </c>
      <c r="B182">
        <v>46259</v>
      </c>
      <c r="C182" t="s">
        <v>704</v>
      </c>
      <c r="D182" t="s">
        <v>705</v>
      </c>
      <c r="E182" t="s">
        <v>706</v>
      </c>
    </row>
    <row r="183" spans="1:5" x14ac:dyDescent="0.25">
      <c r="A183" t="s">
        <v>148</v>
      </c>
      <c r="B183">
        <v>46259</v>
      </c>
      <c r="C183" t="s">
        <v>704</v>
      </c>
      <c r="D183" t="s">
        <v>707</v>
      </c>
      <c r="E183" t="s">
        <v>708</v>
      </c>
    </row>
    <row r="184" spans="1:5" x14ac:dyDescent="0.25">
      <c r="A184" t="s">
        <v>431</v>
      </c>
      <c r="B184">
        <v>46259</v>
      </c>
      <c r="C184" t="s">
        <v>709</v>
      </c>
      <c r="D184" t="s">
        <v>710</v>
      </c>
      <c r="E184" t="s">
        <v>711</v>
      </c>
    </row>
    <row r="185" spans="1:5" x14ac:dyDescent="0.25">
      <c r="A185" t="s">
        <v>431</v>
      </c>
      <c r="B185">
        <v>46259</v>
      </c>
      <c r="C185" t="s">
        <v>712</v>
      </c>
      <c r="D185" t="s">
        <v>713</v>
      </c>
      <c r="E185" t="s">
        <v>714</v>
      </c>
    </row>
    <row r="186" spans="1:5" x14ac:dyDescent="0.25">
      <c r="A186" t="s">
        <v>431</v>
      </c>
      <c r="B186">
        <v>46259</v>
      </c>
      <c r="C186" t="s">
        <v>715</v>
      </c>
      <c r="D186" t="s">
        <v>716</v>
      </c>
      <c r="E186" t="s">
        <v>717</v>
      </c>
    </row>
    <row r="187" spans="1:5" x14ac:dyDescent="0.25">
      <c r="A187" t="s">
        <v>239</v>
      </c>
      <c r="B187">
        <v>46259</v>
      </c>
      <c r="C187" t="s">
        <v>718</v>
      </c>
      <c r="D187" t="s">
        <v>719</v>
      </c>
      <c r="E187" t="s">
        <v>720</v>
      </c>
    </row>
    <row r="188" spans="1:5" x14ac:dyDescent="0.25">
      <c r="A188" t="s">
        <v>233</v>
      </c>
      <c r="B188">
        <v>46259</v>
      </c>
      <c r="C188" t="s">
        <v>721</v>
      </c>
      <c r="D188" t="s">
        <v>719</v>
      </c>
      <c r="E188" t="s">
        <v>722</v>
      </c>
    </row>
    <row r="189" spans="1:5" x14ac:dyDescent="0.25">
      <c r="A189" t="s">
        <v>244</v>
      </c>
      <c r="B189">
        <v>46259</v>
      </c>
      <c r="C189" t="s">
        <v>721</v>
      </c>
      <c r="D189" t="s">
        <v>719</v>
      </c>
      <c r="E189" t="s">
        <v>723</v>
      </c>
    </row>
    <row r="190" spans="1:5" x14ac:dyDescent="0.25">
      <c r="A190" t="s">
        <v>234</v>
      </c>
      <c r="B190">
        <v>46259</v>
      </c>
      <c r="C190" t="s">
        <v>721</v>
      </c>
      <c r="D190" t="s">
        <v>719</v>
      </c>
      <c r="E190" t="s">
        <v>724</v>
      </c>
    </row>
    <row r="191" spans="1:5" x14ac:dyDescent="0.25">
      <c r="A191" t="s">
        <v>253</v>
      </c>
      <c r="B191">
        <v>46259</v>
      </c>
      <c r="C191" t="s">
        <v>721</v>
      </c>
      <c r="D191" t="s">
        <v>719</v>
      </c>
      <c r="E191" t="s">
        <v>725</v>
      </c>
    </row>
    <row r="192" spans="1:5" x14ac:dyDescent="0.25">
      <c r="A192" t="s">
        <v>251</v>
      </c>
      <c r="B192">
        <v>46259</v>
      </c>
      <c r="C192" t="s">
        <v>721</v>
      </c>
      <c r="D192" t="s">
        <v>719</v>
      </c>
      <c r="E192" t="s">
        <v>726</v>
      </c>
    </row>
    <row r="193" spans="1:5" x14ac:dyDescent="0.25">
      <c r="A193" t="s">
        <v>248</v>
      </c>
      <c r="B193">
        <v>46259</v>
      </c>
      <c r="C193" t="s">
        <v>721</v>
      </c>
      <c r="D193" t="s">
        <v>719</v>
      </c>
      <c r="E193" t="s">
        <v>727</v>
      </c>
    </row>
    <row r="194" spans="1:5" x14ac:dyDescent="0.25">
      <c r="A194" t="s">
        <v>347</v>
      </c>
      <c r="B194">
        <v>46259</v>
      </c>
      <c r="C194" t="s">
        <v>721</v>
      </c>
      <c r="D194" t="s">
        <v>719</v>
      </c>
      <c r="E194" t="s">
        <v>728</v>
      </c>
    </row>
    <row r="195" spans="1:5" x14ac:dyDescent="0.25">
      <c r="A195" t="s">
        <v>703</v>
      </c>
      <c r="B195">
        <v>46259</v>
      </c>
      <c r="C195" t="s">
        <v>721</v>
      </c>
      <c r="D195" t="s">
        <v>719</v>
      </c>
      <c r="E195" t="s">
        <v>729</v>
      </c>
    </row>
    <row r="196" spans="1:5" x14ac:dyDescent="0.25">
      <c r="A196" t="s">
        <v>350</v>
      </c>
      <c r="B196">
        <v>46259</v>
      </c>
      <c r="C196" t="s">
        <v>721</v>
      </c>
      <c r="D196" t="s">
        <v>719</v>
      </c>
      <c r="E196" t="s">
        <v>730</v>
      </c>
    </row>
    <row r="197" spans="1:5" x14ac:dyDescent="0.25">
      <c r="A197" t="s">
        <v>306</v>
      </c>
      <c r="B197">
        <v>46259</v>
      </c>
      <c r="C197" t="s">
        <v>721</v>
      </c>
      <c r="D197" t="s">
        <v>719</v>
      </c>
      <c r="E197" t="s">
        <v>731</v>
      </c>
    </row>
    <row r="198" spans="1:5" x14ac:dyDescent="0.25">
      <c r="A198" t="s">
        <v>354</v>
      </c>
      <c r="B198">
        <v>46259</v>
      </c>
      <c r="C198" t="s">
        <v>721</v>
      </c>
      <c r="D198" t="s">
        <v>719</v>
      </c>
      <c r="E198" t="s">
        <v>732</v>
      </c>
    </row>
    <row r="199" spans="1:5" x14ac:dyDescent="0.25">
      <c r="A199" t="s">
        <v>372</v>
      </c>
      <c r="B199">
        <v>46259</v>
      </c>
      <c r="C199" t="s">
        <v>721</v>
      </c>
      <c r="D199" t="s">
        <v>719</v>
      </c>
      <c r="E199" t="s">
        <v>733</v>
      </c>
    </row>
    <row r="200" spans="1:5" x14ac:dyDescent="0.25">
      <c r="A200" t="s">
        <v>356</v>
      </c>
      <c r="B200">
        <v>46259</v>
      </c>
      <c r="C200" t="s">
        <v>721</v>
      </c>
      <c r="D200" t="s">
        <v>719</v>
      </c>
      <c r="E200" t="s">
        <v>734</v>
      </c>
    </row>
    <row r="201" spans="1:5" x14ac:dyDescent="0.25">
      <c r="A201" t="s">
        <v>227</v>
      </c>
      <c r="B201">
        <v>46259</v>
      </c>
      <c r="C201" t="s">
        <v>721</v>
      </c>
      <c r="D201" t="s">
        <v>719</v>
      </c>
      <c r="E201" t="s">
        <v>735</v>
      </c>
    </row>
    <row r="202" spans="1:5" x14ac:dyDescent="0.25">
      <c r="A202" t="s">
        <v>240</v>
      </c>
      <c r="B202">
        <v>46259</v>
      </c>
      <c r="C202" t="s">
        <v>721</v>
      </c>
      <c r="D202" t="s">
        <v>719</v>
      </c>
      <c r="E202" t="s">
        <v>736</v>
      </c>
    </row>
    <row r="203" spans="1:5" x14ac:dyDescent="0.25">
      <c r="A203" t="s">
        <v>447</v>
      </c>
      <c r="B203">
        <v>46259</v>
      </c>
      <c r="C203" t="s">
        <v>721</v>
      </c>
      <c r="D203" t="s">
        <v>719</v>
      </c>
      <c r="E203" t="s">
        <v>737</v>
      </c>
    </row>
    <row r="204" spans="1:5" x14ac:dyDescent="0.25">
      <c r="A204" t="s">
        <v>231</v>
      </c>
      <c r="B204">
        <v>46259</v>
      </c>
      <c r="C204" t="s">
        <v>721</v>
      </c>
      <c r="D204" t="s">
        <v>719</v>
      </c>
      <c r="E204" t="s">
        <v>738</v>
      </c>
    </row>
    <row r="205" spans="1:5" x14ac:dyDescent="0.25">
      <c r="A205" t="s">
        <v>285</v>
      </c>
      <c r="B205">
        <v>46259</v>
      </c>
      <c r="C205" t="s">
        <v>721</v>
      </c>
      <c r="D205" t="s">
        <v>719</v>
      </c>
      <c r="E205" t="s">
        <v>739</v>
      </c>
    </row>
    <row r="206" spans="1:5" x14ac:dyDescent="0.25">
      <c r="A206" t="s">
        <v>376</v>
      </c>
      <c r="B206">
        <v>46259</v>
      </c>
      <c r="C206" t="s">
        <v>721</v>
      </c>
      <c r="D206" t="s">
        <v>719</v>
      </c>
      <c r="E206" t="s">
        <v>740</v>
      </c>
    </row>
    <row r="207" spans="1:5" x14ac:dyDescent="0.25">
      <c r="A207" t="s">
        <v>518</v>
      </c>
      <c r="B207">
        <v>46259</v>
      </c>
      <c r="C207" t="s">
        <v>741</v>
      </c>
      <c r="D207" t="s">
        <v>719</v>
      </c>
      <c r="E207" t="s">
        <v>742</v>
      </c>
    </row>
    <row r="208" spans="1:5" x14ac:dyDescent="0.25">
      <c r="A208" t="s">
        <v>521</v>
      </c>
      <c r="B208">
        <v>46259</v>
      </c>
      <c r="C208" t="s">
        <v>741</v>
      </c>
      <c r="D208" t="s">
        <v>719</v>
      </c>
      <c r="E208" t="s">
        <v>743</v>
      </c>
    </row>
    <row r="209" spans="1:5" x14ac:dyDescent="0.25">
      <c r="A209" t="s">
        <v>523</v>
      </c>
      <c r="B209">
        <v>46259</v>
      </c>
      <c r="C209" t="s">
        <v>721</v>
      </c>
      <c r="D209" t="s">
        <v>719</v>
      </c>
      <c r="E209" t="s">
        <v>744</v>
      </c>
    </row>
    <row r="210" spans="1:5" x14ac:dyDescent="0.25">
      <c r="A210" t="s">
        <v>431</v>
      </c>
      <c r="B210">
        <v>46259</v>
      </c>
      <c r="C210" t="s">
        <v>745</v>
      </c>
      <c r="D210" t="s">
        <v>746</v>
      </c>
      <c r="E210" t="s">
        <v>747</v>
      </c>
    </row>
    <row r="211" spans="1:5" x14ac:dyDescent="0.25">
      <c r="A211" t="s">
        <v>431</v>
      </c>
      <c r="B211">
        <v>46259</v>
      </c>
      <c r="C211" t="s">
        <v>748</v>
      </c>
      <c r="D211" t="s">
        <v>749</v>
      </c>
      <c r="E211" t="s">
        <v>750</v>
      </c>
    </row>
    <row r="212" spans="1:5" x14ac:dyDescent="0.25">
      <c r="A212" t="s">
        <v>504</v>
      </c>
      <c r="B212">
        <v>46259</v>
      </c>
      <c r="C212" t="s">
        <v>751</v>
      </c>
      <c r="D212" t="s">
        <v>749</v>
      </c>
      <c r="E212" t="s">
        <v>752</v>
      </c>
    </row>
    <row r="213" spans="1:5" x14ac:dyDescent="0.25">
      <c r="A213" t="s">
        <v>353</v>
      </c>
      <c r="B213">
        <v>46259</v>
      </c>
      <c r="C213" t="s">
        <v>754</v>
      </c>
      <c r="D213" t="s">
        <v>755</v>
      </c>
      <c r="E213" t="s">
        <v>756</v>
      </c>
    </row>
    <row r="214" spans="1:5" x14ac:dyDescent="0.25">
      <c r="A214" t="s">
        <v>306</v>
      </c>
      <c r="B214">
        <v>46259</v>
      </c>
      <c r="C214" t="s">
        <v>643</v>
      </c>
      <c r="D214" t="s">
        <v>755</v>
      </c>
      <c r="E214" t="s">
        <v>757</v>
      </c>
    </row>
    <row r="215" spans="1:5" x14ac:dyDescent="0.25">
      <c r="A215" t="s">
        <v>314</v>
      </c>
      <c r="B215">
        <v>46259</v>
      </c>
      <c r="C215" t="s">
        <v>758</v>
      </c>
      <c r="D215" t="s">
        <v>755</v>
      </c>
      <c r="E215" t="s">
        <v>759</v>
      </c>
    </row>
    <row r="216" spans="1:5" x14ac:dyDescent="0.25">
      <c r="A216" t="s">
        <v>250</v>
      </c>
      <c r="B216">
        <v>46259</v>
      </c>
      <c r="C216" t="s">
        <v>760</v>
      </c>
      <c r="D216" t="s">
        <v>755</v>
      </c>
      <c r="E216" t="s">
        <v>761</v>
      </c>
    </row>
    <row r="217" spans="1:5" x14ac:dyDescent="0.25">
      <c r="A217" t="s">
        <v>236</v>
      </c>
      <c r="B217">
        <v>46259</v>
      </c>
      <c r="C217" t="s">
        <v>762</v>
      </c>
      <c r="D217" t="s">
        <v>755</v>
      </c>
      <c r="E217" t="s">
        <v>763</v>
      </c>
    </row>
    <row r="218" spans="1:5" x14ac:dyDescent="0.25">
      <c r="A218" t="s">
        <v>235</v>
      </c>
      <c r="B218">
        <v>46259</v>
      </c>
      <c r="C218" t="s">
        <v>764</v>
      </c>
      <c r="D218" t="s">
        <v>755</v>
      </c>
      <c r="E218" t="s">
        <v>765</v>
      </c>
    </row>
    <row r="219" spans="1:5" x14ac:dyDescent="0.25">
      <c r="A219" t="s">
        <v>383</v>
      </c>
      <c r="B219">
        <v>46259</v>
      </c>
      <c r="C219" t="s">
        <v>766</v>
      </c>
      <c r="D219" t="s">
        <v>755</v>
      </c>
      <c r="E219" t="s">
        <v>767</v>
      </c>
    </row>
    <row r="220" spans="1:5" x14ac:dyDescent="0.25">
      <c r="A220" t="s">
        <v>367</v>
      </c>
      <c r="B220">
        <v>46259</v>
      </c>
      <c r="C220" t="s">
        <v>768</v>
      </c>
      <c r="D220" t="s">
        <v>755</v>
      </c>
      <c r="E220" t="s">
        <v>769</v>
      </c>
    </row>
    <row r="221" spans="1:5" x14ac:dyDescent="0.25">
      <c r="A221" t="s">
        <v>239</v>
      </c>
      <c r="B221">
        <v>46259</v>
      </c>
      <c r="C221" t="s">
        <v>770</v>
      </c>
      <c r="D221" t="s">
        <v>771</v>
      </c>
      <c r="E221" t="s">
        <v>772</v>
      </c>
    </row>
    <row r="222" spans="1:5" x14ac:dyDescent="0.25">
      <c r="A222" t="s">
        <v>431</v>
      </c>
      <c r="B222">
        <v>46259</v>
      </c>
      <c r="C222" t="s">
        <v>745</v>
      </c>
      <c r="D222" t="s">
        <v>755</v>
      </c>
      <c r="E222" t="s">
        <v>773</v>
      </c>
    </row>
    <row r="223" spans="1:5" x14ac:dyDescent="0.25">
      <c r="A223" t="s">
        <v>236</v>
      </c>
      <c r="B223">
        <v>46259</v>
      </c>
      <c r="C223" t="s">
        <v>776</v>
      </c>
      <c r="D223" t="s">
        <v>777</v>
      </c>
      <c r="E223" t="s">
        <v>778</v>
      </c>
    </row>
    <row r="224" spans="1:5" x14ac:dyDescent="0.25">
      <c r="A224" t="s">
        <v>383</v>
      </c>
      <c r="B224">
        <v>46259</v>
      </c>
      <c r="C224" t="s">
        <v>650</v>
      </c>
      <c r="D224" t="s">
        <v>779</v>
      </c>
      <c r="E224" t="s">
        <v>780</v>
      </c>
    </row>
    <row r="225" spans="1:5" x14ac:dyDescent="0.25">
      <c r="A225" t="s">
        <v>250</v>
      </c>
      <c r="B225">
        <v>46259</v>
      </c>
      <c r="C225" t="s">
        <v>650</v>
      </c>
      <c r="D225" t="s">
        <v>781</v>
      </c>
      <c r="E225" t="s">
        <v>782</v>
      </c>
    </row>
    <row r="226" spans="1:5" x14ac:dyDescent="0.25">
      <c r="A226" t="s">
        <v>367</v>
      </c>
      <c r="B226">
        <v>46259</v>
      </c>
      <c r="C226" t="s">
        <v>783</v>
      </c>
      <c r="D226" t="s">
        <v>784</v>
      </c>
      <c r="E226" t="s">
        <v>785</v>
      </c>
    </row>
    <row r="227" spans="1:5" x14ac:dyDescent="0.25">
      <c r="A227" t="s">
        <v>431</v>
      </c>
      <c r="B227">
        <v>46259</v>
      </c>
      <c r="C227" t="s">
        <v>786</v>
      </c>
      <c r="D227" t="s">
        <v>787</v>
      </c>
      <c r="E227" t="s">
        <v>788</v>
      </c>
    </row>
    <row r="228" spans="1:5" x14ac:dyDescent="0.25">
      <c r="A228" t="s">
        <v>431</v>
      </c>
      <c r="B228">
        <v>46259</v>
      </c>
      <c r="C228" t="s">
        <v>789</v>
      </c>
      <c r="D228" t="s">
        <v>790</v>
      </c>
      <c r="E228" t="s">
        <v>791</v>
      </c>
    </row>
    <row r="229" spans="1:5" x14ac:dyDescent="0.25">
      <c r="A229" t="s">
        <v>314</v>
      </c>
      <c r="B229">
        <v>46259</v>
      </c>
      <c r="C229" t="s">
        <v>792</v>
      </c>
      <c r="D229" t="s">
        <v>793</v>
      </c>
      <c r="E229" t="s">
        <v>794</v>
      </c>
    </row>
    <row r="230" spans="1:5" x14ac:dyDescent="0.25">
      <c r="A230" t="s">
        <v>233</v>
      </c>
      <c r="B230">
        <v>46259</v>
      </c>
      <c r="C230" t="s">
        <v>643</v>
      </c>
      <c r="D230" t="s">
        <v>795</v>
      </c>
      <c r="E230" t="s">
        <v>796</v>
      </c>
    </row>
    <row r="231" spans="1:5" x14ac:dyDescent="0.25">
      <c r="A231" t="s">
        <v>251</v>
      </c>
      <c r="B231">
        <v>46259</v>
      </c>
      <c r="C231" t="s">
        <v>797</v>
      </c>
      <c r="D231" t="s">
        <v>795</v>
      </c>
      <c r="E231" t="s">
        <v>798</v>
      </c>
    </row>
    <row r="232" spans="1:5" x14ac:dyDescent="0.25">
      <c r="A232" t="s">
        <v>431</v>
      </c>
      <c r="B232">
        <v>46259</v>
      </c>
      <c r="C232" t="s">
        <v>799</v>
      </c>
      <c r="D232" t="s">
        <v>800</v>
      </c>
      <c r="E232" t="s">
        <v>801</v>
      </c>
    </row>
    <row r="233" spans="1:5" x14ac:dyDescent="0.25">
      <c r="A233" t="s">
        <v>254</v>
      </c>
      <c r="B233">
        <v>46259</v>
      </c>
      <c r="C233" t="s">
        <v>802</v>
      </c>
      <c r="D233" t="s">
        <v>795</v>
      </c>
      <c r="E233" t="s">
        <v>803</v>
      </c>
    </row>
    <row r="234" spans="1:5" x14ac:dyDescent="0.25">
      <c r="A234" t="s">
        <v>238</v>
      </c>
      <c r="B234">
        <v>46259</v>
      </c>
      <c r="C234" t="s">
        <v>804</v>
      </c>
      <c r="D234" t="s">
        <v>795</v>
      </c>
      <c r="E234" t="s">
        <v>805</v>
      </c>
    </row>
    <row r="235" spans="1:5" x14ac:dyDescent="0.25">
      <c r="A235" t="s">
        <v>354</v>
      </c>
      <c r="B235">
        <v>46259</v>
      </c>
      <c r="C235" t="s">
        <v>806</v>
      </c>
      <c r="D235" t="s">
        <v>795</v>
      </c>
      <c r="E235" t="s">
        <v>807</v>
      </c>
    </row>
    <row r="236" spans="1:5" x14ac:dyDescent="0.25">
      <c r="A236" t="s">
        <v>350</v>
      </c>
      <c r="B236">
        <v>46259</v>
      </c>
      <c r="C236" t="s">
        <v>808</v>
      </c>
      <c r="D236" t="s">
        <v>795</v>
      </c>
      <c r="E236" t="s">
        <v>809</v>
      </c>
    </row>
    <row r="237" spans="1:5" x14ac:dyDescent="0.25">
      <c r="A237" t="s">
        <v>447</v>
      </c>
      <c r="B237">
        <v>46259</v>
      </c>
      <c r="C237" t="s">
        <v>643</v>
      </c>
      <c r="D237" t="s">
        <v>795</v>
      </c>
      <c r="E237" t="s">
        <v>810</v>
      </c>
    </row>
    <row r="238" spans="1:5" x14ac:dyDescent="0.25">
      <c r="A238" t="s">
        <v>358</v>
      </c>
      <c r="B238">
        <v>46259</v>
      </c>
      <c r="C238" t="s">
        <v>811</v>
      </c>
      <c r="D238" t="s">
        <v>795</v>
      </c>
      <c r="E238" t="s">
        <v>812</v>
      </c>
    </row>
    <row r="239" spans="1:5" x14ac:dyDescent="0.25">
      <c r="A239" t="s">
        <v>814</v>
      </c>
      <c r="B239">
        <v>46260</v>
      </c>
      <c r="C239" t="s">
        <v>817</v>
      </c>
      <c r="D239" t="s">
        <v>818</v>
      </c>
      <c r="E239" t="s">
        <v>819</v>
      </c>
    </row>
    <row r="240" spans="1:5" x14ac:dyDescent="0.25">
      <c r="A240" t="s">
        <v>815</v>
      </c>
      <c r="B240">
        <v>46260</v>
      </c>
      <c r="C240" t="s">
        <v>820</v>
      </c>
      <c r="D240" t="s">
        <v>818</v>
      </c>
      <c r="E240" t="s">
        <v>821</v>
      </c>
    </row>
    <row r="241" spans="1:5" x14ac:dyDescent="0.25">
      <c r="A241" t="s">
        <v>242</v>
      </c>
      <c r="B241">
        <v>46260</v>
      </c>
      <c r="C241" t="s">
        <v>721</v>
      </c>
      <c r="D241" t="s">
        <v>822</v>
      </c>
      <c r="E241" t="s">
        <v>823</v>
      </c>
    </row>
    <row r="242" spans="1:5" x14ac:dyDescent="0.25">
      <c r="A242" t="s">
        <v>431</v>
      </c>
      <c r="B242">
        <v>46260</v>
      </c>
      <c r="C242" t="s">
        <v>799</v>
      </c>
      <c r="D242" t="s">
        <v>824</v>
      </c>
      <c r="E242" t="s">
        <v>825</v>
      </c>
    </row>
    <row r="243" spans="1:5" x14ac:dyDescent="0.25">
      <c r="A243" t="s">
        <v>242</v>
      </c>
      <c r="B243">
        <v>46260</v>
      </c>
      <c r="C243" t="s">
        <v>754</v>
      </c>
      <c r="D243" t="s">
        <v>822</v>
      </c>
      <c r="E243" t="s">
        <v>826</v>
      </c>
    </row>
    <row r="244" spans="1:5" x14ac:dyDescent="0.25">
      <c r="A244" t="s">
        <v>247</v>
      </c>
      <c r="B244">
        <v>46260</v>
      </c>
      <c r="C244" t="s">
        <v>643</v>
      </c>
      <c r="D244" t="s">
        <v>822</v>
      </c>
      <c r="E244" t="s">
        <v>827</v>
      </c>
    </row>
    <row r="245" spans="1:5" x14ac:dyDescent="0.25">
      <c r="A245" t="s">
        <v>253</v>
      </c>
      <c r="B245">
        <v>46260</v>
      </c>
      <c r="C245" t="s">
        <v>828</v>
      </c>
      <c r="D245" t="s">
        <v>822</v>
      </c>
      <c r="E245" t="s">
        <v>829</v>
      </c>
    </row>
    <row r="246" spans="1:5" x14ac:dyDescent="0.25">
      <c r="A246" t="s">
        <v>241</v>
      </c>
      <c r="B246">
        <v>46260</v>
      </c>
      <c r="C246" t="s">
        <v>830</v>
      </c>
      <c r="D246" t="s">
        <v>822</v>
      </c>
      <c r="E246" t="s">
        <v>831</v>
      </c>
    </row>
    <row r="247" spans="1:5" x14ac:dyDescent="0.25">
      <c r="A247" t="s">
        <v>347</v>
      </c>
      <c r="B247">
        <v>46260</v>
      </c>
      <c r="C247" t="s">
        <v>804</v>
      </c>
      <c r="D247" t="s">
        <v>822</v>
      </c>
      <c r="E247" t="s">
        <v>832</v>
      </c>
    </row>
    <row r="248" spans="1:5" x14ac:dyDescent="0.25">
      <c r="A248" t="s">
        <v>348</v>
      </c>
      <c r="B248">
        <v>46260</v>
      </c>
      <c r="C248" t="s">
        <v>833</v>
      </c>
      <c r="D248" t="s">
        <v>822</v>
      </c>
      <c r="E248" t="s">
        <v>834</v>
      </c>
    </row>
    <row r="249" spans="1:5" x14ac:dyDescent="0.25">
      <c r="A249" t="s">
        <v>351</v>
      </c>
      <c r="B249">
        <v>46260</v>
      </c>
      <c r="C249" t="s">
        <v>835</v>
      </c>
      <c r="D249" t="s">
        <v>822</v>
      </c>
      <c r="E249" t="s">
        <v>836</v>
      </c>
    </row>
    <row r="250" spans="1:5" x14ac:dyDescent="0.25">
      <c r="A250" t="s">
        <v>680</v>
      </c>
      <c r="B250">
        <v>46260</v>
      </c>
      <c r="C250" t="s">
        <v>837</v>
      </c>
      <c r="D250" t="s">
        <v>822</v>
      </c>
      <c r="E250" t="s">
        <v>838</v>
      </c>
    </row>
    <row r="251" spans="1:5" x14ac:dyDescent="0.25">
      <c r="A251" t="s">
        <v>247</v>
      </c>
      <c r="B251">
        <v>46260</v>
      </c>
      <c r="C251" t="s">
        <v>839</v>
      </c>
      <c r="D251" t="s">
        <v>840</v>
      </c>
      <c r="E251" t="s">
        <v>841</v>
      </c>
    </row>
    <row r="252" spans="1:5" x14ac:dyDescent="0.25">
      <c r="A252" t="s">
        <v>241</v>
      </c>
      <c r="B252">
        <v>46260</v>
      </c>
      <c r="C252" t="s">
        <v>839</v>
      </c>
      <c r="D252" t="s">
        <v>840</v>
      </c>
      <c r="E252" t="s">
        <v>842</v>
      </c>
    </row>
    <row r="253" spans="1:5" x14ac:dyDescent="0.25">
      <c r="A253" t="s">
        <v>350</v>
      </c>
      <c r="B253">
        <v>46260</v>
      </c>
      <c r="C253" t="s">
        <v>830</v>
      </c>
      <c r="D253" t="s">
        <v>843</v>
      </c>
      <c r="E253" t="s">
        <v>844</v>
      </c>
    </row>
    <row r="254" spans="1:5" x14ac:dyDescent="0.25">
      <c r="A254" t="s">
        <v>351</v>
      </c>
      <c r="B254">
        <v>46260</v>
      </c>
      <c r="C254" t="s">
        <v>605</v>
      </c>
      <c r="D254" t="s">
        <v>845</v>
      </c>
      <c r="E254" t="s">
        <v>846</v>
      </c>
    </row>
    <row r="255" spans="1:5" x14ac:dyDescent="0.25">
      <c r="A255" t="s">
        <v>239</v>
      </c>
      <c r="B255">
        <v>46260</v>
      </c>
      <c r="C255" t="s">
        <v>605</v>
      </c>
      <c r="D255" t="s">
        <v>845</v>
      </c>
      <c r="E255" t="s">
        <v>847</v>
      </c>
    </row>
    <row r="256" spans="1:5" x14ac:dyDescent="0.25">
      <c r="A256" t="s">
        <v>238</v>
      </c>
      <c r="B256">
        <v>46260</v>
      </c>
      <c r="C256" t="s">
        <v>848</v>
      </c>
      <c r="D256" t="s">
        <v>849</v>
      </c>
      <c r="E256" t="s">
        <v>850</v>
      </c>
    </row>
    <row r="257" spans="1:5" x14ac:dyDescent="0.25">
      <c r="A257" t="s">
        <v>363</v>
      </c>
      <c r="B257">
        <v>46260</v>
      </c>
      <c r="C257" t="s">
        <v>645</v>
      </c>
      <c r="D257" t="s">
        <v>822</v>
      </c>
      <c r="E257" t="s">
        <v>851</v>
      </c>
    </row>
    <row r="258" spans="1:5" x14ac:dyDescent="0.25">
      <c r="A258" t="s">
        <v>361</v>
      </c>
      <c r="B258">
        <v>46260</v>
      </c>
      <c r="C258" t="s">
        <v>852</v>
      </c>
      <c r="D258" t="s">
        <v>822</v>
      </c>
      <c r="E258" t="s">
        <v>853</v>
      </c>
    </row>
    <row r="259" spans="1:5" x14ac:dyDescent="0.25">
      <c r="A259" t="s">
        <v>231</v>
      </c>
      <c r="B259">
        <v>46260</v>
      </c>
      <c r="C259" t="s">
        <v>643</v>
      </c>
      <c r="D259" t="s">
        <v>822</v>
      </c>
      <c r="E259" t="s">
        <v>854</v>
      </c>
    </row>
    <row r="260" spans="1:5" ht="105" x14ac:dyDescent="0.25">
      <c r="A260" s="102" t="s">
        <v>855</v>
      </c>
      <c r="B260" s="102">
        <v>46272</v>
      </c>
      <c r="C260" s="102" t="s">
        <v>856</v>
      </c>
      <c r="D260" s="102" t="s">
        <v>857</v>
      </c>
      <c r="E260" s="102" t="s">
        <v>858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2026-10-02T20:32:23Z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