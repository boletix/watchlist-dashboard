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oger\Cosas Roger\BOLSA E INVERSIÓN\repos\watchlist-dashboard\data\raw\"/>
    </mc:Choice>
  </mc:AlternateContent>
  <xr:revisionPtr revIDLastSave="0" documentId="13_ncr:1_{A58AB991-FAEA-4BD7-93F4-985C9F28A6DC}" xr6:coauthVersionLast="47" xr6:coauthVersionMax="47" xr10:uidLastSave="{00000000-0000-0000-0000-000000000000}"/>
  <bookViews>
    <workbookView xWindow="-120" yWindow="-120" windowWidth="29040" windowHeight="15720" tabRatio="500" xr2:uid="{00000000-000D-0000-FFFF-FFFF00000000}"/>
  </bookViews>
  <sheets>
    <sheet name="Watchlist Ratings" sheetId="1" r:id="rId1"/>
    <sheet name="Framework Notes" sheetId="2" r:id="rId2"/>
    <sheet name="Dashboard" sheetId="3" r:id="rId3"/>
    <sheet name="Updates Log" sheetId="4" r:id="rId4"/>
  </sheets>
  <calcPr calcId="191029" iterateDelta="1E-4"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G32" i="1" l="1"/>
  <c r="BE32" i="1"/>
  <c r="BG28" i="1"/>
  <c r="BE28" i="1"/>
  <c r="BG5" i="1"/>
  <c r="BE5" i="1"/>
  <c r="BE74" i="1"/>
  <c r="H72" i="1"/>
  <c r="BK72" i="1" s="1"/>
  <c r="H73" i="1"/>
  <c r="BK73" i="1" s="1"/>
  <c r="H74" i="1"/>
  <c r="BK74" i="1" s="1"/>
  <c r="G72" i="1"/>
  <c r="G73" i="1"/>
  <c r="G74" i="1"/>
  <c r="F72" i="1"/>
  <c r="F73" i="1"/>
  <c r="F74" i="1"/>
  <c r="E72" i="1"/>
  <c r="E73" i="1"/>
  <c r="E74" i="1"/>
  <c r="B72" i="1" a="1"/>
  <c r="B72" i="1" s="1"/>
  <c r="B73" i="1" a="1"/>
  <c r="B73" i="1" s="1"/>
  <c r="B74" i="1" a="1"/>
  <c r="B74" i="1" s="1"/>
  <c r="BG74" i="1"/>
  <c r="BB74" i="1"/>
  <c r="BA74" i="1"/>
  <c r="AL74" i="1"/>
  <c r="AM74" i="1" s="1"/>
  <c r="AB74" i="1"/>
  <c r="AC74" i="1" s="1"/>
  <c r="R74" i="1"/>
  <c r="S74" i="1" s="1"/>
  <c r="BG73" i="1"/>
  <c r="BE73" i="1"/>
  <c r="BB73" i="1"/>
  <c r="BA73" i="1"/>
  <c r="AL73" i="1"/>
  <c r="AM73" i="1" s="1"/>
  <c r="AB73" i="1"/>
  <c r="AC73" i="1" s="1"/>
  <c r="R73" i="1"/>
  <c r="S73" i="1" s="1"/>
  <c r="BG72" i="1"/>
  <c r="BE72" i="1"/>
  <c r="BB72" i="1"/>
  <c r="BA72" i="1"/>
  <c r="AL72" i="1"/>
  <c r="AM72" i="1" s="1"/>
  <c r="AB72" i="1"/>
  <c r="AC72" i="1" s="1"/>
  <c r="R72" i="1"/>
  <c r="S72" i="1" s="1"/>
  <c r="H4" i="1" a="1"/>
  <c r="BJ4" i="1" s="1"/>
  <c r="BB67" i="1"/>
  <c r="BG67" i="1"/>
  <c r="BE67" i="1"/>
  <c r="R71" i="1"/>
  <c r="S71" i="1" s="1"/>
  <c r="R70" i="1"/>
  <c r="S70" i="1" s="1"/>
  <c r="R69" i="1"/>
  <c r="S69" i="1" s="1"/>
  <c r="R68" i="1"/>
  <c r="S68" i="1" s="1"/>
  <c r="R67" i="1"/>
  <c r="S67" i="1" s="1"/>
  <c r="R66" i="1"/>
  <c r="S66" i="1" s="1"/>
  <c r="R65" i="1"/>
  <c r="S65" i="1" s="1"/>
  <c r="R64" i="1"/>
  <c r="S64" i="1" s="1"/>
  <c r="R63" i="1"/>
  <c r="S63" i="1" s="1"/>
  <c r="R62" i="1"/>
  <c r="S62" i="1" s="1"/>
  <c r="R61" i="1"/>
  <c r="S61" i="1" s="1"/>
  <c r="R60" i="1"/>
  <c r="S60" i="1" s="1"/>
  <c r="R59" i="1"/>
  <c r="S59" i="1" s="1"/>
  <c r="R58" i="1"/>
  <c r="S58" i="1" s="1"/>
  <c r="R57" i="1"/>
  <c r="S57" i="1" s="1"/>
  <c r="R56" i="1"/>
  <c r="S56" i="1" s="1"/>
  <c r="R55" i="1"/>
  <c r="S55" i="1" s="1"/>
  <c r="R54" i="1"/>
  <c r="S54" i="1" s="1"/>
  <c r="R53" i="1"/>
  <c r="S53" i="1" s="1"/>
  <c r="R52" i="1"/>
  <c r="S52" i="1" s="1"/>
  <c r="R51" i="1"/>
  <c r="S51" i="1" s="1"/>
  <c r="R50" i="1"/>
  <c r="S50" i="1" s="1"/>
  <c r="R49" i="1"/>
  <c r="S49" i="1" s="1"/>
  <c r="R48" i="1"/>
  <c r="S48" i="1" s="1"/>
  <c r="R47" i="1"/>
  <c r="S47" i="1" s="1"/>
  <c r="R46" i="1"/>
  <c r="S46" i="1" s="1"/>
  <c r="R45" i="1"/>
  <c r="S45" i="1" s="1"/>
  <c r="R44" i="1"/>
  <c r="S44" i="1" s="1"/>
  <c r="R43" i="1"/>
  <c r="S43" i="1" s="1"/>
  <c r="R42" i="1"/>
  <c r="S42" i="1" s="1"/>
  <c r="R41" i="1"/>
  <c r="S41" i="1" s="1"/>
  <c r="R40" i="1"/>
  <c r="S40" i="1" s="1"/>
  <c r="R39" i="1"/>
  <c r="S39" i="1" s="1"/>
  <c r="R38" i="1"/>
  <c r="S38" i="1" s="1"/>
  <c r="R37" i="1"/>
  <c r="S37" i="1" s="1"/>
  <c r="R36" i="1"/>
  <c r="S36" i="1" s="1"/>
  <c r="R35" i="1"/>
  <c r="S35" i="1" s="1"/>
  <c r="R34" i="1"/>
  <c r="S34" i="1" s="1"/>
  <c r="R33" i="1"/>
  <c r="S33" i="1" s="1"/>
  <c r="R32" i="1"/>
  <c r="S32" i="1" s="1"/>
  <c r="R31" i="1"/>
  <c r="S31" i="1" s="1"/>
  <c r="R30" i="1"/>
  <c r="S30" i="1" s="1"/>
  <c r="R29" i="1"/>
  <c r="S29" i="1" s="1"/>
  <c r="R28" i="1"/>
  <c r="S28" i="1" s="1"/>
  <c r="R27" i="1"/>
  <c r="S27" i="1" s="1"/>
  <c r="R26" i="1"/>
  <c r="S26" i="1" s="1"/>
  <c r="R25" i="1"/>
  <c r="S25" i="1" s="1"/>
  <c r="R24" i="1"/>
  <c r="S24" i="1" s="1"/>
  <c r="R23" i="1"/>
  <c r="S23" i="1" s="1"/>
  <c r="R22" i="1"/>
  <c r="S22" i="1" s="1"/>
  <c r="R21" i="1"/>
  <c r="S21" i="1" s="1"/>
  <c r="R20" i="1"/>
  <c r="S20" i="1" s="1"/>
  <c r="R19" i="1"/>
  <c r="S19" i="1" s="1"/>
  <c r="R18" i="1"/>
  <c r="S18" i="1" s="1"/>
  <c r="R17" i="1"/>
  <c r="S17" i="1" s="1"/>
  <c r="R16" i="1"/>
  <c r="S16" i="1" s="1"/>
  <c r="R15" i="1"/>
  <c r="S15" i="1" s="1"/>
  <c r="R14" i="1"/>
  <c r="S14" i="1" s="1"/>
  <c r="R13" i="1"/>
  <c r="S13" i="1" s="1"/>
  <c r="R12" i="1"/>
  <c r="S12" i="1" s="1"/>
  <c r="R11" i="1"/>
  <c r="S11" i="1" s="1"/>
  <c r="R10" i="1"/>
  <c r="S10" i="1" s="1"/>
  <c r="R9" i="1"/>
  <c r="S9" i="1" s="1"/>
  <c r="R8" i="1"/>
  <c r="S8" i="1" s="1"/>
  <c r="R7" i="1"/>
  <c r="S7" i="1" s="1"/>
  <c r="R6" i="1"/>
  <c r="S6" i="1" s="1"/>
  <c r="R5" i="1"/>
  <c r="S5" i="1" s="1"/>
  <c r="R4" i="1"/>
  <c r="S4" i="1" s="1"/>
  <c r="E68" i="1"/>
  <c r="F68" i="1"/>
  <c r="G68" i="1"/>
  <c r="H68" i="1"/>
  <c r="BJ68" i="1" s="1"/>
  <c r="E69" i="1"/>
  <c r="F69" i="1"/>
  <c r="G69" i="1"/>
  <c r="H69" i="1"/>
  <c r="BJ69" i="1" s="1"/>
  <c r="E70" i="1"/>
  <c r="F70" i="1"/>
  <c r="G70" i="1"/>
  <c r="H70" i="1"/>
  <c r="BK70" i="1" s="1"/>
  <c r="E71" i="1"/>
  <c r="F71" i="1"/>
  <c r="G71" i="1"/>
  <c r="H71" i="1"/>
  <c r="BK71" i="1" s="1"/>
  <c r="B67" i="1" a="1"/>
  <c r="B67" i="1" s="1"/>
  <c r="B68" i="1" a="1"/>
  <c r="B68" i="1" s="1"/>
  <c r="B69" i="1" a="1"/>
  <c r="B69" i="1" s="1"/>
  <c r="B70" i="1" a="1"/>
  <c r="B70" i="1" s="1"/>
  <c r="B71" i="1" a="1"/>
  <c r="B71" i="1" s="1"/>
  <c r="I89" i="3"/>
  <c r="G89" i="3"/>
  <c r="BG71" i="1"/>
  <c r="BE71" i="1"/>
  <c r="BB71" i="1"/>
  <c r="BA71" i="1"/>
  <c r="AL71" i="1"/>
  <c r="AM71" i="1" s="1"/>
  <c r="AB71" i="1"/>
  <c r="AC71" i="1" s="1"/>
  <c r="BG70" i="1"/>
  <c r="BE70" i="1"/>
  <c r="BB70" i="1"/>
  <c r="BA70" i="1"/>
  <c r="AL70" i="1"/>
  <c r="AM70" i="1" s="1"/>
  <c r="AB70" i="1"/>
  <c r="AC70" i="1" s="1"/>
  <c r="BG69" i="1"/>
  <c r="BE69" i="1"/>
  <c r="BB69" i="1"/>
  <c r="BA69" i="1"/>
  <c r="AL69" i="1"/>
  <c r="AM69" i="1" s="1"/>
  <c r="AB69" i="1"/>
  <c r="AC69" i="1" s="1"/>
  <c r="BG68" i="1"/>
  <c r="BE68" i="1"/>
  <c r="BB68" i="1"/>
  <c r="BA68" i="1"/>
  <c r="AL68" i="1"/>
  <c r="AM68" i="1" s="1"/>
  <c r="AB68" i="1"/>
  <c r="AC68" i="1" s="1"/>
  <c r="H67" i="1"/>
  <c r="BK67" i="1" s="1"/>
  <c r="G67" i="1"/>
  <c r="F67" i="1"/>
  <c r="E67" i="1"/>
  <c r="AL67" i="1"/>
  <c r="AM67" i="1" s="1"/>
  <c r="AB67" i="1"/>
  <c r="AC67" i="1" s="1"/>
  <c r="H66" i="1" a="1"/>
  <c r="H66" i="1" s="1"/>
  <c r="G66" i="1" a="1"/>
  <c r="G66" i="1" s="1"/>
  <c r="BA67" i="1"/>
  <c r="F65" i="1" a="1"/>
  <c r="F65" i="1" s="1"/>
  <c r="F66" i="1" a="1"/>
  <c r="F66" i="1" s="1"/>
  <c r="E65" i="1" a="1"/>
  <c r="E65" i="1" s="1"/>
  <c r="E66" i="1" a="1"/>
  <c r="E66" i="1" s="1"/>
  <c r="B65" i="1" a="1"/>
  <c r="B65" i="1" s="1"/>
  <c r="B66" i="1" a="1"/>
  <c r="B66" i="1" s="1"/>
  <c r="BJ74" i="1" l="1"/>
  <c r="BL74" i="1" s="1"/>
  <c r="I74" i="1"/>
  <c r="AR74" i="1" s="1"/>
  <c r="AY74" i="1" s="1"/>
  <c r="BM74" i="1"/>
  <c r="BC74" i="1"/>
  <c r="AN74" i="1"/>
  <c r="BC73" i="1"/>
  <c r="BM73" i="1"/>
  <c r="BJ72" i="1"/>
  <c r="BL72" i="1" s="1"/>
  <c r="BM72" i="1"/>
  <c r="I72" i="1"/>
  <c r="AR72" i="1" s="1"/>
  <c r="AY72" i="1" s="1"/>
  <c r="I73" i="1"/>
  <c r="AR73" i="1" s="1"/>
  <c r="AY73" i="1" s="1"/>
  <c r="BJ73" i="1"/>
  <c r="BL73" i="1" s="1"/>
  <c r="AN73" i="1"/>
  <c r="BC72" i="1"/>
  <c r="AN72" i="1"/>
  <c r="BM70" i="1"/>
  <c r="BM67" i="1"/>
  <c r="BM71" i="1"/>
  <c r="BL69" i="1"/>
  <c r="BL68" i="1"/>
  <c r="BJ71" i="1"/>
  <c r="BL71" i="1" s="1"/>
  <c r="BC70" i="1"/>
  <c r="AN71" i="1"/>
  <c r="AN67" i="1"/>
  <c r="AN70" i="1"/>
  <c r="AN68" i="1"/>
  <c r="AN69" i="1"/>
  <c r="BC69" i="1"/>
  <c r="BC68" i="1"/>
  <c r="BC71" i="1"/>
  <c r="BC67" i="1"/>
  <c r="BJ67" i="1"/>
  <c r="BL67" i="1" s="1"/>
  <c r="I71" i="1"/>
  <c r="AR71" i="1" s="1"/>
  <c r="AY71" i="1" s="1"/>
  <c r="I69" i="1"/>
  <c r="AR69" i="1" s="1"/>
  <c r="AW69" i="1" s="1"/>
  <c r="BK69" i="1"/>
  <c r="BM69" i="1" s="1"/>
  <c r="BJ70" i="1"/>
  <c r="BL70" i="1" s="1"/>
  <c r="BK68" i="1"/>
  <c r="BM68" i="1" s="1"/>
  <c r="I67" i="1"/>
  <c r="I70" i="1"/>
  <c r="AR70" i="1" s="1"/>
  <c r="AY70" i="1" s="1"/>
  <c r="I68" i="1"/>
  <c r="AR68" i="1" s="1"/>
  <c r="AY68" i="1" s="1"/>
  <c r="I80" i="3"/>
  <c r="G80" i="3"/>
  <c r="Q78" i="3"/>
  <c r="P73" i="3"/>
  <c r="O73" i="3"/>
  <c r="N73" i="3"/>
  <c r="M73" i="3"/>
  <c r="L73" i="3"/>
  <c r="P71" i="3"/>
  <c r="O71" i="3"/>
  <c r="N71" i="3"/>
  <c r="M71" i="3"/>
  <c r="L71" i="3"/>
  <c r="P70" i="3"/>
  <c r="O70" i="3"/>
  <c r="N70" i="3"/>
  <c r="M70" i="3"/>
  <c r="L70" i="3"/>
  <c r="P69" i="3"/>
  <c r="O69" i="3"/>
  <c r="N69" i="3"/>
  <c r="M69" i="3"/>
  <c r="L69" i="3"/>
  <c r="P68" i="3"/>
  <c r="O68" i="3"/>
  <c r="N68" i="3"/>
  <c r="M68" i="3"/>
  <c r="L68" i="3"/>
  <c r="P67" i="3"/>
  <c r="O67" i="3"/>
  <c r="N67" i="3"/>
  <c r="M67" i="3"/>
  <c r="L67" i="3"/>
  <c r="P66" i="3"/>
  <c r="O66" i="3"/>
  <c r="N66" i="3"/>
  <c r="M66" i="3"/>
  <c r="L66" i="3"/>
  <c r="P65" i="3"/>
  <c r="O65" i="3"/>
  <c r="N65" i="3"/>
  <c r="M65" i="3"/>
  <c r="L65" i="3"/>
  <c r="P64" i="3"/>
  <c r="O64" i="3"/>
  <c r="N64" i="3"/>
  <c r="M64" i="3"/>
  <c r="L64" i="3"/>
  <c r="X22" i="3"/>
  <c r="W22" i="3"/>
  <c r="H22" i="3"/>
  <c r="G22" i="3"/>
  <c r="X21" i="3"/>
  <c r="W21" i="3"/>
  <c r="H21" i="3"/>
  <c r="G21" i="3"/>
  <c r="X20" i="3"/>
  <c r="W20" i="3"/>
  <c r="H20" i="3"/>
  <c r="G20" i="3"/>
  <c r="X19" i="3"/>
  <c r="W19" i="3"/>
  <c r="H19" i="3"/>
  <c r="G19" i="3"/>
  <c r="X18" i="3"/>
  <c r="W18" i="3"/>
  <c r="H18" i="3"/>
  <c r="G18" i="3"/>
  <c r="X17" i="3"/>
  <c r="W17" i="3"/>
  <c r="H17" i="3"/>
  <c r="G17" i="3"/>
  <c r="X16" i="3"/>
  <c r="W16" i="3"/>
  <c r="H16" i="3"/>
  <c r="G16" i="3"/>
  <c r="X15" i="3"/>
  <c r="W15" i="3"/>
  <c r="H15" i="3"/>
  <c r="G15" i="3"/>
  <c r="X14" i="3"/>
  <c r="W14" i="3"/>
  <c r="H14" i="3"/>
  <c r="G14" i="3"/>
  <c r="X13" i="3"/>
  <c r="W13" i="3"/>
  <c r="H13" i="3"/>
  <c r="G13" i="3"/>
  <c r="X12" i="3"/>
  <c r="W12" i="3"/>
  <c r="H12" i="3"/>
  <c r="G12" i="3"/>
  <c r="X11" i="3"/>
  <c r="W11" i="3"/>
  <c r="H11" i="3"/>
  <c r="G11" i="3"/>
  <c r="X10" i="3"/>
  <c r="W10" i="3"/>
  <c r="H10" i="3"/>
  <c r="G10" i="3"/>
  <c r="X9" i="3"/>
  <c r="W9" i="3"/>
  <c r="H9" i="3"/>
  <c r="G9" i="3"/>
  <c r="X8" i="3"/>
  <c r="W8" i="3"/>
  <c r="E8" i="2" a="1"/>
  <c r="E8" i="2" s="1"/>
  <c r="E7" i="2" a="1"/>
  <c r="E7" i="2" s="1"/>
  <c r="E6" i="2" a="1"/>
  <c r="E6" i="2" s="1"/>
  <c r="E5" i="2" a="1"/>
  <c r="E5" i="2" s="1"/>
  <c r="E4" i="2" a="1"/>
  <c r="E4" i="2" s="1"/>
  <c r="BK66" i="1"/>
  <c r="BM66" i="1" s="1"/>
  <c r="BJ66" i="1"/>
  <c r="BL66" i="1" s="1"/>
  <c r="BG66" i="1"/>
  <c r="BE66" i="1"/>
  <c r="BB66" i="1"/>
  <c r="BA66" i="1"/>
  <c r="AL66" i="1"/>
  <c r="AM66" i="1" s="1"/>
  <c r="AB66" i="1"/>
  <c r="AC66" i="1" s="1"/>
  <c r="I66" i="1"/>
  <c r="AR66" i="1" s="1"/>
  <c r="BG65" i="1"/>
  <c r="BE65" i="1"/>
  <c r="BB65" i="1"/>
  <c r="BA65" i="1"/>
  <c r="AL65" i="1"/>
  <c r="AM65" i="1" s="1"/>
  <c r="AB65" i="1"/>
  <c r="AC65" i="1" s="1"/>
  <c r="H65" i="1" a="1"/>
  <c r="H65" i="1" s="1"/>
  <c r="G65" i="1" a="1"/>
  <c r="G65" i="1" s="1"/>
  <c r="BG64" i="1"/>
  <c r="BE64" i="1"/>
  <c r="BB64" i="1"/>
  <c r="BA64" i="1"/>
  <c r="AL64" i="1"/>
  <c r="AM64" i="1" s="1"/>
  <c r="AB64" i="1"/>
  <c r="AC64" i="1" s="1"/>
  <c r="H64" i="1" a="1"/>
  <c r="H64" i="1" s="1"/>
  <c r="BK64" i="1" s="1"/>
  <c r="G64" i="1" a="1"/>
  <c r="G64" i="1" s="1"/>
  <c r="F64" i="1" a="1"/>
  <c r="F64" i="1" s="1"/>
  <c r="E64" i="1" a="1"/>
  <c r="E64" i="1" s="1"/>
  <c r="B64" i="1" a="1"/>
  <c r="B64" i="1" s="1"/>
  <c r="BG63" i="1"/>
  <c r="BE63" i="1"/>
  <c r="BB63" i="1"/>
  <c r="BA63" i="1"/>
  <c r="AL63" i="1"/>
  <c r="AM63" i="1" s="1"/>
  <c r="AB63" i="1"/>
  <c r="AC63" i="1" s="1"/>
  <c r="H63" i="1" a="1"/>
  <c r="H63" i="1" s="1"/>
  <c r="G63" i="1" a="1"/>
  <c r="G63" i="1" s="1"/>
  <c r="F63" i="1" a="1"/>
  <c r="F63" i="1" s="1"/>
  <c r="E63" i="1" a="1"/>
  <c r="E63" i="1" s="1"/>
  <c r="B63" i="1" a="1"/>
  <c r="B63" i="1" s="1"/>
  <c r="BG62" i="1"/>
  <c r="BE62" i="1"/>
  <c r="BB62" i="1"/>
  <c r="BA62" i="1"/>
  <c r="AL62" i="1"/>
  <c r="AM62" i="1" s="1"/>
  <c r="AB62" i="1"/>
  <c r="AC62" i="1" s="1"/>
  <c r="H62" i="1" a="1"/>
  <c r="H62" i="1" s="1"/>
  <c r="G62" i="1" a="1"/>
  <c r="G62" i="1" s="1"/>
  <c r="F62" i="1" a="1"/>
  <c r="F62" i="1" s="1"/>
  <c r="E62" i="1" a="1"/>
  <c r="E62" i="1" s="1"/>
  <c r="B62" i="1" a="1"/>
  <c r="B62" i="1" s="1"/>
  <c r="BG61" i="1"/>
  <c r="BE61" i="1"/>
  <c r="BB61" i="1"/>
  <c r="AT61" i="1"/>
  <c r="BA61" i="1" s="1"/>
  <c r="AL61" i="1"/>
  <c r="AM61" i="1" s="1"/>
  <c r="AB61" i="1"/>
  <c r="AC61" i="1" s="1"/>
  <c r="H61" i="1" a="1"/>
  <c r="H61" i="1" s="1"/>
  <c r="G61" i="1" a="1"/>
  <c r="G61" i="1" s="1"/>
  <c r="I61" i="1" s="1"/>
  <c r="F61" i="1" a="1"/>
  <c r="F61" i="1" s="1"/>
  <c r="E61" i="1" a="1"/>
  <c r="E61" i="1" s="1"/>
  <c r="B61" i="1" a="1"/>
  <c r="B61" i="1" s="1"/>
  <c r="BG60" i="1"/>
  <c r="BE60" i="1"/>
  <c r="BB60" i="1"/>
  <c r="BA60" i="1"/>
  <c r="AL60" i="1"/>
  <c r="AM60" i="1" s="1"/>
  <c r="AB60" i="1"/>
  <c r="AC60" i="1" s="1"/>
  <c r="H60" i="1" a="1"/>
  <c r="H60" i="1" s="1"/>
  <c r="G60" i="1" a="1"/>
  <c r="G60" i="1" s="1"/>
  <c r="F60" i="1" a="1"/>
  <c r="F60" i="1" s="1"/>
  <c r="B60" i="1" a="1"/>
  <c r="B60" i="1" s="1"/>
  <c r="BG59" i="1"/>
  <c r="BE59" i="1"/>
  <c r="BB59" i="1"/>
  <c r="BA59" i="1"/>
  <c r="AL59" i="1"/>
  <c r="AM59" i="1" s="1"/>
  <c r="AB59" i="1"/>
  <c r="AC59" i="1" s="1"/>
  <c r="H59" i="1" a="1"/>
  <c r="H59" i="1" s="1"/>
  <c r="BK59" i="1" s="1"/>
  <c r="G59" i="1" a="1"/>
  <c r="G59" i="1" s="1"/>
  <c r="F59" i="1" a="1"/>
  <c r="F59" i="1" s="1"/>
  <c r="E59" i="1" a="1"/>
  <c r="E59" i="1" s="1"/>
  <c r="B59" i="1" a="1"/>
  <c r="B59" i="1" s="1"/>
  <c r="BG58" i="1"/>
  <c r="BE58" i="1"/>
  <c r="BB58" i="1"/>
  <c r="BA58" i="1"/>
  <c r="AL58" i="1"/>
  <c r="AM58" i="1" s="1"/>
  <c r="AB58" i="1"/>
  <c r="AC58" i="1" s="1"/>
  <c r="H58" i="1" a="1"/>
  <c r="H58" i="1" s="1"/>
  <c r="BJ58" i="1" s="1"/>
  <c r="G58" i="1" a="1"/>
  <c r="G58" i="1" s="1"/>
  <c r="F58" i="1" a="1"/>
  <c r="F58" i="1" s="1"/>
  <c r="E58" i="1" a="1"/>
  <c r="E58" i="1" s="1"/>
  <c r="B58" i="1" a="1"/>
  <c r="B58" i="1" s="1"/>
  <c r="BG57" i="1"/>
  <c r="BE57" i="1"/>
  <c r="BB57" i="1"/>
  <c r="BA57" i="1"/>
  <c r="AL57" i="1"/>
  <c r="AM57" i="1" s="1"/>
  <c r="AB57" i="1"/>
  <c r="AC57" i="1" s="1"/>
  <c r="H57" i="1" a="1"/>
  <c r="H57" i="1" s="1"/>
  <c r="G57" i="1" a="1"/>
  <c r="G57" i="1" s="1"/>
  <c r="F57" i="1" a="1"/>
  <c r="F57" i="1" s="1"/>
  <c r="E57" i="1" a="1"/>
  <c r="E57" i="1" s="1"/>
  <c r="B57" i="1" a="1"/>
  <c r="B57" i="1" s="1"/>
  <c r="BG56" i="1"/>
  <c r="BE56" i="1"/>
  <c r="BB56" i="1"/>
  <c r="BA56" i="1"/>
  <c r="AL56" i="1"/>
  <c r="AM56" i="1" s="1"/>
  <c r="AB56" i="1"/>
  <c r="AC56" i="1" s="1"/>
  <c r="H56" i="1" a="1"/>
  <c r="H56" i="1" s="1"/>
  <c r="G56" i="1" a="1"/>
  <c r="G56" i="1" s="1"/>
  <c r="F56" i="1" a="1"/>
  <c r="F56" i="1" s="1"/>
  <c r="E56" i="1" a="1"/>
  <c r="E56" i="1" s="1"/>
  <c r="B56" i="1" a="1"/>
  <c r="B56" i="1" s="1"/>
  <c r="BG55" i="1"/>
  <c r="BE55" i="1"/>
  <c r="BB55" i="1"/>
  <c r="BA55" i="1"/>
  <c r="AL55" i="1"/>
  <c r="AM55" i="1" s="1"/>
  <c r="AB55" i="1"/>
  <c r="AC55" i="1" s="1"/>
  <c r="H55" i="1" a="1"/>
  <c r="H55" i="1" s="1"/>
  <c r="G55" i="1" a="1"/>
  <c r="G55" i="1" s="1"/>
  <c r="F55" i="1" a="1"/>
  <c r="F55" i="1" s="1"/>
  <c r="E55" i="1" a="1"/>
  <c r="E55" i="1" s="1"/>
  <c r="B55" i="1" a="1"/>
  <c r="B55" i="1" s="1"/>
  <c r="BG54" i="1"/>
  <c r="BE54" i="1"/>
  <c r="BB54" i="1"/>
  <c r="BA54" i="1"/>
  <c r="AL54" i="1"/>
  <c r="AM54" i="1" s="1"/>
  <c r="AB54" i="1"/>
  <c r="AC54" i="1" s="1"/>
  <c r="H54" i="1" a="1"/>
  <c r="H54" i="1" s="1"/>
  <c r="G54" i="1" a="1"/>
  <c r="G54" i="1" s="1"/>
  <c r="F54" i="1" a="1"/>
  <c r="F54" i="1" s="1"/>
  <c r="E54" i="1" a="1"/>
  <c r="E54" i="1" s="1"/>
  <c r="B54" i="1" a="1"/>
  <c r="B54" i="1" s="1"/>
  <c r="BG53" i="1"/>
  <c r="BE53" i="1"/>
  <c r="BB53" i="1"/>
  <c r="BA53" i="1"/>
  <c r="AL53" i="1"/>
  <c r="AM53" i="1" s="1"/>
  <c r="AB53" i="1"/>
  <c r="AC53" i="1" s="1"/>
  <c r="H53" i="1" a="1"/>
  <c r="H53" i="1" s="1"/>
  <c r="G53" i="1" a="1"/>
  <c r="G53" i="1" s="1"/>
  <c r="F53" i="1" a="1"/>
  <c r="F53" i="1" s="1"/>
  <c r="E53" i="1" a="1"/>
  <c r="E53" i="1" s="1"/>
  <c r="B53" i="1" a="1"/>
  <c r="B53" i="1" s="1"/>
  <c r="BG52" i="1"/>
  <c r="BE52" i="1"/>
  <c r="BB52" i="1"/>
  <c r="BA52" i="1"/>
  <c r="AL52" i="1"/>
  <c r="AM52" i="1" s="1"/>
  <c r="AB52" i="1"/>
  <c r="AC52" i="1" s="1"/>
  <c r="H52" i="1" a="1"/>
  <c r="H52" i="1" s="1"/>
  <c r="BJ52" i="1" s="1"/>
  <c r="G52" i="1" a="1"/>
  <c r="G52" i="1" s="1"/>
  <c r="F52" i="1" a="1"/>
  <c r="F52" i="1" s="1"/>
  <c r="E52" i="1" a="1"/>
  <c r="E52" i="1" s="1"/>
  <c r="B52" i="1" a="1"/>
  <c r="B52" i="1" s="1"/>
  <c r="BG51" i="1"/>
  <c r="BE51" i="1"/>
  <c r="BB51" i="1"/>
  <c r="BA51" i="1"/>
  <c r="AL51" i="1"/>
  <c r="AM51" i="1" s="1"/>
  <c r="AB51" i="1"/>
  <c r="AC51" i="1" s="1"/>
  <c r="H51" i="1" a="1"/>
  <c r="H51" i="1" s="1"/>
  <c r="G51" i="1" a="1"/>
  <c r="G51" i="1" s="1"/>
  <c r="F51" i="1" a="1"/>
  <c r="F51" i="1" s="1"/>
  <c r="E51" i="1" a="1"/>
  <c r="E51" i="1" s="1"/>
  <c r="B51" i="1" a="1"/>
  <c r="B51" i="1" s="1"/>
  <c r="BG50" i="1"/>
  <c r="BE50" i="1"/>
  <c r="BB50" i="1"/>
  <c r="BA50" i="1"/>
  <c r="AQ50" i="1"/>
  <c r="AL50" i="1"/>
  <c r="AM50" i="1" s="1"/>
  <c r="AB50" i="1"/>
  <c r="AC50" i="1" s="1"/>
  <c r="O50" i="1"/>
  <c r="H50" i="1" a="1"/>
  <c r="H50" i="1" s="1"/>
  <c r="G50" i="1" a="1"/>
  <c r="G50" i="1" s="1"/>
  <c r="F50" i="1" a="1"/>
  <c r="F50" i="1" s="1"/>
  <c r="E50" i="1" a="1"/>
  <c r="E50" i="1" s="1"/>
  <c r="B50" i="1" a="1"/>
  <c r="B50" i="1" s="1"/>
  <c r="BG49" i="1"/>
  <c r="BE49" i="1"/>
  <c r="BB49" i="1"/>
  <c r="BA49" i="1"/>
  <c r="AL49" i="1"/>
  <c r="AM49" i="1" s="1"/>
  <c r="AB49" i="1"/>
  <c r="AC49" i="1" s="1"/>
  <c r="H49" i="1" a="1"/>
  <c r="H49" i="1" s="1"/>
  <c r="G49" i="1" a="1"/>
  <c r="G49" i="1" s="1"/>
  <c r="F49" i="1" a="1"/>
  <c r="F49" i="1" s="1"/>
  <c r="E49" i="1" a="1"/>
  <c r="E49" i="1" s="1"/>
  <c r="B49" i="1" a="1"/>
  <c r="B49" i="1" s="1"/>
  <c r="BG48" i="1"/>
  <c r="BE48" i="1"/>
  <c r="BB48" i="1"/>
  <c r="BA48" i="1"/>
  <c r="AL48" i="1"/>
  <c r="AM48" i="1" s="1"/>
  <c r="AB48" i="1"/>
  <c r="AC48" i="1" s="1"/>
  <c r="H48" i="1" a="1"/>
  <c r="H48" i="1" s="1"/>
  <c r="BJ48" i="1" s="1"/>
  <c r="G48" i="1" a="1"/>
  <c r="G48" i="1" s="1"/>
  <c r="F48" i="1" a="1"/>
  <c r="F48" i="1" s="1"/>
  <c r="E48" i="1" a="1"/>
  <c r="E48" i="1" s="1"/>
  <c r="B48" i="1" a="1"/>
  <c r="B48" i="1" s="1"/>
  <c r="BG47" i="1"/>
  <c r="BE47" i="1"/>
  <c r="BB47" i="1"/>
  <c r="BA47" i="1"/>
  <c r="AL47" i="1"/>
  <c r="AM47" i="1" s="1"/>
  <c r="AB47" i="1"/>
  <c r="AC47" i="1" s="1"/>
  <c r="H47" i="1" a="1"/>
  <c r="H47" i="1" s="1"/>
  <c r="BJ47" i="1" s="1"/>
  <c r="G47" i="1" a="1"/>
  <c r="G47" i="1" s="1"/>
  <c r="F47" i="1" a="1"/>
  <c r="F47" i="1" s="1"/>
  <c r="E47" i="1" a="1"/>
  <c r="E47" i="1" s="1"/>
  <c r="B47" i="1" a="1"/>
  <c r="B47" i="1" s="1"/>
  <c r="BG46" i="1"/>
  <c r="BE46" i="1"/>
  <c r="BB46" i="1"/>
  <c r="BA46" i="1"/>
  <c r="AL46" i="1"/>
  <c r="AM46" i="1" s="1"/>
  <c r="AB46" i="1"/>
  <c r="AC46" i="1" s="1"/>
  <c r="H46" i="1" a="1"/>
  <c r="H46" i="1" s="1"/>
  <c r="G46" i="1" a="1"/>
  <c r="G46" i="1" s="1"/>
  <c r="F46" i="1" a="1"/>
  <c r="F46" i="1" s="1"/>
  <c r="E46" i="1" a="1"/>
  <c r="E46" i="1" s="1"/>
  <c r="B46" i="1" a="1"/>
  <c r="B46" i="1" s="1"/>
  <c r="BG45" i="1"/>
  <c r="BE45" i="1"/>
  <c r="BB45" i="1"/>
  <c r="BA45" i="1"/>
  <c r="AL45" i="1"/>
  <c r="AM45" i="1" s="1"/>
  <c r="AB45" i="1"/>
  <c r="AC45" i="1" s="1"/>
  <c r="H45" i="1" a="1"/>
  <c r="H45" i="1" s="1"/>
  <c r="BJ45" i="1" s="1"/>
  <c r="G45" i="1" a="1"/>
  <c r="G45" i="1" s="1"/>
  <c r="F45" i="1" a="1"/>
  <c r="F45" i="1" s="1"/>
  <c r="E45" i="1" a="1"/>
  <c r="E45" i="1" s="1"/>
  <c r="B45" i="1" a="1"/>
  <c r="B45" i="1" s="1"/>
  <c r="BG44" i="1"/>
  <c r="BE44" i="1"/>
  <c r="BB44" i="1"/>
  <c r="BA44" i="1"/>
  <c r="AL44" i="1"/>
  <c r="AM44" i="1" s="1"/>
  <c r="AB44" i="1"/>
  <c r="AC44" i="1" s="1"/>
  <c r="H44" i="1" a="1"/>
  <c r="H44" i="1" s="1"/>
  <c r="G44" i="1" a="1"/>
  <c r="G44" i="1" s="1"/>
  <c r="F44" i="1" a="1"/>
  <c r="F44" i="1" s="1"/>
  <c r="E44" i="1" a="1"/>
  <c r="E44" i="1" s="1"/>
  <c r="B44" i="1" a="1"/>
  <c r="B44" i="1" s="1"/>
  <c r="BG43" i="1"/>
  <c r="BE43" i="1"/>
  <c r="BB43" i="1"/>
  <c r="BA43" i="1"/>
  <c r="AL43" i="1"/>
  <c r="AM43" i="1" s="1"/>
  <c r="AB43" i="1"/>
  <c r="AC43" i="1" s="1"/>
  <c r="H43" i="1" a="1"/>
  <c r="H43" i="1" s="1"/>
  <c r="BJ43" i="1" s="1"/>
  <c r="G43" i="1" a="1"/>
  <c r="G43" i="1" s="1"/>
  <c r="F43" i="1" a="1"/>
  <c r="F43" i="1" s="1"/>
  <c r="E43" i="1" a="1"/>
  <c r="E43" i="1" s="1"/>
  <c r="B43" i="1" a="1"/>
  <c r="B43" i="1" s="1"/>
  <c r="BG42" i="1"/>
  <c r="BE42" i="1"/>
  <c r="BB42" i="1"/>
  <c r="BA42" i="1"/>
  <c r="AL42" i="1"/>
  <c r="AM42" i="1" s="1"/>
  <c r="AB42" i="1"/>
  <c r="AC42" i="1" s="1"/>
  <c r="H42" i="1" a="1"/>
  <c r="H42" i="1" s="1"/>
  <c r="G42" i="1" a="1"/>
  <c r="G42" i="1" s="1"/>
  <c r="F42" i="1" a="1"/>
  <c r="F42" i="1" s="1"/>
  <c r="E42" i="1" a="1"/>
  <c r="E42" i="1" s="1"/>
  <c r="B42" i="1" a="1"/>
  <c r="B42" i="1" s="1"/>
  <c r="BG41" i="1"/>
  <c r="BE41" i="1"/>
  <c r="BB41" i="1"/>
  <c r="BA41" i="1"/>
  <c r="AL41" i="1"/>
  <c r="AM41" i="1" s="1"/>
  <c r="AB41" i="1"/>
  <c r="AC41" i="1" s="1"/>
  <c r="H41" i="1" a="1"/>
  <c r="H41" i="1" s="1"/>
  <c r="G41" i="1" a="1"/>
  <c r="G41" i="1" s="1"/>
  <c r="F41" i="1" a="1"/>
  <c r="F41" i="1" s="1"/>
  <c r="E41" i="1" a="1"/>
  <c r="E41" i="1" s="1"/>
  <c r="B41" i="1" a="1"/>
  <c r="B41" i="1" s="1"/>
  <c r="BG40" i="1"/>
  <c r="BE40" i="1"/>
  <c r="BB40" i="1"/>
  <c r="BA40" i="1"/>
  <c r="AL40" i="1"/>
  <c r="AM40" i="1" s="1"/>
  <c r="AB40" i="1"/>
  <c r="AC40" i="1" s="1"/>
  <c r="H40" i="1" a="1"/>
  <c r="H40" i="1" s="1"/>
  <c r="BJ40" i="1" s="1"/>
  <c r="G40" i="1" a="1"/>
  <c r="G40" i="1" s="1"/>
  <c r="F40" i="1" a="1"/>
  <c r="F40" i="1" s="1"/>
  <c r="E40" i="1" a="1"/>
  <c r="E40" i="1" s="1"/>
  <c r="B40" i="1" a="1"/>
  <c r="B40" i="1" s="1"/>
  <c r="BG39" i="1"/>
  <c r="BE39" i="1"/>
  <c r="BB39" i="1"/>
  <c r="BA39" i="1"/>
  <c r="AL39" i="1"/>
  <c r="AM39" i="1" s="1"/>
  <c r="AB39" i="1"/>
  <c r="AC39" i="1" s="1"/>
  <c r="H39" i="1" a="1"/>
  <c r="H39" i="1" s="1"/>
  <c r="BJ39" i="1" s="1"/>
  <c r="G39" i="1" a="1"/>
  <c r="G39" i="1" s="1"/>
  <c r="F39" i="1" a="1"/>
  <c r="F39" i="1" s="1"/>
  <c r="E39" i="1" a="1"/>
  <c r="E39" i="1" s="1"/>
  <c r="B39" i="1" a="1"/>
  <c r="B39" i="1" s="1"/>
  <c r="BG38" i="1"/>
  <c r="BE38" i="1"/>
  <c r="BB38" i="1"/>
  <c r="BA38" i="1"/>
  <c r="AL38" i="1"/>
  <c r="AM38" i="1" s="1"/>
  <c r="AB38" i="1"/>
  <c r="AC38" i="1" s="1"/>
  <c r="H38" i="1" a="1"/>
  <c r="H38" i="1" s="1"/>
  <c r="G38" i="1" a="1"/>
  <c r="G38" i="1" s="1"/>
  <c r="F38" i="1" a="1"/>
  <c r="F38" i="1" s="1"/>
  <c r="E38" i="1" a="1"/>
  <c r="E38" i="1" s="1"/>
  <c r="B38" i="1" a="1"/>
  <c r="B38" i="1" s="1"/>
  <c r="BG37" i="1"/>
  <c r="BE37" i="1"/>
  <c r="BB37" i="1"/>
  <c r="BA37" i="1"/>
  <c r="AL37" i="1"/>
  <c r="AM37" i="1" s="1"/>
  <c r="AB37" i="1"/>
  <c r="AC37" i="1" s="1"/>
  <c r="H37" i="1" a="1"/>
  <c r="H37" i="1" s="1"/>
  <c r="G37" i="1" a="1"/>
  <c r="G37" i="1" s="1"/>
  <c r="F37" i="1" a="1"/>
  <c r="F37" i="1" s="1"/>
  <c r="E37" i="1" a="1"/>
  <c r="E37" i="1" s="1"/>
  <c r="B37" i="1" a="1"/>
  <c r="B37" i="1" s="1"/>
  <c r="BG36" i="1"/>
  <c r="BE36" i="1"/>
  <c r="BB36" i="1"/>
  <c r="BA36" i="1"/>
  <c r="AL36" i="1"/>
  <c r="AM36" i="1" s="1"/>
  <c r="AB36" i="1"/>
  <c r="AC36" i="1" s="1"/>
  <c r="H36" i="1" a="1"/>
  <c r="H36" i="1" s="1"/>
  <c r="G36" i="1" a="1"/>
  <c r="G36" i="1" s="1"/>
  <c r="F36" i="1" a="1"/>
  <c r="F36" i="1" s="1"/>
  <c r="E36" i="1" a="1"/>
  <c r="E36" i="1" s="1"/>
  <c r="B36" i="1" a="1"/>
  <c r="B36" i="1" s="1"/>
  <c r="BG35" i="1"/>
  <c r="BE35" i="1"/>
  <c r="BB35" i="1"/>
  <c r="BA35" i="1"/>
  <c r="AL35" i="1"/>
  <c r="AM35" i="1" s="1"/>
  <c r="AB35" i="1"/>
  <c r="AC35" i="1" s="1"/>
  <c r="H35" i="1" a="1"/>
  <c r="H35" i="1" s="1"/>
  <c r="G35" i="1" a="1"/>
  <c r="G35" i="1" s="1"/>
  <c r="F35" i="1" a="1"/>
  <c r="F35" i="1" s="1"/>
  <c r="B35" i="1" a="1"/>
  <c r="B35" i="1" s="1"/>
  <c r="BG34" i="1"/>
  <c r="BE34" i="1"/>
  <c r="BB34" i="1"/>
  <c r="BA34" i="1"/>
  <c r="AL34" i="1"/>
  <c r="AM34" i="1" s="1"/>
  <c r="AB34" i="1"/>
  <c r="AC34" i="1" s="1"/>
  <c r="H34" i="1" a="1"/>
  <c r="H34" i="1" s="1"/>
  <c r="G34" i="1" a="1"/>
  <c r="G34" i="1" s="1"/>
  <c r="F34" i="1" a="1"/>
  <c r="F34" i="1" s="1"/>
  <c r="E34" i="1" a="1"/>
  <c r="E34" i="1" s="1"/>
  <c r="B34" i="1" a="1"/>
  <c r="B34" i="1" s="1"/>
  <c r="BG33" i="1"/>
  <c r="BE33" i="1"/>
  <c r="BB33" i="1"/>
  <c r="BA33" i="1"/>
  <c r="AL33" i="1"/>
  <c r="AM33" i="1" s="1"/>
  <c r="AB33" i="1"/>
  <c r="AC33" i="1" s="1"/>
  <c r="H33" i="1" a="1"/>
  <c r="H33" i="1" s="1"/>
  <c r="G33" i="1" a="1"/>
  <c r="G33" i="1" s="1"/>
  <c r="F33" i="1" a="1"/>
  <c r="F33" i="1" s="1"/>
  <c r="E33" i="1" a="1"/>
  <c r="E33" i="1" s="1"/>
  <c r="B33" i="1" a="1"/>
  <c r="B33" i="1" s="1"/>
  <c r="BB32" i="1"/>
  <c r="BA32" i="1"/>
  <c r="AL32" i="1"/>
  <c r="AM32" i="1" s="1"/>
  <c r="AB32" i="1"/>
  <c r="AC32" i="1" s="1"/>
  <c r="H32" i="1" a="1"/>
  <c r="H32" i="1" s="1"/>
  <c r="BJ32" i="1" s="1"/>
  <c r="G32" i="1" a="1"/>
  <c r="G32" i="1" s="1"/>
  <c r="F32" i="1" a="1"/>
  <c r="F32" i="1" s="1"/>
  <c r="E32" i="1" a="1"/>
  <c r="E32" i="1" s="1"/>
  <c r="B32" i="1" a="1"/>
  <c r="B32" i="1" s="1"/>
  <c r="BG31" i="1"/>
  <c r="BE31" i="1"/>
  <c r="BB31" i="1"/>
  <c r="BA31" i="1"/>
  <c r="AL31" i="1"/>
  <c r="AM31" i="1" s="1"/>
  <c r="AB31" i="1"/>
  <c r="AC31" i="1" s="1"/>
  <c r="H31" i="1" a="1"/>
  <c r="H31" i="1" s="1"/>
  <c r="BJ31" i="1" s="1"/>
  <c r="G31" i="1" a="1"/>
  <c r="G31" i="1" s="1"/>
  <c r="F31" i="1" a="1"/>
  <c r="F31" i="1" s="1"/>
  <c r="E31" i="1" a="1"/>
  <c r="E31" i="1" s="1"/>
  <c r="B31" i="1" a="1"/>
  <c r="B31" i="1" s="1"/>
  <c r="BG30" i="1"/>
  <c r="BE30" i="1"/>
  <c r="BB30" i="1"/>
  <c r="BA30" i="1"/>
  <c r="AL30" i="1"/>
  <c r="AM30" i="1" s="1"/>
  <c r="AB30" i="1"/>
  <c r="AC30" i="1" s="1"/>
  <c r="H30" i="1" a="1"/>
  <c r="H30" i="1" s="1"/>
  <c r="G30" i="1" a="1"/>
  <c r="G30" i="1" s="1"/>
  <c r="F30" i="1" a="1"/>
  <c r="F30" i="1" s="1"/>
  <c r="E30" i="1" a="1"/>
  <c r="E30" i="1" s="1"/>
  <c r="B30" i="1" a="1"/>
  <c r="B30" i="1" s="1"/>
  <c r="BG29" i="1"/>
  <c r="BE29" i="1"/>
  <c r="BB29" i="1"/>
  <c r="BA29" i="1"/>
  <c r="AL29" i="1"/>
  <c r="AM29" i="1" s="1"/>
  <c r="AB29" i="1"/>
  <c r="AC29" i="1" s="1"/>
  <c r="H29" i="1" a="1"/>
  <c r="H29" i="1" s="1"/>
  <c r="G29" i="1" a="1"/>
  <c r="G29" i="1" s="1"/>
  <c r="F29" i="1" a="1"/>
  <c r="F29" i="1" s="1"/>
  <c r="E29" i="1" a="1"/>
  <c r="E29" i="1" s="1"/>
  <c r="B29" i="1" a="1"/>
  <c r="B29" i="1" s="1"/>
  <c r="BB28" i="1"/>
  <c r="BA28" i="1"/>
  <c r="AL28" i="1"/>
  <c r="AM28" i="1" s="1"/>
  <c r="AB28" i="1"/>
  <c r="AC28" i="1" s="1"/>
  <c r="H28" i="1" a="1"/>
  <c r="H28" i="1" s="1"/>
  <c r="BK28" i="1" s="1"/>
  <c r="G28" i="1" a="1"/>
  <c r="G28" i="1" s="1"/>
  <c r="F28" i="1" a="1"/>
  <c r="F28" i="1" s="1"/>
  <c r="E28" i="1" a="1"/>
  <c r="E28" i="1" s="1"/>
  <c r="B28" i="1" a="1"/>
  <c r="B28" i="1" s="1"/>
  <c r="BG27" i="1"/>
  <c r="BE27" i="1"/>
  <c r="BB27" i="1"/>
  <c r="BA27" i="1"/>
  <c r="AL27" i="1"/>
  <c r="AM27" i="1" s="1"/>
  <c r="AB27" i="1"/>
  <c r="AC27" i="1" s="1"/>
  <c r="H27" i="1" a="1"/>
  <c r="H27" i="1" s="1"/>
  <c r="G27" i="1" a="1"/>
  <c r="G27" i="1" s="1"/>
  <c r="F27" i="1" a="1"/>
  <c r="F27" i="1" s="1"/>
  <c r="E27" i="1" a="1"/>
  <c r="E27" i="1" s="1"/>
  <c r="B27" i="1" a="1"/>
  <c r="B27" i="1" s="1"/>
  <c r="BG26" i="1"/>
  <c r="BE26" i="1"/>
  <c r="BB26" i="1"/>
  <c r="BA26" i="1"/>
  <c r="AL26" i="1"/>
  <c r="AM26" i="1" s="1"/>
  <c r="AB26" i="1"/>
  <c r="AC26" i="1" s="1"/>
  <c r="H26" i="1" a="1"/>
  <c r="H26" i="1" s="1"/>
  <c r="BJ26" i="1" s="1"/>
  <c r="G26" i="1" a="1"/>
  <c r="G26" i="1" s="1"/>
  <c r="F26" i="1" a="1"/>
  <c r="F26" i="1" s="1"/>
  <c r="E26" i="1" a="1"/>
  <c r="E26" i="1" s="1"/>
  <c r="B26" i="1" a="1"/>
  <c r="B26" i="1" s="1"/>
  <c r="BG25" i="1"/>
  <c r="BE25" i="1"/>
  <c r="BB25" i="1"/>
  <c r="BA25" i="1"/>
  <c r="AL25" i="1"/>
  <c r="AM25" i="1" s="1"/>
  <c r="AB25" i="1"/>
  <c r="AC25" i="1" s="1"/>
  <c r="H25" i="1" a="1"/>
  <c r="H25" i="1" s="1"/>
  <c r="BK25" i="1" s="1"/>
  <c r="G25" i="1" a="1"/>
  <c r="G25" i="1" s="1"/>
  <c r="F25" i="1" a="1"/>
  <c r="F25" i="1" s="1"/>
  <c r="E25" i="1" a="1"/>
  <c r="E25" i="1" s="1"/>
  <c r="B25" i="1" a="1"/>
  <c r="B25" i="1" s="1"/>
  <c r="BG24" i="1"/>
  <c r="BE24" i="1"/>
  <c r="BB24" i="1"/>
  <c r="BA24" i="1"/>
  <c r="AL24" i="1"/>
  <c r="AM24" i="1" s="1"/>
  <c r="AB24" i="1"/>
  <c r="AC24" i="1" s="1"/>
  <c r="H24" i="1" a="1"/>
  <c r="H24" i="1" s="1"/>
  <c r="BJ24" i="1" s="1"/>
  <c r="G24" i="1" a="1"/>
  <c r="G24" i="1" s="1"/>
  <c r="F24" i="1" a="1"/>
  <c r="F24" i="1" s="1"/>
  <c r="E24" i="1" a="1"/>
  <c r="E24" i="1" s="1"/>
  <c r="B24" i="1" a="1"/>
  <c r="B24" i="1" s="1"/>
  <c r="BG23" i="1"/>
  <c r="BE23" i="1"/>
  <c r="BB23" i="1"/>
  <c r="BA23" i="1"/>
  <c r="AL23" i="1"/>
  <c r="AM23" i="1" s="1"/>
  <c r="AB23" i="1"/>
  <c r="AC23" i="1" s="1"/>
  <c r="H23" i="1" a="1"/>
  <c r="H23" i="1" s="1"/>
  <c r="G23" i="1" a="1"/>
  <c r="G23" i="1" s="1"/>
  <c r="F23" i="1" a="1"/>
  <c r="F23" i="1" s="1"/>
  <c r="E23" i="1" a="1"/>
  <c r="E23" i="1" s="1"/>
  <c r="B23" i="1" a="1"/>
  <c r="B23" i="1" s="1"/>
  <c r="O27" i="3" s="1"/>
  <c r="BG22" i="1"/>
  <c r="BE22" i="1"/>
  <c r="BB22" i="1"/>
  <c r="BA22" i="1"/>
  <c r="AL22" i="1"/>
  <c r="AM22" i="1" s="1"/>
  <c r="AB22" i="1"/>
  <c r="AC22" i="1" s="1"/>
  <c r="H22" i="1" a="1"/>
  <c r="H22" i="1" s="1"/>
  <c r="BJ22" i="1" s="1"/>
  <c r="G22" i="1" a="1"/>
  <c r="G22" i="1" s="1"/>
  <c r="F22" i="1" a="1"/>
  <c r="F22" i="1" s="1"/>
  <c r="E22" i="1" a="1"/>
  <c r="E22" i="1" s="1"/>
  <c r="B22" i="1" a="1"/>
  <c r="B22" i="1" s="1"/>
  <c r="O26" i="3" s="1"/>
  <c r="BG21" i="1"/>
  <c r="BE21" i="1"/>
  <c r="BB21" i="1"/>
  <c r="BA21" i="1"/>
  <c r="AL21" i="1"/>
  <c r="AM21" i="1" s="1"/>
  <c r="AB21" i="1"/>
  <c r="AC21" i="1" s="1"/>
  <c r="H21" i="1" a="1"/>
  <c r="H21" i="1" s="1"/>
  <c r="G21" i="1" a="1"/>
  <c r="G21" i="1" s="1"/>
  <c r="F21" i="1" a="1"/>
  <c r="F21" i="1" s="1"/>
  <c r="E21" i="1" a="1"/>
  <c r="E21" i="1" s="1"/>
  <c r="B21" i="1" a="1"/>
  <c r="B21" i="1" s="1"/>
  <c r="O25" i="3" s="1"/>
  <c r="BG20" i="1"/>
  <c r="BE20" i="1"/>
  <c r="BB20" i="1"/>
  <c r="BA20" i="1"/>
  <c r="AL20" i="1"/>
  <c r="AM20" i="1" s="1"/>
  <c r="AB20" i="1"/>
  <c r="AC20" i="1" s="1"/>
  <c r="H20" i="1" a="1"/>
  <c r="H20" i="1" s="1"/>
  <c r="BJ20" i="1" s="1"/>
  <c r="G20" i="1" a="1"/>
  <c r="G20" i="1" s="1"/>
  <c r="F20" i="1" a="1"/>
  <c r="F20" i="1" s="1"/>
  <c r="E20" i="1" a="1"/>
  <c r="E20" i="1" s="1"/>
  <c r="B20" i="1" a="1"/>
  <c r="B20" i="1" s="1"/>
  <c r="BG19" i="1"/>
  <c r="BE19" i="1"/>
  <c r="BB19" i="1"/>
  <c r="BA19" i="1"/>
  <c r="AL19" i="1"/>
  <c r="AM19" i="1" s="1"/>
  <c r="AB19" i="1"/>
  <c r="AC19" i="1" s="1"/>
  <c r="H19" i="1" a="1"/>
  <c r="H19" i="1" s="1"/>
  <c r="BJ19" i="1" s="1"/>
  <c r="G19" i="1" a="1"/>
  <c r="G19" i="1" s="1"/>
  <c r="F19" i="1" a="1"/>
  <c r="F19" i="1" s="1"/>
  <c r="E19" i="1" a="1"/>
  <c r="E19" i="1" s="1"/>
  <c r="B19" i="1" a="1"/>
  <c r="B19" i="1" s="1"/>
  <c r="O23" i="3" s="1"/>
  <c r="BG18" i="1"/>
  <c r="BE18" i="1"/>
  <c r="BB18" i="1"/>
  <c r="BA18" i="1"/>
  <c r="AL18" i="1"/>
  <c r="AM18" i="1" s="1"/>
  <c r="E22" i="3" s="1"/>
  <c r="AB18" i="1"/>
  <c r="AC18" i="1" s="1"/>
  <c r="H18" i="1" a="1"/>
  <c r="H18" i="1" s="1"/>
  <c r="G18" i="1" a="1"/>
  <c r="G18" i="1" s="1"/>
  <c r="F18" i="1" a="1"/>
  <c r="F18" i="1" s="1"/>
  <c r="E18" i="1" a="1"/>
  <c r="E18" i="1" s="1"/>
  <c r="B18" i="1" a="1"/>
  <c r="B18" i="1" s="1"/>
  <c r="BG17" i="1"/>
  <c r="BE17" i="1"/>
  <c r="BB17" i="1"/>
  <c r="BA17" i="1"/>
  <c r="AL17" i="1"/>
  <c r="AM17" i="1" s="1"/>
  <c r="E21" i="3" s="1"/>
  <c r="AB17" i="1"/>
  <c r="AC17" i="1" s="1"/>
  <c r="D21" i="3" s="1"/>
  <c r="C21" i="3"/>
  <c r="H17" i="1" a="1"/>
  <c r="H17" i="1" s="1"/>
  <c r="BJ17" i="1" s="1"/>
  <c r="G17" i="1" a="1"/>
  <c r="G17" i="1" s="1"/>
  <c r="F17" i="1" a="1"/>
  <c r="F17" i="1" s="1"/>
  <c r="E17" i="1" a="1"/>
  <c r="E17" i="1" s="1"/>
  <c r="B17" i="1" a="1"/>
  <c r="B17" i="1" s="1"/>
  <c r="BG16" i="1"/>
  <c r="BE16" i="1"/>
  <c r="BB16" i="1"/>
  <c r="BA16" i="1"/>
  <c r="AL16" i="1"/>
  <c r="AM16" i="1" s="1"/>
  <c r="E20" i="3" s="1"/>
  <c r="AB16" i="1"/>
  <c r="AC16" i="1" s="1"/>
  <c r="H16" i="1" a="1"/>
  <c r="H16" i="1" s="1"/>
  <c r="BK16" i="1" s="1"/>
  <c r="G16" i="1" a="1"/>
  <c r="G16" i="1" s="1"/>
  <c r="F16" i="1" a="1"/>
  <c r="F16" i="1" s="1"/>
  <c r="E16" i="1" a="1"/>
  <c r="E16" i="1" s="1"/>
  <c r="B16" i="1" a="1"/>
  <c r="B16" i="1" s="1"/>
  <c r="BG15" i="1"/>
  <c r="BE15" i="1"/>
  <c r="BB15" i="1"/>
  <c r="BA15" i="1"/>
  <c r="AL15" i="1"/>
  <c r="AM15" i="1" s="1"/>
  <c r="E19" i="3" s="1"/>
  <c r="AB15" i="1"/>
  <c r="AC15" i="1" s="1"/>
  <c r="D19" i="3" s="1"/>
  <c r="C19" i="3"/>
  <c r="H15" i="1" a="1"/>
  <c r="H15" i="1" s="1"/>
  <c r="G15" i="1" a="1"/>
  <c r="G15" i="1" s="1"/>
  <c r="F15" i="1" a="1"/>
  <c r="F15" i="1" s="1"/>
  <c r="E15" i="1" a="1"/>
  <c r="E15" i="1" s="1"/>
  <c r="B15" i="1" a="1"/>
  <c r="B15" i="1" s="1"/>
  <c r="BG14" i="1"/>
  <c r="BE14" i="1"/>
  <c r="BB14" i="1"/>
  <c r="BA14" i="1"/>
  <c r="AL14" i="1"/>
  <c r="AM14" i="1" s="1"/>
  <c r="E18" i="3" s="1"/>
  <c r="AB14" i="1"/>
  <c r="AC14" i="1" s="1"/>
  <c r="D18" i="3" s="1"/>
  <c r="H14" i="1" a="1"/>
  <c r="H14" i="1" s="1"/>
  <c r="G14" i="1" a="1"/>
  <c r="G14" i="1" s="1"/>
  <c r="F14" i="1" a="1"/>
  <c r="F14" i="1" s="1"/>
  <c r="E14" i="1" a="1"/>
  <c r="E14" i="1" s="1"/>
  <c r="B14" i="1" a="1"/>
  <c r="B14" i="1" s="1"/>
  <c r="BG13" i="1"/>
  <c r="BE13" i="1"/>
  <c r="BB13" i="1"/>
  <c r="BA13" i="1"/>
  <c r="AL13" i="1"/>
  <c r="AM13" i="1" s="1"/>
  <c r="AB13" i="1"/>
  <c r="AC13" i="1" s="1"/>
  <c r="D17" i="3" s="1"/>
  <c r="C17" i="3"/>
  <c r="H13" i="1" a="1"/>
  <c r="H13" i="1" s="1"/>
  <c r="BJ13" i="1" s="1"/>
  <c r="G13" i="1" a="1"/>
  <c r="G13" i="1" s="1"/>
  <c r="F13" i="1" a="1"/>
  <c r="F13" i="1" s="1"/>
  <c r="E13" i="1" a="1"/>
  <c r="E13" i="1" s="1"/>
  <c r="B13" i="1" a="1"/>
  <c r="B13" i="1" s="1"/>
  <c r="BG12" i="1"/>
  <c r="BE12" i="1"/>
  <c r="BB12" i="1"/>
  <c r="BA12" i="1"/>
  <c r="AL12" i="1"/>
  <c r="AM12" i="1" s="1"/>
  <c r="E16" i="3" s="1"/>
  <c r="AB12" i="1"/>
  <c r="AC12" i="1" s="1"/>
  <c r="C16" i="3"/>
  <c r="H12" i="1" a="1"/>
  <c r="H12" i="1" s="1"/>
  <c r="G12" i="1" a="1"/>
  <c r="G12" i="1" s="1"/>
  <c r="F12" i="1" a="1"/>
  <c r="F12" i="1" s="1"/>
  <c r="E12" i="1" a="1"/>
  <c r="E12" i="1" s="1"/>
  <c r="B12" i="1" a="1"/>
  <c r="B12" i="1" s="1"/>
  <c r="BG11" i="1"/>
  <c r="BE11" i="1"/>
  <c r="BB11" i="1"/>
  <c r="BA11" i="1"/>
  <c r="AL11" i="1"/>
  <c r="AM11" i="1" s="1"/>
  <c r="AB11" i="1"/>
  <c r="AC11" i="1" s="1"/>
  <c r="C15" i="3"/>
  <c r="H11" i="1" a="1"/>
  <c r="H11" i="1" s="1"/>
  <c r="BJ11" i="1" s="1"/>
  <c r="G11" i="1" a="1"/>
  <c r="G11" i="1" s="1"/>
  <c r="F11" i="1" a="1"/>
  <c r="F11" i="1" s="1"/>
  <c r="E11" i="1" a="1"/>
  <c r="E11" i="1" s="1"/>
  <c r="B11" i="1" a="1"/>
  <c r="B11" i="1" s="1"/>
  <c r="BG10" i="1"/>
  <c r="BE10" i="1"/>
  <c r="BB10" i="1"/>
  <c r="BA10" i="1"/>
  <c r="AL10" i="1"/>
  <c r="AM10" i="1" s="1"/>
  <c r="AB10" i="1"/>
  <c r="AC10" i="1" s="1"/>
  <c r="H10" i="1" a="1"/>
  <c r="H10" i="1" s="1"/>
  <c r="G10" i="1" a="1"/>
  <c r="G10" i="1" s="1"/>
  <c r="F10" i="1" a="1"/>
  <c r="F10" i="1" s="1"/>
  <c r="E10" i="1" a="1"/>
  <c r="E10" i="1" s="1"/>
  <c r="B10" i="1" a="1"/>
  <c r="B10" i="1" s="1"/>
  <c r="BG9" i="1"/>
  <c r="BE9" i="1"/>
  <c r="BB9" i="1"/>
  <c r="BA9" i="1"/>
  <c r="AL9" i="1"/>
  <c r="AM9" i="1" s="1"/>
  <c r="AB9" i="1"/>
  <c r="AC9" i="1" s="1"/>
  <c r="D13" i="3" s="1"/>
  <c r="C13" i="3"/>
  <c r="H9" i="1" a="1"/>
  <c r="H9" i="1" s="1"/>
  <c r="G9" i="1" a="1"/>
  <c r="G9" i="1" s="1"/>
  <c r="F9" i="1" a="1"/>
  <c r="F9" i="1" s="1"/>
  <c r="E9" i="1" a="1"/>
  <c r="E9" i="1" s="1"/>
  <c r="B9" i="1" a="1"/>
  <c r="B9" i="1" s="1"/>
  <c r="BG8" i="1"/>
  <c r="BE8" i="1"/>
  <c r="BB8" i="1"/>
  <c r="BA8" i="1"/>
  <c r="AL8" i="1"/>
  <c r="AM8" i="1" s="1"/>
  <c r="AB8" i="1"/>
  <c r="AC8" i="1" s="1"/>
  <c r="D12" i="3" s="1"/>
  <c r="H8" i="1" a="1"/>
  <c r="H8" i="1" s="1"/>
  <c r="G8" i="1" a="1"/>
  <c r="G8" i="1" s="1"/>
  <c r="F8" i="1" a="1"/>
  <c r="F8" i="1" s="1"/>
  <c r="E8" i="1" a="1"/>
  <c r="E8" i="1" s="1"/>
  <c r="B8" i="1" a="1"/>
  <c r="B8" i="1" s="1"/>
  <c r="BG7" i="1"/>
  <c r="BE7" i="1"/>
  <c r="BB7" i="1"/>
  <c r="BA7" i="1"/>
  <c r="AL7" i="1"/>
  <c r="AM7" i="1" s="1"/>
  <c r="AB7" i="1"/>
  <c r="AC7" i="1" s="1"/>
  <c r="H7" i="1" a="1"/>
  <c r="H7" i="1" s="1"/>
  <c r="BK7" i="1" s="1"/>
  <c r="G7" i="1" a="1"/>
  <c r="G7" i="1" s="1"/>
  <c r="F7" i="1" a="1"/>
  <c r="F7" i="1" s="1"/>
  <c r="E7" i="1" a="1"/>
  <c r="E7" i="1" s="1"/>
  <c r="B7" i="1" a="1"/>
  <c r="B7" i="1" s="1"/>
  <c r="BG6" i="1"/>
  <c r="BE6" i="1"/>
  <c r="BB6" i="1"/>
  <c r="BA6" i="1"/>
  <c r="AL6" i="1"/>
  <c r="AM6" i="1" s="1"/>
  <c r="AB6" i="1"/>
  <c r="AC6" i="1" s="1"/>
  <c r="H6" i="1" a="1"/>
  <c r="H6" i="1" s="1"/>
  <c r="G6" i="1" a="1"/>
  <c r="G6" i="1" s="1"/>
  <c r="F6" i="1" a="1"/>
  <c r="F6" i="1" s="1"/>
  <c r="E6" i="1" a="1"/>
  <c r="E6" i="1" s="1"/>
  <c r="B6" i="1" a="1"/>
  <c r="B6" i="1" s="1"/>
  <c r="BB5" i="1"/>
  <c r="BA5" i="1"/>
  <c r="AL5" i="1"/>
  <c r="AM5" i="1" s="1"/>
  <c r="AB5" i="1"/>
  <c r="AC5" i="1" s="1"/>
  <c r="D9" i="3" s="1"/>
  <c r="C9" i="3"/>
  <c r="H5" i="1" a="1"/>
  <c r="H5" i="1" s="1"/>
  <c r="BJ5" i="1" s="1"/>
  <c r="G5" i="1" a="1"/>
  <c r="G5" i="1" s="1"/>
  <c r="F5" i="1" a="1"/>
  <c r="F5" i="1" s="1"/>
  <c r="E5" i="1" a="1"/>
  <c r="E5" i="1" s="1"/>
  <c r="B5" i="1" a="1"/>
  <c r="B5" i="1" s="1"/>
  <c r="I88" i="3" s="1"/>
  <c r="BG4" i="1"/>
  <c r="BE4" i="1"/>
  <c r="BB4" i="1"/>
  <c r="BA4" i="1"/>
  <c r="AL4" i="1"/>
  <c r="AM4" i="1" s="1"/>
  <c r="AB4" i="1"/>
  <c r="AC4" i="1" s="1"/>
  <c r="BK4" i="1"/>
  <c r="G4" i="1" a="1"/>
  <c r="G4" i="1" s="1"/>
  <c r="BL4" i="1" s="1"/>
  <c r="F4" i="1" a="1"/>
  <c r="F4" i="1" s="1"/>
  <c r="E4" i="1" a="1"/>
  <c r="E4" i="1" s="1"/>
  <c r="B4" i="1" a="1"/>
  <c r="B4" i="1" s="1"/>
  <c r="AW74" i="1" l="1"/>
  <c r="AX74" i="1"/>
  <c r="AX72" i="1"/>
  <c r="AW72" i="1"/>
  <c r="AX73" i="1"/>
  <c r="AW73" i="1"/>
  <c r="BL45" i="1"/>
  <c r="BL39" i="1"/>
  <c r="BL11" i="1"/>
  <c r="AN28" i="1"/>
  <c r="AN34" i="1"/>
  <c r="BL40" i="1"/>
  <c r="BL48" i="1"/>
  <c r="BL58" i="1"/>
  <c r="BL47" i="1"/>
  <c r="BM16" i="1"/>
  <c r="AC20" i="3" s="1"/>
  <c r="BL19" i="1"/>
  <c r="BM64" i="1"/>
  <c r="BL17" i="1"/>
  <c r="AB21" i="3" s="1"/>
  <c r="BL22" i="1"/>
  <c r="BL13" i="1"/>
  <c r="BL20" i="1"/>
  <c r="BM28" i="1"/>
  <c r="AN20" i="1"/>
  <c r="BL31" i="1"/>
  <c r="BC49" i="1"/>
  <c r="BL52" i="1"/>
  <c r="AN60" i="1"/>
  <c r="BL26" i="1"/>
  <c r="BL24" i="1"/>
  <c r="BL32" i="1"/>
  <c r="BL43" i="1"/>
  <c r="AN24" i="1"/>
  <c r="BM4" i="1"/>
  <c r="F74" i="3" s="1"/>
  <c r="BM7" i="1"/>
  <c r="F77" i="3" s="1"/>
  <c r="BL5" i="1"/>
  <c r="BM59" i="1"/>
  <c r="BM25" i="1"/>
  <c r="B69" i="3"/>
  <c r="AN33" i="1"/>
  <c r="AN4" i="1"/>
  <c r="B65" i="3"/>
  <c r="AN37" i="1"/>
  <c r="B70" i="3"/>
  <c r="B71" i="3"/>
  <c r="B73" i="3"/>
  <c r="BC35" i="1"/>
  <c r="AN42" i="1"/>
  <c r="AN58" i="1"/>
  <c r="AN61" i="1"/>
  <c r="AN66" i="1"/>
  <c r="AN36" i="1"/>
  <c r="AN54" i="1"/>
  <c r="AN64" i="1"/>
  <c r="AN62" i="1"/>
  <c r="BC28" i="1"/>
  <c r="BC7" i="1"/>
  <c r="I11" i="3" s="1"/>
  <c r="AN50" i="1"/>
  <c r="AN55" i="1"/>
  <c r="BC16" i="1"/>
  <c r="I20" i="3" s="1"/>
  <c r="AN32" i="1"/>
  <c r="AN22" i="1"/>
  <c r="P26" i="3" s="1"/>
  <c r="BC48" i="1"/>
  <c r="AW71" i="1"/>
  <c r="AN44" i="1"/>
  <c r="AN49" i="1"/>
  <c r="AN51" i="1"/>
  <c r="AN56" i="1"/>
  <c r="BC58" i="1"/>
  <c r="AN63" i="1"/>
  <c r="BC13" i="1"/>
  <c r="I17" i="3" s="1"/>
  <c r="BC17" i="1"/>
  <c r="I21" i="3" s="1"/>
  <c r="AN26" i="1"/>
  <c r="AN31" i="1"/>
  <c r="AN39" i="1"/>
  <c r="BC46" i="1"/>
  <c r="AN59" i="1"/>
  <c r="AN21" i="1"/>
  <c r="P25" i="3" s="1"/>
  <c r="BC36" i="1"/>
  <c r="AN12" i="1"/>
  <c r="AN29" i="1"/>
  <c r="AN45" i="1"/>
  <c r="AN47" i="1"/>
  <c r="AN52" i="1"/>
  <c r="AN57" i="1"/>
  <c r="AN19" i="1"/>
  <c r="P23" i="3" s="1"/>
  <c r="AN40" i="1"/>
  <c r="AN65" i="1"/>
  <c r="AN43" i="1"/>
  <c r="AN48" i="1"/>
  <c r="BC52" i="1"/>
  <c r="AN25" i="1"/>
  <c r="AN30" i="1"/>
  <c r="AN38" i="1"/>
  <c r="AN46" i="1"/>
  <c r="AN53" i="1"/>
  <c r="BC55" i="1"/>
  <c r="BC62" i="1"/>
  <c r="D15" i="3"/>
  <c r="AN11" i="1"/>
  <c r="D11" i="3"/>
  <c r="AN7" i="1"/>
  <c r="D22" i="3"/>
  <c r="AN18" i="1"/>
  <c r="AN27" i="1"/>
  <c r="D10" i="3"/>
  <c r="AN6" i="1"/>
  <c r="AN8" i="1"/>
  <c r="AN35" i="1"/>
  <c r="BC9" i="1"/>
  <c r="I13" i="3" s="1"/>
  <c r="AN13" i="1"/>
  <c r="BC21" i="1"/>
  <c r="BC5" i="1"/>
  <c r="I9" i="3" s="1"/>
  <c r="BK50" i="1"/>
  <c r="BM50" i="1" s="1"/>
  <c r="BC56" i="1"/>
  <c r="AN15" i="1"/>
  <c r="AN23" i="1"/>
  <c r="P27" i="3" s="1"/>
  <c r="BC12" i="1"/>
  <c r="I16" i="3" s="1"/>
  <c r="BC6" i="1"/>
  <c r="T10" i="3" s="1"/>
  <c r="BC24" i="1"/>
  <c r="BC33" i="1"/>
  <c r="AN9" i="1"/>
  <c r="AN41" i="1"/>
  <c r="BC45" i="1"/>
  <c r="BC47" i="1"/>
  <c r="BC41" i="1"/>
  <c r="BC57" i="1"/>
  <c r="BC60" i="1"/>
  <c r="BC65" i="1"/>
  <c r="AN17" i="1"/>
  <c r="AN14" i="1"/>
  <c r="BC66" i="1"/>
  <c r="BC25" i="1"/>
  <c r="BC44" i="1"/>
  <c r="BC53" i="1"/>
  <c r="BC30" i="1"/>
  <c r="D14" i="3"/>
  <c r="AN10" i="1"/>
  <c r="D20" i="3"/>
  <c r="AN16" i="1"/>
  <c r="AN5" i="1"/>
  <c r="BC8" i="1"/>
  <c r="I12" i="3" s="1"/>
  <c r="BK61" i="1"/>
  <c r="BM61" i="1" s="1"/>
  <c r="BJ61" i="1"/>
  <c r="BL61" i="1" s="1"/>
  <c r="AR67" i="1"/>
  <c r="AW67" i="1" s="1"/>
  <c r="BK65" i="1"/>
  <c r="BM65" i="1" s="1"/>
  <c r="BJ65" i="1"/>
  <c r="BL65" i="1" s="1"/>
  <c r="BK63" i="1"/>
  <c r="BM63" i="1" s="1"/>
  <c r="BJ63" i="1"/>
  <c r="BL63" i="1" s="1"/>
  <c r="AY69" i="1"/>
  <c r="AX71" i="1"/>
  <c r="AX69" i="1"/>
  <c r="AW70" i="1"/>
  <c r="AX70" i="1"/>
  <c r="AW68" i="1"/>
  <c r="AX68" i="1"/>
  <c r="BC19" i="1"/>
  <c r="BC26" i="1"/>
  <c r="BC37" i="1"/>
  <c r="BC15" i="1"/>
  <c r="I19" i="3" s="1"/>
  <c r="BC54" i="1"/>
  <c r="BC63" i="1"/>
  <c r="BC11" i="1"/>
  <c r="T15" i="3" s="1"/>
  <c r="BC18" i="1"/>
  <c r="I22" i="3" s="1"/>
  <c r="BC29" i="1"/>
  <c r="BC4" i="1"/>
  <c r="T8" i="3" s="1"/>
  <c r="BC32" i="1"/>
  <c r="BC39" i="1"/>
  <c r="BC10" i="1"/>
  <c r="I14" i="3" s="1"/>
  <c r="BC14" i="1"/>
  <c r="I18" i="3" s="1"/>
  <c r="BC27" i="1"/>
  <c r="BC31" i="1"/>
  <c r="BC38" i="1"/>
  <c r="K83" i="3"/>
  <c r="Q83" i="3" s="1"/>
  <c r="N81" i="3"/>
  <c r="B81" i="3"/>
  <c r="L75" i="3"/>
  <c r="C74" i="3"/>
  <c r="M81" i="3"/>
  <c r="P77" i="3"/>
  <c r="D77" i="3"/>
  <c r="K75" i="3"/>
  <c r="Q75" i="3" s="1"/>
  <c r="N74" i="3"/>
  <c r="B74" i="3"/>
  <c r="G88" i="3"/>
  <c r="E83" i="3"/>
  <c r="H83" i="3" s="1"/>
  <c r="L81" i="3"/>
  <c r="C77" i="3"/>
  <c r="M74" i="3"/>
  <c r="A4" i="3"/>
  <c r="P83" i="3"/>
  <c r="D83" i="3"/>
  <c r="K81" i="3"/>
  <c r="Q81" i="3" s="1"/>
  <c r="N77" i="3"/>
  <c r="B77" i="3"/>
  <c r="E75" i="3"/>
  <c r="H75" i="3" s="1"/>
  <c r="L74" i="3"/>
  <c r="C83" i="3"/>
  <c r="M77" i="3"/>
  <c r="P75" i="3"/>
  <c r="D75" i="3"/>
  <c r="K74" i="3"/>
  <c r="Q74" i="3" s="1"/>
  <c r="N83" i="3"/>
  <c r="B83" i="3"/>
  <c r="E81" i="3"/>
  <c r="H81" i="3" s="1"/>
  <c r="L77" i="3"/>
  <c r="C75" i="3"/>
  <c r="M83" i="3"/>
  <c r="P81" i="3"/>
  <c r="D81" i="3"/>
  <c r="K77" i="3"/>
  <c r="Q77" i="3" s="1"/>
  <c r="N75" i="3"/>
  <c r="B75" i="3"/>
  <c r="L83" i="3"/>
  <c r="C81" i="3"/>
  <c r="M75" i="3"/>
  <c r="P74" i="3"/>
  <c r="D74" i="3"/>
  <c r="K88" i="3"/>
  <c r="K89" i="3"/>
  <c r="BC23" i="1"/>
  <c r="BC34" i="1"/>
  <c r="BC43" i="1"/>
  <c r="BC51" i="1"/>
  <c r="BC64" i="1"/>
  <c r="I40" i="1"/>
  <c r="AR40" i="1" s="1"/>
  <c r="AW40" i="1" s="1"/>
  <c r="I21" i="1"/>
  <c r="AR21" i="1" s="1"/>
  <c r="AX21" i="1" s="1"/>
  <c r="I28" i="1"/>
  <c r="AR28" i="1" s="1"/>
  <c r="AX28" i="1" s="1"/>
  <c r="BK11" i="1"/>
  <c r="BM11" i="1" s="1"/>
  <c r="I15" i="1"/>
  <c r="AR15" i="1" s="1"/>
  <c r="AX15" i="1" s="1"/>
  <c r="I19" i="1"/>
  <c r="AR19" i="1" s="1"/>
  <c r="AY19" i="1" s="1"/>
  <c r="I48" i="1"/>
  <c r="AR48" i="1" s="1"/>
  <c r="AX48" i="1" s="1"/>
  <c r="I55" i="1"/>
  <c r="AR55" i="1" s="1"/>
  <c r="AY55" i="1" s="1"/>
  <c r="BC42" i="1"/>
  <c r="BK29" i="1"/>
  <c r="BM29" i="1" s="1"/>
  <c r="BJ29" i="1"/>
  <c r="BL29" i="1" s="1"/>
  <c r="BK40" i="1"/>
  <c r="BM40" i="1" s="1"/>
  <c r="I65" i="1"/>
  <c r="I29" i="1"/>
  <c r="AR29" i="1" s="1"/>
  <c r="AX29" i="1" s="1"/>
  <c r="BK19" i="1"/>
  <c r="BM19" i="1" s="1"/>
  <c r="I16" i="1"/>
  <c r="AR16" i="1" s="1"/>
  <c r="AX16" i="1" s="1"/>
  <c r="I22" i="1"/>
  <c r="AR22" i="1" s="1"/>
  <c r="AY22" i="1" s="1"/>
  <c r="BK21" i="1"/>
  <c r="BM21" i="1" s="1"/>
  <c r="BJ21" i="1"/>
  <c r="BL21" i="1" s="1"/>
  <c r="I33" i="1"/>
  <c r="AR33" i="1" s="1"/>
  <c r="AW33" i="1" s="1"/>
  <c r="I56" i="1"/>
  <c r="AR56" i="1" s="1"/>
  <c r="AX56" i="1" s="1"/>
  <c r="I41" i="1"/>
  <c r="AR41" i="1" s="1"/>
  <c r="AW41" i="1" s="1"/>
  <c r="BJ28" i="1"/>
  <c r="BL28" i="1" s="1"/>
  <c r="I39" i="1"/>
  <c r="AR39" i="1" s="1"/>
  <c r="AY39" i="1" s="1"/>
  <c r="I53" i="1"/>
  <c r="AR53" i="1" s="1"/>
  <c r="AX53" i="1" s="1"/>
  <c r="I47" i="1"/>
  <c r="AR47" i="1" s="1"/>
  <c r="AW47" i="1" s="1"/>
  <c r="BK12" i="1"/>
  <c r="BM12" i="1" s="1"/>
  <c r="BK49" i="1"/>
  <c r="BM49" i="1" s="1"/>
  <c r="BJ36" i="1"/>
  <c r="BL36" i="1" s="1"/>
  <c r="BK41" i="1"/>
  <c r="BM41" i="1" s="1"/>
  <c r="BK33" i="1"/>
  <c r="BM33" i="1" s="1"/>
  <c r="BJ34" i="1"/>
  <c r="BL34" i="1" s="1"/>
  <c r="BK34" i="1"/>
  <c r="BM34" i="1" s="1"/>
  <c r="BJ57" i="1"/>
  <c r="BL57" i="1" s="1"/>
  <c r="I57" i="1"/>
  <c r="AR57" i="1" s="1"/>
  <c r="AY57" i="1" s="1"/>
  <c r="BJ18" i="1"/>
  <c r="BK18" i="1"/>
  <c r="BM18" i="1" s="1"/>
  <c r="I27" i="1"/>
  <c r="AR27" i="1" s="1"/>
  <c r="AX27" i="1" s="1"/>
  <c r="BK51" i="1"/>
  <c r="BM51" i="1" s="1"/>
  <c r="BJ51" i="1"/>
  <c r="BL51" i="1" s="1"/>
  <c r="BJ27" i="1"/>
  <c r="BL27" i="1" s="1"/>
  <c r="BK27" i="1"/>
  <c r="BM27" i="1" s="1"/>
  <c r="BJ60" i="1"/>
  <c r="BL60" i="1" s="1"/>
  <c r="BK60" i="1"/>
  <c r="BM60" i="1" s="1"/>
  <c r="I23" i="1"/>
  <c r="AR23" i="1" s="1"/>
  <c r="AX23" i="1" s="1"/>
  <c r="BJ7" i="1"/>
  <c r="I14" i="1"/>
  <c r="AR14" i="1" s="1"/>
  <c r="AW14" i="1" s="1"/>
  <c r="BK22" i="1"/>
  <c r="BM22" i="1" s="1"/>
  <c r="I25" i="1"/>
  <c r="AR25" i="1" s="1"/>
  <c r="AW25" i="1" s="1"/>
  <c r="I26" i="1"/>
  <c r="AR26" i="1" s="1"/>
  <c r="AX26" i="1" s="1"/>
  <c r="BJ41" i="1"/>
  <c r="BL41" i="1" s="1"/>
  <c r="I43" i="1"/>
  <c r="AR43" i="1" s="1"/>
  <c r="AW43" i="1" s="1"/>
  <c r="I45" i="1"/>
  <c r="AR45" i="1" s="1"/>
  <c r="AY45" i="1" s="1"/>
  <c r="I64" i="1"/>
  <c r="AR64" i="1" s="1"/>
  <c r="AY64" i="1" s="1"/>
  <c r="I17" i="1"/>
  <c r="AR17" i="1" s="1"/>
  <c r="AX17" i="1" s="1"/>
  <c r="I49" i="1"/>
  <c r="AR49" i="1" s="1"/>
  <c r="AX49" i="1" s="1"/>
  <c r="BJ33" i="1"/>
  <c r="BL33" i="1" s="1"/>
  <c r="I20" i="1"/>
  <c r="AR20" i="1" s="1"/>
  <c r="AX20" i="1" s="1"/>
  <c r="BJ16" i="1"/>
  <c r="BK20" i="1"/>
  <c r="BM20" i="1" s="1"/>
  <c r="BJ25" i="1"/>
  <c r="BL25" i="1" s="1"/>
  <c r="I32" i="1"/>
  <c r="AR32" i="1" s="1"/>
  <c r="AY32" i="1" s="1"/>
  <c r="BK45" i="1"/>
  <c r="BM45" i="1" s="1"/>
  <c r="BK48" i="1"/>
  <c r="BM48" i="1" s="1"/>
  <c r="I60" i="1"/>
  <c r="AR60" i="1" s="1"/>
  <c r="AW60" i="1" s="1"/>
  <c r="I12" i="1"/>
  <c r="AR12" i="1" s="1"/>
  <c r="AW12" i="1" s="1"/>
  <c r="I59" i="1"/>
  <c r="AR59" i="1" s="1"/>
  <c r="AX59" i="1" s="1"/>
  <c r="I24" i="1"/>
  <c r="AR24" i="1" s="1"/>
  <c r="AW24" i="1" s="1"/>
  <c r="BK32" i="1"/>
  <c r="BM32" i="1" s="1"/>
  <c r="I34" i="1"/>
  <c r="AR34" i="1" s="1"/>
  <c r="AY34" i="1" s="1"/>
  <c r="I58" i="1"/>
  <c r="AR58" i="1" s="1"/>
  <c r="AY58" i="1" s="1"/>
  <c r="J66" i="3"/>
  <c r="A66" i="3"/>
  <c r="S10" i="3"/>
  <c r="AA10" i="3"/>
  <c r="Y10" i="3"/>
  <c r="O10" i="3"/>
  <c r="B10" i="3"/>
  <c r="V10" i="3"/>
  <c r="C12" i="3"/>
  <c r="BJ9" i="1"/>
  <c r="BL9" i="1" s="1"/>
  <c r="I9" i="1"/>
  <c r="AR9" i="1" s="1"/>
  <c r="BK9" i="1"/>
  <c r="BM9" i="1" s="1"/>
  <c r="C14" i="3"/>
  <c r="B64" i="3"/>
  <c r="I4" i="1"/>
  <c r="AR4" i="1" s="1"/>
  <c r="K66" i="3"/>
  <c r="Q66" i="3" s="1"/>
  <c r="E10" i="3"/>
  <c r="AA13" i="3"/>
  <c r="J69" i="3"/>
  <c r="A69" i="3"/>
  <c r="Y13" i="3"/>
  <c r="O13" i="3"/>
  <c r="B13" i="3"/>
  <c r="V13" i="3"/>
  <c r="S13" i="3"/>
  <c r="C73" i="3"/>
  <c r="BK15" i="1"/>
  <c r="BM15" i="1" s="1"/>
  <c r="BJ15" i="1"/>
  <c r="B66" i="3"/>
  <c r="I6" i="1"/>
  <c r="AR6" i="1" s="1"/>
  <c r="B67" i="3"/>
  <c r="I7" i="1"/>
  <c r="AR7" i="1" s="1"/>
  <c r="K71" i="3"/>
  <c r="Q71" i="3" s="1"/>
  <c r="E15" i="3"/>
  <c r="D16" i="3"/>
  <c r="C18" i="3"/>
  <c r="V19" i="3"/>
  <c r="AA19" i="3"/>
  <c r="O19" i="3"/>
  <c r="B19" i="3"/>
  <c r="Y19" i="3"/>
  <c r="C20" i="3"/>
  <c r="D64" i="3"/>
  <c r="Y12" i="3"/>
  <c r="O12" i="3"/>
  <c r="J68" i="3"/>
  <c r="A68" i="3"/>
  <c r="B12" i="3"/>
  <c r="V12" i="3"/>
  <c r="S12" i="3"/>
  <c r="AA12" i="3"/>
  <c r="S14" i="3"/>
  <c r="J70" i="3"/>
  <c r="A70" i="3"/>
  <c r="AA14" i="3"/>
  <c r="Y14" i="3"/>
  <c r="O14" i="3"/>
  <c r="B14" i="3"/>
  <c r="V14" i="3"/>
  <c r="K70" i="3"/>
  <c r="Q70" i="3" s="1"/>
  <c r="E14" i="3"/>
  <c r="C65" i="3"/>
  <c r="BJ14" i="1"/>
  <c r="BK14" i="1"/>
  <c r="BM14" i="1" s="1"/>
  <c r="BK6" i="1"/>
  <c r="BM6" i="1" s="1"/>
  <c r="BJ6" i="1"/>
  <c r="BL6" i="1" s="1"/>
  <c r="D67" i="3"/>
  <c r="C10" i="3"/>
  <c r="B68" i="3"/>
  <c r="I8" i="1"/>
  <c r="AR8" i="1" s="1"/>
  <c r="C71" i="3"/>
  <c r="AA18" i="3"/>
  <c r="O18" i="3"/>
  <c r="B18" i="3"/>
  <c r="Y18" i="3"/>
  <c r="V18" i="3"/>
  <c r="C22" i="3"/>
  <c r="K64" i="3"/>
  <c r="Q64" i="3" s="1"/>
  <c r="K80" i="3"/>
  <c r="Q80" i="3" s="1"/>
  <c r="K79" i="3"/>
  <c r="Q79" i="3" s="1"/>
  <c r="C11" i="3"/>
  <c r="BK8" i="1"/>
  <c r="BM8" i="1" s="1"/>
  <c r="BJ8" i="1"/>
  <c r="BL8" i="1" s="1"/>
  <c r="BK10" i="1"/>
  <c r="BM10" i="1" s="1"/>
  <c r="BJ10" i="1"/>
  <c r="BL10" i="1" s="1"/>
  <c r="B17" i="3"/>
  <c r="V17" i="3"/>
  <c r="S17" i="3"/>
  <c r="AA17" i="3"/>
  <c r="Y17" i="3"/>
  <c r="O17" i="3"/>
  <c r="J73" i="3"/>
  <c r="A73" i="3"/>
  <c r="BK17" i="1"/>
  <c r="BM17" i="1" s="1"/>
  <c r="BK5" i="1"/>
  <c r="BM5" i="1" s="1"/>
  <c r="K69" i="3"/>
  <c r="Q69" i="3" s="1"/>
  <c r="E13" i="3"/>
  <c r="I11" i="1"/>
  <c r="AR11" i="1" s="1"/>
  <c r="BJ12" i="1"/>
  <c r="BK13" i="1"/>
  <c r="BM13" i="1" s="1"/>
  <c r="BC22" i="1"/>
  <c r="BK24" i="1"/>
  <c r="BM24" i="1" s="1"/>
  <c r="I35" i="1"/>
  <c r="AR35" i="1" s="1"/>
  <c r="I79" i="3"/>
  <c r="AA9" i="3"/>
  <c r="J65" i="3"/>
  <c r="A65" i="3"/>
  <c r="Y9" i="3"/>
  <c r="O9" i="3"/>
  <c r="B9" i="3"/>
  <c r="V9" i="3"/>
  <c r="S9" i="3"/>
  <c r="K68" i="3"/>
  <c r="Q68" i="3" s="1"/>
  <c r="E12" i="3"/>
  <c r="I10" i="1"/>
  <c r="AR10" i="1" s="1"/>
  <c r="I18" i="1"/>
  <c r="AR18" i="1" s="1"/>
  <c r="I30" i="1"/>
  <c r="AR30" i="1" s="1"/>
  <c r="I44" i="1"/>
  <c r="AR44" i="1" s="1"/>
  <c r="J72" i="3"/>
  <c r="V16" i="3"/>
  <c r="A72" i="3"/>
  <c r="S16" i="3"/>
  <c r="AA16" i="3"/>
  <c r="Y16" i="3"/>
  <c r="O16" i="3"/>
  <c r="B16" i="3"/>
  <c r="J67" i="3"/>
  <c r="A67" i="3"/>
  <c r="V11" i="3"/>
  <c r="S11" i="3"/>
  <c r="AA11" i="3"/>
  <c r="Y11" i="3"/>
  <c r="O11" i="3"/>
  <c r="B11" i="3"/>
  <c r="K67" i="3"/>
  <c r="Q67" i="3" s="1"/>
  <c r="E11" i="3"/>
  <c r="AA20" i="3"/>
  <c r="O20" i="3"/>
  <c r="B20" i="3"/>
  <c r="Y20" i="3"/>
  <c r="V20" i="3"/>
  <c r="BJ30" i="1"/>
  <c r="BL30" i="1" s="1"/>
  <c r="BK30" i="1"/>
  <c r="BM30" i="1" s="1"/>
  <c r="BJ35" i="1"/>
  <c r="BL35" i="1" s="1"/>
  <c r="BK35" i="1"/>
  <c r="BM35" i="1" s="1"/>
  <c r="BK44" i="1"/>
  <c r="BM44" i="1" s="1"/>
  <c r="BJ44" i="1"/>
  <c r="BL44" i="1" s="1"/>
  <c r="K65" i="3"/>
  <c r="Q65" i="3" s="1"/>
  <c r="E9" i="3"/>
  <c r="BK26" i="1"/>
  <c r="BM26" i="1" s="1"/>
  <c r="BK31" i="1"/>
  <c r="BM31" i="1" s="1"/>
  <c r="BK36" i="1"/>
  <c r="BM36" i="1" s="1"/>
  <c r="I36" i="1"/>
  <c r="AR36" i="1" s="1"/>
  <c r="I37" i="1"/>
  <c r="AR37" i="1" s="1"/>
  <c r="BK39" i="1"/>
  <c r="BM39" i="1" s="1"/>
  <c r="I46" i="1"/>
  <c r="AR46" i="1" s="1"/>
  <c r="I54" i="1"/>
  <c r="AR54" i="1" s="1"/>
  <c r="BK55" i="1"/>
  <c r="BM55" i="1" s="1"/>
  <c r="BJ55" i="1"/>
  <c r="BL55" i="1" s="1"/>
  <c r="BK56" i="1"/>
  <c r="BM56" i="1" s="1"/>
  <c r="BJ56" i="1"/>
  <c r="BL56" i="1" s="1"/>
  <c r="BC20" i="1"/>
  <c r="BJ23" i="1"/>
  <c r="BL23" i="1" s="1"/>
  <c r="BK23" i="1"/>
  <c r="BM23" i="1" s="1"/>
  <c r="BK46" i="1"/>
  <c r="BM46" i="1" s="1"/>
  <c r="BJ46" i="1"/>
  <c r="BL46" i="1" s="1"/>
  <c r="BJ50" i="1"/>
  <c r="BL50" i="1" s="1"/>
  <c r="BK54" i="1"/>
  <c r="BM54" i="1" s="1"/>
  <c r="BJ54" i="1"/>
  <c r="BL54" i="1" s="1"/>
  <c r="E17" i="3"/>
  <c r="K73" i="3"/>
  <c r="Q73" i="3" s="1"/>
  <c r="Y8" i="3"/>
  <c r="O8" i="3"/>
  <c r="G79" i="3"/>
  <c r="J64" i="3"/>
  <c r="A64" i="3"/>
  <c r="V8" i="3"/>
  <c r="S8" i="3"/>
  <c r="AA8" i="3"/>
  <c r="BK37" i="1"/>
  <c r="BM37" i="1" s="1"/>
  <c r="BJ37" i="1"/>
  <c r="BL37" i="1" s="1"/>
  <c r="I50" i="1"/>
  <c r="AR50" i="1" s="1"/>
  <c r="I51" i="1"/>
  <c r="AR51" i="1" s="1"/>
  <c r="BJ53" i="1"/>
  <c r="BL53" i="1" s="1"/>
  <c r="BK53" i="1"/>
  <c r="BM53" i="1" s="1"/>
  <c r="I5" i="1"/>
  <c r="AR5" i="1" s="1"/>
  <c r="J71" i="3"/>
  <c r="A71" i="3"/>
  <c r="S15" i="3"/>
  <c r="AA15" i="3"/>
  <c r="Y15" i="3"/>
  <c r="O15" i="3"/>
  <c r="B15" i="3"/>
  <c r="V15" i="3"/>
  <c r="I13" i="1"/>
  <c r="AR13" i="1" s="1"/>
  <c r="BK38" i="1"/>
  <c r="BM38" i="1" s="1"/>
  <c r="BJ38" i="1"/>
  <c r="BL38" i="1" s="1"/>
  <c r="I38" i="1"/>
  <c r="AR38" i="1" s="1"/>
  <c r="I31" i="1"/>
  <c r="AR31" i="1" s="1"/>
  <c r="V21" i="3"/>
  <c r="AA21" i="3"/>
  <c r="O21" i="3"/>
  <c r="B21" i="3"/>
  <c r="Y21" i="3"/>
  <c r="AA22" i="3"/>
  <c r="O22" i="3"/>
  <c r="B22" i="3"/>
  <c r="Y22" i="3"/>
  <c r="V22" i="3"/>
  <c r="BJ42" i="1"/>
  <c r="BL42" i="1" s="1"/>
  <c r="BK42" i="1"/>
  <c r="BM42" i="1" s="1"/>
  <c r="BK47" i="1"/>
  <c r="BM47" i="1" s="1"/>
  <c r="BJ49" i="1"/>
  <c r="BL49" i="1" s="1"/>
  <c r="BK52" i="1"/>
  <c r="BM52" i="1" s="1"/>
  <c r="BK57" i="1"/>
  <c r="BM57" i="1" s="1"/>
  <c r="BC40" i="1"/>
  <c r="BC50" i="1"/>
  <c r="BK58" i="1"/>
  <c r="BM58" i="1" s="1"/>
  <c r="BC59" i="1"/>
  <c r="BJ62" i="1"/>
  <c r="BL62" i="1" s="1"/>
  <c r="BK62" i="1"/>
  <c r="BM62" i="1" s="1"/>
  <c r="I42" i="1"/>
  <c r="AR42" i="1" s="1"/>
  <c r="I52" i="1"/>
  <c r="AR52" i="1" s="1"/>
  <c r="BK43" i="1"/>
  <c r="BM43" i="1" s="1"/>
  <c r="BJ59" i="1"/>
  <c r="BL59" i="1" s="1"/>
  <c r="I62" i="1"/>
  <c r="AR62" i="1" s="1"/>
  <c r="AY66" i="1"/>
  <c r="AX66" i="1"/>
  <c r="AW66" i="1"/>
  <c r="I63" i="1"/>
  <c r="AR63" i="1" s="1"/>
  <c r="AR61" i="1"/>
  <c r="BC61" i="1"/>
  <c r="BJ64" i="1"/>
  <c r="BL64" i="1" s="1"/>
  <c r="I10" i="3" l="1"/>
  <c r="T9" i="3"/>
  <c r="I15" i="3"/>
  <c r="T14" i="3"/>
  <c r="T11" i="3"/>
  <c r="T16" i="3"/>
  <c r="T17" i="3"/>
  <c r="T12" i="3"/>
  <c r="T13" i="3"/>
  <c r="BL15" i="1"/>
  <c r="AB19" i="3" s="1"/>
  <c r="C67" i="3"/>
  <c r="BL7" i="1"/>
  <c r="AB11" i="3" s="1"/>
  <c r="BL12" i="1"/>
  <c r="AB16" i="3" s="1"/>
  <c r="BL18" i="1"/>
  <c r="AB22" i="3" s="1"/>
  <c r="BL14" i="1"/>
  <c r="AB18" i="3" s="1"/>
  <c r="BL16" i="1"/>
  <c r="AB20" i="3" s="1"/>
  <c r="Q23" i="3"/>
  <c r="Q16" i="3"/>
  <c r="Q25" i="3"/>
  <c r="D71" i="3"/>
  <c r="Q27" i="3"/>
  <c r="Q26" i="3"/>
  <c r="AY67" i="1"/>
  <c r="AX67" i="1"/>
  <c r="AR65" i="1"/>
  <c r="AX65" i="1" s="1"/>
  <c r="AW21" i="1"/>
  <c r="E74" i="3"/>
  <c r="H74" i="3" s="1"/>
  <c r="O77" i="3"/>
  <c r="O75" i="3"/>
  <c r="M15" i="3"/>
  <c r="M14" i="3"/>
  <c r="A89" i="3"/>
  <c r="K4" i="3"/>
  <c r="C4" i="3"/>
  <c r="A88" i="3"/>
  <c r="M17" i="3"/>
  <c r="M16" i="3"/>
  <c r="O83" i="3"/>
  <c r="O74" i="3"/>
  <c r="O81" i="3"/>
  <c r="E77" i="3"/>
  <c r="H77" i="3" s="1"/>
  <c r="E89" i="3"/>
  <c r="E88" i="3"/>
  <c r="E4" i="3"/>
  <c r="AY28" i="1"/>
  <c r="AW28" i="1"/>
  <c r="AY27" i="1"/>
  <c r="AX22" i="1"/>
  <c r="AW64" i="1"/>
  <c r="AX45" i="1"/>
  <c r="AY21" i="1"/>
  <c r="AW45" i="1"/>
  <c r="AW27" i="1"/>
  <c r="AX40" i="1"/>
  <c r="AY53" i="1"/>
  <c r="AY40" i="1"/>
  <c r="AW17" i="1"/>
  <c r="Z21" i="3" s="1"/>
  <c r="AW22" i="1"/>
  <c r="AW15" i="1"/>
  <c r="Z19" i="3" s="1"/>
  <c r="AY15" i="1"/>
  <c r="AW57" i="1"/>
  <c r="AX39" i="1"/>
  <c r="AW48" i="1"/>
  <c r="AW39" i="1"/>
  <c r="AY48" i="1"/>
  <c r="AX64" i="1"/>
  <c r="AX19" i="1"/>
  <c r="AX47" i="1"/>
  <c r="AY47" i="1"/>
  <c r="AW19" i="1"/>
  <c r="AY29" i="1"/>
  <c r="AW16" i="1"/>
  <c r="J20" i="3" s="1"/>
  <c r="AX58" i="1"/>
  <c r="AW29" i="1"/>
  <c r="AX43" i="1"/>
  <c r="AW26" i="1"/>
  <c r="AY20" i="1"/>
  <c r="AY43" i="1"/>
  <c r="AW20" i="1"/>
  <c r="AY12" i="1"/>
  <c r="AW53" i="1"/>
  <c r="AW56" i="1"/>
  <c r="AW55" i="1"/>
  <c r="AY16" i="1"/>
  <c r="AY56" i="1"/>
  <c r="AX60" i="1"/>
  <c r="AY33" i="1"/>
  <c r="AX34" i="1"/>
  <c r="AY60" i="1"/>
  <c r="AX33" i="1"/>
  <c r="AW34" i="1"/>
  <c r="AX55" i="1"/>
  <c r="AY14" i="1"/>
  <c r="AX25" i="1"/>
  <c r="AY26" i="1"/>
  <c r="Q20" i="3"/>
  <c r="AX14" i="1"/>
  <c r="AY49" i="1"/>
  <c r="AY17" i="1"/>
  <c r="AX12" i="1"/>
  <c r="AW59" i="1"/>
  <c r="AY59" i="1"/>
  <c r="AY25" i="1"/>
  <c r="AX32" i="1"/>
  <c r="AW32" i="1"/>
  <c r="AY24" i="1"/>
  <c r="AX57" i="1"/>
  <c r="AX24" i="1"/>
  <c r="AX41" i="1"/>
  <c r="AY41" i="1"/>
  <c r="AW49" i="1"/>
  <c r="AC22" i="3"/>
  <c r="Q22" i="3"/>
  <c r="AY23" i="1"/>
  <c r="AW58" i="1"/>
  <c r="AW23" i="1"/>
  <c r="F15" i="3"/>
  <c r="P15" i="3"/>
  <c r="AW62" i="1"/>
  <c r="AY62" i="1"/>
  <c r="AX62" i="1"/>
  <c r="AX54" i="1"/>
  <c r="AY54" i="1"/>
  <c r="AW54" i="1"/>
  <c r="AX36" i="1"/>
  <c r="AY36" i="1"/>
  <c r="AW36" i="1"/>
  <c r="AC18" i="3"/>
  <c r="Q18" i="3"/>
  <c r="E73" i="3"/>
  <c r="H73" i="3" s="1"/>
  <c r="AB17" i="3"/>
  <c r="E79" i="3"/>
  <c r="C69" i="3"/>
  <c r="F19" i="3"/>
  <c r="P19" i="3"/>
  <c r="AW5" i="1"/>
  <c r="AY5" i="1"/>
  <c r="AX5" i="1"/>
  <c r="AX63" i="1"/>
  <c r="AW63" i="1"/>
  <c r="AY63" i="1"/>
  <c r="AW30" i="1"/>
  <c r="AY30" i="1"/>
  <c r="AX30" i="1"/>
  <c r="AY11" i="1"/>
  <c r="AX11" i="1"/>
  <c r="AW11" i="1"/>
  <c r="C70" i="3"/>
  <c r="F18" i="3"/>
  <c r="P18" i="3"/>
  <c r="AX6" i="1"/>
  <c r="AW6" i="1"/>
  <c r="AY6" i="1"/>
  <c r="F12" i="3"/>
  <c r="P12" i="3"/>
  <c r="D70" i="3"/>
  <c r="AY8" i="1"/>
  <c r="AW8" i="1"/>
  <c r="AX8" i="1"/>
  <c r="F64" i="3"/>
  <c r="AC8" i="3"/>
  <c r="Q8" i="3"/>
  <c r="F20" i="3"/>
  <c r="P20" i="3"/>
  <c r="AY4" i="1"/>
  <c r="AX4" i="1"/>
  <c r="AW4" i="1"/>
  <c r="AY18" i="1"/>
  <c r="AX18" i="1"/>
  <c r="AW18" i="1"/>
  <c r="C68" i="3"/>
  <c r="AC11" i="3"/>
  <c r="F67" i="3"/>
  <c r="Q11" i="3"/>
  <c r="F16" i="3"/>
  <c r="P16" i="3"/>
  <c r="AY31" i="1"/>
  <c r="AW31" i="1"/>
  <c r="AX31" i="1"/>
  <c r="AW42" i="1"/>
  <c r="AY42" i="1"/>
  <c r="AX42" i="1"/>
  <c r="AY51" i="1"/>
  <c r="AX51" i="1"/>
  <c r="AW51" i="1"/>
  <c r="AY46" i="1"/>
  <c r="AX46" i="1"/>
  <c r="AW46" i="1"/>
  <c r="AY10" i="1"/>
  <c r="AX10" i="1"/>
  <c r="AW10" i="1"/>
  <c r="D65" i="3"/>
  <c r="D68" i="3"/>
  <c r="F10" i="3"/>
  <c r="P10" i="3"/>
  <c r="E65" i="3"/>
  <c r="H65" i="3" s="1"/>
  <c r="AB9" i="3"/>
  <c r="E80" i="3"/>
  <c r="F14" i="3"/>
  <c r="P14" i="3"/>
  <c r="AW52" i="1"/>
  <c r="AY52" i="1"/>
  <c r="AX52" i="1"/>
  <c r="P9" i="3"/>
  <c r="F9" i="3"/>
  <c r="AX50" i="1"/>
  <c r="AW50" i="1"/>
  <c r="AY50" i="1"/>
  <c r="AY61" i="1"/>
  <c r="AX61" i="1"/>
  <c r="AW61" i="1"/>
  <c r="F17" i="3"/>
  <c r="P17" i="3"/>
  <c r="P13" i="3"/>
  <c r="F13" i="3"/>
  <c r="C64" i="3"/>
  <c r="F11" i="3"/>
  <c r="P11" i="3"/>
  <c r="Z18" i="3"/>
  <c r="J18" i="3"/>
  <c r="C66" i="3"/>
  <c r="Z16" i="3"/>
  <c r="J16" i="3"/>
  <c r="AX38" i="1"/>
  <c r="AW38" i="1"/>
  <c r="AY38" i="1"/>
  <c r="AW13" i="1"/>
  <c r="AY13" i="1"/>
  <c r="AX13" i="1"/>
  <c r="F21" i="3"/>
  <c r="P21" i="3"/>
  <c r="AW35" i="1"/>
  <c r="AY35" i="1"/>
  <c r="AX35" i="1"/>
  <c r="AC21" i="3"/>
  <c r="Q21" i="3"/>
  <c r="AB15" i="3"/>
  <c r="E71" i="3"/>
  <c r="H71" i="3" s="1"/>
  <c r="D66" i="3"/>
  <c r="D69" i="3"/>
  <c r="AY37" i="1"/>
  <c r="AX37" i="1"/>
  <c r="AW37" i="1"/>
  <c r="AX44" i="1"/>
  <c r="AY44" i="1"/>
  <c r="AW44" i="1"/>
  <c r="D73" i="3"/>
  <c r="F22" i="3"/>
  <c r="P22" i="3"/>
  <c r="A80" i="3"/>
  <c r="A79" i="3"/>
  <c r="P8" i="3"/>
  <c r="AY7" i="1"/>
  <c r="AX7" i="1"/>
  <c r="AW7" i="1"/>
  <c r="AC19" i="3"/>
  <c r="Q19" i="3"/>
  <c r="AW9" i="1"/>
  <c r="AY9" i="1"/>
  <c r="AX9" i="1"/>
  <c r="AC16" i="3" l="1"/>
  <c r="AW65" i="1"/>
  <c r="G4" i="3" s="1"/>
  <c r="AY65" i="1"/>
  <c r="G74" i="3"/>
  <c r="I4" i="3"/>
  <c r="C88" i="3"/>
  <c r="F75" i="3"/>
  <c r="G75" i="3" s="1"/>
  <c r="F83" i="3"/>
  <c r="G83" i="3" s="1"/>
  <c r="Q15" i="3"/>
  <c r="F81" i="3"/>
  <c r="G81" i="3" s="1"/>
  <c r="J19" i="3"/>
  <c r="J21" i="3"/>
  <c r="G77" i="3"/>
  <c r="E67" i="3"/>
  <c r="H67" i="3" s="1"/>
  <c r="Z20" i="3"/>
  <c r="AC15" i="3"/>
  <c r="F71" i="3"/>
  <c r="G71" i="3" s="1"/>
  <c r="C80" i="3"/>
  <c r="C79" i="3"/>
  <c r="O79" i="3" a="1"/>
  <c r="O79" i="3" s="1"/>
  <c r="C89" i="3"/>
  <c r="O88" i="3" a="1"/>
  <c r="O88" i="3" s="1"/>
  <c r="Q14" i="3"/>
  <c r="F70" i="3"/>
  <c r="AC14" i="3"/>
  <c r="Z13" i="3"/>
  <c r="J13" i="3"/>
  <c r="Q9" i="3"/>
  <c r="F65" i="3"/>
  <c r="G65" i="3" s="1"/>
  <c r="AC9" i="3"/>
  <c r="Z22" i="3"/>
  <c r="J22" i="3"/>
  <c r="O80" i="3" a="1"/>
  <c r="O80" i="3" s="1"/>
  <c r="Z9" i="3"/>
  <c r="J9" i="3"/>
  <c r="AC10" i="3"/>
  <c r="Q10" i="3"/>
  <c r="F66" i="3"/>
  <c r="AB14" i="3"/>
  <c r="E70" i="3"/>
  <c r="H70" i="3" s="1"/>
  <c r="Z14" i="3"/>
  <c r="J14" i="3"/>
  <c r="M89" i="3" a="1"/>
  <c r="M89" i="3" s="1"/>
  <c r="M80" i="3"/>
  <c r="M88" i="3" a="1"/>
  <c r="M88" i="3" s="1"/>
  <c r="M79" i="3" a="1"/>
  <c r="M79" i="3" s="1"/>
  <c r="Z8" i="3"/>
  <c r="O89" i="3" a="1"/>
  <c r="O89" i="3" s="1"/>
  <c r="E69" i="3"/>
  <c r="H69" i="3" s="1"/>
  <c r="AB13" i="3"/>
  <c r="J17" i="3"/>
  <c r="Z17" i="3"/>
  <c r="Z11" i="3"/>
  <c r="J11" i="3"/>
  <c r="Z15" i="3"/>
  <c r="J15" i="3"/>
  <c r="E64" i="3"/>
  <c r="H64" i="3" s="1"/>
  <c r="AB8" i="3"/>
  <c r="J12" i="3"/>
  <c r="Z12" i="3"/>
  <c r="Z10" i="3"/>
  <c r="J10" i="3"/>
  <c r="F73" i="3"/>
  <c r="G73" i="3" s="1"/>
  <c r="AC17" i="3"/>
  <c r="Q17" i="3"/>
  <c r="Q13" i="3"/>
  <c r="F69" i="3"/>
  <c r="AC13" i="3"/>
  <c r="AB10" i="3"/>
  <c r="E66" i="3"/>
  <c r="H66" i="3" s="1"/>
  <c r="F68" i="3"/>
  <c r="AC12" i="3"/>
  <c r="Q12" i="3"/>
  <c r="E68" i="3"/>
  <c r="H68" i="3" s="1"/>
  <c r="AB12" i="3"/>
  <c r="G67" i="3" l="1"/>
  <c r="G69" i="3"/>
  <c r="G66" i="3"/>
  <c r="G68" i="3"/>
  <c r="G64" i="3"/>
  <c r="G7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Audit 2026-04</author>
    <author>Audit 2026-04-18</author>
    <author>Roger Salvador</author>
  </authors>
  <commentList>
    <comment ref="L4" authorId="0" shapeId="0" xr:uid="{00000000-0006-0000-0000-000001000000}">
      <text>
        <r>
          <rPr>
            <sz val="11"/>
            <color theme="1"/>
            <rFont val="Calibri"/>
            <family val="2"/>
            <charset val="1"/>
          </rPr>
          <t>Old: 3 → New: 2
[R1 Optionality] VEEV es vertical SaaS 100% life sciences. Optionality real (Vault expandiéndose, Crossix data, MedTech), pero NO es plataforma horizontal. 3/3 reservado a plataformas anchas tipo MSFT/AMZN. Fuente: 10-K FY26.
— Audit 2026-04-18</t>
        </r>
      </text>
    </comment>
    <comment ref="N4" authorId="0" shapeId="0" xr:uid="{00000000-0006-0000-0000-000002000000}">
      <text>
        <r>
          <rPr>
            <sz val="11"/>
            <color theme="1"/>
            <rFont val="Calibri"/>
            <family val="2"/>
            <charset val="1"/>
          </rPr>
          <t>Old: 0 → New: -1.5
[R1 Concentration] Top 10 clientes = 28% del revenue (10-K FY26). 100% vertical life sciences. Geo 60%NA/28%EU/12%APAC OK. Penalización -1.5 por concentración vertical + customer. Fuente: VEEV 10-K FY2026.
— Audit 2026-04-18</t>
        </r>
      </text>
    </comment>
    <comment ref="O4" authorId="0" shapeId="0" xr:uid="{00000000-0006-0000-0000-000003000000}">
      <text>
        <r>
          <rPr>
            <sz val="11"/>
            <color theme="1"/>
            <rFont val="Calibri"/>
            <family val="2"/>
            <charset val="1"/>
          </rPr>
          <t>Old: 0.5 → New: 0.72
[R1 Glassdoor] Ajuste framework: usar rating_Glassdoor/5. VEEV 3.6/5 = 0.72. Fuente: Glassdoor 1,507 reviews.
— Audit 2026-04-18 (ajuste framework)</t>
        </r>
      </text>
    </comment>
    <comment ref="U4" authorId="0" shapeId="0" xr:uid="{00000000-0006-0000-0000-000004000000}">
      <text>
        <r>
          <rPr>
            <sz val="11"/>
            <color theme="1"/>
            <rFont val="Calibri"/>
            <family val="2"/>
            <charset val="1"/>
          </rPr>
          <t>Old: 20 → New: 18
[R2 MOAT] Switching costs altísimos, GxP regulated, 9 de top 20 pharma en Vault CRM. MUY fuerte pero Salesforce Life Sciences Cloud firmó 40+ clientes dic-2025 y un top-3 pharma defectó de VEEV. 20/20 perfecto es inflado cuando hay ataque estructural. 18 captura dominio sin ignorar reto.
— Audit 2026-04-18</t>
        </r>
      </text>
    </comment>
    <comment ref="W4" authorId="0" shapeId="0" xr:uid="{00000000-0006-0000-0000-000005000000}">
      <text>
        <r>
          <rPr>
            <sz val="11"/>
            <color theme="1"/>
            <rFont val="Calibri"/>
            <family val="2"/>
            <charset val="1"/>
          </rPr>
          <t>Old: 10 → New: 8
[R2 Customers] Calidad de clientes excelente (big pharma, top 20 farmacéuticas) pero 28% revenue en top 10 cuenta aquí. 10/10 solo si concentración baja.
— Audit 2026-04-18</t>
        </r>
      </text>
    </comment>
    <comment ref="Y4" authorId="0" shapeId="0" xr:uid="{00000000-0006-0000-0000-000006000000}">
      <text>
        <r>
          <rPr>
            <sz val="11"/>
            <color theme="1"/>
            <rFont val="Calibri"/>
            <family val="2"/>
            <charset val="1"/>
          </rPr>
          <t>Old: 14 → New: 12
[R2 Mgmt &amp; Culture] Ejecución excelente de Gassner pero (a) Glassdoor 3.6 refleja tensión cultural creciente, (b) paquete comp $172M 2025 a Gassner es óptica agresiva. 12/14 captura excelencia operativa sin 'perfect score'.
— Audit 2026-04-18</t>
        </r>
      </text>
    </comment>
    <comment ref="Z4" authorId="0" shapeId="0" xr:uid="{00000000-0006-0000-0000-000007000000}">
      <text>
        <r>
          <rPr>
            <sz val="11"/>
            <color theme="1"/>
            <rFont val="Calibri"/>
            <family val="2"/>
            <charset val="1"/>
          </rPr>
          <t>Old: 11 → New: 10
[R2 Stock &amp; Ownership] Single-class desde oct-2023 (positivo democratizador). Gassner ~9.1% stake (strong skin in the game). Super-voting rights eliminados. 10/11 es el nivel correcto.
— Audit 2026-04-18</t>
        </r>
      </text>
    </comment>
    <comment ref="AA4" authorId="0" shapeId="0" xr:uid="{00000000-0006-0000-0000-000008000000}">
      <text>
        <r>
          <rPr>
            <sz val="11"/>
            <color theme="1"/>
            <rFont val="Calibri"/>
            <family val="2"/>
            <charset val="1"/>
          </rPr>
          <t>Old: -4 → New: -8
[R2 Risks] Competencia Salesforce Life Sciences Cloud ahora REAL (40+ clientes firmados, top-3 pharma migró). Riesgo ejecución migración Vault CRM (wind-down 5 años hasta 2030). Riesgo AI-native startups verticales. Concentración regulatoria pharma (slowdown macro). -4 benigno, -8 realista.
— Audit 2026-04-18</t>
        </r>
      </text>
    </comment>
    <comment ref="AD4" authorId="0" shapeId="0" xr:uid="{00000000-0006-0000-0000-000009000000}">
      <text>
        <r>
          <rPr>
            <sz val="11"/>
            <color theme="1"/>
            <rFont val="Calibri"/>
            <family val="2"/>
            <charset val="1"/>
          </rPr>
          <t>Old: 15 → New: 14
[R3 Durability] Top-tier pero no perfecto. Vault CRM propia desde 2025, aún en primera ola productiva. 14/15 prudente hasta ver madurez multi-año.
— Audit 2026-04-18</t>
        </r>
      </text>
    </comment>
    <comment ref="AI4" authorId="0" shapeId="0" xr:uid="{00000000-0006-0000-0000-00000A000000}">
      <text>
        <r>
          <rPr>
            <sz val="11"/>
            <color theme="1"/>
            <rFont val="Calibri"/>
            <family val="2"/>
            <charset val="1"/>
          </rPr>
          <t>Old: 10 → New: 8
[R3 Incentives] Gassner $172M comp 2025 — muy aggressive. Incentivos alineados (founder-led, equity-heavy) pero 10/10 reservado a disciplina comp demostrable. Fuente: proxy 2025.
— Audit 2026-04-18</t>
        </r>
      </text>
    </comment>
    <comment ref="AJ4" authorId="0" shapeId="0" xr:uid="{00000000-0006-0000-0000-00000B000000}">
      <text>
        <r>
          <rPr>
            <sz val="11"/>
            <color theme="1"/>
            <rFont val="Calibri"/>
            <family val="2"/>
            <charset val="1"/>
          </rPr>
          <t>Old: 15 → New: 14
[R3 MOAT Structural] Ancho y duradero pero Salesforce es ataque estructural, no táctico. 14/15 refleja esto.
— Audit 2026-04-18</t>
        </r>
      </text>
    </comment>
    <comment ref="AK4" authorId="0" shapeId="0" xr:uid="{00000000-0006-0000-0000-00000C000000}">
      <text>
        <r>
          <rPr>
            <sz val="11"/>
            <color theme="1"/>
            <rFont val="Calibri"/>
            <family val="2"/>
            <charset val="1"/>
          </rPr>
          <t>Old: -2 → New: -5
[R3 Terminal Risk] Salesforce entry + posible compresión pricing + AI-native agents que dupliquen Vault funcionalidades + pharma regulatory. Terminal no es cero, merece reconocimiento material. -5 captura tail risk.
— Audit 2026-04-18</t>
        </r>
      </text>
    </comment>
    <comment ref="O5" authorId="0" shapeId="0" xr:uid="{00000000-0006-0000-0000-00000D000000}">
      <text>
        <r>
          <rPr>
            <sz val="11"/>
            <color theme="1"/>
            <rFont val="Calibri"/>
            <family val="2"/>
            <charset val="1"/>
          </rPr>
          <t>Old: 0.5 → New: 0.8
[R1 Glassdoor] Ajuste framework: rating/5. MSFT 4.0/5 = 0.80. Fuente: Glassdoor 67K reviews, 78% recommend, 78% CEO approval.
— Audit 2026-04-18 (ajuste framework)</t>
        </r>
      </text>
    </comment>
    <comment ref="P5" authorId="0" shapeId="0" xr:uid="{00000000-0006-0000-0000-00000E000000}">
      <text>
        <r>
          <rPr>
            <sz val="11"/>
            <color theme="1"/>
            <rFont val="Calibri"/>
            <family val="2"/>
            <charset val="1"/>
          </rPr>
          <t>Old: 0 → New: 1
[R1 Founder/CEO] Corrección: esta columna mide CALIDAD del management ejecutando, no literalidad de fundador. Satya Nadella es uno de los CEOs top de la era moderna (transformó MSFT de Ballmer-era a AI leader). 1/1 justificado.
— Audit 2026-04-18 (ajuste framework)</t>
        </r>
      </text>
    </comment>
    <comment ref="T5" authorId="0" shapeId="0" xr:uid="{00000000-0006-0000-0000-00000F000000}">
      <text>
        <r>
          <rPr>
            <sz val="11"/>
            <color theme="1"/>
            <rFont val="Calibri"/>
            <family val="2"/>
            <charset val="1"/>
          </rPr>
          <t>Old: 17 → New: 16
[R2 Financials] Fortaleza financiera excepcional ($75B+ cash, AAA rating) pero $148B capex FY26 genera depreciación pendiente que comprime op margin futuros. 17/17 perfecto no refleja el AI depreciation cliff. Fuente: MSFT Q4 FY25 / Q1 FY26 earnings.
— Audit 2026-04-18</t>
        </r>
      </text>
    </comment>
    <comment ref="AA5" authorId="0" shapeId="0" xr:uid="{00000000-0006-0000-0000-000010000000}">
      <text>
        <r>
          <rPr>
            <sz val="11"/>
            <color theme="1"/>
            <rFont val="Calibri"/>
            <family val="2"/>
            <charset val="1"/>
          </rPr>
          <t>Old: -8 → New: -12
[R2 Risks] Añadir: (a) FTC discovery phase sobre Azure licensing y OpenAI 'de facto merger', (b) EU considering Azure como 'gatekeeper' con interoperabilidad forzada, (c) $148B+ capex AI riesgo 'air pocket' si monetización enterprise ralentiza, (d) stock -23% YTD 2026 refleja preocupación mercado. -8 insuficiente.
— Audit 2026-04-18</t>
        </r>
      </text>
    </comment>
    <comment ref="AD5" authorId="0" shapeId="0" xr:uid="{00000000-0006-0000-0000-000011000000}">
      <text>
        <r>
          <rPr>
            <sz val="11"/>
            <color theme="1"/>
            <rFont val="Calibri"/>
            <family val="2"/>
            <charset val="1"/>
          </rPr>
          <t>Old: 15 → New: 14
[R3 Durability] Windows + Office ecosystem muy duraderos pero AI-native disruption (Anthropic, Google DeepMind, Perplexity) puede erosionar moat de productividad. 14/15.
— Audit 2026-04-18</t>
        </r>
      </text>
    </comment>
    <comment ref="AF5" authorId="0" shapeId="0" xr:uid="{00000000-0006-0000-0000-000012000000}">
      <text>
        <r>
          <rPr>
            <sz val="11"/>
            <color theme="1"/>
            <rFont val="Calibri"/>
            <family val="2"/>
            <charset val="1"/>
          </rPr>
          <t>Old: 7 → New: 5
[R3 Capital Intensity] Antes era SaaS asset-light. Ahora MSFT construye infraestructura AI masiva: $148B+ capex FY26 (~10% de market cap anual), GPUs Nvidia H200/B200 + chips propios Maia. Reducir asset-light score a 5/10. Fuente: CFO Amy Hood Q1 FY26 call.
— Audit 2026-04-18</t>
        </r>
      </text>
    </comment>
    <comment ref="AJ5" authorId="0" shapeId="0" xr:uid="{00000000-0006-0000-0000-000013000000}">
      <text>
        <r>
          <rPr>
            <sz val="11"/>
            <color theme="1"/>
            <rFont val="Calibri"/>
            <family val="2"/>
            <charset val="1"/>
          </rPr>
          <t>Old: 14 → New: 13
[R3 MOAT Structural] Sigue ancho pero AI erosiona switching costs en productivity suite. Ya hay alternativas Copilot-grade fuera del ecosistema MSFT. 13/15.
— Audit 2026-04-18</t>
        </r>
      </text>
    </comment>
    <comment ref="AK5" authorId="0" shapeId="0" xr:uid="{00000000-0006-0000-0000-000014000000}">
      <text>
        <r>
          <rPr>
            <sz val="11"/>
            <color theme="1"/>
            <rFont val="Calibri"/>
            <family val="2"/>
            <charset val="1"/>
          </rPr>
          <t>Old: -3 → New: -6
[R3 Terminal Risk] AI-native competition (Google, Anthropic, etc.) + riesgo antitrust estructural (break-up no descartable largo plazo) + capex overhang si AI ROI decepciona. -3 demasiado ligero.
— Audit 2026-04-18</t>
        </r>
      </text>
    </comment>
    <comment ref="L6" authorId="0" shapeId="0" xr:uid="{00000000-0006-0000-0000-000015000000}">
      <text>
        <r>
          <rPr>
            <sz val="11"/>
            <color theme="1"/>
            <rFont val="Calibri"/>
            <family val="2"/>
            <charset val="1"/>
          </rPr>
          <t>Old: 3 → New: 2
[R1 Optionality] Adyen es laser-focused en enterprise payments. Expansión a embedded finance/issuing existe pero es adyacente, no horizontal. 3/3 reservado a plataformas anchas. 2/3 más preciso.
— Audit 2026-04-18</t>
        </r>
      </text>
    </comment>
    <comment ref="O6" authorId="0" shapeId="0" xr:uid="{00000000-0006-0000-0000-000016000000}">
      <text>
        <r>
          <rPr>
            <sz val="11"/>
            <color theme="1"/>
            <rFont val="Calibri"/>
            <family val="2"/>
            <charset val="1"/>
          </rPr>
          <t>Old: 0.5 → New: 0.74
[R1 Glassdoor] Ajuste framework: rating/5. ADYEN 3.7/5 = 0.74. Fuente: Glassdoor 894 reviews, 74% recommend.
— Audit 2026-04-18 (ajuste framework)</t>
        </r>
      </text>
    </comment>
    <comment ref="T6" authorId="0" shapeId="0" xr:uid="{00000000-0006-0000-0000-000017000000}">
      <text>
        <r>
          <rPr>
            <sz val="11"/>
            <color theme="1"/>
            <rFont val="Calibri"/>
            <family val="2"/>
            <charset val="1"/>
          </rPr>
          <t>Old: 16 → New: 15
[R2 Financials] Margen EBITDA ~50%, FCF fuerte, no debt. Pero Feb-2026 stock -20% tras miss Q4 + guidance 2026 20-22% (vs consenso 22.8%) + EBITDA flat 2026. Calidad financiera menos prístina de lo percibido. 15/17.
— Audit 2026-04-18</t>
        </r>
      </text>
    </comment>
    <comment ref="V6" authorId="0" shapeId="0" xr:uid="{00000000-0006-0000-0000-000018000000}">
      <text>
        <r>
          <rPr>
            <sz val="11"/>
            <color theme="1"/>
            <rFont val="Calibri"/>
            <family val="2"/>
            <charset val="1"/>
          </rPr>
          <t>Old: 15 → New: 13
[R2 Potential] Guidance 2026 20-22% vs previa 'low-to-mid 20s' y consenso 22.8%. Take rate compression real. Stripe ahora agresivo en enterprise (antes solo SMB). TAM intacto pero share capture más difícil. 13/18.
— Audit 2026-04-18</t>
        </r>
      </text>
    </comment>
    <comment ref="Y6" authorId="0" shapeId="0" xr:uid="{00000000-0006-0000-0000-000019000000}">
      <text>
        <r>
          <rPr>
            <sz val="11"/>
            <color theme="1"/>
            <rFont val="Calibri"/>
            <family val="2"/>
            <charset val="1"/>
          </rPr>
          <t>Old: 14 → New: 11
[R2 Mgmt &amp; Culture] Van der Does co-CEO desde 2023 por razones de salud (transición a Uytdehaage). Glassdoor 3.7 con concerns serios sobre management (favoritism, inexperiencia). Engineering culture fuerte pero ejecución comercial cuestionada en Q4 2025. 11/14.
— Audit 2026-04-18</t>
        </r>
      </text>
    </comment>
    <comment ref="AA6" authorId="0" shapeId="0" xr:uid="{00000000-0006-0000-0000-00001A000000}">
      <text>
        <r>
          <rPr>
            <sz val="11"/>
            <color theme="1"/>
            <rFont val="Calibri"/>
            <family val="2"/>
            <charset val="1"/>
          </rPr>
          <t>Old: -7 → New: -12
[R2 Risks] Añadir: (a) Stripe IPO inminente con $91.5B valoración y ataque agresivo a enterprise, (b) take rate compression estructural (0.17% vs Stripe 0.34%, carrera a la baja), (c) PayPal Braintree pricing pressure en US, (d) fx exposure alto, (e) concentración EU (60%+ revenue). -7 insuficiente.
— Audit 2026-04-18</t>
        </r>
      </text>
    </comment>
    <comment ref="AD6" authorId="0" shapeId="0" xr:uid="{00000000-0006-0000-0000-00001B000000}">
      <text>
        <r>
          <rPr>
            <sz val="11"/>
            <color theme="1"/>
            <rFont val="Calibri"/>
            <family val="2"/>
            <charset val="1"/>
          </rPr>
          <t>Old: 14 → New: 13
[R3 Durability] Single platform + banking licenses son MOAT real pero 'payments race-to-zero' structural risk subestimado. Adyen resiste mejor que peers pero no es inmune. 13/15.
— Audit 2026-04-18</t>
        </r>
      </text>
    </comment>
    <comment ref="AK6" authorId="0" shapeId="0" xr:uid="{00000000-0006-0000-0000-00001C000000}">
      <text>
        <r>
          <rPr>
            <sz val="11"/>
            <color theme="1"/>
            <rFont val="Calibri"/>
            <family val="2"/>
            <charset val="1"/>
          </rPr>
          <t>Old: -3 → New: -6
[R3 Terminal Risk] Stripe con $91B financiación + IPO inminente es competidor estructural. Checkout.com, Worldpay/FIS, legacy processors bundling. Terminal = 0 no pero compresión de valor a largo plazo es plausible. -6/-20.
— Audit 2026-04-18</t>
        </r>
      </text>
    </comment>
    <comment ref="M7" authorId="0" shapeId="0" xr:uid="{00000000-0006-0000-0000-00001D000000}">
      <text>
        <r>
          <rPr>
            <sz val="11"/>
            <color theme="1"/>
            <rFont val="Calibri"/>
            <family val="2"/>
            <charset val="1"/>
          </rPr>
          <t>Old: 1 → New: 0.5
[R1 Financials] Balance sheet complejo por diseño: deuda non-recourse a nivel activo, múltiples entidades listadas (BN, BAM, BEP, BIP, BWS). Buen principio pero $8B debt de oficinas refinanciando 2026-2027 y $3B+ en US office cedido a prestamistas en 3 años. 0.5 refleja complejidad + real estate overhang.
— Audit 2026-04-18</t>
        </r>
      </text>
    </comment>
    <comment ref="O7" authorId="0" shapeId="0" xr:uid="{00000000-0006-0000-0000-00001E000000}">
      <text>
        <r>
          <rPr>
            <sz val="11"/>
            <color theme="1"/>
            <rFont val="Calibri"/>
            <family val="2"/>
            <charset val="1"/>
          </rPr>
          <t>Old: -0.5 → New: 0.66
[R1 Glassdoor] Ajuste framework: rating/5. BN 3.3/5 = 0.66. Fuente: Glassdoor 571 reviews.
— Audit 2026-04-18 (ajuste framework)</t>
        </r>
      </text>
    </comment>
    <comment ref="P7" authorId="0" shapeId="0" xr:uid="{00000000-0006-0000-0000-00001F000000}">
      <text>
        <r>
          <rPr>
            <sz val="11"/>
            <color theme="1"/>
            <rFont val="Calibri"/>
            <family val="2"/>
            <charset val="1"/>
          </rPr>
          <t>Old: 0.5 → New: 1
[R1 Founder/CEO] Corrección: calidad del management. Bruce Flatt es uno de los grandes capital allocators de la era (Buffett-level en real assets). Track record 20y IRR 16%+. 1/1 justificado aunque no sea fundador técnicamente. Sucesión Teskey a BAM disciplinada.
— Audit 2026-04-18 (ajuste framework)</t>
        </r>
      </text>
    </comment>
    <comment ref="T7" authorId="0" shapeId="0" xr:uid="{00000000-0006-0000-0000-000020000000}">
      <text>
        <r>
          <rPr>
            <sz val="11"/>
            <color theme="1"/>
            <rFont val="Calibri"/>
            <family val="2"/>
            <charset val="1"/>
          </rPr>
          <t>Old: 14 → New: 13
[R2 Financials] Fee-bearing capital $500B+ es stellar pero complejidad + real estate writedowns ($3B+ cedido a lenders en 3 años) + $8B office debt refinanciando son friction material. 13/17.
— Audit 2026-04-18</t>
        </r>
      </text>
    </comment>
    <comment ref="Y7" authorId="0" shapeId="0" xr:uid="{00000000-0006-0000-0000-000021000000}">
      <text>
        <r>
          <rPr>
            <sz val="11"/>
            <color theme="1"/>
            <rFont val="Calibri"/>
            <family val="2"/>
            <charset val="1"/>
          </rPr>
          <t>Old: 14 → New: 13
[R2 Mgmt &amp; Culture] Flatt es uno de los grandes CEOs de la industria pero US office fue un error estratégico claro (overexposición pre-COVID, downgrades masivos post). Sucesión Teskey a BAM también es transición sensible. 13/14.
— Audit 2026-04-18</t>
        </r>
      </text>
    </comment>
    <comment ref="AA7" authorId="0" shapeId="0" xr:uid="{00000000-0006-0000-0000-000022000000}">
      <text>
        <r>
          <rPr>
            <sz val="11"/>
            <color theme="1"/>
            <rFont val="Calibri"/>
            <family val="2"/>
            <charset val="1"/>
          </rPr>
          <t>Old: -8 → New: -10
[R2 Risks] Office RE overhang: $10B activos a desinvertir hasta 2030, $8B deuda oficina refinanciando. Wealth Solutions insurance en crecimiento rápido con leverage creciente (riesgo ALM mismatch). Complejidad estructural vs peers (Blackstone trading 24x vs BN 13x por complejidad). -10 razonable.
— Audit 2026-04-18</t>
        </r>
      </text>
    </comment>
    <comment ref="AD7" authorId="0" shapeId="0" xr:uid="{00000000-0006-0000-0000-000023000000}">
      <text>
        <r>
          <rPr>
            <sz val="11"/>
            <color theme="1"/>
            <rFont val="Calibri"/>
            <family val="2"/>
            <charset val="1"/>
          </rPr>
          <t>Old: 15 → New: 14
[R3 Durability] Compounder histórico real (20y IRR 16%, 10y 17%, 5y 22% per Flatt) pero el office miss demuestra que no es invulnerable. 14/15.
— Audit 2026-04-18</t>
        </r>
      </text>
    </comment>
    <comment ref="AK7" authorId="0" shapeId="0" xr:uid="{00000000-0006-0000-0000-000024000000}">
      <text>
        <r>
          <rPr>
            <sz val="11"/>
            <color theme="1"/>
            <rFont val="Calibri"/>
            <family val="2"/>
            <charset val="1"/>
          </rPr>
          <t>Old: -4 → New: -5
[R3 Terminal Risk] Office RE + insurance leverage tail risk + private credit bubble potencial. Terminal muy improbable pero tail risk justifica -5 vs -4.
— Audit 2026-04-18</t>
        </r>
      </text>
    </comment>
    <comment ref="O8" authorId="0" shapeId="0" xr:uid="{00000000-0006-0000-0000-000025000000}">
      <text>
        <r>
          <rPr>
            <sz val="11"/>
            <color theme="1"/>
            <rFont val="Calibri"/>
            <family val="2"/>
            <charset val="1"/>
          </rPr>
          <t>Old: 1 → New: 0.78
[R1 Glassdoor] 3.9/5 con 72% recommend, 68% outlook positivo (18,552 reviews). Compensation 4.2/5 (uno de los mejores). WLB 3.3, culture 3.6. Aplicar fórmula: 3.9/5 = 0.78.
— Audit 2026-04-18</t>
        </r>
      </text>
    </comment>
    <comment ref="AA8" authorId="0" shapeId="0" xr:uid="{00000000-0006-0000-0000-000026000000}">
      <text>
        <r>
          <rPr>
            <sz val="11"/>
            <color theme="1"/>
            <rFont val="Calibri"/>
            <family val="2"/>
            <charset val="1"/>
          </rPr>
          <t>Old: -5 → New: -7
[R2 Risks] Añadir riesgos tariff (importación masiva Asia/China), wage inflation persistente en US (COST paga premium $19+/h base), saturación de mercados maduros NA. -5 era ligero.
— Audit 2026-04-18</t>
        </r>
      </text>
    </comment>
    <comment ref="AK8" authorId="0" shapeId="0" xr:uid="{00000000-0006-0000-0000-000027000000}">
      <text>
        <r>
          <rPr>
            <sz val="11"/>
            <color theme="1"/>
            <rFont val="Calibri"/>
            <family val="2"/>
            <charset val="1"/>
          </rPr>
          <t>Old: -2 → New: -3
[R3 Terminal Risk] Amazon + e-commerce shift estructural largo plazo + cambio generacional preferences (Gen Z menos warehouse-shopping). Membership defiende pero terminal 25-30y horizon merece -3 vs -2.
— Audit 2026-04-18</t>
        </r>
      </text>
    </comment>
    <comment ref="O9" authorId="1" shapeId="0" xr:uid="{00000000-0006-0000-0000-000028000000}">
      <text>
        <r>
          <rPr>
            <sz val="11"/>
            <color theme="1"/>
            <rFont val="Calibri"/>
            <family val="2"/>
            <charset val="1"/>
          </rPr>
          <t>Old: 1 → New: 0.8
Glassdoor 4.0/5 → 0.80 (formula rating/5). 85% recommend, WLB 4.2. Source: Glassdoor Descartes Systems reviews.</t>
        </r>
      </text>
    </comment>
    <comment ref="P9" authorId="1" shapeId="0" xr:uid="{00000000-0006-0000-0000-000029000000}">
      <text>
        <r>
          <rPr>
            <sz val="11"/>
            <color theme="1"/>
            <rFont val="Calibri"/>
            <family val="2"/>
            <charset val="1"/>
          </rPr>
          <t>Old: 0 → New: 0.5
Ed Ryan CEO desde 2013. Ejecutor sólido pero no top-tier (vs. Nadella/Flatt). Entrega M&amp;A disciplinada (8 adq. desde FY25) + márgenes 46% EBITDA. Source: DSGX FY26 earnings release.</t>
        </r>
      </text>
    </comment>
    <comment ref="V9" authorId="1" shapeId="0" xr:uid="{00000000-0006-0000-0000-00002A000000}">
      <text>
        <r>
          <rPr>
            <sz val="11"/>
            <color theme="1"/>
            <rFont val="Calibri"/>
            <family val="2"/>
            <charset val="1"/>
          </rPr>
          <t>Old: 13 → New: 11
Potential baja: crecimiento ~11% (FY26 Q4 +15%, pero organic ~5-8%). Fuerte dependencia de M&amp;A para crecer. TAM logistics software con competencia agresiva (Project44, FourKites, Trimble). Source: DSGX Q4 FY26 + Motley Fool Q2 transcript.</t>
        </r>
      </text>
    </comment>
    <comment ref="AA9" authorId="1" shapeId="0" xr:uid="{00000000-0006-0000-0000-00002B000000}">
      <text>
        <r>
          <rPr>
            <sz val="11"/>
            <color theme="1"/>
            <rFont val="Calibri"/>
            <family val="2"/>
            <charset val="1"/>
          </rPr>
          <t>Old: -5 → New: -7
Risks underscored: ejecución M&amp;A (8 adq. recientes), valoración 53x PE/28x EV/EBITDA, y AI/automation podría desintermediar network. Source: DSGX FY26 release + Morningstar.</t>
        </r>
      </text>
    </comment>
    <comment ref="AK9" authorId="1" shapeId="0" xr:uid="{00000000-0006-0000-0000-00002C000000}">
      <text>
        <r>
          <rPr>
            <sz val="11"/>
            <color theme="1"/>
            <rFont val="Calibri"/>
            <family val="2"/>
            <charset val="1"/>
          </rPr>
          <t>Old: -2 → New: -3
Terminal risk: AI/GenAI amenaza workflows de global trade/classification (HS codes, documentation) que son core DSGX. Horizonte 10+ años material. Source: propio análisis + Substack Opportunity Costs DSGX.</t>
        </r>
      </text>
    </comment>
    <comment ref="O10" authorId="1" shapeId="0" xr:uid="{00000000-0006-0000-0000-00002D000000}">
      <text>
        <r>
          <rPr>
            <sz val="11"/>
            <color theme="1"/>
            <rFont val="Calibri"/>
            <family val="2"/>
            <charset val="1"/>
          </rPr>
          <t>Old: 1 → New: 0.82
Glassdoor 4.1/5 → 0.82 (formula rating/5). 84% recommend, 4.1 WLB, 4.2 culture. Source: Glassdoor RATIONAL reviews.</t>
        </r>
      </text>
    </comment>
    <comment ref="P10" authorId="1" shapeId="0" xr:uid="{00000000-0006-0000-0000-00002E000000}">
      <text>
        <r>
          <rPr>
            <sz val="11"/>
            <color theme="1"/>
            <rFont val="Calibri"/>
            <family val="2"/>
            <charset val="1"/>
          </rPr>
          <t>Old: 0 → New: 1
CORRECCIÓN: Peter Stadelmann CEO desde 2014 (contrato hasta 2027), ejecutor excelente. Familia Meister controla &gt;50% con visión a largo plazo. Calidad management = 1. Source: RATIONAL AG Annual Report FY25.</t>
        </r>
      </text>
    </comment>
    <comment ref="V10" authorId="1" shapeId="0" xr:uid="{00000000-0006-0000-0000-00002F000000}">
      <text>
        <r>
          <rPr>
            <sz val="11"/>
            <color theme="1"/>
            <rFont val="Calibri"/>
            <family val="2"/>
            <charset val="1"/>
          </rPr>
          <t>Old: 11 → New: 10
Potential ajustado: FY25 +6% revenue, +8% FX-adj. Asia -11% (China softness material). 50% share combi ovens límite; crecimiento iVario incremental. Source: RATIONAL AG Annual Report FY25.</t>
        </r>
      </text>
    </comment>
    <comment ref="AA10" authorId="1" shapeId="0" xr:uid="{00000000-0006-0000-0000-000030000000}">
      <text>
        <r>
          <rPr>
            <sz val="11"/>
            <color theme="1"/>
            <rFont val="Calibri"/>
            <family val="2"/>
            <charset val="1"/>
          </rPr>
          <t>Old: -6 → New: -7
Risks: Asia -11% (China/Japón), exposición cíclica restauración, commodities (acero), costes energía en Alemania. Source: EQS News Q2 2025 + Annual Report.</t>
        </r>
      </text>
    </comment>
    <comment ref="K11" authorId="1" shapeId="0" xr:uid="{00000000-0006-0000-0000-000031000000}">
      <text>
        <r>
          <rPr>
            <sz val="11"/>
            <color theme="1"/>
            <rFont val="Calibri"/>
            <family val="2"/>
            <charset val="1"/>
          </rPr>
          <t>Old: 7 → New: 6
MOAT R1 ajustado: presión platformización real. PANW Prisma Access ARR $5.6B +32% y MSFT bundling (Entra/Purview) comprimen pricing power. Zscaler sigue siendo líder SSE pero moat -1. Source: PANW + Zscaler Q1 FY26 + TechI cybersecurity 2026.</t>
        </r>
      </text>
    </comment>
    <comment ref="O11" authorId="1" shapeId="0" xr:uid="{00000000-0006-0000-0000-000032000000}">
      <text>
        <r>
          <rPr>
            <sz val="11"/>
            <color theme="1"/>
            <rFont val="Calibri"/>
            <family val="2"/>
            <charset val="1"/>
          </rPr>
          <t>Old: 0 → New: 0.72
Glassdoor 3.6/5 → 0.72 (formula rating/5). Nota bajó 5% en 12 meses. Cultura agresiva metrics-driven criticada. WLB 3.3. Source: Glassdoor Zscaler reviews.</t>
        </r>
      </text>
    </comment>
    <comment ref="U11" authorId="1" shapeId="0" xr:uid="{00000000-0006-0000-0000-000033000000}">
      <text>
        <r>
          <rPr>
            <sz val="11"/>
            <color theme="1"/>
            <rFont val="Calibri"/>
            <family val="2"/>
            <charset val="1"/>
          </rPr>
          <t>Old: 17 → New: 15
R2 MOAT: network cloud inline masivo (Fortune 500 40%) pero competencia platform-wide comprime diferenciación. No es dominante como antes 2022. Source: TechI + peerspot Zscaler alternatives 2026.</t>
        </r>
      </text>
    </comment>
    <comment ref="AA11" authorId="1" shapeId="0" xr:uid="{00000000-0006-0000-0000-000034000000}">
      <text>
        <r>
          <rPr>
            <sz val="11"/>
            <color theme="1"/>
            <rFont val="Calibri"/>
            <family val="2"/>
            <charset val="1"/>
          </rPr>
          <t>Old: -8 → New: -11
Risks inflado inicialmente: PANW platformization + MSFT bundling + CRWD Falcon Flex (+120% YoY ARR $1.69B) + BTIG downgrade reciente. Net new ARR decelerando. Source: CRWD FY25 + PANW FY25 + BTIG notes.</t>
        </r>
      </text>
    </comment>
    <comment ref="AJ11" authorId="1" shapeId="0" xr:uid="{00000000-0006-0000-0000-000035000000}">
      <text>
        <r>
          <rPr>
            <sz val="11"/>
            <color theme="1"/>
            <rFont val="Calibri"/>
            <family val="2"/>
            <charset val="1"/>
          </rPr>
          <t>Old: 13 → New: 12
MOAT structural: cloud-native single-proxy architecture sigue siendo diferenciada, pero platformización reduce ventaja estructural. Source: peerspot alternatives + PANW SASE comparison page.</t>
        </r>
      </text>
    </comment>
    <comment ref="AK11" authorId="1" shapeId="0" xr:uid="{00000000-0006-0000-0000-000036000000}">
      <text>
        <r>
          <rPr>
            <sz val="11"/>
            <color theme="1"/>
            <rFont val="Calibri"/>
            <family val="2"/>
            <charset val="1"/>
          </rPr>
          <t>Old: -4 → New: -5
Terminal risk: AI agent security pivot incierto; SASE commoditizándose con PANW/CRWD/MSFT. Riesgo 5-10y de absorción por plataforma más amplia. Source: propio análisis + QZ AI agent security.</t>
        </r>
      </text>
    </comment>
    <comment ref="O12" authorId="1" shapeId="0" xr:uid="{00000000-0006-0000-0000-000037000000}">
      <text>
        <r>
          <rPr>
            <sz val="11"/>
            <color theme="1"/>
            <rFont val="Calibri"/>
            <family val="2"/>
            <charset val="1"/>
          </rPr>
          <t>Old: 1 → New: 0.82
Glassdoor 4.1/5 → 0.82 (formula). Nintendo of America 4.2/5 = 0.84. Culture 4.2, buena WLB para Japón. Source: Glassdoor Nintendo reviews.</t>
        </r>
      </text>
    </comment>
    <comment ref="P12" authorId="1" shapeId="0" xr:uid="{00000000-0006-0000-0000-000038000000}">
      <text>
        <r>
          <rPr>
            <sz val="11"/>
            <color theme="1"/>
            <rFont val="Calibri"/>
            <family val="2"/>
            <charset val="1"/>
          </rPr>
          <t>Old: 0 → New: 1
CORRECCIÓN: Furukawa-san CEO desde 2018, ejecutó lanzamiento Switch 2 impecable (17.4M unidades Q3 FY26, revenue +99% YoY). Management institucional de altísima calidad. Source: Nintendo Q3 FY26 results + CNBC.</t>
        </r>
      </text>
    </comment>
    <comment ref="V12" authorId="1" shapeId="0" xr:uid="{00000000-0006-0000-0000-000039000000}">
      <text>
        <r>
          <rPr>
            <sz val="11"/>
            <color theme="1"/>
            <rFont val="Calibri"/>
            <family val="2"/>
            <charset val="1"/>
          </rPr>
          <t>Old: 13 → New: 14
Potential upgrade: Switch 2 momentum mejor que esperado (forecast 19M, sw upgrade a 48M), ciclo largo (10+ años), IP monetization fuera de hardware (pelis, Universal Studios). Source: Nintendo Q3 FY26 + Wikipedia Switch 2.</t>
        </r>
      </text>
    </comment>
    <comment ref="AA12" authorId="1" shapeId="0" xr:uid="{00000000-0006-0000-0000-00003A000000}">
      <text>
        <r>
          <rPr>
            <sz val="11"/>
            <color theme="1"/>
            <rFont val="Calibri"/>
            <family val="2"/>
            <charset val="1"/>
          </rPr>
          <t>Old: -7 → New: -8
Risks cíclico: dependencia ciclo hardware (cash flow concentrado 2-3 años), posible fatiga post-Switch 2, competencia mobile/cloud gaming. Yen volatility. Source: Nintendo IR + GameWorld Observer.</t>
        </r>
      </text>
    </comment>
    <comment ref="O13" authorId="1" shapeId="0" xr:uid="{00000000-0006-0000-0000-00003B000000}">
      <text>
        <r>
          <rPr>
            <sz val="11"/>
            <color theme="1"/>
            <rFont val="Calibri"/>
            <family val="2"/>
            <charset val="1"/>
          </rPr>
          <t>Old: 0 → New: 0.72
Glassdoor 3.6/5 → 0.72 (formula). WLB 3.1, culture 3.3, 60% recommend. Reputación dual: tech roles OK, warehouse workers conflict. Source: Glassdoor Amazon reviews (207k reviews).</t>
        </r>
      </text>
    </comment>
    <comment ref="Q13" authorId="1" shapeId="0" xr:uid="{00000000-0006-0000-0000-00003C000000}">
      <text>
        <r>
          <rPr>
            <sz val="11"/>
            <color theme="1"/>
            <rFont val="Calibri"/>
            <family val="2"/>
            <charset val="1"/>
          </rPr>
          <t>Old: 0 → New: 0.5
Ownership: Bezos retiene ~8.6% stake + Exec Chair activo. Alineación founder aún presente aunque diluida. 0 subestimaba. Adjust 0 → 0.5. Source: AMZN proxy statement 2025.</t>
        </r>
      </text>
    </comment>
    <comment ref="AA13" authorId="1" shapeId="0" xr:uid="{00000000-0006-0000-0000-00003D000000}">
      <text>
        <r>
          <rPr>
            <sz val="11"/>
            <color theme="1"/>
            <rFont val="Calibri"/>
            <family val="2"/>
            <charset val="1"/>
          </rPr>
          <t>Old: -10 → New: -12
Risks FTC: juicio fijado Feb 9 2027 (confirmado, federal). Base case 50% consent decree; worst case 25% separación marketplace/fulfillment (rev -10-15%). EU DMA overhang adicional. AWS capex $200B+ AI arms race. Source: MLex + Retail Dive + WaPo FTC v Amazon.</t>
        </r>
      </text>
    </comment>
    <comment ref="AK13" authorId="1" shapeId="0" xr:uid="{00000000-0006-0000-0000-00003E000000}">
      <text>
        <r>
          <rPr>
            <sz val="11"/>
            <color theme="1"/>
            <rFont val="Calibri"/>
            <family val="2"/>
            <charset val="1"/>
          </rPr>
          <t>Old: -4 → New: -5
Terminal risk: antitrust separación estructural + AI eroding AWS competitive edge (hyperscaler arms race, Trainium vs Nvidia incierto). Source: FinancialContent AMZN AI utility + FTC case.</t>
        </r>
      </text>
    </comment>
    <comment ref="L14" authorId="1" shapeId="0" xr:uid="{00000000-0006-0000-0000-00003F000000}">
      <text>
        <r>
          <rPr>
            <sz val="11"/>
            <color theme="1"/>
            <rFont val="Calibri"/>
            <family val="2"/>
            <charset val="1"/>
          </rPr>
          <t>Old: 2 → New: 3
Optionality upgrade: AI datacenter growth triple-dígito en Q4 2025, electrification supercycle multi-década, EV charging, grid modernization. Real option. Source: SE Q3 2025 release + Facilities Dive datacenter.</t>
        </r>
      </text>
    </comment>
    <comment ref="O14" authorId="1" shapeId="0" xr:uid="{00000000-0006-0000-0000-000040000000}">
      <text>
        <r>
          <rPr>
            <sz val="11"/>
            <color theme="1"/>
            <rFont val="Calibri"/>
            <family val="2"/>
            <charset val="1"/>
          </rPr>
          <t>Old: 1 → New: 0.84
Glassdoor 4.2/5 → 0.84 (formula). 87% recommend — de los más altos de la watchlist. Source: Glassdoor Schneider Electric.</t>
        </r>
      </text>
    </comment>
    <comment ref="V14" authorId="1" shapeId="0" xr:uid="{00000000-0006-0000-0000-000041000000}">
      <text>
        <r>
          <rPr>
            <sz val="11"/>
            <color theme="1"/>
            <rFont val="Calibri"/>
            <family val="2"/>
            <charset val="1"/>
          </rPr>
          <t>Old: 14 → New: 15
Potential upgrade: FY25 +8.9% organic, +15% NA, datacenter triple-dígito. Electrification structural 10-20y tailwind. Source: SE FY25 annual results.</t>
        </r>
      </text>
    </comment>
    <comment ref="L15" authorId="1" shapeId="0" xr:uid="{00000000-0006-0000-0000-000042000000}">
      <text>
        <r>
          <rPr>
            <sz val="11"/>
            <color theme="1"/>
            <rFont val="Calibri"/>
            <family val="2"/>
            <charset val="1"/>
          </rPr>
          <t>Old: 1 → New: 2
Optionality upgrade: online 27% de ventas (€10.7B), Zara Try-on IA en 43 markets, adjacencies (Zara Home, Pull&amp;Bear, Massimo Dutti). Source: ITX FY25 results.</t>
        </r>
      </text>
    </comment>
    <comment ref="O15" authorId="1" shapeId="0" xr:uid="{00000000-0006-0000-0000-000043000000}">
      <text>
        <r>
          <rPr>
            <sz val="11"/>
            <color theme="1"/>
            <rFont val="Calibri"/>
            <family val="2"/>
            <charset val="1"/>
          </rPr>
          <t>Old: 0 → New: 0.74
Glassdoor 3.7/5 → 0.74 (formula). 64% recommend. Retail WLB típico pero culture Ortega OK. Source: Glassdoor Inditex.</t>
        </r>
      </text>
    </comment>
    <comment ref="AA15" authorId="1" shapeId="0" xr:uid="{00000000-0006-0000-0000-000044000000}">
      <text>
        <r>
          <rPr>
            <sz val="11"/>
            <color theme="1"/>
            <rFont val="Calibri"/>
            <family val="2"/>
            <charset val="1"/>
          </rPr>
          <t>Old: -6 → New: -8
Risks elevados: Shein/Temu Chinese fast fashion ataque real, discrecional consumo, sostenibilidad backlash. Source: ITX FY25 + Modaes takeaways.</t>
        </r>
      </text>
    </comment>
    <comment ref="AK15" authorId="1" shapeId="0" xr:uid="{00000000-0006-0000-0000-000045000000}">
      <text>
        <r>
          <rPr>
            <sz val="11"/>
            <color theme="1"/>
            <rFont val="Calibri"/>
            <family val="2"/>
            <charset val="1"/>
          </rPr>
          <t>Old: -3 → New: -4
Terminal risk: fast fashion Chinese AI-driven (Shein algorithm + Temu) amenaza estructural 5-10y sobre modelo Zara. Source: industry analysis.</t>
        </r>
      </text>
    </comment>
    <comment ref="L16" authorId="1" shapeId="0" xr:uid="{00000000-0006-0000-0000-000046000000}">
      <text>
        <r>
          <rPr>
            <sz val="11"/>
            <color theme="1"/>
            <rFont val="Calibri"/>
            <family val="2"/>
            <charset val="1"/>
          </rPr>
          <t>Old: 2 → New: 3
Optionality real demostrada: Nákd, TREK, BEAR (acquisiciones exitosas), Thailand plant (Chonburi), US Mebane expansion. Source: LOTB FY25 press + ESM Magazine.</t>
        </r>
      </text>
    </comment>
    <comment ref="O16" authorId="1" shapeId="0" xr:uid="{00000000-0006-0000-0000-000047000000}">
      <text>
        <r>
          <rPr>
            <sz val="11"/>
            <color theme="1"/>
            <rFont val="Calibri"/>
            <family val="2"/>
            <charset val="1"/>
          </rPr>
          <t>Old: 0 → New: 0.76
Glassdoor 3.8/5 → 0.76 (formula). Culture small-company Boone family aligned. Source: Glassdoor Lotus Bakeries.</t>
        </r>
      </text>
    </comment>
    <comment ref="T16" authorId="1" shapeId="0" xr:uid="{00000000-0006-0000-0000-000048000000}">
      <text>
        <r>
          <rPr>
            <sz val="11"/>
            <color theme="1"/>
            <rFont val="Calibri"/>
            <family val="2"/>
            <charset val="1"/>
          </rPr>
          <t>Old: 15 → New: 16
R2 Fin upgrade: 10% revenue growth 2025 (€1.355B), 20%+ EBITDA margin, net cash strong. Source: LOTB Annual Results 2025.</t>
        </r>
      </text>
    </comment>
    <comment ref="V16" authorId="1" shapeId="0" xr:uid="{00000000-0006-0000-0000-000049000000}">
      <text>
        <r>
          <rPr>
            <sz val="11"/>
            <color theme="1"/>
            <rFont val="Calibri"/>
            <family val="2"/>
            <charset val="1"/>
          </rPr>
          <t>Old: 11 → New: 13
Potential upgrade material: US BEAR +17% growth outstanding, Biscoff +13% organic, Thailand plant starting, India potential sin tapar. Source: LOTB FY25 press release.</t>
        </r>
      </text>
    </comment>
    <comment ref="AA16" authorId="1" shapeId="0" xr:uid="{00000000-0006-0000-0000-00004A000000}">
      <text>
        <r>
          <rPr>
            <sz val="11"/>
            <color theme="1"/>
            <rFont val="Calibri"/>
            <family val="2"/>
            <charset val="1"/>
          </rPr>
          <t>Old: -6 → New: -7
Risks: Biscoff 57% de branded revenue — concentración producto real. Commodity (butter, sugar) exposure. Source: LOTB Annual Report 2025.</t>
        </r>
      </text>
    </comment>
    <comment ref="AG16" authorId="1" shapeId="0" xr:uid="{00000000-0006-0000-0000-00004B000000}">
      <text>
        <r>
          <rPr>
            <sz val="11"/>
            <color theme="1"/>
            <rFont val="Calibri"/>
            <family val="2"/>
            <charset val="1"/>
          </rPr>
          <t>Old: 12 → New: 13
Capital Allocation upgrade: M&amp;A disciplinado (Nákd 2015, TREK 2019, BEAR 2018) todos integrados bien. Source: LOTB track record.</t>
        </r>
      </text>
    </comment>
    <comment ref="L17" authorId="1" shapeId="0" xr:uid="{00000000-0006-0000-0000-00004C000000}">
      <text>
        <r>
          <rPr>
            <sz val="11"/>
            <color theme="1"/>
            <rFont val="Calibri"/>
            <family val="2"/>
            <charset val="1"/>
          </rPr>
          <t>Old: 2 → New: 3
Optionality upgrade: M&amp;A serial optionality probada, 2 adquisiciones FY26 YTD por £129M (Safetec €73M + Brownline €150M). 40+ companies portfolio. Source: Halma press releases 2025/26.</t>
        </r>
      </text>
    </comment>
    <comment ref="O17" authorId="1" shapeId="0" xr:uid="{00000000-0006-0000-0000-00004D000000}">
      <text>
        <r>
          <rPr>
            <sz val="11"/>
            <color theme="1"/>
            <rFont val="Calibri"/>
            <family val="2"/>
            <charset val="1"/>
          </rPr>
          <t>Old: 1 → New: 0.86
Glassdoor 4.3/5 → 0.86 (formula). De los más altos del mercado. 4.0 compensation. Source: Glassdoor Halma.</t>
        </r>
      </text>
    </comment>
    <comment ref="P17" authorId="1" shapeId="0" xr:uid="{00000000-0006-0000-0000-00004E000000}">
      <text>
        <r>
          <rPr>
            <sz val="11"/>
            <color theme="1"/>
            <rFont val="Calibri"/>
            <family val="2"/>
            <charset val="1"/>
          </rPr>
          <t>Old: 0 → New: 1
CORRECCIÓN: Marc Ronchetti CEO desde 2023 ejecutando modelo descentralizado top-tier (47 años consecutivos record profit). Calidad management = 1. Source: Halma FY2024/25.</t>
        </r>
      </text>
    </comment>
    <comment ref="O18" authorId="1" shapeId="0" xr:uid="{00000000-0006-0000-0000-00004F000000}">
      <text>
        <r>
          <rPr>
            <sz val="11"/>
            <color theme="1"/>
            <rFont val="Calibri"/>
            <family val="2"/>
            <charset val="1"/>
          </rPr>
          <t>Old: 0 → New: 0.78
Glassdoor 3.9/5 → 0.78 (formula). Culture software sólida. Source: Glassdoor FICO.</t>
        </r>
      </text>
    </comment>
    <comment ref="V18" authorId="1" shapeId="0" xr:uid="{00000000-0006-0000-0000-000050000000}">
      <text>
        <r>
          <rPr>
            <sz val="11"/>
            <color theme="1"/>
            <rFont val="Calibri"/>
            <family val="2"/>
            <charset val="1"/>
          </rPr>
          <t>Old: 12 → New: 10
Potential DOWNGRADE: FY26 guidance $2.35B vs consensus $2.44B lagged. Pricing hikes ($4.95→$10/score) alcanzaron límite regulatorio. Source: FICO Q1 FY26 + National Mortgage News.</t>
        </r>
      </text>
    </comment>
    <comment ref="AA18" authorId="1" shapeId="0" xr:uid="{00000000-0006-0000-0000-000051000000}">
      <text>
        <r>
          <rPr>
            <sz val="11"/>
            <color theme="1"/>
            <rFont val="Calibri"/>
            <family val="2"/>
            <charset val="1"/>
          </rPr>
          <t>Old: -10 → New: -15
Risks materiales: CFPB investigation + Senator Hawley investigation + DOJ antitrust probe sobre tying software/score. Stock -50% desde 2025 highs. Source: Hawley press release + FinancialContent.</t>
        </r>
      </text>
    </comment>
    <comment ref="AD18" authorId="1" shapeId="0" xr:uid="{00000000-0006-0000-0000-000052000000}">
      <text>
        <r>
          <rPr>
            <sz val="11"/>
            <color theme="1"/>
            <rFont val="Calibri"/>
            <family val="2"/>
            <charset val="1"/>
          </rPr>
          <t>Old: 15 → New: 14
Durability ligero ajuste: regulatory reset material posible. Credit scoring sigue siendo core pero monopolio puede ser atacado. Source: DOJ + CFPB scrutiny.</t>
        </r>
      </text>
    </comment>
    <comment ref="AJ18" authorId="1" shapeId="0" xr:uid="{00000000-0006-0000-0000-000053000000}">
      <text>
        <r>
          <rPr>
            <sz val="11"/>
            <color theme="1"/>
            <rFont val="Calibri"/>
            <family val="2"/>
            <charset val="1"/>
          </rPr>
          <t>Old: 15 → New: 13
MOAT Structural: VantageScore gaining + AI-based alternative models + DOJ tying probe comprimen dominio 90%+. Source: FinancialContent + Yahoo Finance FICO.</t>
        </r>
      </text>
    </comment>
    <comment ref="AK18" authorId="1" shapeId="0" xr:uid="{00000000-0006-0000-0000-000054000000}">
      <text>
        <r>
          <rPr>
            <sz val="11"/>
            <color theme="1"/>
            <rFont val="Calibri"/>
            <family val="2"/>
            <charset val="1"/>
          </rPr>
          <t>Old: -3 → New: -6
Terminal Risk: combinación DOJ antitrust (forced separation potential) + AI alternative scoring multiplies 10y tail risk. Source: Hawley + Ballard Spahr mortgage update.</t>
        </r>
      </text>
    </comment>
    <comment ref="K19" authorId="1" shapeId="0" xr:uid="{00000000-0006-0000-0000-000055000000}">
      <text>
        <r>
          <rPr>
            <sz val="11"/>
            <color theme="1"/>
            <rFont val="Calibri"/>
            <family val="2"/>
            <charset val="1"/>
          </rPr>
          <t>Old: 6 → New: 7
MOAT upgrade: 275 companies niche leaders (dental + demolition + systems) con moat estructural en cada vertical, similar a Halma. Source: Lifco FY2025 Year-end Report.</t>
        </r>
      </text>
    </comment>
    <comment ref="L19" authorId="1" shapeId="0" xr:uid="{00000000-0006-0000-0000-000056000000}">
      <text>
        <r>
          <rPr>
            <sz val="11"/>
            <color theme="1"/>
            <rFont val="Calibri"/>
            <family val="2"/>
            <charset val="1"/>
          </rPr>
          <t>Old: 2 → New: 3
Optionality upgrade: 17 adquisiciones en 2025 (3,913 MSEK EV, ~598 MSEK EBITA added). Serial acquirer model probado. Source: Lifco FY2025 + Substack Compounding Tortoise.</t>
        </r>
      </text>
    </comment>
    <comment ref="O19" authorId="1" shapeId="0" xr:uid="{00000000-0006-0000-0000-000057000000}">
      <text>
        <r>
          <rPr>
            <sz val="11"/>
            <color theme="1"/>
            <rFont val="Calibri"/>
            <family val="2"/>
            <charset val="1"/>
          </rPr>
          <t>Old: 1 → New: 0.7
Glassdoor 3.5/5 → 0.70 (formula). N=20 reviews Lifco Group (limited sample). Source: Glassdoor.</t>
        </r>
      </text>
    </comment>
    <comment ref="P19" authorId="1" shapeId="0" xr:uid="{00000000-0006-0000-0000-000058000000}">
      <text>
        <r>
          <rPr>
            <sz val="11"/>
            <color theme="1"/>
            <rFont val="Calibri"/>
            <family val="2"/>
            <charset val="1"/>
          </rPr>
          <t>Old: 0 → New: 0.5
Per Waldemarson CEO desde 2019 (Fredrik Karlsson salió a fundar Röko 2019). Management sólido pero no star level. Adj 0→0.5. Source: Lifco IR.</t>
        </r>
      </text>
    </comment>
    <comment ref="T19" authorId="1" shapeId="0" xr:uid="{00000000-0006-0000-0000-000059000000}">
      <text>
        <r>
          <rPr>
            <sz val="11"/>
            <color theme="1"/>
            <rFont val="Calibri"/>
            <family val="2"/>
            <charset val="1"/>
          </rPr>
          <t>Old: 14 → New: 15
R2 Fin upgrade: EBITA margin 22.4% en 2025 (record), FCF sólido, net sales 28.3B SEK. Source: Lifco FY2025 Year-end Report.</t>
        </r>
      </text>
    </comment>
    <comment ref="AA19" authorId="1" shapeId="0" xr:uid="{00000000-0006-0000-0000-00005A000000}">
      <text>
        <r>
          <rPr>
            <sz val="11"/>
            <color theme="1"/>
            <rFont val="Calibri"/>
            <family val="2"/>
            <charset val="1"/>
          </rPr>
          <t>Old: -6 → New: -7
Risks: valoración premium (35x PE), Karlsson departure legacy risk, rate sensitivity M&amp;A. Source: Substack deep dives + Ad-hoc news.</t>
        </r>
      </text>
    </comment>
    <comment ref="AJ19" authorId="1" shapeId="0" xr:uid="{00000000-0006-0000-0000-00005B000000}">
      <text>
        <r>
          <rPr>
            <sz val="11"/>
            <color theme="1"/>
            <rFont val="Calibri"/>
            <family val="2"/>
            <charset val="1"/>
          </rPr>
          <t>Old: 12 → New: 13
MOAT Structural: 275 companies diversifican, portfolio structural advantage comparable a Halma. Source: Lifco Annual Report.</t>
        </r>
      </text>
    </comment>
    <comment ref="AK19" authorId="1" shapeId="0" xr:uid="{00000000-0006-0000-0000-00005C000000}">
      <text>
        <r>
          <rPr>
            <sz val="11"/>
            <color theme="1"/>
            <rFont val="Calibri"/>
            <family val="2"/>
            <charset val="1"/>
          </rPr>
          <t>Old: -4 → New: -3
Terminal Risk lower: portfolio 275 companies 37 countries reduce tail risk individual. Adj -4→-3. Source: portfolio analysis.</t>
        </r>
      </text>
    </comment>
    <comment ref="K20" authorId="1" shapeId="0" xr:uid="{00000000-0006-0000-0000-00005D000000}">
      <text>
        <r>
          <rPr>
            <sz val="11"/>
            <color theme="1"/>
            <rFont val="Calibri"/>
            <family val="2"/>
            <charset val="1"/>
          </rPr>
          <t>Old: 6 → New: 7
MOAT upgrade: network effects ticketing (178M tickets 2025, 9B EUR GTV) + promoter relationships (Ocesa, France). European #1. Source: CTS Eventim FY2025.</t>
        </r>
      </text>
    </comment>
    <comment ref="O20" authorId="1" shapeId="0" xr:uid="{00000000-0006-0000-0000-00005E000000}">
      <text>
        <r>
          <rPr>
            <sz val="11"/>
            <color theme="1"/>
            <rFont val="Calibri"/>
            <family val="2"/>
            <charset val="1"/>
          </rPr>
          <t>Old: 0 → New: 0.5
Glassdoor: sin data robusta encontrada; estimación conservadora 0.5. Schulenberg founder culture sólida. Source: conservative estimate.</t>
        </r>
      </text>
    </comment>
    <comment ref="V20" authorId="1" shapeId="0" xr:uid="{00000000-0006-0000-0000-00005F000000}">
      <text>
        <r>
          <rPr>
            <sz val="11"/>
            <color theme="1"/>
            <rFont val="Calibri"/>
            <family val="2"/>
            <charset val="1"/>
          </rPr>
          <t>Old: 11 → New: 12
Potential upgrade: revenue €3B+ por primera vez (+9.6%), Live Entertainment exceeded €2B. Expansion geográfica ongoing (France, Mexico, Italy). Source: CTS Eventim FY2025 release.</t>
        </r>
      </text>
    </comment>
    <comment ref="L21" authorId="1" shapeId="0" xr:uid="{00000000-0006-0000-0000-000060000000}">
      <text>
        <r>
          <rPr>
            <sz val="11"/>
            <color theme="1"/>
            <rFont val="Calibri"/>
            <family val="2"/>
            <charset val="1"/>
          </rPr>
          <t>Old: 1 → New: 2
Optionality upgrade: int'l sales +23% Q3 2025 (43% of total, record). Strategic brands 57 countries. Coke distribution partnership. Source: MNST Q3 2025 + Simply Wall St.</t>
        </r>
      </text>
    </comment>
    <comment ref="O21" authorId="1" shapeId="0" xr:uid="{00000000-0006-0000-0000-000061000000}">
      <text>
        <r>
          <rPr>
            <sz val="11"/>
            <color theme="1"/>
            <rFont val="Calibri"/>
            <family val="2"/>
            <charset val="1"/>
          </rPr>
          <t>Old: 0 → New: 0.78
Glassdoor 3.9/5 → 0.78 (formula). Culture MAT team energy sólida. Source: Glassdoor Monster Energy.</t>
        </r>
      </text>
    </comment>
    <comment ref="AA21" authorId="1" shapeId="0" xr:uid="{00000000-0006-0000-0000-000062000000}">
      <text>
        <r>
          <rPr>
            <sz val="11"/>
            <color theme="1"/>
            <rFont val="Calibri"/>
            <family val="2"/>
            <charset val="1"/>
          </rPr>
          <t>Old: -7 → New: -9
Risks aumentados: Celsius (CELH) atacando share (CELH growth &gt;30% YoY), GLP-1 obesidad headwind incierto, private label erosión. Source: MNST 10-K 2025 + industry analysis.</t>
        </r>
      </text>
    </comment>
    <comment ref="AK21" authorId="1" shapeId="0" xr:uid="{00000000-0006-0000-0000-000063000000}">
      <text>
        <r>
          <rPr>
            <sz val="11"/>
            <color theme="1"/>
            <rFont val="Calibri"/>
            <family val="2"/>
            <charset val="1"/>
          </rPr>
          <t>Old: -3 → New: -4
Terminal Risk: combinación Celsius attacker + GLP-1 potencial hit energy beverages + Sacks/Schlosberg succession. Source: DCF model MNST + 10-K.</t>
        </r>
      </text>
    </comment>
    <comment ref="K22" authorId="1" shapeId="0" xr:uid="{00000000-0006-0000-0000-000064000000}">
      <text>
        <r>
          <rPr>
            <sz val="11"/>
            <color theme="1"/>
            <rFont val="Calibri"/>
            <family val="2"/>
            <charset val="1"/>
          </rPr>
          <t>Old: 6 → New: 7
MOAT upgrade: two-sided network efecto real — 5M+ active listings, 2B+ guest arrivals histórico. Barrera entrada masiva. Source: ABNB 10-K 2025.</t>
        </r>
      </text>
    </comment>
    <comment ref="L22" authorId="1" shapeId="0" xr:uid="{00000000-0006-0000-0000-000065000000}">
      <text>
        <r>
          <rPr>
            <sz val="11"/>
            <color theme="1"/>
            <rFont val="Calibri"/>
            <family val="2"/>
            <charset val="1"/>
          </rPr>
          <t>Old: 2 → New: 3
Optionality upgrade: Airbnb Services + Experiences (May 2025 launch, ~50% experiences bookings not attached to stay), hoteles boutique (NYC, LA, Madrid, SF). Source: ABNB Q4 2025 release.</t>
        </r>
      </text>
    </comment>
    <comment ref="O22" authorId="1" shapeId="0" xr:uid="{00000000-0006-0000-0000-000066000000}">
      <text>
        <r>
          <rPr>
            <sz val="11"/>
            <color theme="1"/>
            <rFont val="Calibri"/>
            <family val="2"/>
            <charset val="1"/>
          </rPr>
          <t>Old: 1 → New: 0.82
Glassdoor 4.1/5 → 0.82 (formula). 78% recommend. Compensation 4.2. Source: Glassdoor Airbnb.</t>
        </r>
      </text>
    </comment>
    <comment ref="U22" authorId="1" shapeId="0" xr:uid="{00000000-0006-0000-0000-000067000000}">
      <text>
        <r>
          <rPr>
            <sz val="11"/>
            <color theme="1"/>
            <rFont val="Calibri"/>
            <family val="2"/>
            <charset val="1"/>
          </rPr>
          <t>Old: 15 → New: 16
R2 MOAT upgrade: network effect más potente de lo reconocido — 5M listings imposibles de replicar, guest data asset. Source: ABNB analysis.</t>
        </r>
      </text>
    </comment>
    <comment ref="V22" authorId="1" shapeId="0" xr:uid="{00000000-0006-0000-0000-000068000000}">
      <text>
        <r>
          <rPr>
            <sz val="11"/>
            <color theme="1"/>
            <rFont val="Calibri"/>
            <family val="2"/>
            <charset val="1"/>
          </rPr>
          <t>Old: 13 → New: 14
Potential upgrade: Services + Experiences + hoteles partnerships abren TAM más allá de alquileres corto plazo. Source: ABNB Q4 2025 + Chesky narrativa.</t>
        </r>
      </text>
    </comment>
    <comment ref="Y22" authorId="1" shapeId="0" xr:uid="{00000000-0006-0000-0000-000069000000}">
      <text>
        <r>
          <rPr>
            <sz val="11"/>
            <color theme="1"/>
            <rFont val="Calibri"/>
            <family val="2"/>
            <charset val="1"/>
          </rPr>
          <t>Old: 11 → New: 12
Mgmt upgrade: Chesky founder-CEO visionario top-tier, managing product-led transformation. Source: Fortune interview + Airbnb exec team.</t>
        </r>
      </text>
    </comment>
    <comment ref="AJ22" authorId="1" shapeId="0" xr:uid="{00000000-0006-0000-0000-00006A000000}">
      <text>
        <r>
          <rPr>
            <sz val="11"/>
            <color theme="1"/>
            <rFont val="Calibri"/>
            <family val="2"/>
            <charset val="1"/>
          </rPr>
          <t>Old: 11 → New: 12
MOAT structural: two-sided network = structural advantage robusto. Source: network effects analysis.</t>
        </r>
      </text>
    </comment>
    <comment ref="L23" authorId="1" shapeId="0" xr:uid="{00000000-0006-0000-0000-00006B000000}">
      <text>
        <r>
          <rPr>
            <sz val="11"/>
            <color theme="1"/>
            <rFont val="Calibri"/>
            <family val="2"/>
            <charset val="1"/>
          </rPr>
          <t>Old: 1 → New: 2
Optionality: plan doblar stores a 5,000 (desde 2,746 H1 2025). Eastern Poland sin penetrar, land cheap. 20%/año store growth target. Source: DNP H1 2025 + Substack deep dives.</t>
        </r>
      </text>
    </comment>
    <comment ref="O23" authorId="1" shapeId="0" xr:uid="{00000000-0006-0000-0000-00006C000000}">
      <text>
        <r>
          <rPr>
            <sz val="11"/>
            <color theme="1"/>
            <rFont val="Calibri"/>
            <family val="2"/>
            <charset val="1"/>
          </rPr>
          <t>Old: 0 → New: 0.3
Glassdoor DNP: sin rating Glassdoor directo; Indeed Polish retail reviews reportan condiciones duras (9h+, min wage, no benefits). Estimación conservadora 0.3. Source: Indeed Dino Polska reviews.</t>
        </r>
      </text>
    </comment>
    <comment ref="G74" authorId="2" shapeId="0" xr:uid="{54082418-AAC7-418A-B256-FF489C36A48F}">
      <text>
        <r>
          <rPr>
            <b/>
            <sz val="9"/>
            <color indexed="81"/>
            <rFont val="Tahoma"/>
            <charset val="1"/>
          </rPr>
          <t>Cierre del viernes 4-sep-2026. Maximo 52 semanas 346,35; minimo 243,31; hace 12 meses 354,01. La accion esta un 23,4% por debajo de su maximo.</t>
        </r>
      </text>
    </comment>
    <comment ref="AG74" authorId="2" shapeId="0" xr:uid="{244EB96A-80FE-4E92-9C67-6AEA4C92235F}">
      <text>
        <r>
          <rPr>
            <b/>
            <sz val="9"/>
            <color indexed="81"/>
            <rFont val="Tahoma"/>
            <charset val="1"/>
          </rPr>
          <t>ROIIC del ultimo ciclo comparable de inversion en flota (2017-2019, sin recuperacion de precio de por medio): +339 M$ de EBIT sobre +4.835 M$ de capital = 7,0%, por debajo del coste de capital. En 2024-2025 fue del 24,3%, pero contiene la subida de precio post-pandemia. Es la pregunta central de la tesis.</t>
        </r>
      </text>
    </comment>
    <comment ref="AI74" authorId="2" shapeId="0" xr:uid="{FF4C968C-567C-4C3E-A2BD-FFD27A6AFB9D}">
      <text>
        <r>
          <rPr>
            <b/>
            <sz val="9"/>
            <color indexed="81"/>
            <rFont val="Tahoma"/>
            <charset val="1"/>
          </rPr>
          <t>PROVISIONAL. Pendiente de leer el DEF 14A: si la retribucion variable se paga por BPA ajustado y no por retorno sobre el capital, el incentivo a recomprar acciones con deuda es estructural y este 5 baja.</t>
        </r>
      </text>
    </comment>
    <comment ref="AK74" authorId="2" shapeId="0" xr:uid="{8E33E45A-1769-45FD-9543-134758825DAF}">
      <text>
        <r>
          <rPr>
            <b/>
            <sz val="9"/>
            <color indexed="81"/>
            <rFont val="Tahoma"/>
            <charset val="1"/>
          </rPr>
          <t>Riesgo terminal MEDIO-ALTO: 3,17x de apalancamiento, un activo iliquido que es el 86% del balance, y el riesgo binario de derogacion de la Seccion 883 (-19% del beneficio de un solo acto legislativo).</t>
        </r>
      </text>
    </comment>
    <comment ref="AQ74" authorId="2" shapeId="0" xr:uid="{FF367AA1-E9E7-4F93-83F8-9B91F96362AA}">
      <text>
        <r>
          <rPr>
            <b/>
            <sz val="9"/>
            <color indexed="81"/>
            <rFont val="Tahoma"/>
            <charset val="1"/>
          </rPr>
          <t>Deuda financiera EX-arrendamientos financieros a 30-jun-2026: 1.573 corriente + 21.263 a largo plazo. Es la convencion del 10-K y de toda la serie historica del libro de RCL (cuadra en 2025: 3.180 + 18.165 = 21.345, y 21.345 - 825 = 20.520 de deuda neta). Con los arrendamientos incluidos serian 23.518 y 22.643 de deuda neta: un 0,7% mas de EV, que no cambia ninguna conclusion.</t>
        </r>
      </text>
    </comment>
    <comment ref="AS74" authorId="2" shapeId="0" xr:uid="{3019D193-BF7B-4163-A0C9-C916749B3D6C}">
      <text>
        <r>
          <rPr>
            <b/>
            <sz val="9"/>
            <color indexed="81"/>
            <rFont val="Tahoma"/>
            <charset val="1"/>
          </rPr>
          <t>OJO: aqui NO hay FCF, hay EBITDA LTM (6.920 M$).
El FCF reportado LTM de RCL es de -416 M$ (OCF 6.786 - capex 7.202) y la normalizacion esta PROHIBIDA por la regla del 25-ago-2026: el capex lleva cuatro periodos seguidos por encima del doble del D&amp;A (2023: 2,68x, 2024: 2,04x, 2025: 3,04x, LTM: 3,97x), asi que no es una fase de inversion, es el negocio. Mismo caso que Lotus Bakeries.
Por tanto AW (EV/FCF) es en realidad EV/EBITDA y coincide con AX. La metrica honesta de RCL es EV/EBITDA, igual que en TFF Group. Ver el deep dive del 7-sep-2026.</t>
        </r>
      </text>
    </comment>
    <comment ref="AT74" authorId="2" shapeId="0" xr:uid="{EDD618BF-7C9F-470E-A8F9-9262E0166BA9}">
      <text>
        <r>
          <rPr>
            <b/>
            <sz val="9"/>
            <color indexed="81"/>
            <rFont val="Tahoma"/>
            <charset val="1"/>
          </rPr>
          <t>NOPAT = EBIT LTM 5.107 x (1 - 2,4%). La tasa efectiva de RCL es genuinamente del 2,4% (Seccion 883 del IRC, matriz liberiana). No es un artefacto GAAP: la tasa sobre EBIT y sobre ingresos tambien son casi cero y estables desde 2017.</t>
        </r>
      </text>
    </comment>
    <comment ref="AZ74" authorId="2" shapeId="0" xr:uid="{CDD7FADA-EC39-433E-B49D-33EFF1646BBB}">
      <text>
        <r>
          <rPr>
            <b/>
            <sz val="9"/>
            <color indexed="81"/>
            <rFont val="Tahoma"/>
            <charset val="1"/>
          </rPr>
          <t>Capital empleado = deuda neta (21.961) + fondos propios (10.236) a 30-jun-2026.</t>
        </r>
      </text>
    </comment>
    <comment ref="BD74" authorId="2" shapeId="0" xr:uid="{B96018AE-7763-43FB-8692-BA3BCE3CF998}">
      <text>
        <r>
          <rPr>
            <b/>
            <sz val="9"/>
            <color indexed="81"/>
            <rFont val="Tahoma"/>
            <charset val="1"/>
          </rPr>
          <t>EBITDA 2031 del escenario bajista, no FCF, por el mismo motivo que AS. BH es un EV/EBITDA de salida (8,0x), por debajo del minimo de la serie historica (10,22x en 2018) y muy por debajo del 13,42x de hoy.</t>
        </r>
      </text>
    </comment>
    <comment ref="BF74" authorId="2" shapeId="0" xr:uid="{1577D17C-9F68-4894-9A63-36A7EB06BBC1}">
      <text>
        <r>
          <rPr>
            <b/>
            <sz val="9"/>
            <color indexed="81"/>
            <rFont val="Tahoma"/>
            <charset val="1"/>
          </rPr>
          <t>EBITDA 2031 del escenario alcista. BI = 11,5x EV/EBITDA, solo un 4% por encima de la media pre-pandemia (11,03x) y POR DEBAJO del multiplo de hoy: regla 6, en un ciclico el multiplo no puede subir partiendo de un beneficio de pico.</t>
        </r>
      </text>
    </comment>
    <comment ref="BO74" authorId="2" shapeId="0" xr:uid="{90C30F1C-712E-4395-A45A-CF05603CBD0E}">
      <text>
        <r>
          <rPr>
            <b/>
            <sz val="9"/>
            <color indexed="81"/>
            <rFont val="Tahoma"/>
            <charset val="1"/>
          </rPr>
          <t>Q2-2026 ya publicado (periodo cerrado el 30-jun-2026). Fecha exacta de publicacion: verificacion pendiente.</t>
        </r>
      </text>
    </comment>
    <comment ref="BP74" authorId="2" shapeId="0" xr:uid="{798B39B8-7454-4725-8481-48C9D94FE8AC}">
      <text>
        <r>
          <rPr>
            <b/>
            <sz val="9"/>
            <color indexed="81"/>
            <rFont val="Tahoma"/>
            <charset val="1"/>
          </rPr>
          <t>Q3-2026 previsto para finales de octubre o primeros de noviembre. Fecha exacta: verificacion pendiente. Es EL catalizador: spread unitario interanual, depositos sobre ingresos y retribucion al accionista contra FCF.</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76">
    <bk>
      <extLst>
        <ext uri="{3e2802c4-a4d2-4d8b-9148-e3be6c30e623}">
          <xlrd:rvb i="2"/>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5"/>
        </ext>
      </extLst>
    </bk>
    <bk>
      <extLst>
        <ext uri="{3e2802c4-a4d2-4d8b-9148-e3be6c30e623}">
          <xlrd:rvb i="68"/>
        </ext>
      </extLst>
    </bk>
    <bk>
      <extLst>
        <ext uri="{3e2802c4-a4d2-4d8b-9148-e3be6c30e623}">
          <xlrd:rvb i="71"/>
        </ext>
      </extLst>
    </bk>
    <bk>
      <extLst>
        <ext uri="{3e2802c4-a4d2-4d8b-9148-e3be6c30e623}">
          <xlrd:rvb i="74"/>
        </ext>
      </extLst>
    </bk>
    <bk>
      <extLst>
        <ext uri="{3e2802c4-a4d2-4d8b-9148-e3be6c30e623}">
          <xlrd:rvb i="77"/>
        </ext>
      </extLst>
    </bk>
    <bk>
      <extLst>
        <ext uri="{3e2802c4-a4d2-4d8b-9148-e3be6c30e623}">
          <xlrd:rvb i="80"/>
        </ext>
      </extLst>
    </bk>
    <bk>
      <extLst>
        <ext uri="{3e2802c4-a4d2-4d8b-9148-e3be6c30e623}">
          <xlrd:rvb i="83"/>
        </ext>
      </extLst>
    </bk>
    <bk>
      <extLst>
        <ext uri="{3e2802c4-a4d2-4d8b-9148-e3be6c30e623}">
          <xlrd:rvb i="86"/>
        </ext>
      </extLst>
    </bk>
    <bk>
      <extLst>
        <ext uri="{3e2802c4-a4d2-4d8b-9148-e3be6c30e623}">
          <xlrd:rvb i="89"/>
        </ext>
      </extLst>
    </bk>
    <bk>
      <extLst>
        <ext uri="{3e2802c4-a4d2-4d8b-9148-e3be6c30e623}">
          <xlrd:rvb i="91"/>
        </ext>
      </extLst>
    </bk>
    <bk>
      <extLst>
        <ext uri="{3e2802c4-a4d2-4d8b-9148-e3be6c30e623}">
          <xlrd:rvb i="94"/>
        </ext>
      </extLst>
    </bk>
    <bk>
      <extLst>
        <ext uri="{3e2802c4-a4d2-4d8b-9148-e3be6c30e623}">
          <xlrd:rvb i="97"/>
        </ext>
      </extLst>
    </bk>
    <bk>
      <extLst>
        <ext uri="{3e2802c4-a4d2-4d8b-9148-e3be6c30e623}">
          <xlrd:rvb i="100"/>
        </ext>
      </extLst>
    </bk>
    <bk>
      <extLst>
        <ext uri="{3e2802c4-a4d2-4d8b-9148-e3be6c30e623}">
          <xlrd:rvb i="103"/>
        </ext>
      </extLst>
    </bk>
    <bk>
      <extLst>
        <ext uri="{3e2802c4-a4d2-4d8b-9148-e3be6c30e623}">
          <xlrd:rvb i="106"/>
        </ext>
      </extLst>
    </bk>
    <bk>
      <extLst>
        <ext uri="{3e2802c4-a4d2-4d8b-9148-e3be6c30e623}">
          <xlrd:rvb i="109"/>
        </ext>
      </extLst>
    </bk>
    <bk>
      <extLst>
        <ext uri="{3e2802c4-a4d2-4d8b-9148-e3be6c30e623}">
          <xlrd:rvb i="112"/>
        </ext>
      </extLst>
    </bk>
    <bk>
      <extLst>
        <ext uri="{3e2802c4-a4d2-4d8b-9148-e3be6c30e623}">
          <xlrd:rvb i="115"/>
        </ext>
      </extLst>
    </bk>
    <bk>
      <extLst>
        <ext uri="{3e2802c4-a4d2-4d8b-9148-e3be6c30e623}">
          <xlrd:rvb i="118"/>
        </ext>
      </extLst>
    </bk>
    <bk>
      <extLst>
        <ext uri="{3e2802c4-a4d2-4d8b-9148-e3be6c30e623}">
          <xlrd:rvb i="121"/>
        </ext>
      </extLst>
    </bk>
    <bk>
      <extLst>
        <ext uri="{3e2802c4-a4d2-4d8b-9148-e3be6c30e623}">
          <xlrd:rvb i="124"/>
        </ext>
      </extLst>
    </bk>
    <bk>
      <extLst>
        <ext uri="{3e2802c4-a4d2-4d8b-9148-e3be6c30e623}">
          <xlrd:rvb i="127"/>
        </ext>
      </extLst>
    </bk>
    <bk>
      <extLst>
        <ext uri="{3e2802c4-a4d2-4d8b-9148-e3be6c30e623}">
          <xlrd:rvb i="130"/>
        </ext>
      </extLst>
    </bk>
    <bk>
      <extLst>
        <ext uri="{3e2802c4-a4d2-4d8b-9148-e3be6c30e623}">
          <xlrd:rvb i="133"/>
        </ext>
      </extLst>
    </bk>
    <bk>
      <extLst>
        <ext uri="{3e2802c4-a4d2-4d8b-9148-e3be6c30e623}">
          <xlrd:rvb i="136"/>
        </ext>
      </extLst>
    </bk>
    <bk>
      <extLst>
        <ext uri="{3e2802c4-a4d2-4d8b-9148-e3be6c30e623}">
          <xlrd:rvb i="139"/>
        </ext>
      </extLst>
    </bk>
    <bk>
      <extLst>
        <ext uri="{3e2802c4-a4d2-4d8b-9148-e3be6c30e623}">
          <xlrd:rvb i="142"/>
        </ext>
      </extLst>
    </bk>
    <bk>
      <extLst>
        <ext uri="{3e2802c4-a4d2-4d8b-9148-e3be6c30e623}">
          <xlrd:rvb i="145"/>
        </ext>
      </extLst>
    </bk>
    <bk>
      <extLst>
        <ext uri="{3e2802c4-a4d2-4d8b-9148-e3be6c30e623}">
          <xlrd:rvb i="148"/>
        </ext>
      </extLst>
    </bk>
    <bk>
      <extLst>
        <ext uri="{3e2802c4-a4d2-4d8b-9148-e3be6c30e623}">
          <xlrd:rvb i="151"/>
        </ext>
      </extLst>
    </bk>
    <bk>
      <extLst>
        <ext uri="{3e2802c4-a4d2-4d8b-9148-e3be6c30e623}">
          <xlrd:rvb i="154"/>
        </ext>
      </extLst>
    </bk>
    <bk>
      <extLst>
        <ext uri="{3e2802c4-a4d2-4d8b-9148-e3be6c30e623}">
          <xlrd:rvb i="157"/>
        </ext>
      </extLst>
    </bk>
    <bk>
      <extLst>
        <ext uri="{3e2802c4-a4d2-4d8b-9148-e3be6c30e623}">
          <xlrd:rvb i="160"/>
        </ext>
      </extLst>
    </bk>
    <bk>
      <extLst>
        <ext uri="{3e2802c4-a4d2-4d8b-9148-e3be6c30e623}">
          <xlrd:rvb i="163"/>
        </ext>
      </extLst>
    </bk>
    <bk>
      <extLst>
        <ext uri="{3e2802c4-a4d2-4d8b-9148-e3be6c30e623}">
          <xlrd:rvb i="166"/>
        </ext>
      </extLst>
    </bk>
    <bk>
      <extLst>
        <ext uri="{3e2802c4-a4d2-4d8b-9148-e3be6c30e623}">
          <xlrd:rvb i="169"/>
        </ext>
      </extLst>
    </bk>
    <bk>
      <extLst>
        <ext uri="{3e2802c4-a4d2-4d8b-9148-e3be6c30e623}">
          <xlrd:rvb i="172"/>
        </ext>
      </extLst>
    </bk>
    <bk>
      <extLst>
        <ext uri="{3e2802c4-a4d2-4d8b-9148-e3be6c30e623}">
          <xlrd:rvb i="174"/>
        </ext>
      </extLst>
    </bk>
    <bk>
      <extLst>
        <ext uri="{3e2802c4-a4d2-4d8b-9148-e3be6c30e623}">
          <xlrd:rvb i="177"/>
        </ext>
      </extLst>
    </bk>
    <bk>
      <extLst>
        <ext uri="{3e2802c4-a4d2-4d8b-9148-e3be6c30e623}">
          <xlrd:rvb i="180"/>
        </ext>
      </extLst>
    </bk>
    <bk>
      <extLst>
        <ext uri="{3e2802c4-a4d2-4d8b-9148-e3be6c30e623}">
          <xlrd:rvb i="183"/>
        </ext>
      </extLst>
    </bk>
    <bk>
      <extLst>
        <ext uri="{3e2802c4-a4d2-4d8b-9148-e3be6c30e623}">
          <xlrd:rvb i="186"/>
        </ext>
      </extLst>
    </bk>
    <bk>
      <extLst>
        <ext uri="{3e2802c4-a4d2-4d8b-9148-e3be6c30e623}">
          <xlrd:rvb i="189"/>
        </ext>
      </extLst>
    </bk>
    <bk>
      <extLst>
        <ext uri="{3e2802c4-a4d2-4d8b-9148-e3be6c30e623}">
          <xlrd:rvb i="192"/>
        </ext>
      </extLst>
    </bk>
    <bk>
      <extLst>
        <ext uri="{3e2802c4-a4d2-4d8b-9148-e3be6c30e623}">
          <xlrd:rvb i="195"/>
        </ext>
      </extLst>
    </bk>
    <bk>
      <extLst>
        <ext uri="{3e2802c4-a4d2-4d8b-9148-e3be6c30e623}">
          <xlrd:rvb i="198"/>
        </ext>
      </extLst>
    </bk>
    <bk>
      <extLst>
        <ext uri="{3e2802c4-a4d2-4d8b-9148-e3be6c30e623}">
          <xlrd:rvb i="200"/>
        </ext>
      </extLst>
    </bk>
    <bk>
      <extLst>
        <ext uri="{3e2802c4-a4d2-4d8b-9148-e3be6c30e623}">
          <xlrd:rvb i="203"/>
        </ext>
      </extLst>
    </bk>
    <bk>
      <extLst>
        <ext uri="{3e2802c4-a4d2-4d8b-9148-e3be6c30e623}">
          <xlrd:rvb i="206"/>
        </ext>
      </extLst>
    </bk>
    <bk>
      <extLst>
        <ext uri="{3e2802c4-a4d2-4d8b-9148-e3be6c30e623}">
          <xlrd:rvb i="208"/>
        </ext>
      </extLst>
    </bk>
    <bk>
      <extLst>
        <ext uri="{3e2802c4-a4d2-4d8b-9148-e3be6c30e623}">
          <xlrd:rvb i="211"/>
        </ext>
      </extLst>
    </bk>
    <bk>
      <extLst>
        <ext uri="{3e2802c4-a4d2-4d8b-9148-e3be6c30e623}">
          <xlrd:rvb i="213"/>
        </ext>
      </extLst>
    </bk>
    <bk>
      <extLst>
        <ext uri="{3e2802c4-a4d2-4d8b-9148-e3be6c30e623}">
          <xlrd:rvb i="215"/>
        </ext>
      </extLst>
    </bk>
    <bk>
      <extLst>
        <ext uri="{3e2802c4-a4d2-4d8b-9148-e3be6c30e623}">
          <xlrd:rvb i="217"/>
        </ext>
      </extLst>
    </bk>
    <bk>
      <extLst>
        <ext uri="{3e2802c4-a4d2-4d8b-9148-e3be6c30e623}">
          <xlrd:rvb i="219"/>
        </ext>
      </extLst>
    </bk>
    <bk>
      <extLst>
        <ext uri="{3e2802c4-a4d2-4d8b-9148-e3be6c30e623}">
          <xlrd:rvb i="221"/>
        </ext>
      </extLst>
    </bk>
  </futureMetadata>
  <futureMetadata name="XLDAPR" count="1">
    <bk>
      <extLst>
        <ext uri="{bdbb8cdc-fa1e-496e-a857-3c3f30c029c3}">
          <xda:dynamicArrayProperties fDynamic="1" fCollapsed="0"/>
        </ext>
      </extLst>
    </bk>
  </futureMetadata>
  <cellMetadata count="1">
    <bk>
      <rc t="2" v="0"/>
    </bk>
  </cellMetadata>
  <valueMetadata count="7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valueMetadata>
</metadata>
</file>

<file path=xl/sharedStrings.xml><?xml version="1.0" encoding="utf-8"?>
<sst xmlns="http://schemas.openxmlformats.org/spreadsheetml/2006/main" count="1983" uniqueCount="926">
  <si>
    <t>WATCHLIST RATINGS — JP Morgan Equity Research Framework | Long-Term Investor View</t>
  </si>
  <si>
    <t>MARKET DATA</t>
  </si>
  <si>
    <t>RATING 1 — STRUCTURAL QUALITY (Normalized 0–10)</t>
  </si>
  <si>
    <t>RATING 2 — ECONOMIC QUALITY &amp; VALUE CREATION (Normalized 0–10)</t>
  </si>
  <si>
    <t>RATING 3 — DURABILITY &amp; EXISTENTIAL RISK (Normalized 0–10)</t>
  </si>
  <si>
    <t>COMPOSITE RATING
(0–10 avg)</t>
  </si>
  <si>
    <t>Financials information</t>
  </si>
  <si>
    <t>Future valuation range</t>
  </si>
  <si>
    <t>Actualizaciones y resultados</t>
  </si>
  <si>
    <t>Company Name
Name</t>
  </si>
  <si>
    <t>Ticker
Symbol</t>
  </si>
  <si>
    <t>Category</t>
  </si>
  <si>
    <t>Estilo inversión</t>
  </si>
  <si>
    <t>Exchange
Listing</t>
  </si>
  <si>
    <t>Currency</t>
  </si>
  <si>
    <t>Price
Local ccy</t>
  </si>
  <si>
    <t>Shares Outstanding
millions</t>
  </si>
  <si>
    <t>Market Cap
local ccy, m</t>
  </si>
  <si>
    <t>Mission
(-1 to 2)</t>
  </si>
  <si>
    <t>MOAT
(0 to 8)</t>
  </si>
  <si>
    <t>Optionality
(0 to 3)</t>
  </si>
  <si>
    <t>Financials
(-1 to 1)</t>
  </si>
  <si>
    <t>Concentration
(-3 to 0)</t>
  </si>
  <si>
    <t>Glassdoor
(-1 to 1)</t>
  </si>
  <si>
    <t>Founder/CEO
(0 to 1)</t>
  </si>
  <si>
    <t>Ownership
(-1 to 1)</t>
  </si>
  <si>
    <t>R1 Sum
(max 17)</t>
  </si>
  <si>
    <t>RATING 1
0–10</t>
  </si>
  <si>
    <t>Financials
(0 to 17)</t>
  </si>
  <si>
    <t>MOAT
(0 to 20)</t>
  </si>
  <si>
    <t>Potential
(0 to 18)</t>
  </si>
  <si>
    <t>Customers
(0 to 10)</t>
  </si>
  <si>
    <t>Revenue Quality
(0 to 10)</t>
  </si>
  <si>
    <t>Mgmt &amp; Culture
(0 to 14)</t>
  </si>
  <si>
    <t>Stock &amp; Ownership
(0 to 11)</t>
  </si>
  <si>
    <t>Risks
(-44 to 0)</t>
  </si>
  <si>
    <t>R2 Sum
(max 100)</t>
  </si>
  <si>
    <t>RATING 2
0–10</t>
  </si>
  <si>
    <t>Durability
(0 to 15)</t>
  </si>
  <si>
    <t>Risk of Disappearance
(-20 to 0)</t>
  </si>
  <si>
    <t>Capital Intensity
(0 to 10)</t>
  </si>
  <si>
    <t>Capital Allocation
(0 to 15)</t>
  </si>
  <si>
    <t>Financing Source
(-10 to 5)</t>
  </si>
  <si>
    <t>Incentives
(0 to 10)</t>
  </si>
  <si>
    <t>MOAT Structural
(0 to 15)</t>
  </si>
  <si>
    <t>Terminal Risk
(-20 to 0)</t>
  </si>
  <si>
    <t>R3 Sum
(max 70)</t>
  </si>
  <si>
    <t>RATING 3
0–10</t>
  </si>
  <si>
    <t>FX Reporting</t>
  </si>
  <si>
    <t>Cash &amp; Equivalents</t>
  </si>
  <si>
    <t>Total Debt</t>
  </si>
  <si>
    <t>Enterprise Value</t>
  </si>
  <si>
    <t>FCF LTM (unlevered)</t>
  </si>
  <si>
    <t>NOPAT LTM</t>
  </si>
  <si>
    <t>EBITDA LTM</t>
  </si>
  <si>
    <t>Revenue LTM</t>
  </si>
  <si>
    <t>EV / FCF</t>
  </si>
  <si>
    <t>EV / EBITDA</t>
  </si>
  <si>
    <t>EV / Sales</t>
  </si>
  <si>
    <t>Capital Employed</t>
  </si>
  <si>
    <t>NOPAT M%</t>
  </si>
  <si>
    <t>Asset Turnover</t>
  </si>
  <si>
    <t>ROIC</t>
  </si>
  <si>
    <t>FCF @5y Min</t>
  </si>
  <si>
    <t>FCF min CAGR</t>
  </si>
  <si>
    <t>FCF @5y Max</t>
  </si>
  <si>
    <t>FCF max CAGR</t>
  </si>
  <si>
    <t>Exit Mult Min</t>
  </si>
  <si>
    <t>Exit Mult Max</t>
  </si>
  <si>
    <t>FVE min</t>
  </si>
  <si>
    <t>FVE max</t>
  </si>
  <si>
    <t>Worst IRR</t>
  </si>
  <si>
    <t>Best IRR</t>
  </si>
  <si>
    <t>Última actualización</t>
  </si>
  <si>
    <t>Últimos resultados</t>
  </si>
  <si>
    <t>Próximos resultados</t>
  </si>
  <si>
    <t>Vertical Saas</t>
  </si>
  <si>
    <t>Compounder</t>
  </si>
  <si>
    <t>USD</t>
  </si>
  <si>
    <t>2026-08-17</t>
  </si>
  <si>
    <t>26/08/2026</t>
  </si>
  <si>
    <t>Mag 7</t>
  </si>
  <si>
    <t>2026-07-30</t>
  </si>
  <si>
    <t>29/07/2026</t>
  </si>
  <si>
    <t>28/10/2026</t>
  </si>
  <si>
    <t>Fintech</t>
  </si>
  <si>
    <t>EUR</t>
  </si>
  <si>
    <t>13/08/2026</t>
  </si>
  <si>
    <t>Real Assets</t>
  </si>
  <si>
    <t>Defensive</t>
  </si>
  <si>
    <t>2026-06-10</t>
  </si>
  <si>
    <t>24/09/2026</t>
  </si>
  <si>
    <t>09/09/2026</t>
  </si>
  <si>
    <t>Hardware</t>
  </si>
  <si>
    <t>2026-06-24</t>
  </si>
  <si>
    <t>05/08/2026</t>
  </si>
  <si>
    <t>Cyber</t>
  </si>
  <si>
    <t>Growth</t>
  </si>
  <si>
    <t>IP owner</t>
  </si>
  <si>
    <t>JPY</t>
  </si>
  <si>
    <t>07/08/2026</t>
  </si>
  <si>
    <t>2026-07-18</t>
  </si>
  <si>
    <t>30/07/2026</t>
  </si>
  <si>
    <t>Electrify</t>
  </si>
  <si>
    <t>29/10/2026</t>
  </si>
  <si>
    <t>Consumo</t>
  </si>
  <si>
    <t>2026-04-26</t>
  </si>
  <si>
    <t>Healthcare</t>
  </si>
  <si>
    <t>GBP</t>
  </si>
  <si>
    <t>11/06/2026</t>
  </si>
  <si>
    <t>19/11/2026</t>
  </si>
  <si>
    <t>18/11/2026</t>
  </si>
  <si>
    <t>Industrial</t>
  </si>
  <si>
    <t>SEK</t>
  </si>
  <si>
    <t>14/07/2026</t>
  </si>
  <si>
    <t>22/10/2026</t>
  </si>
  <si>
    <t>27/08/2026</t>
  </si>
  <si>
    <t>06/08/2026</t>
  </si>
  <si>
    <t>PLN</t>
  </si>
  <si>
    <t>2026-07-29</t>
  </si>
  <si>
    <t>28/07/2026</t>
  </si>
  <si>
    <t>27/10/2026</t>
  </si>
  <si>
    <t>CHF</t>
  </si>
  <si>
    <t>19/08/2026</t>
  </si>
  <si>
    <t>04/08/2026</t>
  </si>
  <si>
    <t>22/07/2026</t>
  </si>
  <si>
    <t>16/07/2026</t>
  </si>
  <si>
    <t>Sports</t>
  </si>
  <si>
    <t>construction</t>
  </si>
  <si>
    <t>KZT</t>
  </si>
  <si>
    <t>10/08/2026</t>
  </si>
  <si>
    <t>IA</t>
  </si>
  <si>
    <t>Alcohol</t>
  </si>
  <si>
    <t>05/11/2026</t>
  </si>
  <si>
    <t>15/10/2026</t>
  </si>
  <si>
    <t>28/08/2026</t>
  </si>
  <si>
    <t>Special situation</t>
  </si>
  <si>
    <t>23/07/2026</t>
  </si>
  <si>
    <t>Materials</t>
  </si>
  <si>
    <t>Raw materials</t>
  </si>
  <si>
    <t>20/10/2026</t>
  </si>
  <si>
    <t>23/10/2026</t>
  </si>
  <si>
    <t>08/07/2026</t>
  </si>
  <si>
    <t>30/01/2027</t>
  </si>
  <si>
    <t>02/12/2026</t>
  </si>
  <si>
    <t>04/11/2026</t>
  </si>
  <si>
    <t>CSU</t>
  </si>
  <si>
    <t>2026-05-18</t>
  </si>
  <si>
    <t>UBER</t>
  </si>
  <si>
    <t>Marketplace</t>
  </si>
  <si>
    <t>WATCHLIST RATINGS — METHODOLOGICAL NOTES</t>
  </si>
  <si>
    <t>Philosophy</t>
  </si>
  <si>
    <t>Long-term investor framework applied across 61 public equities.</t>
  </si>
  <si>
    <t>Ratings are conservative, designed to surface quality + risk simultaneously.</t>
  </si>
  <si>
    <t>No hype factor. Revenue growth alone is not quality.</t>
  </si>
  <si>
    <t>Mission (-1 to 2): Purpose, long-term relevance of the business</t>
  </si>
  <si>
    <t>MOAT (0 to 8): Durable competitive advantages</t>
  </si>
  <si>
    <t>Optionality (0 to 3): Capacity to open adjacent growth vectors</t>
  </si>
  <si>
    <t>Financials (-1 to 1): Balance sheet discipline and current health</t>
  </si>
  <si>
    <t>Concentration (-3 to 0): Customer/product/geography dependency (penalty)</t>
  </si>
  <si>
    <t>Founder/CEO (0 to 1): Leadership quality and founder involvement</t>
  </si>
  <si>
    <t>Ownership (-1 to 1): Skin in the game alignment</t>
  </si>
  <si>
    <t>RATING 2 — Economic Quality &amp; Value Creation (max 100, normalized to 10)</t>
  </si>
  <si>
    <t>Financials (0–17): Financial solidity: margins, FCF, ROIC</t>
  </si>
  <si>
    <t>MOAT (0–20): Competitive advantage weight on value creation</t>
  </si>
  <si>
    <t>Potential (0–18): TAM, runway, capacity for compounding</t>
  </si>
  <si>
    <t>Customers (0–10): Quality, diversification, dependency</t>
  </si>
  <si>
    <t>Revenue Quality (0–10): Recurrence, predictability, crisis resilience</t>
  </si>
  <si>
    <t>Mgmt &amp; Culture (0–14): Execution capability, capital allocation track record</t>
  </si>
  <si>
    <t>Stock &amp; Ownership (0–11): Shareholder structure, incentive alignment</t>
  </si>
  <si>
    <t>Risks (-44 to 0): Operational, financial, regulatory, competitive (penalty)</t>
  </si>
  <si>
    <t>RATING 3 — Durability &amp; Existential Risk (max positive 70, normalized to 10)</t>
  </si>
  <si>
    <t>Durability (0–15): Antifragility — can survive &amp; thrive long term</t>
  </si>
  <si>
    <t>Risk of Disappearance (-20 to 0): Terminal value = 0 risk</t>
  </si>
  <si>
    <t>Capital Intensity (0–10): Asset-light preferred (higher = less intensive)</t>
  </si>
  <si>
    <t>Capital Allocation (0–15): Does each euro reinvested generate positive ROIC spread?</t>
  </si>
  <si>
    <t>Financing Source (-10 to 5): Dilution, interest rates, financing structure</t>
  </si>
  <si>
    <t>Incentives (0–10): Long-term alignment of compensation and equity</t>
  </si>
  <si>
    <t>MOAT Structural (0–15): Width + durability of competitive moat</t>
  </si>
  <si>
    <t>Terminal Risk (-20 to 0): Operational, financial, execution tail risks</t>
  </si>
  <si>
    <t>Composite Rating</t>
  </si>
  <si>
    <t>Interpretation ranges</t>
  </si>
  <si>
    <t>8.0+ : Best-in-class quality compounder. Candidate for Tier 1 (5-8% sizing).</t>
  </si>
  <si>
    <t>7.0-7.9 : High quality with some specific concerns. Tier 2 (3-5%).</t>
  </si>
  <si>
    <t>6.0-6.9 : Above average quality. Tier 3 (1.5-3%).</t>
  </si>
  <si>
    <t>5.0-5.9 : Mixed quality. Requires strong valuation conviction.</t>
  </si>
  <si>
    <t>&lt;5.0 : Lower quality. Special situations only or avoid.</t>
  </si>
  <si>
    <t>📊 INVESTMENT COMMAND CENTER — Portfolio Analytics Dashboard</t>
  </si>
  <si>
    <t>Calidad del Negocio | Opcionalidad | Antifragilidad | ROIC | Múltiplo | Asimetría — Actualizado: April 2026</t>
  </si>
  <si>
    <t>📊 EMPRESAS</t>
  </si>
  <si>
    <t>⭐ CALIDAD</t>
  </si>
  <si>
    <t>💰 ROIC</t>
  </si>
  <si>
    <t>📈 EV/FCF</t>
  </si>
  <si>
    <t>✅ ASIMETRÍA +</t>
  </si>
  <si>
    <t>🏆 TOP TIER</t>
  </si>
  <si>
    <t>Total Watchlist</t>
  </si>
  <si>
    <t>Rating Compuesto</t>
  </si>
  <si>
    <t>Retorno Capital</t>
  </si>
  <si>
    <t>Múltiplo Medio</t>
  </si>
  <si>
    <t>IRR Bull &gt; 0</t>
  </si>
  <si>
    <t>Rating &gt; 7.5</t>
  </si>
  <si>
    <t>▬▬▬</t>
  </si>
  <si>
    <t>▲ +0.3</t>
  </si>
  <si>
    <t>▲ +2.1%</t>
  </si>
  <si>
    <t>▼ -1.2x</t>
  </si>
  <si>
    <t>▲ +5</t>
  </si>
  <si>
    <t>═══</t>
  </si>
  <si>
    <t>Scatter Data - Composite vs IRR Bull</t>
  </si>
  <si>
    <t>Top 10 ROIC</t>
  </si>
  <si>
    <t>MOAT &amp; Optionality</t>
  </si>
  <si>
    <t>Múltiplo EV/FCF</t>
  </si>
  <si>
    <t>Asimetría IRR</t>
  </si>
  <si>
    <t>Ticker</t>
  </si>
  <si>
    <t>ROIC %</t>
  </si>
  <si>
    <t>MOAT</t>
  </si>
  <si>
    <t>Optionality</t>
  </si>
  <si>
    <t>EV/FCF</t>
  </si>
  <si>
    <t>IRR Bear %</t>
  </si>
  <si>
    <t>IRR Bull %</t>
  </si>
  <si>
    <t>#</t>
  </si>
  <si>
    <t>Calidad R1</t>
  </si>
  <si>
    <t>Económico R2</t>
  </si>
  <si>
    <t>Durabilidad R3</t>
  </si>
  <si>
    <t>Composite</t>
  </si>
  <si>
    <t>Optionalidad</t>
  </si>
  <si>
    <t>IRR Bull</t>
  </si>
  <si>
    <t>IRR Bear</t>
  </si>
  <si>
    <t>NVDA</t>
  </si>
  <si>
    <t>VEEV</t>
  </si>
  <si>
    <t>AMZN</t>
  </si>
  <si>
    <t>🏆 TOP 15 — RANKING POR CALIDAD COMPUESTA</t>
  </si>
  <si>
    <t>CHKP</t>
  </si>
  <si>
    <t>MSFT</t>
  </si>
  <si>
    <t>COST</t>
  </si>
  <si>
    <t>ZS</t>
  </si>
  <si>
    <t>MNST</t>
  </si>
  <si>
    <t>LOTB</t>
  </si>
  <si>
    <t>ADYEN</t>
  </si>
  <si>
    <t>ABNB</t>
  </si>
  <si>
    <t>BN</t>
  </si>
  <si>
    <t>TSM</t>
  </si>
  <si>
    <t>FICO</t>
  </si>
  <si>
    <t>HLMA</t>
  </si>
  <si>
    <t>RAA</t>
  </si>
  <si>
    <t>DSGX</t>
  </si>
  <si>
    <t>Tier</t>
  </si>
  <si>
    <t>Count</t>
  </si>
  <si>
    <t>LIFCO B</t>
  </si>
  <si>
    <t>EVD</t>
  </si>
  <si>
    <t>Tier 1 (+8)</t>
  </si>
  <si>
    <t>MIPS</t>
  </si>
  <si>
    <t>ITX</t>
  </si>
  <si>
    <t>⭐ Tier 2 (7-8)</t>
  </si>
  <si>
    <t>SU</t>
  </si>
  <si>
    <t>NTO</t>
  </si>
  <si>
    <t>Tier 3 (6-7)</t>
  </si>
  <si>
    <t>⚠️ Below 6</t>
  </si>
  <si>
    <t>📈 VISUALIZACIÓN DE DATOS — Gráficos Interactivos</t>
  </si>
  <si>
    <t>📈 ANÁLISIS DE ASIMETRÍA — Rango de Valoración</t>
  </si>
  <si>
    <t>🛡️ ANTIFRAGILIDAD — Durabilidad &amp; Riesgo</t>
  </si>
  <si>
    <t>Precio</t>
  </si>
  <si>
    <t>FVE Min</t>
  </si>
  <si>
    <t>FVE Max</t>
  </si>
  <si>
    <t>Spread</t>
  </si>
  <si>
    <t>Señal</t>
  </si>
  <si>
    <t>R3 Score</t>
  </si>
  <si>
    <t>Cap.Intens.</t>
  </si>
  <si>
    <t>Cap.Alloc.</t>
  </si>
  <si>
    <t>Term.Risk</t>
  </si>
  <si>
    <t>Option.</t>
  </si>
  <si>
    <t>Rating</t>
  </si>
  <si>
    <t>📋 RESUMEN EJECUTIVO — Los Mejores en Cada Categoría</t>
  </si>
  <si>
    <t>🏆 MEJOR CALIDAD</t>
  </si>
  <si>
    <t>📈 MEJOR IRR BULL</t>
  </si>
  <si>
    <t>💰 MAYOR ROIC</t>
  </si>
  <si>
    <t>🏰 MEJOR MOAT</t>
  </si>
  <si>
    <t>🎯 MÁS OPCIONALIDAD</t>
  </si>
  <si>
    <t>🛡️ MÁS ANTIFRAGIL</t>
  </si>
  <si>
    <t>💵 MENOR MÚLTIPLO</t>
  </si>
  <si>
    <t>⚠️ MAYOR SPREAD</t>
  </si>
  <si>
    <t>Dashboard generado automáticamente | Datos: April 2026 | Framework: JP Morgan Equity Research</t>
  </si>
  <si>
    <t>Fecha</t>
  </si>
  <si>
    <t>Campos cambiados</t>
  </si>
  <si>
    <t>Fuente</t>
  </si>
  <si>
    <t>Resumen</t>
  </si>
  <si>
    <t>NFLX</t>
  </si>
  <si>
    <t>No financial changes — LTM figures already reflect Q1 2026 results</t>
  </si>
  <si>
    <t>Q1 2026 Earnings (April 16, 2026) — ir.netflix.net</t>
  </si>
  <si>
    <t>Q1 2026 rev $12.25B (+16.2% YoY), LTM figures ya actualizados. Guía FY26 $50.7-51.7B, FCF elevado a $12.5B por termination fee WBD. Q2 guía decepcionó (-9% AH).</t>
  </si>
  <si>
    <t>UPDATED [AP] Cash &amp; Equivalents: 200 → 180; UPDATED [AV] Revenue LTM: 450 → 485; UPDATED [AU] EBITDA LTM: 165 → 182; UPDATED [AT] NOPAT LTM: 130 → 143; UPDATED [AS] FCF LTM (unlevered): 110 → 118</t>
  </si>
  <si>
    <t>Q1 2026 Interim Report (mipscorp.com)</t>
  </si>
  <si>
    <t>Ventas +30% (SEK 151M), crecimiento orgánico +25%. EBIT adj SEK 50M (margen 33.2%). Caja baja a SEK 180M por adquisición Koroyd. Guía de &gt;30% org growth mantenida.</t>
  </si>
  <si>
    <t>JFN</t>
  </si>
  <si>
    <t>UPDATED [AV] Revenue LTM: 225 → 306; UPDATED [AU] EBITDA LTM: 85 → 138; UPDATED [AS] FCF LTM (unlevered): 50 → 75; UPDATED [AT] NOPAT LTM: 35 → 78</t>
  </si>
  <si>
    <t>FY 2025 Annual Results (jungfrau.ch / webdisclosure.com)</t>
  </si>
  <si>
    <t>FY25: ingresos operativos CHF 305.7M (+3.7%), EBITDA CHF 138.4M (+3%), FCF CHF 74.5M (+9.6%), EBIT CHF 98.9M. Dividendo propuesto CHF 8.50 (+). Nota: Revenue actualizado a total operativo vs. transport previo.</t>
  </si>
  <si>
    <t>KIST</t>
  </si>
  <si>
    <t xml:space="preserve">UPDATED manually on Bond presentation </t>
  </si>
  <si>
    <t>Bond Presetation on IR Kistos</t>
  </si>
  <si>
    <t>Net cash &amp; Eq and DCF updated</t>
  </si>
  <si>
    <t>A; AA; AD; AE; AF; AG; AH; AI; AJ; AK; AO; AP; AQ; AS; AT; AU; AV; AZ; B; BD; BF; BH; BI; BN; BO; BP; C; D; E; F; G; H; J; K; L; M; N; O; P; Q; T; U; V; W; X; Y; Z</t>
  </si>
  <si>
    <t>Q1 2026 Earnings (12/05/2026) + FY2025 Annual Report + Análisis fundamental</t>
  </si>
  <si>
    <t>Nueva entrada CSU (TSX): VMS serial acquirer. Rev LTM $12.1B USD, EBITDA $3.4B, FCF ~$2.7B. Rating cualitativo top (MOAT=8, Capital Allocation=15). Vigilar: M&amp;A a mayor escala y riesgo IA en nichos VMS.</t>
  </si>
  <si>
    <t>BN Última actualización; BO Últimos resultados; BP Próximos resultados (est.)</t>
  </si>
  <si>
    <t>Q1 FY27 press release + CNBC (20/05/2026)</t>
  </si>
  <si>
    <t>Q1 FY27: rev $81.6B (+85%), Data Center $75.2B (+92%), EPS adj $1.87 beat; guía Q2 $91B; dividendo x25 a $0.25/trim. Vigilar digestión de expectativas (acción cayó pese al beat).</t>
  </si>
  <si>
    <t>CRWD</t>
  </si>
  <si>
    <t>Q1 FY27 press release + transcript (03/06/2026)</t>
  </si>
  <si>
    <t>Q1 FY27: ARR $5.51B, NNARR $256M (+32%), FCF $469M récord; sube guía NNARR FY27 +$50M; split 4:1 (jul). AIDR ARR +250% QoQ. Tesis de plataforma intacta.</t>
  </si>
  <si>
    <t>Q1 FY27 press release + IR (03/06/2026)</t>
  </si>
  <si>
    <t>Q1 FY27: rev $882.9M (+16%), subs +15%, EPS adj $2.24 beat; sube guía FY27. Pivot estratégico a AI agents (Vault CRM 150+ live). Vigilar ejecución Veeva AI.</t>
  </si>
  <si>
    <t>Q3 FY26 press release (28/05/2026)</t>
  </si>
  <si>
    <t>Q3 FY26: ventas $69.2B (+11.6%), comps +9.8% (+6.6% adj), EPS $4.93 (+15%), e-comm +21.5%, renovación US/CA 92.2%. Calidad operativa intacta.</t>
  </si>
  <si>
    <t>Q3 FY26: rev $850.5M (+25%), ARR $3.525B (+25%), NNARR $166M, margen op. non-GAAP récord 23%; guía FY26 ARR ~$3.74B (+24%).</t>
  </si>
  <si>
    <t>S</t>
  </si>
  <si>
    <t>Q1 FY27 press release (28/05/2026)</t>
  </si>
  <si>
    <t>Q1 FY27: aceleración rev +21% ($277M), ARR $1.163B (+23%), NNARR récord $44M (+55%), margen op. +550bps a 4%. Inflexión crecimiento+rentabilidad.</t>
  </si>
  <si>
    <t>Q1 2026 results + IR (09/06/2026)</t>
  </si>
  <si>
    <t>Q1: ventas €8.75B (+5.8%; +8.8% cc), margen bruto 61.2% (+67bps), BN €1.4B (+5.4%); 1may-1jun +11.5% vs ~8% esperado; caja neta €10.8B. Momentum fuerte.</t>
  </si>
  <si>
    <t>DNP</t>
  </si>
  <si>
    <t>Q1 2026 report (14/05/2026)</t>
  </si>
  <si>
    <t>Q1: rev PLN 8.9B (+14.8%), LFL +4.4%, EBITDA beat consenso +9%; 62 tiendas nuevas; margen EBITDA 6.7% (-50bps). Acción +13.7% el día.</t>
  </si>
  <si>
    <t>Q1 2026 press release (14/05/2026)</t>
  </si>
  <si>
    <t>Q1: DE pre-realizaciones $0.59/sh (+7%), FRE +11%, capital fee-bearing +12%; $1B+ recompras YTD; avanza combinación BN+BNT. Tesis compounding intacta.</t>
  </si>
  <si>
    <t>KSPI</t>
  </si>
  <si>
    <t>1Q 2026 results + transcript (11/05/2026)</t>
  </si>
  <si>
    <t>Q1: rev +31% (KZT1.1T), GMV e-comm +41%, pero net income -1% (KZT252B); div KZT850/ADS (payout 64%); amortizó $600M notes. Vigilar compresión de márgenes.</t>
  </si>
  <si>
    <t>Q1 2026 results (28/05/2026)</t>
  </si>
  <si>
    <t>Q1: rev €630M (+23%), aEBITDA €119M (+18.5%); Live Ent +38.3%; EPS €0.66 (+38%). Guidance reafirmado; ticketing algo débil por cambio de partner.</t>
  </si>
  <si>
    <t>Q1 FY27 press release (03/06/2026)</t>
  </si>
  <si>
    <t>Q1 FY27: rev $193.6M (+15%), aEBITDA récord, net income $48.5M. Récords en márgenes y cash flow pese a mercado freight débil.</t>
  </si>
  <si>
    <t>WOSG</t>
  </si>
  <si>
    <t>BN Última actualización; BO Últimos resultados</t>
  </si>
  <si>
    <t>FY26 Trading Update RNS (14/05/2026)</t>
  </si>
  <si>
    <t>FY26 (53 sem): rev récord £1.83B (+13% cc); US +24% ($1.24B, &gt;50% grupo); aEBIT £152-155M sobre guía; FY27 +5-10% cc. Resultados completos 02/07.</t>
  </si>
  <si>
    <t>CELH</t>
  </si>
  <si>
    <t>Q1 2026 press release (07/05/2026)</t>
  </si>
  <si>
    <t>Q1: rev $782.6M (+138% con Alani Nu/Rockstar), EPS $0.41 beat; cuota ~20.9%; margen bruto 48.3% (-400bps por mix adquisiciones). Vigilar integración.</t>
  </si>
  <si>
    <t>Sync earnings.json (yfinance, refresco 10-jun-2026); próxima estimada por cadencia</t>
  </si>
  <si>
    <t>Excel sincronizado con calendario real: reportó 29/04/2026 (no reflejado desde 26-abr); roll-forward de fechas. Próxima publicación estimada 29/07/2026. Solo fechas; sin cambios en fundamentales.</t>
  </si>
  <si>
    <t>Excel sincronizado con calendario real: reportó 06/05/2026 (no reflejado desde 26-abr); roll-forward de fechas. Próxima publicación estimada 05/08/2026. Solo fechas; sin cambios en fundamentales.</t>
  </si>
  <si>
    <t>Excel sincronizado con calendario real: reportó 08/05/2026 (no reflejado desde 26-abr); roll-forward de fechas. Próxima publicación estimada 07/08/2026. Solo fechas; sin cambios en fundamentales.</t>
  </si>
  <si>
    <t>Excel sincronizado con calendario real: reportó 29/04/2026 (no reflejado desde 26-abr); roll-forward de fechas. Próxima publicación estimada 30/07/2026. Solo fechas; sin cambios en fundamentales.</t>
  </si>
  <si>
    <t>Full Year Results 2025/26 (11/06/2026) — halma.com</t>
  </si>
  <si>
    <t>FY a 31-mar-26 (publ. 11/06): ventas £2.582,3M (+14,9%), beneficio ajustado &gt;£500M por 1ª vez; dividendo final al alza (récord histórico). Próx. interim H1 ~19/11 (est.).</t>
  </si>
  <si>
    <t>Excel sincronizado con calendario real: reportó 28/04/2026 (no reflejado desde 26-abr); roll-forward de fechas. Próxima publicación estimada 28/07/2026. Solo fechas; sin cambios en fundamentales.</t>
  </si>
  <si>
    <t>Excel sincronizado con calendario real: reportó 07/05/2026 (no reflejado desde 26-abr); roll-forward de fechas. Próxima publicación estimada 06/08/2026. Solo fechas; sin cambios en fundamentales.</t>
  </si>
  <si>
    <t>VLTO</t>
  </si>
  <si>
    <t>LR</t>
  </si>
  <si>
    <t>STMN</t>
  </si>
  <si>
    <t>META</t>
  </si>
  <si>
    <t>KKR</t>
  </si>
  <si>
    <t>Excel sincronizado con calendario real: reportó 05/05/2026 (no reflejado desde 26-abr); roll-forward de fechas. Próxima publicación estimada 04/08/2026. Solo fechas; sin cambios en fundamentales.</t>
  </si>
  <si>
    <t>NET</t>
  </si>
  <si>
    <t>GOOG</t>
  </si>
  <si>
    <t>Excel sincronizado con calendario real: reportó 29/04/2026 (no reflejado desde 26-abr); roll-forward de fechas. Próxima publicación estimada 28/07/2026. Solo fechas; sin cambios en fundamentales.</t>
  </si>
  <si>
    <t>GRMN</t>
  </si>
  <si>
    <t>COR</t>
  </si>
  <si>
    <t>SPOT</t>
  </si>
  <si>
    <t>PRY</t>
  </si>
  <si>
    <t>Excel sincronizado con calendario real: reportó 30/04/2026 (no reflejado desde 26-abr); roll-forward de fechas. Próxima publicación estimada 30/07/2026. Solo fechas; sin cambios en fundamentales.</t>
  </si>
  <si>
    <t>CPR</t>
  </si>
  <si>
    <t>VID</t>
  </si>
  <si>
    <t>TFPM</t>
  </si>
  <si>
    <t>FERG</t>
  </si>
  <si>
    <t>TREX</t>
  </si>
  <si>
    <t>IPCO</t>
  </si>
  <si>
    <t>OTLY</t>
  </si>
  <si>
    <t>BN; BO; BP</t>
  </si>
  <si>
    <t>Q2 2026 (16/07/2026)</t>
  </si>
  <si>
    <t>Q2: ingresos $40,2B (+36% i.a., sobre guia), margen bruto 67,7%, HPC +20% t/t. Sube guia FY26 a &gt;30% en USD por demanda IA (2nm/3nm). Prox Q3 ~15-oct (est).</t>
  </si>
  <si>
    <t>Q2: rev $12,56B (+13%), margen op 33%, BPA $0,80, BN $3,40B. Estrecha guia FY26 a $51,0-51,4B (margen op 31,5%); Q3 +12%. Reduce reporte de metricas de engagement; accion cayo tras publicar.</t>
  </si>
  <si>
    <t>ABBNE</t>
  </si>
  <si>
    <t>Q2: pedidos record $12B, ventas comparables +12%, margen EBITA op 20,2% (+90pb); Electrificacion pedidos $7,2B (+70%). OPA sobre Rotork £503p (~$5,5B) recomendada; desinversion Robotics ~$4,8B caja (cierre 2S26). Buyback $2B, ND/EBITDA 0,3.</t>
  </si>
  <si>
    <t>Interim Q2/H1 2026 (14/07/2026)</t>
  </si>
  <si>
    <t>Q2: ventas +11% (organico +5%, M&amp;A +7%), margen EBITA 23,1% (vs 22,5%), BN/BPA +18%. 4 adquisiciones en 1S (Ethoss, Glass Umbrella, Karl Kaps, Metalltech ~500M SEK); Boscaro consolidada en jul. Vuelta a la normalidad tras un 2025 dificil.</t>
  </si>
  <si>
    <t>NKE</t>
  </si>
  <si>
    <t>Q4/FY26 (30/06/2026)</t>
  </si>
  <si>
    <t>Q4 FY26 (cierre 31-may): ventas $10,97B (-1%; -4% cc) sobre est., BPA aj $0,20 vs $0,13e; margen bruto 49,2% (+890pb por recuperacion aranceles IEEPA). FY26 ventas $46,4B (planas). Guia: BPA 'plano' en 1S FY27. Prox ~30-sep (est).</t>
  </si>
  <si>
    <t>Interim Q2 2026 (16/07/2026)</t>
  </si>
  <si>
    <t>Q2: ventas +72% (SEK 232M), organico +42%, margen op 41% (aj 47%). Resuelto litigio de patentes con BrainGuard (paga USD 3,25M, se contabiliza en Q3). Fuerte recuperacion en todas las categorias.</t>
  </si>
  <si>
    <t>FY26 Results (14/07/2026)</t>
  </si>
  <si>
    <t>FY26 (53 sem, cierre 3-may): ingresos record £1,83B (+11%; +13% cc), EBIT aj +6% a £155M, PBT +76% a £133M. EEUU +24% cc (ya 1er mercado, £927M); FCF £162M, deuda neta baja a £57M. Guia FY27: ventas +5-10% cc. Rumores de posible venta.</t>
  </si>
  <si>
    <t>TFF</t>
  </si>
  <si>
    <t>Resultats annuels 2025/26 (08/07/2026)</t>
  </si>
  <si>
    <t>FY (cierre 30-abr): CA €312,75M (-26,5%; -23,4% cc); Alcools -36,7% (Bourbon -35,4%, volumenes -28%), Vin -14,1%. EBITDA €48,2M (15,4%, -40%), BN €9,2M (-71%). Deuda neta baja a €285M; caja €97M por desdstock. Dividendo €0,40, AG 28-oct.</t>
  </si>
  <si>
    <t>FY2025 Full Year Results (26/06/2026)</t>
  </si>
  <si>
    <t>FY25: ingresos $212,9M, produccion 8.940 boepd (tope de guia), EBITDA aj $97M. Guia FY26 proforma 19-21k boepd. Adquisicion Oman (Bloques 3&amp;4 y 9, +25,6 mmboe 2P); FID Balder Next (86 mmboe, primer crudo 4T27); bono $300M al 9,875% sobresuscrito. Caja ~$268M.</t>
  </si>
  <si>
    <t>BN; BP</t>
  </si>
  <si>
    <t>Preanuncio Q2 2026 + guia (jul-2026)</t>
  </si>
  <si>
    <t>Preliminar Q2: ventas ~$418M (sobre guia $388-403M), EBITDA aj ~$112M. SUBE guia FY26 a ventas $1.215-1.250M y EBITDA aj $335-350M. Termina distribucion con Boise Cascade (12-ago) y amplia con SBP. Resultados completos ~4-ago.</t>
  </si>
  <si>
    <t>Prensa (jul-2026)</t>
  </si>
  <si>
    <t>6-jul: recorta ~4.800 empleos (~2,1%) reestructurando comercial y Xbox mientras eleva el capex record en IA; accion -23% en 1S26. Sin resultados nuevos; Q4 FY26 el 29-jul.</t>
  </si>
  <si>
    <t>Prensa (jun-jul 2026)</t>
  </si>
  <si>
    <t>Jun: paga $14,3B por el 49% de Scale AI e incorpora a Alexandr Wang para liderar Meta Superintelligence Labs; fichajes de primer nivel (Nat Friedman, Daniel Gross, +11 ingenieros de OpenAI/Google/Anthropic, fundadores de Virtue AI). Fuerte gasto en talento IA. Q2 el 29-jul.</t>
  </si>
  <si>
    <t>16.000+ despidos en 2026 (AWS, Alexa, Prime Video); nueva unidad AWS 'Forward Deployed Engineering' ($1B); capex 2026 ~$200B en IA; emision de bonos ~$25B para infraestructura. Q2 el 30-jul.</t>
  </si>
  <si>
    <t>DOJ/Prensa (2026)</t>
  </si>
  <si>
    <t>Remedios antitrust finalizados (abr-26): conductuales (sin contratos exclusivos, compartir datos/sindicacion), sin ruptura estructural; Google y DOJ+35 estados han apelado. Gemini 750M MAU; capex 2026 $175-185B. Q2 el 28-jul.</t>
  </si>
  <si>
    <t>30-jun: acuerdo para comprar las operaciones norteamericanas de EDF power solutions ($4,2B, renovables). Cierra fondo buyout NA de $23B y $2,5B de credito privado en Asia; monetizaciones &gt;$900M (mar-jun). Q2 el 30-jul.</t>
  </si>
  <si>
    <t>Junta/RNS (16-17 jul 2026)</t>
  </si>
  <si>
    <t>16-17-jul: la junta aprueba la simplificacion de la estructura corporativa; nueva matriz 'Brookfield Corporation Ltd.' cotizara en TSX/NYSE como BN, cierre previsto para fin de ano. Q2 el 13-ago.</t>
  </si>
  <si>
    <t>Prensa (jun-2026)</t>
  </si>
  <si>
    <t>Fusion de MWI Animal Health con Covetrus (plataforma salud animal) y compra del negocio de retina de EyeSouth; relevo de CFO (Cleary sale 30-jun, entra Eva Boratto). Guia FY26 BPA aj $17,65-17,90, buyback $1B. Q3 FY26 el 4-ago.</t>
  </si>
  <si>
    <t>Prensa (30-jun-2026)</t>
  </si>
  <si>
    <t>30-jun: acuerdo para comprar el 100% de Cognite (software IA industrial) por $3,1B en efectivo (refuerza AVEVA); colaboracion con Foxconn en centros de datos IA. Mantiene objetivo EBITA aj +10-15% organico. S1 el 30-jul.</t>
  </si>
  <si>
    <t>SGO</t>
  </si>
  <si>
    <t>Rotacion de cartera: compra Xypex (quimicos de construccion, 6-jul); vende Dahl (distribucion nordica, €1,5B, 15-jun), HKO (1-jun) y distribucion de azulejos nordica (26-may). Objetivo: rotar &gt;20% de ventas via M&amp;A/desinversiones hasta 2030. S1 el 30-jul.</t>
  </si>
  <si>
    <t>Adquisiciones en centros de datos: Girtz Industries (EEUU, ~$80M ventas) y SRS Power Engineering (Malasia, ~€90M). Reafirma guia FY26 (ventas +2-6%, margen op aj 20-21%); guia data center al alto de 10-20%. Varias mejoras de rating. S1 el 6-ago.</t>
  </si>
  <si>
    <t>Ambicion M&amp;A ~€4B (posible operacion tamano Encore Wire en 12m) y cerca de contratos a largo plazo con hyperscalers (capacidad optica +40-50%). Confia en batir con holgura el punto medio de la guia EBITDA FY26 (€2.625-2.775M); adquirio Xtera (subsea). S1 el 30-jul.</t>
  </si>
  <si>
    <t>Prensa/IR (jun-jul 2026)</t>
  </si>
  <si>
    <t>11-jun: adquisicion de Orb (billing para software). Reafirma guia FY26 (ingresos +20-22% cc, margen EBITDA 55%). Resultados S1 2026 el 13-ago.</t>
  </si>
  <si>
    <t>Ad-hoc (17-jun-2026)</t>
  </si>
  <si>
    <t>17-jun: SUBE guia de rentabilidad FY26 - expansion de margen core EBIT ahora 140-170pb (antes 30-60pb) por eficiencias de fabricacion, mix geografico y menores aranceles. Resultados S1 el 19-ago.</t>
  </si>
  <si>
    <t>Presion competitiva: VantageScore 4.0 aprobado para Fannie/Freddie/FHA; FICO baja el score hipotecario 10T a $0,99 (aunque sube el score base a $10). Accion ~-50% desde maximos. Sube guia FY26 (~$2,45B ingresos). Q3 FY26 ~28-jul. VIGILAR tesis.</t>
  </si>
  <si>
    <t>Prensa (01-jul-2026)</t>
  </si>
  <si>
    <t>1-jul: nueva politica 'Pay Per Use' - desde 15-sept bloquea por defecto crawlers de IA de uso mixto en paginas con publicidad y paga a editores cuando su contenido alimenta respuestas IA. Q2 el 6-ago.</t>
  </si>
  <si>
    <t>Prensa (may-jul 2026)</t>
  </si>
  <si>
    <t>19-may: adquiere Deepchecks (~$20M, seguridad IA). Reorganizacion comercial (nuevo CRO, cambios GTM) que ha pesado en la percepcion de la guia. Q2 el 30-jul.</t>
  </si>
  <si>
    <t>Summer Release (20-may-2026)</t>
  </si>
  <si>
    <t>20-may: 'Summer Release 2026' - nuevos Servicios (comida via Instacart, recogidas aeropuerto, alquiler de coche, consigna), +3.000 experiencias, hoteles boutique, mejoras IA y experiencias del Mundial 2026. Q2 el 6-ago.</t>
  </si>
  <si>
    <t>Lanza FLRT (energetica enfocada a mujeres, vs Alani Nu/Bloom) y planea subida de precios en EEUU; la subida de Red Bull (1-ago) se ve positiva. Presion de costes de aluminio. Q2 el 6-ago.</t>
  </si>
  <si>
    <t>Prensa (25-jun-2026)</t>
  </si>
  <si>
    <t>25-jun: completa el stream de oro de Ravenswood (Australia) por US$440M; sube el objetivo 2030 a 150-160k GEOs. Primera entrega en Q3. Q2 el 4-ago.</t>
  </si>
  <si>
    <t>Adquisicion de FloWorks ($1,6B, control de flujo industrial; data centers/semis; ~10x EBITDA, cierre Q3). Cancela su cotizacion secundaria en el LSE (efectivo 20-jul). Mantiene guia FY. Q4 FY26 el 4-ago.</t>
  </si>
  <si>
    <t>Jun: primer crudo en Blackrod Fase 1 (hito). Produccion Q1 43k boepd; guia FY 44-47k con fuerte rampa en 2S. Recompras ralentizadas para priorizar Blackrod; perdida de cobertura ~$30M en Q2. Q2 el 4-ago.</t>
  </si>
  <si>
    <t>Se reanudan (muy pocos) envios de H200 a China tras licencias; sigue practicamente fuera del mercado de data center chino. Sin resultados nuevos desde Q1 FY27 (20-may). Q2 FY27 el 26-ago.</t>
  </si>
  <si>
    <t>Ad-hoc Jungfraubahn (jun-2026)</t>
  </si>
  <si>
    <t>Advertencia: caida de visitantes en los primeros 4 meses (Jungfraujoch -12,3%, Experience Mountains -9,6%, total -5,7%) por el conflicto en Oriente Medio, restricciones de espacio aereo y menor demanda asiatica; la tendencia se acentua y pesara en el resultado 2026. Fuertes reservas futuras como colchon. S1 el 28-ago.</t>
  </si>
  <si>
    <t>Calendario/IR (jul-2026)</t>
  </si>
  <si>
    <t>Sin novedad material desde may; resultados S1 2026 el 23-jul. Q1: rev €368M/EBITDA €104M; guia FY EBITDA &gt;€450M, BPA +5%.</t>
  </si>
  <si>
    <t>Sin novedad material; resultados Q2 2026 el 22-jul. Q1: rev $228,3M (+15,6%), EBITDA aj +$5,0M (positivo). Revision estrategica de China en curso.</t>
  </si>
  <si>
    <t>VARIOS</t>
  </si>
  <si>
    <t>Revision sin cambios de celda</t>
  </si>
  <si>
    <t>Barrido de noticias 18-may -&gt; 18-jul</t>
  </si>
  <si>
    <t>Revisados sin novedad material (resultados ya capturados en jun o proximos en ago-sep): VEEV, COST, DSGX, ZS, S, CRWD, ITX, DNP, EVD, KSPI, CELH, HLMA (Q1/anteriores ya analizados en jun); RAA (Rational, Q1 6-may), NTO (Nintendo, FY 8-may), SPOT, VLTO, GRMN, KRX (Kingspan), CPR (Campari), JDG, BFIT, VRLA (Verallia, OPA BWGI fue 2025), LOTB, CBAV (Clinica Baviera), SIKA, TGYM (Technogym). No se ha modificado su celda BN.</t>
  </si>
  <si>
    <t>BN; BO; BP (est.)</t>
  </si>
  <si>
    <t>H1 2026 results (29/07/2026) - amorim.com/investidores + prensa (Sapo/ECO)</t>
  </si>
  <si>
    <t>OJO: ticker = Corticeira Amorim (Lisboa/cortica), NO Cencora -- logs de 24-jun/18-jul documentaron por error noticias de Cencora. H1 2026: ventas EUR445,8M (-5,8%; -4,6% ex-USD), BN EUR25,2M (-31,7%) por reestructuracion de suelos (ACS) y dolar debil. Q2 BN -51,9% a EUR9,8M; ACS mejora secuencial +5,3% (aeroespacial/sellado/deportes). Vigilar recuperacion de suelos.</t>
  </si>
  <si>
    <t>VRLA</t>
  </si>
  <si>
    <t>Resultats S1 2026 (28/07/2026) - verallia.com/investisseurs</t>
  </si>
  <si>
    <t>S1: ingresos EUR1.698,8M (-1,4%), BN EUR27M (EUR0,21/acc.) vs EUR68M en S1 2025 por cargos excepcionales de adaptacion industrial en Europa (-EUR43M neto); ex-excepcionales BN EUR70M (EUR0,59/acc.). Mantiene objetivos FY26. Capex EUR91M (-12%); nuevo horno hibrido en Saint-Romain en 2S26.</t>
  </si>
  <si>
    <t>Q2 2026 press release (28/07/2026) - investors.veralto.com</t>
  </si>
  <si>
    <t>Q2: ventas $1.474M (+7,6%), BN $241M (BPA $0,98), BPA aj. $1,11 bate estimacion ($1,00e); margen op. aj. 24,6%. FCF aj. $328M. Sube guia FY26: core sales +4,0-4,5%, BPA aj. $4,35-4,43 (incl. $0,05 por reembolsos arancelarios IEEPA).</t>
  </si>
  <si>
    <t>Q2 2026 results (22/07/2026) - abc.xyz / CNBC</t>
  </si>
  <si>
    <t>Q2: ingresos $119,8B (+24%, bate $116,9B e.), Cloud +82% a $24,8B (vs +63% en Q1); BPA $9,11 vs $2,89e (incluye ganancias no operativas). Emite $49,6B en acciones (jun) + $20,3B en bonos para capex IA; dividendo $0,22/acc. Accion cayo por subida de capex.</t>
  </si>
  <si>
    <t>Q2 2026 press release (29/07/2026) - garmin.com/newsroom</t>
  </si>
  <si>
    <t>Q2 record: ingresos $2,02B (+11,4%, bate $1,94B e.), BPA $2,81 vs $2,30e; margen bruto 62,4%, margen op. 30,4% (+30%). Fitness lidera (+25%, 37% ventas); Outdoor -2%. Sube guia FY26 a ~$8,05B ingresos y BPA ~$10.</t>
  </si>
  <si>
    <t>SIKA</t>
  </si>
  <si>
    <t>H1 2026 results (28/07/2026) - sika.com</t>
  </si>
  <si>
    <t>H1: ventas CHF5,59B (+4,0% en moneda local, -1,5% reportado por FX -5,5%); BN CHF552,1M (-0,4%); EBITDA CHF1.063M (-0,7%), margen bruto 55,7% (+60pb). Sube guia FY26: ventas +3-6% LC, margen EBITDA 19,0-19,5%. Fast Forward: CHF80M ahorro 2026.</t>
  </si>
  <si>
    <t>Resultados S1 2026 (23/07/2026) - vidrala.com / CNMV</t>
  </si>
  <si>
    <t>S1: ventas EUR754M (+0,5%), BN EUR117,4M (+8,9%) impulsado por Sudamerica; EBITDA EUR225,5M (+4,4%, margen 29,9%, +110pb); BPA EUR3,36 (+9,9%). Deuda neta EUR252,3M (0,6x EBITDA). Guia FY: EBITDA &gt;EUR450M, BPA +5%, caja ~EUR200M.</t>
  </si>
  <si>
    <t>BFIT</t>
  </si>
  <si>
    <t>Half-Year Report 2026 (28/07/2026) - corporate.basic-fit.com</t>
  </si>
  <si>
    <t>H1: ingresos EUR800M (+18%), EBITDA aj. (menos alquiler) EUR204M (+36%); BN +EUR23,6M vs -EUR7,9M en H1 2025. Clubes +35% a 2.192 (consolidacion Clever Fit), socios +34% a 6,1M. Sube guia FY26 EBITDA-menos-alquiler a EUR430-460M (antes EUR415-455M).</t>
  </si>
  <si>
    <t>Q2 2026 financial results (22/07/2026) - investors.oatly.com</t>
  </si>
  <si>
    <t>Q2: ingresos $240,1M (+15,2%; +12,7% cc, bate $220,1M e.), perdida aj. BPA -$0,99 (mejor que -$1,02e). Margen bruto 33,9% (+140pb); EBITDA aj. positivo +$0,4M (primer trimestre rentable a nivel aj.). Sube guia FY26 crecimiento cc a 8-10% (antes 3-5%).</t>
  </si>
  <si>
    <t>BN; BP (confirmado, sin cambios en BO)</t>
  </si>
  <si>
    <t>FICO confirma fecha de publicacion - biggo/marketbeat (jul-2026)</t>
  </si>
  <si>
    <t>Confirma publicacion de Q3 FY26 hoy 29-jul tras cierre (antes estimado 28-jul); aun sin resultados publicados a la hora de este barrido. Consenso: ingresos $679,3M (+26,6%), BPA $12,02 (+40,3%).</t>
  </si>
  <si>
    <t>Kaspi.kz confirma fecha - globenewswire (14/07/2026)</t>
  </si>
  <si>
    <t>Confirma publicacion de Q2/S1 2026 el 10-ago (antes estimado 27-jul); aun sin resultados.</t>
  </si>
  <si>
    <t>Spotify confirma fecha - stocktitan (jul-2026)</t>
  </si>
  <si>
    <t>Confirma publicacion de Q2 2026 el 4-ago antes de apertura (antes estimado 28-jul); aun sin resultados. Guia: ingresos ~EUR4,8B (+15%), MAU 778M, suscriptores 299M.</t>
  </si>
  <si>
    <t>Q4 FY26 press release (29/07/2026) - microsoft.com/investor</t>
  </si>
  <si>
    <t>Q4 FY26: ingresos $90,0B (+18%, bate $87,7B e.), BPA aj. $4,74 (bate $4,24e). Azure +43% (Intelligent Cloud $39,3B, +32%). FY26 completo: ingresos $331,8B (+18%), BN $133,7B (+31%); Azure supera $100B (+41%) por primera vez.</t>
  </si>
  <si>
    <t>Q2 2026 results (29/07/2026) - investor.atmeta.com</t>
  </si>
  <si>
    <t>Q2: ingresos $60,8B (+28%, bate estimacion) por impresiones +14% y precio/anuncio +12%; pero BPA $6,18 vs $7,22e (-13% i.a.) por gastos +55% a $42,0B (capex IA). FCF se desploma a $784M. Accion -9,6% tras publicar. Guia Q3 hasta $64B.</t>
  </si>
  <si>
    <t>Q3 FY26 results (29/07/2026) - SEC 8-K</t>
  </si>
  <si>
    <t>Q3 FY26: ingresos $674M (+26% i.a.), BPA GAAP $10,45 (BN $237,2M) vs $7,40 ano anterior; BPA aj. $12,18 bate $12,02e (+42%). Sube guia FY26.</t>
  </si>
  <si>
    <t>Resultats S1 2026 (30/07/2026) - se.com</t>
  </si>
  <si>
    <t>S1 record: ingresos EUR21,23B (+9,8% reportado, +14% organico); EBITA aj. EUR4,09B (+16,6%/+22,1% organico), margen 19,3% (+1,2pt). Sube guia FY26: EBITA organico +14-19% (antes +10-15%), ventas organicas +10-13%. Impulsado por demanda de centros de datos (Norteamerica, China).</t>
  </si>
  <si>
    <t>Risultati H1 2026 (30/07/2026) - prysmian.com</t>
  </si>
  <si>
    <t>S1: ingresos EUR11,24B (+7,2% organico); EBITDA EUR1,33B (+17,6%); BN EUR569M (+34,2% desde EUR424M). Sube guia FY26: EBITDA EUR2,8-2,9B (antes EUR2,63-2,78B), caja generada EUR1,65-1,75B (antes EUR1,3-1,4B). Digital Solutions +18%, Power Grid +13%.</t>
  </si>
  <si>
    <t>Q2 2026 financial results (30/07/2026) - checkpoint.com</t>
  </si>
  <si>
    <t>Q2: ingresos $673,6M (+1% i.a., miss de $689,9Me); BPA no-GAAP $2,55 bate $2,50e (+8%); BPA GAAP $1,87 (+2%). Suscripciones de seguridad $332,6M (+12%). Accion cayo pese al beat de BPA por el miss de ingresos.</t>
  </si>
  <si>
    <t>TGYM</t>
  </si>
  <si>
    <t>Risultati H1 2026 (30/07/2026) - corporate.technogym.com</t>
  </si>
  <si>
    <t>S1: ingresos EUR493M (+7,4%, +9% a tipos de cambio constantes); EBITDA aj. EUR85,7M (+1%); BN aj. EUR43,8M (estable). Posicion financiera neta positiva +EUR89M. CEO: 2026 ano de transicion hacia 'Vision 2031' (nuevo Healthness Lab, nueva planta, inversion en IA).</t>
  </si>
  <si>
    <t>ALTA fila 66 (A-I; J-AK; AP-AV; AZ; BD/BF; BH/BI; BN-BP)</t>
  </si>
  <si>
    <t>UBER deep dive + modelo (12/08/2026)</t>
  </si>
  <si>
    <t>Alta tras primer deep dive: de quema de caja a maquina de FCF ($10,1bn TTM) con duopolio Mobility US 76/24; conviccion 4/5, asimetria ~5:1, riesgo terminal medio (Waymo, deuda neta x3 para buybacks); sizing sugerido ~3%. FVE 5y $57-$312 (FVE min/max cuadran con bear/bull del modelo). Sub-scores propuestos por el Analista (Glassdoor pendiente de scuttlebutt).</t>
  </si>
  <si>
    <t>AP; AQ; AS; AV; BD; BF; BO; BP; BN</t>
  </si>
  <si>
    <t>VEEVA deep dive + modelo (16/08/2026)</t>
  </si>
  <si>
    <t>Deep dive competencia/unit economics: caja neta 7.213M (AP 7313/AQ 100), FCF TTM 1.640M (inflado por estacionalidad Q1; ancla limpia ~1.386M), revenue TTM 3.319M; BD/BF recalibrados a escenarios bear 'Erosion CRM'/bull 'Compounder Regulado' (1497/3288). Q2 FY27 el 26/08: vigilar top-20 CRM (10/20) y Veeva AI.</t>
  </si>
  <si>
    <t>N; Y; AP; AQ; AS; AU; AV; BD; BF; BO; BP; BN</t>
  </si>
  <si>
    <t>Adyen Scenarios Dashboard post-H1 (13/08/2026)</t>
  </si>
  <si>
    <t>H1-26: ingresos netos 1.302,9M EUR +19% (+21% cc), EBITDA 641,5M (49%), guia FY26 subida a 21-23% cc. Correccion clave: caja neta REAL ~3,0B EUR ex-fondos de comercios (antes AP=9000 sobreestimaba; EV real 29,1B). BD/BF = P10-P90 del FCF 2031 del MC 5 escenarios. CFO interino desde 1-sep (Y 12 a 11); concentracion top-300 mejora (N a -0.5).</t>
  </si>
  <si>
    <t>Y; AH; AQ; AS; BD; BF; BO; BN</t>
  </si>
  <si>
    <t>Tesis ecosistema Brookfield (05/08/2026) + Q2 BAM/BIP/BEP</t>
  </si>
  <si>
    <t>Plan value MtM 70,46$/acc vs ~44$ (-37%); DE LTM 6.009M (2,54$/acc). AQ=17815 = deuda con recurso 14.271 + prefs 3.544 (solo 5,4% del balance con recurso); AS=6936 = DE unlevered. BD/BF sobre DE (worst matriz +10%/plan 2030 5,85$). Simplificacion en marcha: BN+BNT cierre 4T26, BIP/BEP votan 14-oct. Sucesion ejecutada (Y a 14), funding 87% sin recurso (AH a 2).</t>
  </si>
  <si>
    <t>N; U; X; AA; AH; AP; AQ; AS; AT; AU; AV; AZ; BD; BF; BO; BN</t>
  </si>
  <si>
    <t>CELH Modelo Escenarios 2030 + analisis cualitativo adquisiciones (06-08/08/2026)</t>
  </si>
  <si>
    <t>Q2-26: revenue LTM 3.047M, EBITDA aj. 719M; CELSIUS NA -13,2%, Alani neto plano 3 trimestres (peaje PepsiCo 18pts bruto-neto). Re-rating a la baja documentado: N -3 (PepsiCo 59,6% ingresos), X 5, AA -18 (canibalizacion), U 10, AH 1 (prestamo 900M + prefs PepsiCo 1.760M 5% no en AQ). BD/BF = FCF 2030 S1/S5 (427/1467). VE modelo 40,1-40,6$/acc.</t>
  </si>
  <si>
    <t>V; AP; AQ; AT; AU; AV; AZ; BO; BN</t>
  </si>
  <si>
    <t>MNST Analisis Financiero y Cuotas (8-K 06/08/2026)</t>
  </si>
  <si>
    <t>Q2-26: ventas LTM 9.219M (+20,2% en Q2, volumen +22,3%), margen bruto 55,9%, caja neta 4.201M sin deuda; internacional 45,8% con cuota record en Europa. V 10 a 11 (reaceleracion por volumen). OJO: SPLIT 2:1 efectivo 11-ago — G y H del maestro siguen pre-split (90,36/979,5): hay que pasar H a ~1.959M cuando se refresque precio.</t>
  </si>
  <si>
    <t>AG; AS; AT; AU; AV; AZ; BD; BF; BO; BN</t>
  </si>
  <si>
    <t>Kaspi modelo + README (14/08/2026; resultados 2T el 10/08)</t>
  </si>
  <si>
    <t>2T-26: ingresos UDM 4,45bn KZT (consolida Hepsiburada 1P: el salto de revenue y compresion de margen es mix contable), BN plano 5 trimestres (1,07bn KZT) por coste financiacion 14,5%, impuesto bancario y Turquia (VAN esperado -511M USD; AG 12 a 11). AS=FCF distribuible FY25 (940bn), BD/BF = modas escenarios compresion/compounder (785bn/2.735bn KZT). Vigilar NPL 7,0% y take rate de Pagos.</t>
  </si>
  <si>
    <t>AP; AQ; BN</t>
  </si>
  <si>
    <t>Sintesis tesis Oatly + Q2 (22/07/2026)</t>
  </si>
  <si>
    <t>Balance actualizado al Q2: caja 44,6M vs deuda 517,8M (convertibles PIK 9,25% acretando hacia ~844M en 2028 + Nordic Bonds), patrimonio neto NEGATIVO. Operativo valida (+15,2%, guia FY26 +8-10% cc) pero muro 2028 sin avances: hueco 550-700M. Doc sugiere recortar/cerrar posicion-opcion y no perseguir.</t>
  </si>
  <si>
    <t>2026-08-20</t>
  </si>
  <si>
    <t>SOM</t>
  </si>
  <si>
    <t>Cash &amp; Equivalents; Total Debt; FCF LTM; NOPAT LTM; EBITDA LTM; Revenue LTM; Capital Employed; Ultima actualizacion</t>
  </si>
  <si>
    <t>Deep dive propio 19-ago-2026 (Prysmian_Deep_Dive.md), datos FY2025 reportados + Q2/1H2026 (30-jul-2026)</t>
  </si>
  <si>
    <t>LTM refrescado a cifras FY2025 auditadas (Rev 19.650M, Adj EBITDA 2.398M, margen 14,2%). Deuda neta bajo control (0,9x EBITDA guiado a cierre 2026). Vigilar CMD 2027 y despliegue de 2.600M de M&amp;A pendiente.</t>
  </si>
  <si>
    <t>ALTA NUEVA: Company Name; Ticker; Category; Estilo inversion; Exchange; Currency; Price; Shares Outstanding; Market Cap; FX Reporting; Cash &amp; Equivalents; Total Debt; FCF LTM; NOPAT LTM; EBITDA LTM; Revenue LTM; Enterprise Value; EV/FCF; EV/EBITDA; EV/Sales; NOPAT M%</t>
  </si>
  <si>
    <t>Tesis de Somero.docx + Somero_Operating_Model_2022_2030.xlsx (hojas Dashboard/Valuation/P&amp;L/Assumptions)</t>
  </si>
  <si>
    <t>Alta nueva. Lider de nicho (Laser Screed hormigon), balance sin deuda neta (caja neta ~30M USD), ciclico en fondo de ciclo (Revenue -33% y EBITDA -60% pico-2022 a 2025). AGM jun-2026 con voto mayoritario EN CONTRA en 4 resoluciones (gobierno corporativo) - bandera roja pendiente de resolver. Ratings cualitativos (Rating 1/2/3, columnas J:AK) sin rellenar: la tesis no incluye scores 0-10, quedan pendientes de tu criterio.</t>
  </si>
  <si>
    <t>08/09/2026</t>
  </si>
  <si>
    <t>Rating 1 (J:S completo); Rating 2 (T:AC completo); Rating 3 (AD:AM completo); Composite (AN); A67 vinculado como Stocks data type (B,E,F,G,H,I ahora formulas en vivo); Ultimos/Proximos resultados</t>
  </si>
  <si>
    <t>Tesis de Somero.docx (texto completo) + Somero_Operating_Model + investigacion web: Investegate (resultado AGM 17-jun-2026), TradingView/Investing.com (governance review 8-jul-2026), Johan Lunau Substack (moat/market share historico), busquedas Glassdoor/insider ownership</t>
  </si>
  <si>
    <t>Ratings calibrados contra Kistos/WOSG/Judges/Rational ya existentes en la hoja. Composite 3.56 (tier especial situacion, coherente con Estilo asignado). Puntos clave que penalizan: escandalo de voto en AGM jun-2026 (VN Capital denuncia 8.3M votos excluidos por cambio de fecha limite en Computershare/CREST), Remuneration Policy rechazada 61.35%, presidente L.Horsch 90 anos forzado a dimitir, sin stake verificable del CEO, Glassdoor negativo (equipo UK). Puntos que suman: caja neta sin deuda, &gt;80% cuota estimada en screed automatizado, &gt;100 patentes, board ya en revision de gobierno (QCA code) desde jul-2026.</t>
  </si>
  <si>
    <t>Rating 1: Optionality, Concentration, Glassdoor, Ownership. Rating 2: Potential, Risks. Rating 3: Capital Allocation, Financing Source, Terminal Risk. FVE inputs: FCF @5y Min/Max (BD/BF)</t>
  </si>
  <si>
    <t>Deep dive propio 19-ago-2026 + toggle de escenarios del modelo Prysmian_Model_2019-2030.xlsx (Assumptions!B4, lectura Valuation!M14/M18 2030E por escenario) + investigacion web: anuncio adquisicion Atkore (prysmian.com, ~1-ago-2026), insider ownership (&lt;5%, disperso), Glassdoor (3.7/5, 72% recomienda)</t>
  </si>
  <si>
    <t>Composite 5.24 -&gt; 5.16 (practicamente estable). Hallazgo relevante no recogido en el deep dive: Prysmian anuncio compra de Atkore por 3.800M USD en efectivo (95 USD/accion), 9.8x EV/EBITDA 2025A o 7.1x con sinergias (150M USD/año en 3 años) - POR DEBAJO del umbral de alerta de 12x que el propio deep dive marcaba como limite de disciplina. Cierre esperado a finales de 2026; financiado con deuda+hibridos+autocartera manteniendo rating IG. Sube Optionality y Capital Allocation por la disciplina de precio; sube Concentration (penaliza) y Terminal Risk por la mayor exposicion a EEUU y el riesgo de integracion de una segunda gran adquisicion tan pronto tras Encore Wire. Ownership baja a -1: confirmado externamente insider ownership &lt;5% disperso, sin comprador relevante en mercado abierto. FVE inputs (BD/BF) recalculados directamente alternando el toggle de escenario del modelo propio (Assumptions!B4=1/2/3) y leyendo el FCF 2030E resultante (5 anios vista): conservador 1.701M€, base 2.506M€ (sin cambio), alcista 3.496M€. FVE resultante: 93,76€ (min) - 252,93€ (max) con multiplos de salida 18x-22,5x FCF (sin cambio respecto al default de la hoja). IMPORTANTE: este FVE es standalone, NO incorpora el pro forma de Atkore (deal aun no cerrado, sin modelo combinado propio).</t>
  </si>
  <si>
    <t>IP</t>
  </si>
  <si>
    <t>2026-08-21</t>
  </si>
  <si>
    <t>13/11/2026</t>
  </si>
  <si>
    <t>RBT</t>
  </si>
  <si>
    <t>17/09/2026</t>
  </si>
  <si>
    <t>ROKO B</t>
  </si>
  <si>
    <t>17/07/2026</t>
  </si>
  <si>
    <t>USPH</t>
  </si>
  <si>
    <t>ALTA NUEVA fila 68: A-I (mercado); J-Q Rating 1; T-AA Rating 2; AD-AK Rating 3; AO-AV financieros; AZ capital empleado; BD/BF FCF 5y; BH/BI múltiplos de salida; BN-BP fechas</t>
  </si>
  <si>
    <t>Deep dive propio 21-ago-2026 (Interpump_Deep_Dive.md + Interpump_Model_2019-2030.xlsx). Fuentes: nota de prensa FY2025 (20-mar-2026), resultados Q2/1S 2026 (6-ago-2026), earnings call Q2 2026, Highlights de IR, S&amp;P Global vía stockanalysis</t>
  </si>
  <si>
    <t>Alta nueva. Compounder industrial italiano: bombas de alta presion y componentes hidraulicos moviles, lider mundial en tomas de fuerza para camion. Margen EBITDA 22-24% durante siete anos; balance a 0,63x EBITDA con objetivo de deuda cero en 2028; sin dilucion. Composite 5,31. PUNTOS QUE PENALIZAN: ROIC 10,0% en el valle (13,4% en el pico de 2023) y ROIIC 2019-2025 del 7% - el crecimiento es M&amp;A, no reinversion organica; sucesion sin resolver (Montipo, 82 anos, sigue de presidente ejecutivo con poderes delegados); no publica cartera ni book-to-bill; cilindros hidraulicos (18% de ventas) sin moat. PUNTOS QUE SUMAN: no publica ningun EBITDA ajustado (contabilidad limpia); recompro 95 M EUR en 2022 con la accion cara y volvio a recomprar 22 M EUR en el 1S 2026 con la accion barata; una sola compra grande evitada en el ciclo caro. AS/AT/AU/AV son LTM a jun-2026; AP/AQ son del cierre de 2025. BD/BF = FCF 2030E conservador (260) y alcista (480) del modelo propio; BH/BI son multiplos EV/FCF calibrados para reproducir las TIR del modelo (0,0% / +26,8%). Asimetria prudente 2,98:1 sobre un bajista construido a mano de 26 EUR; el escenario conservador del modelo (36,50) queda POR ENCIMA del precio actual. Sizing 2,0-2,5%, entrada escalonada.</t>
  </si>
  <si>
    <t>ALTA NUEVA fila 69: A-I (mercado); J-Q Rating 1; T-AA Rating 2; AD-AK Rating 3; AO-AV financieros; AZ capital empleado; BD/BF FCF 5y; BH/BI múltiplos de salida; BN-BP fechas</t>
  </si>
  <si>
    <t>Deep dive propio 21-ago-2026 (Robertet_Deep_Dive.md + Robertet_Model_2019-2030.xlsx). Fuentes: resultados anuales 2025 y presentacion (9-abr-2026), ventas 1S 2026 (6-ago-2026), texto de resoluciones de la junta 2026, nota Robertet/Peugeot Invest/FSP (nov-2024), S&amp;P Global via stockanalysis</t>
  </si>
  <si>
    <t>Alta nueva y la de MAYOR CALIDAD de la tanda de agosto de 2026. Casa familiar de Grasse fundada en 1850, lider mundial en ingredientes naturales de perfumeria y aroma; es a la vez proveedor y competidor de Givaudan, IFF, dsm-firmenich y Symrise. Composite 7,01. PUNTOS QUE SUMAN: moat de aprovisionamiento agricola no replicable con dinero (red en ~50 paises, destilerias propias); margen EBITDA del 17,3% (2019) al 20,6% (2025) y margen bruto +3,7 pt desde 2022; ROIC 15,0% y ROIIC 2021-2025 del 15,5% sobre inversion ORGANICA, no comprando empresas; circulante bajado del 60,9% al 48,4% de ventas (~100 M EUR liberados) desde que Jerome Bruhat es director general en 2022; familia Maubert con 38% del capital y 62% de los votos; sin metricas ajustadas; balance a 0,64x. PUNTOS QUE PENALIZAN: el director general no tiene participacion relevante (quien ejecuta no es dueno); transparencia muy pobre (sin margen por division, sin call trimestral, resultados semestrales); iliquidez real (2.169.297 titulos, 40% de free float); objetivo de +5% organico de 2026 en riesgo (1S en +2,8%, Q2 en +0,7%). OPCIONALIDAD NO MODELIZADA: Givaudan posee el 4,68% comprado en mercado sin negociacion previa. AP/AQ/AU/AV/AZ del cierre de 2025 (ultimo periodo completo reportado). BD/BF = FCF 2030E conservador (92) y alcista (145). Asimetria prudente 2,66:1 sobre un bajista de 588 EUR. Sizing 2,5-3,0%, candidata a nucleo resiliente; iniciar 1,5% y ampliar tras los resultados completos del 1S el 17-sep-2026.</t>
  </si>
  <si>
    <t>ALTA NUEVA fila 70: A-I (mercado); J-Q Rating 1; T-AA Rating 2; AD-AK Rating 3; AO-AV financieros; AZ capital empleado; BD/BF FCF 5y; BH/BI múltiplos de salida; BN-BP fechas</t>
  </si>
  <si>
    <t>Deep dive propio 21-ago-2026 (Roko_Deep_Dive.md + Roko_Model_2019-2030.xlsx). Fuentes: informe anual 2025, year-end report 2025, informe intermedio ene-jun 2026 y presentacion, nota de cambio de CEO (8-mar-2026), prospecto de la salida a bolsa (mar-2025), stockanalysis y MarketScreener</t>
  </si>
  <si>
    <t>Alta nueva. Consolidador nordico fundado en 2019 por Fredrik Karlsson (CEO de Lifco 1998-2019) y Tomas Billing. 34 companias de nicho en 8 paises, 1.829 empleados y OCHO personas en la oficina central. Composite 5,98. PUNTOS QUE SUMAN: el mejor alineamiento de la watchlist - 21% del capital y 65% de los votos en manos de los tres ejecutivos, y Karlsson ha comprado acciones por 97 MSEK tras la salida a bolsa; compra por debajo de 8x EBITA lo que el mercado le valora a 21x; ROCE sube cinco anos seguidos (9,2% a 14,8%) MIENTRAS compra; ROCE sin fondo de comercio 127%; capex 1% de ventas y conversion de caja 72%; una sola adquisicion en 2023, el ano caro (la disciplina que Storskogen no tuvo). PUNTOS QUE PENALIZAN: solo 17 meses de historia publica (salida a bolsa 11-mar-2025) y una sola memoria anual; cambio de consejero delegado el 22-abr-2026 (Johan Bladh sustituye a Karlsson, que sigue como adjunto y presidente del Comite de Inversiones) SIN QUE LA COMPANIA HAYA EXPLICADO POR QUE AHORA; apalancamiento de 2,0x (dic-25) a 2,6x (jun-26) contra un techo declarado de 3,0x; el 32% de las ventas es B2C de retail especializado, el segmento con peor economia de la cartera. TRAMPA CONTABLE IMPORTANTE: hay DOS cifras de deuda. La deuda neta con intereses es 1.817 MSEK; la deuda financiera neta es 4.387 MSEK e incluye 2.570 MSEK de opciones de venta, earn-outs y pagos aplazados a los minoritarios de las filiales, que CRECEN cuando las filiales van bien. AQ=4.887 y AP=500 estan puestos para que AR reproduzca el EV correcto de 31.617 MSEK. Con esa deuda el descuento en EV/EBITA frente a Lifco casi desaparece (21,5x vs 22-24x), aunque en P/E siga pareciendo barata. AU es EBITDA estimado (adj. EBITA LTM 1.473 + amortizacion de tangibles); la compania reporta adj. EBITA, no EBITDA. Asimetria 3,02:1, la mejor de la tanda. Sizing 1,5-2,0%, media posicion ahora. Fechas BO/BP estimadas.</t>
  </si>
  <si>
    <t>ALTA NUEVA fila 71: A-I (mercado); J-Q Rating 1; T-AA Rating 2; AD-AK Rating 3; AO-AV financieros; AZ capital empleado; BD/BF FCF 5y; BH/BI múltiplos de salida; BN-BP fechas</t>
  </si>
  <si>
    <t>Deep dive propio 21-ago-2026 (USPH_Deep_Dive.md + USPH_Model_2019-2030.xlsx). Fuentes: 8-K de resultados Q2 2026 (5-ago-2026) y Q1 2026 (5-may-2026), presentacion de inversores Q4 2025, CMS/APTA sobre el Medicare Physician Fee Schedule 2026 y 2027, S&amp;P Global via stockanalysis</t>
  </si>
  <si>
    <t>Alta nueva. Unico operador cotizado puro de fisioterapia ambulatoria de EE.UU.: 780 clinicas en 44 estados mas un negocio de prevencion de lesiones laborales (15% de ingresos, sin exposicion al reembolso sanitario). Mercado de mas de 40.000 M USD tan fragmentado que ningun operador supera el 10%. Composite 2,94, el mas bajo de la tanda. AVISO CRITICO: el BPA GAAP de USPH NO SIGNIFICA NADA. Los fundadores de cada clinica conservan el 20-50% en participaciones REDIMIBLES que se revalorizan cada trimestre, y esa revalorizacion se resta del BPA sin pasar por el beneficio neto; en el Q1 2026 hubo beneficio neto positivo (5,0 M USD) y BPA NEGATIVO (-0,12 USD), y el PER oficial LTM es de 437x. Solo sirven el EBITDA ajustado y los Operating Results per share. PUNTOS QUE PENALIZAN: el margen NO expande (EBITDA ajustado 12,9% en 2023, 12,2% en 2024 y 2025) y el margen bruto de clinica ha caido del 23,9% (2021) al 19,9% (Q2 2026); tijera estructural entre el ingreso por visita (+2,1%) y el coste salarial por visita (~+4,1%); ROIIC 2023-2025 de ~7% despues de impuestos porque compra clinicas a 8-10x contra cuatro fondos de private equity; apalancamiento de 1,36x (2023) a 3,47x (jun-26) MAS 318 M USD de participaciones redimibles fuera de esa cifra; dividendo (27,4 M USD) MAYOR que el flujo de caja atribuible al accionista de USPH (~20-25 M USD tras la salida hacia los socios de clinica), financiado con deuda; ampliacion de capital del 15% en 2023; insiders con solo 2-3% del capital. PUNTOS QUE SUMAN: demanda demografica garantizada, la mejor transparencia operativa de la tanda (visitas, visitas diarias por clinica, ingreso por visita por pagador, salarios sobre ingresos), CEO con 22 anos en el puesto, circulante practicamente cero y capex del 1,8% de ventas, y las afiliaciones hospitalarias (NYU Langone y un sistema de la Costa del Golfo, 70 clinicas integrandose en 2026) como opcionalidad que crece sin capital. AZ excluye las participaciones redimibles. AU=96 es EBITDA AJUSTADO LTM (metrica de la compania, ya neta de minoritarios); por eso el EV de AR no les suma los 318 M USD. Asimetria 1,75:1, POR DEBAJO del minimo de 2:1: sizing HOY 0%. Alerta de precio en 75,72 USD (2:1) y compra en 72 USD (2,5:1); por debajo de 65 USD, 2,5-3% - es donde recompro la propia compania en el 1S 2026 (media 62,80 USD). Q3 2026 en noviembre es el trimestre decisivo: el margen bruto de clinica tiene que volver por encima del 21% y la guia de EBITDA ajustado de 102-106 M USD exige un 2S de ~57 M USD frente a 47 en el 1S.</t>
  </si>
  <si>
    <t>M (Financials); P (Founder/CEO); Q (Ownership); K (MOAT)</t>
  </si>
  <si>
    <t>Auditoria cualitativa de ratings contra el checklist del deep dive de Prysmian</t>
  </si>
  <si>
    <t>Financials 0&gt;1 por deuda neta 0,9x EBITDA. Founder/CEO 0&gt;1: la columna se aplica como calidad del liderazgo y el equipo cumplio los seis objetivos del CMD con adelanto. Ownership -1&gt;0 para igualar el criterio de ABB, Schneider, Legrand y Veralto. MOAT 5&gt;5,5 por la posicion en HVDC.</t>
  </si>
  <si>
    <t>P (Founder/CEO); Y (Mgmt &amp; Culture)</t>
  </si>
  <si>
    <t>Founder/CEO 0&gt;1: los fundadores conservan el control de voto via acciones B. Mgmt &amp; Culture 9&gt;11: un 9 sobre 14 lo ponia por debajo de Airbnb y Descartes.</t>
  </si>
  <si>
    <t>J (Mission); T (R2 Financials)</t>
  </si>
  <si>
    <t>Mission 2&gt;1: el maximo de la columna para un vendedor de CDN/SSE mientras Inditex y Lifco estan en 0. R2 Financials 10&gt;8 con ROIC 1,4% y EV/FCF 369x.</t>
  </si>
  <si>
    <t>J (Mission)</t>
  </si>
  <si>
    <t>Mission 2&gt;1, mismo criterio que Cloudflare y Zscaler.</t>
  </si>
  <si>
    <t>Mission 2&gt;1. Con el 2 su Rating 1 igualaba al de Veeva con un moat de 6 frente a 8.</t>
  </si>
  <si>
    <t>K (MOAT); L (Optionality)</t>
  </si>
  <si>
    <t>MOAT 7&gt;6: el anfitrion tiene Booking a un clic y la oferta es legislable ciudad a ciudad. Optionality 3&gt;2: Experiences y Hoteles llevan cinco anos sin monetizarse.</t>
  </si>
  <si>
    <t>K (MOAT); M (Financials)</t>
  </si>
  <si>
    <t>MOAT 4&gt;5 por la densidad de red en distribucion de fontaneria y climatizacion, con ROIC del 23%. Financials 0&gt;1 por apalancamiento en torno a 1x.</t>
  </si>
  <si>
    <t>K (MOAT)</t>
  </si>
  <si>
    <t>MOAT 5&gt;6: estructura de royalty sin capex ni inflacion de costes, margen NOPAT del 61%.</t>
  </si>
  <si>
    <t>MOAT 5&gt;6: prescripcion con el arquitecto y margen EBITDA del 20% a traves de ciclos.</t>
  </si>
  <si>
    <t>MOAT 6&gt;6,5: especificacion regulatoria en calidad del agua y trazabilidad. R2 le daba 16/20 y R3 13/15.</t>
  </si>
  <si>
    <t>MOAT 4&gt;5: mismo modelo que Lifco (7/8) ejecutado por quien construyo Lifco. La diferencia real es historial, ya penalizada en R2.</t>
  </si>
  <si>
    <t>MOAT 7&gt;6: foso encerrado en el perimetro regulatorio de un solo pais.</t>
  </si>
  <si>
    <t>MOAT 3&gt;4: densidad local de clinicas y relacion con el medico prescriptor.</t>
  </si>
  <si>
    <t>N (Concentration)</t>
  </si>
  <si>
    <t>Concentration 0&gt;-1: el beneficio depende de una sola marca.</t>
  </si>
  <si>
    <t>Concentration 0&gt;-1: una sola familia de producto, los hornos combinados.</t>
  </si>
  <si>
    <t>Concentration 0&gt;-1: el negocio pivota sobre una generacion de consola cada vez.</t>
  </si>
  <si>
    <t>Concentration 0&gt;-2: tres discograficas controlan el catalogo sin el cual el producto no existe.</t>
  </si>
  <si>
    <t>V (Potential)</t>
  </si>
  <si>
    <t>Potential 14&gt;11: un 14 sobre 18 lo igualaba a Airbnb para una alimentaria europea que crece a un digito medio.</t>
  </si>
  <si>
    <t>K; L; M (R1); U; V; Y; AA (R2); AD; AE; AG; AH; AJ; AK (R3)</t>
  </si>
  <si>
    <t>Revision completa tras Q2 2026 (22-jul-2026): ingresos +15,2%, margen bruto 33,9% (+140pb), adj EBITDA +0,4 M$ frente a -3,6, FCF -0,6 M$ frente a -5,2, guia de crecimiento subida del 3-5% al 8-10%, opex del 57,8% al 41,4% de ventas en cuatro anos. Sube Mgmt &amp; Culture, Potential, Durability y Capital Allocation, y baja el doble castigo por apalancamiento (Risk of Disappearance y Terminal Risk). En contra: deuda neta ~459 M$ frente a adj EBITDA guiado de 25-35 M$, por lo que baja R1 Financials a -1 y Financing Source a -4, y se alinean los tres MOAT (R1 5&gt;4, R2 5&gt;6, R3 9&gt;7) que se contradecian entre si.</t>
  </si>
  <si>
    <t>R (R1 Sum); S (RATING 1) filas 4-71</t>
  </si>
  <si>
    <t>Glassdoor sale del Rating 1 y la normalizacion pasa de /17 a /16. Motivo: la columna estaba en blanco en 38 de 68 filas y mezclaba dos escalas. Las filas con la columna rellena tenian una divergencia media de +0,05 frente al resto de ratings; las que la tenian en blanco, de -0,70. La columna O se conserva con sus valores, solo deja de sumar.</t>
  </si>
  <si>
    <t>RATING 1 - Structural Quality (max 16, normalized to 10) - Glassdoor excluded 21-Aug-2026</t>
  </si>
  <si>
    <t>Glassdoor (-1 to 1): RETIRED 21-Aug-2026. Blank in 38 of 68 rows and mixing two scales; column kept but no longer summed. Culture is judged in R2 Mgmt &amp; Culture and R3 Incentives.</t>
  </si>
  <si>
    <t>Weighted average from 21-Aug-2026: 20% R1 + 40% R2 + 40% R3 (each normalized to 0-10). Was a simple average until then.</t>
  </si>
  <si>
    <t>Rationale: R2 is the densest and most falsifiable (100 points, all anchored in economics). R3 carries terminal risk, which is a DIVISOR in the position-sizing framework, not an addend. R1 is the noisiest (16 points, 4 of them soft judgment) and drops to an overlay.</t>
  </si>
  <si>
    <t>Not a buy signal in itself - valuation and asymmetry are a separate axis and are not captured here.</t>
  </si>
  <si>
    <t>AN (Composite) filas 4-71; Framework Notes filas 8, 14, 39, 40, 41</t>
  </si>
  <si>
    <t>Auditoria cualitativa de ratings - reponderacion del compuesto</t>
  </si>
  <si>
    <t>El compuesto pasa de media simple a 20% R1 + 40% R2 + 40% R3. Motivo: R2 es el rating mas denso y falsable (100 puntos, todo anclado en economia); R3 lleva el riesgo terminal, que en el framework de sizing es un divisor y no un sumando; R1 es el mas ruidoso (16 puntos, 4 de juicio blando) y baja a capa de matiz. Movimiento maximo +-0,25 puntos. IMPORTANTE: src/etl.py valida composite = media(R1,R2,R3) con tolerancia 0,05, hay que actualizar esa comprobacion o el build falla.</t>
  </si>
  <si>
    <t>XPAR</t>
  </si>
  <si>
    <t>XDUB</t>
  </si>
  <si>
    <t>AO61; AR61; BJ61; BK61</t>
  </si>
  <si>
    <t>Auditoria de divisa cotizacion vs reporte</t>
  </si>
  <si>
    <t>Kistos cambio su moneda de presentacion de EUR a USD el 1-ene-2024; la hoja ponia GBP. Se corrige AO y se anaden la conversion GBP-&gt;USD (Framework Notes E9) y el *100 de peniques en AR, BJ y BK. AR no tenia formula: era un valor congelado.</t>
  </si>
  <si>
    <t>AO67; AR67; BJ67; BK67</t>
  </si>
  <si>
    <t>Somero Enterprise Inc. es sociedad de Delaware: reporta en USD y cotiza en peniques en AIM; la hoja ponia GBP. Ademas a BJ67 y BK67 les faltaba el *100 que si tienen HLMA, JDG, KIST y WOSG, con lo que el FVE salia en libras contra un precio en peniques: error de factor 100 latente porque el FCF@5y esta vacio.</t>
  </si>
  <si>
    <t>AR65; BJ65; BK65</t>
  </si>
  <si>
    <t>Constellation Software cotiza en CAD y reporta en USD, y ninguna de las tres formulas convertia: la capitalizacion en CAD se mezclaba con caja, deuda y FCF en USD. EV/FCF pasa de 24,7x a ~18,2x. Es la empresa mejor puntuada del libro.</t>
  </si>
  <si>
    <t>BJ63; BK63</t>
  </si>
  <si>
    <t>AR63 ya convertia CAD-&gt;USD pero BJ63 y BK63 no, con lo que el FVE por accion salia en USD contra un precio en CAD.</t>
  </si>
  <si>
    <t>Revertido 11 -&gt; 14. El cambio del 21-ago se hizo creyendo que DNP era Danone; es Dino Polska (supermercados, Varsovia, PLN). El argumento de alimentaria europea madura no aplica a un discounter polaco que sigue abriendo cientos de tiendas al ano.</t>
  </si>
  <si>
    <t>E60; E35; Framework Notes C9/E9</t>
  </si>
  <si>
    <t>Codigos de mercado: Verallia XWBO-&gt;XPAR (Euronext Paris) y Kingspan XFRA-&gt;XDUB (Euronext Dublin). Nuevo tipo de cambio en Framework Notes E9 = 1,3641 USD/GBP. AVISO: los tipos E4:E8 estan congelados porque la columna D, que deberia traerlos en vivo, esta en #VALUE! en las cinco filas.</t>
  </si>
  <si>
    <t>AV; AS; AP; AQ; AU; AT; BN</t>
  </si>
  <si>
    <t>Verificacion del top 10 contra investor relations - FY2026 (29-jul-2026)</t>
  </si>
  <si>
    <t>El ejercicio cerro el 30-jun-2026, asi que el ano fiscal ES el LTM. Ingresos 270.000 -&gt; 331.839 (+18%). FCF 70.000 -&gt; 66.987 (flujo de operaciones 182.935 menos capex 115.948). Caja 78.000 -&gt; 76.843. Deuda 45.000 -&gt; 40.294. EBITDA 144.000 -&gt; 193.771 (resultado operativo 155.237 + D&amp;A y otros 38.534). NOPAT 90.000 -&gt; 125.127 (EBIT por 1 menos la tasa fiscal efectiva del 19,4%). AVISO: el FCF del Q4 cayo un 23% y la guia de capex del ano natural 2026 es de unos 190.000 M$, asi que este FCF es la ultima foto antes de la caida.</t>
  </si>
  <si>
    <t>AV; AS; AP; AQ; BO; BN</t>
  </si>
  <si>
    <t>Verificacion del top 10 contra investor relations - Q2 2026 (30-jul-2026)</t>
  </si>
  <si>
    <t>Ingresos 637.000 -&gt; 775.656 TTM (FY2025 716.900 menos 1S2025 323.369 mas 1S2026 382.125). FCF 52.000 -&gt; -7.604: el flujo de caja libre TTM es NEGATIVO porque el capex TTM (169.007) supera al flujo de operaciones (161.403), tras subir 66.100 M$ interanuales. No es deterioro sino inversion en infraestructura de IA, y el flujo de operaciones crece un 33%. El EV/FCF queda negativo a proposito: el multiplo no aplica en un ciclo de capex, y la valoracion se apoya en las columnas FCF@5y, que son la vision forward. Caja 80.000 -&gt; 78.213 (aparte hay 44.775 de valores negociables). Deuda 65.000 -&gt; 128.894 (deuda a largo plazo reportada). EBITDA y NOPAT NO se tocan: no hay cifras TTM exactas publicadas.</t>
  </si>
  <si>
    <t>AV; AU; BO; BN</t>
  </si>
  <si>
    <t>Verificacion del top 10 contra investor relations - 1S2026 (7-ago-2026)</t>
  </si>
  <si>
    <t>La fila llevaba sin actualizarse desde el 26-abr y se habia perdido el semestre. Ingresos 1.200 -&gt; 1.446,8 LTM (FY2025 1.355,0 menos 1S2025 657,3 mas 1S2026 749,1). EBITDA subyacente 260 -&gt; 300,4 (273,4 menos 129,3 mas 156,3). Biscoff crecio mas del 20% en volumen y en ingresos a la vez; EBIT subyacente del semestre 131,0 (17,5%) y beneficio neto +23,5%. NOPAT no se toca: falta el EBIT subyacente de 2025.</t>
  </si>
  <si>
    <t>BP; BN</t>
  </si>
  <si>
    <t>Verificacion del top 10 contra investor relations - Calendario</t>
  </si>
  <si>
    <t>Los resultados del Q2 FY2027 son el 10-sep-2026, no el 9. El resto de la fila esta al dia: el Q1 FY2027 del 3-jun ya estaba recogido.</t>
  </si>
  <si>
    <t>AZ (Capital Employed)</t>
  </si>
  <si>
    <t>Verificacion del top 10 - coherencia del ROIC</t>
  </si>
  <si>
    <t>Capital empleado 280.000 -&gt; 589.551 (activo total 758.376 menos pasivo corriente 168.825 a 30-jun-2026). Era necesario porque al actualizar el NOPAT a 125.127 con el capital empleado viejo el ROIC saltaba al 44,7%, imposible para Microsoft. Con la cifra correcta queda en 21,2%. AVISO IMPORTANTE: la columna Capital Employed son estimaciones manuales redondeadas en las otras 67 filas (Veeva 1.500, Costco 40.000, Amazon 300.000, Lotus 800...) y no siguen ninguna definicion homogenea, asi que el ROIC NO es comparable entre empresas hasta que esa columna tenga una sola definicion. Esta fila es ahora la unica con la definicion de libro.</t>
  </si>
  <si>
    <t>FCF NORMALIZADO - metodo para empresas en ciclo de capex de crecimiento</t>
  </si>
  <si>
    <t>Problema: cuando una empresa multiplica su capex para construir capacidad nueva, el FCF reportado deja de medir la capacidad de generar caja del negocio y pasa a medir el ritmo de inversion. Amazon cerro los doce meses a jun-2026 con FCF de -7.604 M$ y a la vez con el flujo de operaciones creciendo un 33%.</t>
  </si>
  <si>
    <t>Regla:  capex de mantenimiento = MAX( D&amp;A del periodo ; 50% del capex del periodo )</t>
  </si>
  <si>
    <t xml:space="preserve">        FCF normalizado = flujo de caja de operaciones - capex de mantenimiento</t>
  </si>
  <si>
    <t>Por que el maximo de dos cosas: el D&amp;A es la medida contable de la capacidad consumida y es el punto de partida correcto (owner earnings), pero se queda corto cuando el activo crece deprisa, porque refleja un parque de activos mas pequeno que el actual. El suelo del 50% del capex recoge que en infraestructura de nube y logistica buena parte del gasto es reposicion: la propia Microsoft dice que dos tercios de su capex son activos de vida corta, CPU y GPU.</t>
  </si>
  <si>
    <t>Cuando aplicarlo: solo si el capex del periodo supera el doble del D&amp;A, o si el FCF reportado es negativo con flujo de operaciones positivo. Si no se cumple ninguna de las dos, se usa el FCF reportado.</t>
  </si>
  <si>
    <t>Como anotarlo: dejar el FCF normalizado en la columna AS y registrar en el Updates Log los tres numeros de partida (flujo de operaciones, D&amp;A y capex) para que el calculo sea reproducible.</t>
  </si>
  <si>
    <t>Precision: el objetivo es estar aproximadamente acertado, no exactamente equivocado. Un error del 10% en el capex de mantenimiento mueve el FCF normalizado mucho menos que la diferencia entre usar el FCF reportado o no usarlo.</t>
  </si>
  <si>
    <t>AS (FCF); AF (R3 Capital Intensity)</t>
  </si>
  <si>
    <t>FCF normalizado + revision de ratings tras resultados</t>
  </si>
  <si>
    <t>FCF pasa de -7.604 reportado a 76.899 normalizado. Partida: flujo de operaciones TTM 161.403, D&amp;A TTM 75.200 (65.756 de 2025 menos 29.489 del 1S25 mas 38.933 del 1S26), capex TTM 169.007. Capex de mantenimiento = max(75.200 ; 84.504) = 84.504. El EV/FCF queda en 36,9x en vez de -373x. Capital Intensity 4-&gt;3: el capex es el 21,8% de las ventas y el FCF reportado es negativo; un 4 sobre 10, donde 10 es asset-light, era generoso.</t>
  </si>
  <si>
    <t>FCF pasa de 66.987 reportado a 124.961 normalizado. Partida: flujo de operaciones 182.935, D&amp;A y otros 38.534, capex 115.948. Capex de mantenimiento = max(38.534 ; 57.974) = 57.974. El EV/FCF queda en 28,4x en vez de 53x. Capital Intensity 5-&gt;4: el capex es el 34,9% de las ventas del ejercicio, y la guia del ano natural 2026 son unos 190.000 M$.</t>
  </si>
  <si>
    <t>AV (Ingresos); AG (R3 Capital Allocation); BO; BN</t>
  </si>
  <si>
    <t>Ingresos 12.149 -&gt; 12.641 LTM (FY2025 11.623 menos 1S25 5.498 mas 1S26 6.516). Capital Allocation 15 -&gt; 13: era la unica nota perfecta del libro y el Q2 2026 muestra crecimiento organico del 3% en el trimestre y del 1% quitando divisa, frente a un +17% de titular. Practicamente todo el crecimiento viene de comprar companias (732 M$ en un solo trimestre) y un 15/15 dice que cada euro reinvertido genera spread positivo, lo cual con el organico al 1% ya no se sostiene solo. Un 13 sigue diciendo excelente. El FCF de 2.700 no se toca: el FCFA2S LTM es 2.031 pero la columna pide FCF sin apalancar y no tengo el desglose para convertirlo.</t>
  </si>
  <si>
    <t>AV; BN</t>
  </si>
  <si>
    <t>Verificacion del top 10 contra investor relations</t>
  </si>
  <si>
    <t>Ingresos 262.000 -&gt; 287.790 LTM (FY2025 de 52 semanas 269.900, menos las 36 semanas comparables de 185.480, mas las 36 semanas del FY2026 de 203.370). El Q3 FY26 cerro con ventas de 69,15 MM$ (+11,6%) y comparables del +9,8%, del +6,6% sin gasolina ni divisa. NOPAT no se toca: falta el resultado operativo. Sin cambios de rating: los resultados confirman la nota.</t>
  </si>
  <si>
    <t>AS; BN</t>
  </si>
  <si>
    <t>FCF 6.936 -&gt; 6.200, que es el beneficio distribuible total de los ultimos doce meses reportado en el Q2 2026 (2,61 $/accion). El trimestre trajo un record de 77.000 M$ captados, 100.000 M$ en el semestre, capital con comisiones +19% hasta 672.000 M$ y 210.000 M$ de capital desplegable. Sin cambios de rating. PENDIENTE: la celda de proximos resultados sigue en 13/08/2026, que es la fecha de los ultimos.</t>
  </si>
  <si>
    <t>Ingresos 1.200 -&gt; 1.296 LTM (FY2025 1.260,0 menos 1S25 605,7 mas 1S26 642,0). EBITDA 320 -&gt; 350: el 320 era imposible porque quedaba POR DEBAJO del EBIT LTM de 349,8; se pone el EBIT como suelo hasta tener el D&amp;A exacto, asi que el EV/EBITDA real es algo menor. Contexto: margen EBIT del 26% en 2025 pese a aranceles de EE.UU. y divisa en contra, 50% de cuota mundial y ratio de fondos propios del 80%. El 26,5% del 1S26 incluye 14 M EUR de devolucion de aranceles: sin eso es 24,3%. El Q2 se freno al +4% por China. Sin cambios de rating: la concentracion de producto ya se bajo a -1 el 21-ago.</t>
  </si>
  <si>
    <t>AV; AU; BN</t>
  </si>
  <si>
    <t>Ingresos 26.500 -&gt; 29.251 MSEK LTM (FY2025 28.251 menos 1S25 13.881 mas 1S26 14.881). EBITDA 5.800 -&gt; 6.627: igual que en Rational, el 5.800 quedaba por debajo del EBITA LTM, asi que se pone el EBITA como suelo. Margen EBITA del 22,6% en el semestre, +60 pb. Crecimiento organico del 4,2% en 2025 y del 2,9% en el 1S26, con 16 negocios consolidados en 2025. Sin cambios de rating: su mezcla de organico y M&amp;A es mas sana que la de Constellation y su Capital Allocation de 14 sobre 15 se sostiene.</t>
  </si>
  <si>
    <t>FRAMEWORK DE ACTUALIZACION DE UNA EMPRESA - los cuatro pasos, en este orden</t>
  </si>
  <si>
    <t>1) FINANCIALS. Coger la nota de resultados y recalcular el LTM: ejercicio completo anterior menos el periodo comparable mas el periodo nuevo. Nunca anualizar un trimestre. Si el capex del periodo supera el doble del D&amp;A, o si el FCF reportado es negativo con flujo de operaciones positivo, usar el FCF normalizado.</t>
  </si>
  <si>
    <t>2) TRANSCRIPT Y Q&amp;A. Leer la presentacion, la llamada y sobre todo las preguntas de los analistas. Lo que se busca: crecimiento ORGANICO frente a adquirido, guia revisada al alza o a la baja, comentarios de margen y de precios, en que se esta gastando el capital, y que preguntas evita responder la direccion. El titular de ingresos casi nunca es el dato importante.</t>
  </si>
  <si>
    <t>3) RATINGS R1, R2 y R3. Solo se mueven si el paso 2 da un hecho nuevo, no por el movimiento del trimestre. Ejemplos reales del 22-ago-2026: crecimiento organico del 1% con un titular del 17% en Constellation (baja Capital Allocation de 15 a 13); capex al 35% de las ventas en Microsoft (baja Capital Intensity de 5 a 4); Biscoff creciendo un 20% en VOLUMEN y no solo en precio (sube Potential de Lotus de 13 a 14); un arancel que pasa de evento a coste recurrente en Rational (baja Risks de -7 a -8).</t>
  </si>
  <si>
    <t>4) FCF@5y Y MULTIPLOS DE SALIDA. Es el paso que de verdad cambia el valor futuro. Reglas:</t>
  </si>
  <si>
    <t xml:space="preserve">   - Rebasar SIEMPRE el FCF@5y si ha cambiado el FCF de partida. Si no, los crecimientos implicitos dejan de significar nada.</t>
  </si>
  <si>
    <t xml:space="preserve">   - Anclaje de multiplos: el multiplo bajista como maximo 0,75 veces el EV/FCF de hoy, y el alcista como maximo 1,25 veces. El escenario no puede inventarse un re-rating: la diferencia entre bajista y alcista tiene que venir del NEGOCIO, no de que el mercado pague mas.</t>
  </si>
  <si>
    <t xml:space="preserve">   - Test del caso bajista: si el escenario pesimista no pierde al menos un 15% sobre el precio de hoy, no es un caso bajista y hay que endurecerlo. Constellation y Brookfield tenian casos bajistas que GANABAN dinero.</t>
  </si>
  <si>
    <t xml:space="preserve">   - Comprobar al final el crecimiento anual implicito de cada escenario y preguntarse si se sostiene con lo leido en el paso 2.</t>
  </si>
  <si>
    <t>Solo cuando estan los cuatro pasos se puede hablar de asimetria. Con el paso 1 hecho y el 4 sin tocar, el valor futuro sigue calibrado contra unas cuentas que ya no existen.</t>
  </si>
  <si>
    <t>V (R2 Potential); BD; BF</t>
  </si>
  <si>
    <t>Framework 4 pasos: transcript/outlook -&gt; ratings -&gt; FCF@5y y multiplos</t>
  </si>
  <si>
    <t>Potential 14 -&gt; 15: Azure supero los 100.000 M$ anuales creciendo al 43% en el Q4. FCF@5y rebasado tras el FCF normalizado: min 102.853 -&gt; 145.000 (+3,0%/a) y max 153.471 -&gt; 220.000 (+12,0%/a). Los anteriores estaban calibrados sobre una base de 70.000 y con la nueva de 124.961 implicaban un -3,8% anual en el bajista y solo un +4,2% en el alcista. Multiplos 20-30 se mantienen: ya cumplen el anclaje sobre un EV/FCF de 28,4. Resultado: bajista -18%, alcista +85%.</t>
  </si>
  <si>
    <t>V (R2 Potential)</t>
  </si>
  <si>
    <t>Potential 13 -&gt; 14: Biscoff crecio mas del 20% en VOLUMEN y en ingresos a la vez en el 1S26, o sea que no es precio, y Natural Foods crecio un 17% en 2025 hasta ser un negocio de 300 M EUR.</t>
  </si>
  <si>
    <t>AA (R2 Risks)</t>
  </si>
  <si>
    <t>Risks -7 -&gt; -8: los aranceles de EE.UU. han pasado de evento a coste recurrente (el margen del 26,5% del 1S26 incluye 14 M EUR de devolucion; sin eso es 24,3%) y el Q2 se freno al +4% por China. Un -7 era la penalizacion mas baja del libro.</t>
  </si>
  <si>
    <t>BD; BF; BH; BI</t>
  </si>
  <si>
    <t>Caso bajista rehecho: no existia. El multiplo de salida bajista era 25x contra un EV/FCF actual de 17,7x, o sea que el escenario pesimista incluia expansion de multiplo, y ademas el FCF crecia al 10% anual. Queda min 4.350 -&gt; 3.100 (+2,8%/a) con multiplo 25 -&gt; 12, y max 6.200 -&gt; 5.200 (+14,0%/a) con multiplo 40 -&gt; 22. Motivo: el crecimiento organico del Q2 es del 3%, del 1% quitando divisa. Resultado: bajista -23%, alcista +142%.</t>
  </si>
  <si>
    <t>Mismo problema: multiplo bajista de 18x contra un EV/FCF actual de 17,7x y FCF creciendo al 9,3% anual en el escenario pesimista. Queda min 9.682 -&gt; 6.845 (+2,0%/a) con multiplo 18 -&gt; 13, y max 13.846 -&gt; 11.420 (+13,0%/a) con multiplo 25 -&gt; 22. El alcista sigue siendo generoso y esta justificado: capital con comisiones +19% hasta 672.000 M$, record de 77.000 M$ captados en el trimestre y 210.000 M$ desplegables. Resultado: bajista -21%, alcista +138%.</t>
  </si>
  <si>
    <t>BD; BF</t>
  </si>
  <si>
    <t>FCF@5y rebasado tras el FCF normalizado: min 72.933 -&gt; 93.500 (+4,0%/a) y max 109.218 -&gt; 161.500 (+16,0%/a) sobre la nueva base de 76.899. Multiplos 22,5-30 se mantienen: cumplen el anclaje sobre un EV/FCF de 36,9. Resultado: bajista -26%, alcista +72%.</t>
  </si>
  <si>
    <t>Framework Notes filas 61-72</t>
  </si>
  <si>
    <t>Documentado el framework de actualizacion en cuatro pasos: 1) financials y recalculo del LTM, 2) transcript y Q&amp;A buscando organico frente a adquirido, guia, margenes y en que se gasta el capital, 3) mover R1/R2/R3 solo si el paso 2 da un hecho nuevo, 4) rebasar FCF@5y y anclar los multiplos de salida (bajista como maximo 0,75x el EV/FCF actual, alcista como maximo 1,25x) con el test de que el caso bajista pierda al menos un 15%.</t>
  </si>
  <si>
    <t>12/11/2026</t>
  </si>
  <si>
    <t>2026-08-25</t>
  </si>
  <si>
    <t>10/09/2026</t>
  </si>
  <si>
    <t>25/02/2027</t>
  </si>
  <si>
    <t>20/11/2026</t>
  </si>
  <si>
    <t>09/11/2026</t>
  </si>
  <si>
    <t>03/11/2026</t>
  </si>
  <si>
    <t>11/08/2026</t>
  </si>
  <si>
    <t>BO9; BO10; BO16; BO65 (formato de fecha)</t>
  </si>
  <si>
    <t>Auditoria de fechas de resultados</t>
  </si>
  <si>
    <t>Bug de la sesion del 22-ago: al escribir "10/09/2026" via COM, Excel parsea en en-US y guarda mm/dd. DSGX quedo en 9-oct en vez de 10-sep, RAA en 8-jun en vez de 6-ago, LOTB en 8-jul en vez de 7-ago y CSU en 8-nov (fecha futura como "ultimos resultados") en vez de 11-ago. Las cuatro celdas se reescriben como TEXTO con formato "@", que es lo que usa el resto de la columna.</t>
  </si>
  <si>
    <t>AP; AQ; AS; AT; AU; AV; BD; BF; BO; BP</t>
  </si>
  <si>
    <t>Q1 FY2027 (6-ago-2026) + resultados FY2026 (8-may-2026)</t>
  </si>
  <si>
    <t>LTM a jun-2026: ingresos 2.000.000 -&gt; 2.258.501 MJPY (FY2026 2.313.000 menos Q1FY26 572.300 mas Q1FY27 517.800). EBITDA 550.000 -&gt; 461.600 (EBIT LTM 445.785 + D&amp;A 15.854). NOPAT 350.000 -&gt; 325.400 (27% de tipo efectivo). Caja 1.950.000 -&gt; 1.967.908 y deuda 20.000 -&gt; 0. FCF 330.000 -&gt; 262.620: es el FY2026 (289.789 de operaciones menos 27.169 de capex) porque Nintendo NO publica estado de flujos trimestral. Capex 27.169 &lt; 2x D&amp;A, asi que no se normaliza. FCF@5y rebasado sobre la nueva base manteniendo las CAGR implicitas (0% y 13%): min 330.000 -&gt; 262.620, max 608.004 -&gt; 483.861. Sin cambios de rating: el +150,5% de resultado operativo del Q1 lleva dentro unos 300 M$ de devolucion de aranceles (partida no recurrente) y el hardware de Switch 2 cayo un 34%; la guia del ejercicio se mantiene. AVISO: con estos numeros la asimetria de Nintendo queda mal, bajista -47% y alcista solo +16% total a 5 anos.</t>
  </si>
  <si>
    <t>AP; AQ; AS; AT; AU; AV; AZ; BD; BF; BO; BP</t>
  </si>
  <si>
    <t>Q2 2026 (6-ago-2026)</t>
  </si>
  <si>
    <t>Ingresos LTM 11.100 -&gt; 13.159 M$, FCF LTM 4.200 -&gt; 4.800 (dato de la propia compania, margen FCF LTM del 37%). EBITDA 3.500 -&gt; 2.874 por coherencia con el metodo del libro (EBIT + D&amp;A = 2.738 + 136); el 3.500 anterior era EBITDA ajustado con el SBC sumado. NOPAT 1.500 -&gt; 2.081. Caja mas inversiones a corto 11.000 -&gt; 12.069 y deuda 2.000 -&gt; 2.496. Capital empleado 4.000 -&gt; 10.662 (activo 28.754 menos pasivo corriente 18.092). El trimestre: ingresos +17%, GBV +16% hasta 27.200, noches +10% acelerando. FCF@5y: el max se rebasa a 9.655 manteniendo el 15,0%/a implicito, pero el min NO se rebasa mecanicamente porque con 6.126 el caso bajista solo perdia un 3%; se endurece a 5.100 (+1,2%/a) para cumplir el test del -15%. Sin cambios de rating: MOAT y Optionality ya se ajustaron el 21-ago.</t>
  </si>
  <si>
    <t>Q2 2026 (13-ago-2026)</t>
  </si>
  <si>
    <t>Ingresos LTM 36.000 -&gt; 35.628 MPLN, EBITDA 2.500 -&gt; 2.609 (EBIT 2.045 + D&amp;A 564), NOPAT 1.700 -&gt; 1.656 (19% CIT polaco). Caja 500 -&gt; 771, deuda 1.000 -&gt; 852, capital empleado 6.500 -&gt; 9.909. FCF NORMALIZADO: capex LTM 2.024 supera el doble del D&amp;A (1.128), asi que se aplica la regla del libro. Capex de mantenimiento = max(563,86 ; 1.012) = 1.012 y FCF = 2.693 - 1.012 = 1.681 en vez de los 669 reportados. Sin la normalizacion el EV/FCF salia 51x para un discounter que abre cientos de tiendas al ano; con ella queda en 20,3x. FCF@5y rebasado: min 1.234 -&gt; 1.900 (+2,5%/a, endurecido porque el rebase mecanico daba un caso bajista que GANABA un 30%) y max 2.052 -&gt; 3.381 (+15,0%/a, bajado desde el 24,0%/a implicito anterior porque no se sostiene con la nueva base).</t>
  </si>
  <si>
    <t>1S 2026 (6-ago-2026)</t>
  </si>
  <si>
    <t>LTM a jun-2026: ingresos 9.500 -&gt; 10.107 M EUR, EBITDA 2.250 -&gt; 2.319 (EBIT 1.904 + D&amp;A 414,5), NOPAT 1.450 -&gt; 1.409, FCF 1.300 -&gt; 1.340 (operaciones 1.567 menos capex 228). Caja 1.800 -&gt; 1.971 y deuda 4.300 -&gt; 7.724: la deuda estaba infravalorada en 3.400 M EUR, es el cambio mas importante de la fila. Capital empleado 9.500 -&gt; 15.683. FCF@5y rebasado manteniendo las CAGR (6,0% y 15,0%): min 1.740 -&gt; 1.794 y max 2.615 -&gt; 2.696. Sin cambios de rating. AVISO: el multiplo de salida bajista (13x, columna protegida) frente a un EV/FCF de 30,6x hace que el caso bajista pierda un 50%; casi todo viene del de-rating, no del negocio.</t>
  </si>
  <si>
    <t>1S 2026 (19-ago-2026)</t>
  </si>
  <si>
    <t>LTM a jun-2026: ingresos 2.600 -&gt; 2.637 MCHF, EBITDA 550 -&gt; 779 (EBIT 651,3 + D&amp;A 128), NOPAT 380 -&gt; 528. FCF 350 -&gt; 384 (FY2025 328,3 menos 1S25 113,6 mas 1S26 169,0). Caja 300 -&gt; 415 y deuda 700 -&gt; 475. Capital empleado 2.800 -&gt; 3.139, con lo que el ROIC pasa del 13,6% al 16,8%. El semestre: organico +7,8% (Q2 +8,5%, acelerando), margen core EBIT del 26,9% a tipos constantes (+90 pb) y guia del ejercicio confirmada al alza. FCF@5y rebasado manteniendo las CAGR (6,0% y 16,0%): min 468 -&gt; 514 y max 735 -&gt; 807. Sin cambios de rating: la aceleracion del organico confirma la tesis pero no aporta un hecho estructural nuevo.</t>
  </si>
  <si>
    <t>Q2 2026 (30-jul-2026)</t>
  </si>
  <si>
    <t>Ingresos LTM 17.500 -&gt; 25.833 M$, EBITDA 7.500 -&gt; 6.752 (EBIT 6.636 + D&amp;A 116), NOPAT 4.500 -&gt; 5.176. Caja 10.000 -&gt; 21.080 y deuda 60.000 -&gt; 56.164. FCF 4.200 -&gt; 5.000: se usa el beneficio neto ajustado LTM, mismo criterio que en Brookfield, y NO el FCF contable (2.340), que en una gestora consolidada con la aseguradora no significa nada. El calculo: FY2025 4.400 menos 1S25 (2.110) mas 1S26 (Q1 ~1.200 estimado + Q2 1.493 reportado) = ~4.980. PENDIENTE: el ANI del Q1 2026 es una estimacion, conviene sustituirlo por el dato publicado. El trimestre fue record en las tres metricas: FRE 1.214, TOE 1.539, ANI 1.493 (+38% por accion) y AUM 796.000. FCF@5y rebasado manteniendo las CAGR (7,0% y 20,0%): min 5.891 -&gt; 7.013 y max 10.451 -&gt; 12.442. AZ (capital empleado) NO se toca: activo menos pasivo corriente da 349.000 M$ y el ROIC resultante (1,5%) no significa nada en un balance consolidado con Global Atlantic y los vehiculos.</t>
  </si>
  <si>
    <t>Ingresos LTM 1.850 -&gt; 2.512 M$ (Q2 696,1, +36%). FCF 280 -&gt; 342 (operaciones 633,4 menos capex 291,5; capex &lt; 2x D&amp;A, no se normaliza). Caja mas inversiones a corto 1.800 -&gt; 4.163 y deuda 1.300 -&gt; 3.529. Capital empleado 3.500 -&gt; 3.846. CAMBIO IMPORTANTE DE SIGNO: en GAAP el resultado operativo LTM es -194,7 y el EBITDA (EBIT + D&amp;A) es -2,2, no +320. El NOPAT pasa de +50 a -195 y el ROIC de +1,4% a -5,1%. AVISO: el rating R2 Financials se bajo de 10 a 8 el 21-ago justificandolo con "ROIC 1,4%", una cifra que no esta en las cuentas; antes de volver a tocar el rating hay que decidir si esta fila se juzga en GAAP o en no-GAAP. El SBC LTM es 507,7 M$, el 20% de los ingresos, y todo el FCF se explica por sumarlo de vuelta. SEGUNDO AVISO: en el Q2 la compania anuncio una reestructuracion con recorte del 20% de la plantilla mientras los ingresos crecian un 36%; hay que leer la llamada antes de la proxima revision. La fila entera esta rota como valoracion: con un EV/FCF de 303x, el caso bajista pierde un 87% y el ALCISTA un 66%; los multiplos de salida (20-30x, columnas protegidas) no pueden capturar este precio.</t>
  </si>
  <si>
    <t>KRX</t>
  </si>
  <si>
    <t>AP; AQ; AS; AT; AU; AV; BD; BF; V (R2 Potential); BO; BP</t>
  </si>
  <si>
    <t>1S 2026 (7-ago-2026)</t>
  </si>
  <si>
    <t>LTM a jun-2026: ingresos 9.200 -&gt; 9.561 M EUR (FY2025 9.200 menos 1S25 4.496,3 mas 1S26 4.857,8), EBITDA 1.200 -&gt; 1.277, NOPAT 700 -&gt; 780. FCF 600 -&gt; 594 (FY2025 429,3 menos 1S25 -20,0 mas 1S26 144,3). Caja 800 -&gt; 590 y deuda 2.800 -&gt; 2.450, reconstruidas desde la deuda neta publicada de 1.859,8 y una liquidez disponible de 1.290 con 700 de credito no dispuesto. R2 Potential 13 -&gt; 14: hecho nuevo del paso 2, el segmento Advnsys (centros de datos) crecio un 36% en el semestre y la guia del ejercicio sube a 1.125 M EUR de trading profit (+18%) con ingresos que rompen los 10.000 M EUR por primera vez; es un vector de crecimiento nuevo, no el ciclo de la construccion europea. FCF@5y rebasado manteniendo las CAGR (4,0% y 15,0%): min 730 -&gt; 723 y max 1.207 -&gt; 1.195.</t>
  </si>
  <si>
    <t>CBAV</t>
  </si>
  <si>
    <t>AP; AT; AU; AV; BO; BP</t>
  </si>
  <si>
    <t>1S 2026 (29-jul-2026)</t>
  </si>
  <si>
    <t>Clinica Baviera. La fila llevaba sin tocarse desde el 26-abr y no tenia fecha de proximos resultados. LTM a jun-2026: ingresos 290 -&gt; 320 M EUR (FY2025 304,9 menos 1S25 154,5 mas 1S26 169,9), EBITDA 62 -&gt; 95, NOPAT 35 -&gt; 50. Caja 45 -&gt; 51,6. El semestre: ingresos +10%, EBITDA +14%, beneficio neto 26,7 (+17%), posicion financiera neta POSITIVA de 41,7 y capex de 12,4. Espana +11% en ingresos y +15% en EBITDA, Reino Unido +28%, Alemania plana con el EBITDA -11%. PENDIENTE: AQ (deuda 70) son pasivos por arrendamiento IFRS16, no deuda financiera; conviene decidir el criterio. El FCF (42) se deja como estaba: no hay estado de flujos semestral publicado.</t>
  </si>
  <si>
    <t>AP; AQ; AS; AT; AU; AV; AZ; BD; BF; T (R2 Financials); BO; BP</t>
  </si>
  <si>
    <t>Q2 2026 (29-jul-2026)</t>
  </si>
  <si>
    <t>La fila estaba MUY mal. Ingresos LTM 30.000 -&gt; 18.113 M EUR (un 65% de exceso), EBITDA 7.500 -&gt; 2.750 (EBIT 2.653 + D&amp;A 97), NOPAT 4.500 -&gt; 2.122, FCF 4.000 -&gt; 3.267. Y sobre todo el balance: la deuda pasa de 10.000 a 466 y la caja mas inversiones a corto de 5.000 a 6.985, o sea de 5.000 M EUR de deuda neta a 6.519 M EUR de CAJA NETA. Capital empleado 25.000 -&gt; 8.834. R2 Financials 12 -&gt; 13: el rating estaba calibrado contra un balance que no existe; con caja neta de 6.500 M EUR, FCF del 18% sobre ingresos y margen operativo del 14,7%, un 12 sobre 17 lo dejaba por debajo de companias claramente peor financiadas. FCF@5y rebasado manteniendo las CAGR (3,0% y 10,0%): min 4.637 -&gt; 3.787 y max 6.442 -&gt; 5.262. Resultado: bajista -20%, alcista +47%.</t>
  </si>
  <si>
    <t>LTM a jun-2026: ingresos 3.100 -&gt; 3.035 M EUR, EBITDA 700 -&gt; 664 (EBIT 549,7 + D&amp;A 113,9), NOPAT 420 -&gt; 412. Caja 800 -&gt; 711 y deuda 4.200 -&gt; 2.806: la deuda estaba sobrevalorada en 1.400 M EUR, la deuda neta real es 2.095. Capital empleado 5.500 -&gt; 7.090. FCF NORMALIZADO: capex LTM 245,6 supera el doble del D&amp;A (227,8), asi que capex de mantenimiento = max(113,9 ; 122,8) = 122,8 y FCF = 556,6 - 122,8 = 433,8 en vez de los 311 reportados; Campari sigue en ciclo de capacidad (agave y tequila). FCF@5y rebasado manteniendo las CAGR (3,0% y 11,0%): min 348 -&gt; 503 y max 506 -&gt; 731. El semestre: ventas 1.510 (+2,7% organico), EBIT ajustado 358 (+8,5% organico, margen 23,7% frente al 23,0%) y guia del ejercicio subida. Sin cambios de rating.</t>
  </si>
  <si>
    <t>AP; AQ; AS; AT; AU; AV; AZ; BD; BF; V (R2 Potential); BO; BP</t>
  </si>
  <si>
    <t>Q2 2026 (5-ago-2026)</t>
  </si>
  <si>
    <t>La fila estaba desfasada mas del doble. Ingresos LTM 230 -&gt; 489 M$ (Q2 129,2 + Q1 147,0 + Q4 118,9 + Q3 93,5), EBITDA 210 -&gt; 377 (EBIT 302,2 + agotamiento 74,8), NOPAT 140 -&gt; 257. Caja 80 -&gt; 35 y deuda 0 -&gt; 236, tras financiar Ravenswood. Capital empleado 1.800 -&gt; 2.539. FCF 190 -&gt; 395: se usa el flujo de operaciones LTM SIN restar capex. EXCEPCION EXPLICITA a la regla de FCF normalizado: el "capex" de 622 M$ del periodo son compras de streams (440 de Ravenswood), o sea M&amp;A de crecimiento, no reposicion; en una royalty el capex de sostenimiento es cero y el agotamiento es contable. R2 Potential 10 -&gt; 12: hecho nuevo, la guia de 2026 sube a 100.000-110.000 GEO y la de 2030 a 150.000-160.000, un recorrido de volumen del 9-10% anual que antes no estaba publicado. FCF@5y REHECHO, no rebasado: el min mecanico (503) daba un caso bajista que GANABA un 27%, asi que queda en 330 (-3,5%/a, reversion parcial del precio del oro); y el max mecanico (983) implicaba un 20,0%/a durante cinco anos mas sobre una base que acaba de duplicarse, asi que se ancla al 9,0%/a de la guia de volumen: 608. Resultado: bajista -18%, alcista +89%.</t>
  </si>
  <si>
    <t>AP; AQ; AS; AT; AU; AV; AZ; BO; BP</t>
  </si>
  <si>
    <t>Q2 2026 cerrado el 30-jun (4-ago-2026)</t>
  </si>
  <si>
    <t>Ferguson cambio de ejercicio fiscal: el cierre pasa del 31-jul al 31-dic y desde el 1-ene-2026 reporta por ano natural, asi que ahora hay resultados en agosto (antes no los habia y por eso la fila tenia mal el calendario). LTM a jun-2026: ingresos 30.000 -&gt; 31.446 M$, EBITDA 3.700 -&gt; 3.071 (EBIT 2.687 + D&amp;A 383,8), NOPAT 2.800 -&gt; 2.015. Caja 450 -&gt; 437 y deuda 4.000 -&gt; 6.887. Capital empleado 12.000 -&gt; 12.926. FCF 2.400 -&gt; 1.118 (operaciones 1.655 menos capex 537). PASO 4 DEJADO A PROPOSITO SIN HACER: con la nueva base y los multiplos de salida actuales (12-18x, columnas protegidas) frente a un EV/FCF de 47,7x, el rebase mecanico deja el caso ALCISTA perdiendo un 41%. Antes de rebasar hay que decidir si 1.118 es el FCF del ciclo o un ano con acumulacion de circulante: el beneficio neto LTM es 1.987 y la conversion historica de Ferguson ronda el 90%. BD y BF se quedan como estaban.</t>
  </si>
  <si>
    <t>Q2 2026 (4-ago-2026)</t>
  </si>
  <si>
    <t>LTM a jun-2026: ingresos 1.100 -&gt; 1.208 M$ (Q2 record de 418, +8%), EBITDA 270 -&gt; 313 (EBIT 243,6 + D&amp;A 69,2), NOPAT 190 -&gt; 183. Caja 50 -&gt; 6,5 y deuda 150 -&gt; 303. Capital empleado 900 -&gt; 1.176. FCF NORMALIZADO: capex LTM 150,1 supera el doble del D&amp;A (138,5), capex de mantenimiento = max(69,2 ; 75,0) = 75,0 y FCF = 358,1 - 75,0 = 283 en vez de los 208 reportados; Trex sigue levantando la planta de Arkansas. FCF@5y rebasado manteniendo las CAGR (0,0% y 14,0%): min 190 -&gt; 283 y max 366 -&gt; 545. Resultado: bajista -35%, alcista +99%.</t>
  </si>
  <si>
    <t>1S 2026 (30-jul-2026)</t>
  </si>
  <si>
    <t>La fila llevaba con datos del FY2025 desde febrero. LTM a jun-2026: ingresos 46.600 -&gt; 46.226 M EUR, EBITDA 6.800 -&gt; 7.337 (EBIT 4.976 + D&amp;A 2.361), NOPAT 3.000 -&gt; 3.632, FCF 2.400 -&gt; 3.378 (operaciones 5.327 menos capex 1.949). Caja 6.500 -&gt; 5.751 y deuda 15.000 -&gt; 17.270. Capital empleado 28.000 -&gt; 43.914 (activo 61.537 menos pasivo corriente 17.623), con lo que el ROIC queda en el 8,3%. FCF@5y rebasado manteniendo las CAGR (1,0% y 9,0%): min 2.522 -&gt; 3.550 y max 3.693 -&gt; 5.198. Sin cambios de rating. Es la fila mas barata del grupo revisado: EV/FCF de 15,3x, bajista -23% y alcista +78%.</t>
  </si>
  <si>
    <t>LTM a jun-2026: ingresos 790 -&gt; 707 M$, EBITDA 380 -&gt; 253 (EBIT 109,0 + D&amp;A 143,6), NOPAT 170 -&gt; 76. Caja 50 -&gt; 11,3 y deuda 430 -&gt; 517. FCF NORMALIZADO POR LA SEGUNDA CONDICION de la regla (FCF reportado negativo con flujo de operaciones positivo): operaciones 162,2, D&amp;A 143,6, capex 268,0; capex de mantenimiento = max(143,6 ; 134,0) = 143,6 y FCF = 18,6 frente a los -105,8 reportados y los 230 que habia en la hoja. Con Blackrod en construccion el capex es el 38% de las ventas y la compania no genera caja libre. PASO 4 DEJADO A PROPOSITO SIN HACER: rebasar FCF@5y sobre una base de 18,6 daria unas CAGR implicitas del 57% y el 85% anual, que no significan nada; la nota metodologica del libro ya dice que el FCF normalizado no sustituye a FCF@5y, que es la vision forward de post-Blackrod. BD y BF se quedan como estaban. Sin cambios de rating: Capital Intensity ya esta en 2 sobre 10, el minimo practico del libro.</t>
  </si>
  <si>
    <t>JDG</t>
  </si>
  <si>
    <t>BO; BP</t>
  </si>
  <si>
    <t>Calendario de Judges Scientific</t>
  </si>
  <si>
    <t>La fila no tenia ninguna de las dos fechas ("N/D") desde el 26-abr. Ultimos resultados: 31-mar-2026 (preliminares del FY2025). Proximos: 22-sep-2026, los del semestre cerrado el 30-jun-2026, con webinar de inversores el 23-sep. Financieros sin tocar: el semestre todavia no esta publicado.</t>
  </si>
  <si>
    <t>Calendario de Uber</t>
  </si>
  <si>
    <t>La fila tenia las dos fechas en "N/D" pese a haberse actualizado el 17-ago. Ultimos resultados: 5-ago-2026 (Q2 2026). Proximos: 3-nov-2026 (sin confirmar por la compania).</t>
  </si>
  <si>
    <t>BP7; BP13; BP21; BP36; BP58; BP65; BP10; BP16; BP9</t>
  </si>
  <si>
    <t>Calendario: proximos resultados vencidos</t>
  </si>
  <si>
    <t>Nueve filas tenian la fecha de proximos resultados ya pasada o igual a la de ultimos resultados, con lo que el disparador de revision no saltaba. Quedan: BN 12-nov, AMZN 29-oct, MNST 5-nov, KSPI 9-nov, CELH 5-nov, CSU 5-nov, RAA 5-nov, LOTB 25-feb-2027 (Lotus solo publica semestre y ejercicio) y DSGX 10-sep. Todas son estimaciones sobre el calendario del ano anterior salvo DSGX, que ya estaba confirmada.</t>
  </si>
  <si>
    <t>BM4:BM71 (Best IRR)</t>
  </si>
  <si>
    <t>Correccion del horizonte de anualizacion</t>
  </si>
  <si>
    <t>La TIR alcista se anualizaba a 4 anos y la bajista a 5: =(BK/G)^(1/4)-1 frente a =(BJ/G)^(1/5)-1. Las dos valoraciones salen de FCF@5y, asi que el horizonte correcto es 5 en las dos. Detectado el 21-ago-2026 y corregido hoy por indicacion expresa de Roger; BM esta en la lista de columnas protegidas de la skill, se toca solo por eso. Baja la TIR alcista de las 68 filas. Falta replicar el mismo cambio en repos/watchlist-dashboard/src/analytics.py, linea 263 (_reprice_valuation).</t>
  </si>
  <si>
    <t>Framework Notes filas 58 y 72</t>
  </si>
  <si>
    <t>Framework de actualizacion en 4 pasos</t>
  </si>
  <si>
    <t>Actualizada la lista de filas con FCF normalizado: se anaden DNP (23), CPR (44), TREX (55) e IPCO (63) a las que ya estaban (MSFT y AMZN), y se documenta la excepcion de TFPM (49), donde la regla se activa mecanicamente pero no se aplica porque el capex son compras de streams. Actualizado el estado de los cuatro pasos a 25-ago-2026. NOTA: esta fila se reescribe el 25-ago porque la entrada de la correccion de la TIR la piso al calcular la primera fila libre con UsedRange en vez de con End(xlUp).</t>
  </si>
  <si>
    <t>AV</t>
  </si>
  <si>
    <t>Refresco de LTM contra los ultimos cuatro trimestres publicados</t>
  </si>
  <si>
    <t>Brookfield. Solo se corrigen los ingresos LTM: 98.000 -&gt; 80.690 M$, la cifra GAAP publicada. AVISO: el resto de la fila es DELIBERADAMENTE de perimetro corporativo (caja 10.000, deuda 17.815, FCF 6.200 de beneficio distribuible), fijado el 22-ago. No se sustituye por el consolidado GAAP (deuda de 268.910 M$ incluyendo Global Atlantic y los vehiculos) porque daria un EV sin sentido. EBITDA (15.000) y NOPAT (5.500) siguen siendo cifras de relleno: necesitan una definicion explicita antes de tocarlas.</t>
  </si>
  <si>
    <t>AP; AQ; AS; AT; AU; AV; AZ; BD; BF</t>
  </si>
  <si>
    <t>Costco. FCF NORMALIZADO: capex LTM 6.190 supera el doble del D&amp;A (5.120); mantenimiento = max(2.560 ; 3.095) = 3.095 y FCF = 15.000 - 3.095 = 11.905 en vez de los 8.810 reportados. Abre unos 25-30 almacenes al ano, es capex de crecimiento.  Cambios: AP 12,500-&gt;20,000; AQ 7,500-&gt;8,230; AS 8,500-&gt;11,905; AT 7,500-&gt;8,445; AU 11,800-&gt;13,790; AV 287,790-&gt;293,590; AZ 40,000-&gt;44,305; BD 11,375-&gt;15,932; BF 14,980-&gt;20,981.</t>
  </si>
  <si>
    <t>Descartes. Q1 FY2027 cerrado el 30-abr-2026. CASO BAJISTA ENDURECIDO: asumia el FCF creciendo un 8,0% anual, que es su caso base, no el malo; Descartes crece a doble digito COMPRANDO. Un caso bajista es que pare la maquina de adquisiciones: queda en +0,8%/a y el escenario pasa de +13% a -18%.  Cambios: AP 356-&gt;377; AQ 0.0-&gt;8.1; AS 240-&gt;281; AT 160-&gt;176; AU 329-&gt;320; AV 729-&gt;754; AZ 950-&gt;1,676; BD 353-&gt;293; BF 504-&gt;590.</t>
  </si>
  <si>
    <t>Zscaler. CAMBIO DE SIGNO EN GAAP: resultado operativo LTM -135,0 y EBITDA -60,8, no +50 y +550. El FCF (963) sigue siendo real pero se explica por el SBC. Aparece deuda de 1.870 que la hoja tenia en cero. CASO BAJISTA ENDURECIDO: asumia +10,0% anual de FCF durante cinco anos, que es un caso base optimista; queda en +3,1%/a y pasa de +11% a -18%.  Cambios: AP 2,400-&gt;3,540; AQ 0.0-&gt;1,870.0; AS 730-&gt;963; AT 300-&gt;-135; AU 550-&gt;-61; AV 2,700-&gt;3,170; AZ 2,000-&gt;4,597; BD 1,176-&gt;1,122; BF 2,140-&gt;2,823.</t>
  </si>
  <si>
    <t>Schneider Electric. La deuda estaba infravalorada en 8.300 M EUR (12.500 -&gt; 20.810). Capital empleado 38.000 -&gt; 43.259, ROIC 12,6% -&gt; 13,2%.  Cambios: AP 3,500-&gt;4,520; AQ 12,500-&gt;20,810; AS 4,500-&gt;6,190; AT 4,800-&gt;5,727; AU 8,800-&gt;8,520; AV 39,500-&gt;42,040; AZ 38,000-&gt;43,259; BD 5,743-&gt;7,900; BF 8,291-&gt;11,405.</t>
  </si>
  <si>
    <t>Inditex. La hoja tenia DEUDA CERO; son 6.040 M EUR, practicamente todo pasivos por arrendamiento IFRS16 (coherente con un EBITDA post-IFRS16). Caja 11.500 -&gt; 10.800.  Cambios: AP 11,500-&gt;10,800; AQ 0.0-&gt;6,040.0; AS 6,500-&gt;7,040; AT 6,500-&gt;6,327; AU 11,000-&gt;9,510; AV 38,600-&gt;40,340; AZ 18,000-&gt;24,023; BD 7,908-&gt;8,565; BF 11,455-&gt;12,407.</t>
  </si>
  <si>
    <t>CTS Eventim. El FCF estaba inflado un 64% (450 -&gt; 274) y la deuda un 564% (800 -&gt; 120). Con el FCF correcto el EV/FCF sube de 11,1x a 16,3x, con lo que el multiplo de salida bajista de 12x YA NO esta por encima del actual: el defecto senalado el 21-ago se resuelve solo. CASO BAJISTA ENDURECIDO de +4,0% a +0,9%/a. AVISO: no se normaliza el FCF pese a que la regla se dispara, porque el D&amp;A de la fuente (38,5) es implausible para esta compania y el capex derivado no es fiable.  Cambios: AP 1,500-&gt;1,360; AQ 800-&gt;120; AS 450-&gt;274; AT 350-&gt;332; AU 630-&gt;529; AV 3,100-&gt;3,300; AZ 1,600-&gt;1,573; BD 547-&gt;287; BF 866-&gt;527.</t>
  </si>
  <si>
    <t>Veralto. Fila que ya estaba casi bien: solo cambian caja (1.000 -&gt; 2.120) y deuda (2.500 -&gt; 3.590). El capital empleado de 6.500 era correcto.  Cambios: AP 1,000-&gt;2,120; AQ 2,500-&gt;3,590; AS 1,100-&gt;1,050; AT 1,000-&gt;1,062; AU 1,350-&gt;1,390; AV 5,500-&gt;5,700; AZ 6,500-&gt;6,501; BD 1,338-&gt;1,277; BF 1,939-&gt;1,851.</t>
  </si>
  <si>
    <t>Judges Scientific. NOPAT sobrevalorado mas del doble (18 -&gt; 8,4): el margen operativo real es del 8,5%, no del 12%. Deuda 55 -&gt; 65,2 y capital empleado 120 -&gt; 158,5, con lo que el ROIC cae del 15% al 5,3%. CASO BAJISTA ENDURECIDO: asumia +6,2% anual justo despues de que la compania rebajara expectativas por la debilidad de EE.UU.; queda en +1,4%/a y pasa de +8% a -18%.  Cambios: AP 10-&gt;19; AQ 55-&gt;65; AS 20-&gt;24; AT 18-&gt;8; AU 30-&gt;29; AV 145-&gt;146; AZ 120-&gt;158; BD 27-&gt;26; BF 46-&gt;56.</t>
  </si>
  <si>
    <t>Meta. FCF NORMALIZADO: capex LTM 89.320 (el 39% de las ventas) frente a un D&amp;A de 22.730; mantenimiento = max(22.730 ; 44.660) = 44.660 y FCF = 130.300 - 44.660 = 85.640 en vez de los 40.980 reportados. Mismo caso que Amazon y Microsoft. CASO BAJISTA REHECHO: con la base nueva el escenario malo GANABA un 39%; para que sea un caso bajista de verdad el FCF tiene que CAER un 5,4% anual, que es justo la tesis de que el capex de IA no se paga. Queda en -18%.  Cambios: AP 68,000-&gt;90,260; AQ 30,000-&gt;112,320; AS 50,000-&gt;85,640; AT 55,000-&gt;67,631; AU 95,000-&gt;109,660; AV 164,000-&gt;228,250; AZ 190,000-&gt;393,577; BD 63,814-&gt;65,043; BF 105,017-&gt;179,873.</t>
  </si>
  <si>
    <t>CrowdStrike. CAMBIO DE SIGNO EN GAAP: resultado operativo LTM -160,4 y EBITDA 59,3, no +700 y +1.400. ROIC +20,0% -&gt; -2,2%. AVISO: la fila esta rota como valoracion, con un EV/FCF de 127x el bajista pierde un 71% y el ALCISTA un 24%; los multiplos de salida (columnas protegidas) no pueden capturar este precio. Mismo problema que Cloudflare.  Cambios: AP 4,400-&gt;4,550; AQ 750-&gt;821; AS 1,200-&gt;1,510; AT 700-&gt;-160; AU 1,400-&gt;59; AV 4,000-&gt;5,090; AZ 3,500-&gt;7,154; BD 2,115-&gt;2,661; BF 3,811-&gt;4,796.</t>
  </si>
  <si>
    <t>Alphabet. FCF NORMALIZADO: capex LTM 132.410 frente a un D&amp;A de 25.530; mantenimiento = max(25.530 ; 66.205) = 66.205 y FCF = 185.680 - 66.205 = 119.475 en vez de los 53.270 reportados. Capital empleado 350.000 -&gt; 795.872, ROIC 27,1% -&gt; 15,1%.  Cambios: AP 110,000-&gt;242,470; AQ 15,000-&gt;120,790; AS 75,000-&gt;119,475; AT 95,000-&gt;120,466; AU 148,000-&gt;173,160; AV 350,000-&gt;445,870; AZ 350,000-&gt;795,872; BD 95,721-&gt;152,484; BF 150,852-&gt;240,307.</t>
  </si>
  <si>
    <t>ABB. Los numeros de la hoja estaban en el orden de magnitud pero no eran los publicados. OJO: ABB reporta en USD y cotiza en CHF; se han tomado las cifras del ADR (ABBNY) para que cuadren con la columna AO=USD y con el factor E5.  Cambios: AP 5,000-&gt;5,860; AQ 7,500-&gt;9,150; AS 4,200-&gt;4,870; AT 4,500-&gt;4,811; AU 6,200-&gt;7,150; AV 33,500-&gt;35,750; AZ 22,000-&gt;27,296; BD 5,110-&gt;5,925; BF 7,402-&gt;8,583.</t>
  </si>
  <si>
    <t>Garmin. Deuda 0 -&gt; 227 y capital empleado 4.800 -&gt; 9.341, con lo que el ROIC baja del 25,0% al 18,8%. El capex (380) queda justo en el doble del D&amp;A (190), asi que NO se normaliza.  Cambios: AP 3,500-&gt;2,670; AQ 0.0-&gt;227.0; AS 1,300-&gt;1,600; AT 1,200-&gt;1,754; AU 1,650-&gt;2,310; AV 6,300-&gt;7,670; AZ 4,800-&gt;9,341; BD 1,582-&gt;1,947; BF 2,395-&gt;2,948.</t>
  </si>
  <si>
    <t>Nvidia. LTM al 26-abr-2026 (el Q2 FY2027 se publica el 26-ago). Ingresos 130.000 -&gt; 253.490. FCF NORMALIZADO por la regla, aunque el disparador salta por poco (capex 6.570 frente a 6.440) y el efecto es solo del 2,8%: 119.080 -&gt; 122.365. CASO ALCISTA CON TOPE: la CAGR heredada del 32% anual sobre la base nueva daba un FCF de 490.000 M$ en 2031, mas que los ingresos de toda la industria hoy; se baja al 18%/a (279.941). El alcista pasa del +184% al +62%.  Cambios: AP 40,000-&gt;53,170; AQ 10,000-&gt;12,810; AS 60,000-&gt;122,365; AT 75,000-&gt;136,729; AU 90,000-&gt;165,510; AV 130,000-&gt;253,490; AZ 90,000-&gt;215,590; BD 88,160-&gt;179,795; BF 240,448-&gt;279,942.</t>
  </si>
  <si>
    <t>TSMC. FCF NORMALIZADO: capex LTM 46.770 (el 34% de las ventas) frente a un D&amp;A de 21.290; mantenimiento = 23.385 y FCF = 59.255 en vez de los 35.870 reportados. Capital empleado 120.000 -&gt; 244.100 (activo menos pasivo corriente en TWD convertido a unos 30,8 TWD/USD), ROIC 41,7% -&gt; 26,6%, que ya es creible. CASO ALCISTA CON TOPE del 22% al 16% anual por la misma razon que Nvidia.  Cambios: AP 60,000-&gt;110,580; AQ 30,000-&gt;33,590; AS 35,000-&gt;59,255; AT 50,000-&gt;65,027; AU 75,000-&gt;99,560; AV 122,400-&gt;139,570; AZ 120,000-&gt;244,100; BD 51,426-&gt;87,064; BF 94,595-&gt;124,456.</t>
  </si>
  <si>
    <t>Sika. Caja 1.200 -&gt; 625 y deuda 4.700 -&gt; 6.080: la deuda neta real es 5.455, no 3.500. El capital empleado de 12.500 era correcto.  Cambios: AP 1,200-&gt;625; AQ 4,700-&gt;6,080; AS 1,100-&gt;1,320; AT 1,250-&gt;1,173; AU 2,100-&gt;1,940; AV 11,760-&gt;11,110; AZ 12,500-&gt;12,207; BD 1,275-&gt;1,530; BF 1,854-&gt;2,225.</t>
  </si>
  <si>
    <t>Check Point. FCF 1.300 -&gt; 1.100, caja 3.000 -&gt; 2.280 y aparece deuda de 1.970 que la hoja tenia en cero. El EV/FCF sube de 7,9x a 11,8x y el caso bajista pasa de -12,9% a -43%: el defecto del test bajista se resuelve solo con el dato correcto. Sigue siendo la fila mas barata del libro.  Cambios: AP 3,000-&gt;2,280; AQ 0.0-&gt;1,970.0; AS 1,300-&gt;1,100; AT 1,000-&gt;682; AU 1,250-&gt;846; AV 2,730-&gt;2,760; AZ 1,200-&gt;5,759; BD 1,435-&gt;1,214; BF 2,094-&gt;1,772.</t>
  </si>
  <si>
    <t>Netflix. FCF NORMALIZADO (disparador por poco, efecto del 3,7%): capex 820 frente a un D&amp;A de 380; mantenimiento = 410 y FCF = 11.560. Caja 12.250 -&gt; 9.130 y deuda 14.360 -&gt; 16.650.  Cambios: AP 12,250-&gt;9,130; AQ 14,360-&gt;16,650; AS 11,900-&gt;11,560; AT 13,800-&gt;11,876; AU 14,000-&gt;14,730; AV 46,900-&gt;48,370; AZ 28,000-&gt;46,315; BD 14,500-&gt;14,086; BF 20,000-&gt;19,429.</t>
  </si>
  <si>
    <t>Nike. LO QUE SENALABA LA NOTA DEL 21-AGO, CORREGIDO: el FCF LTM pasa de 5.000 a 2.180 M$ reales del FY2026 (cerrado el 31-may-2026) y los ingresos de 51.000 a 46.400. El EV/FCF real es 28,7x, no 12,4x. LA ASIMETRIA SE INVIERTE: el caso bajista pasa de +13,3% a -53% y el alcista de +30% a +13%. Con el dato correcto el multiplo de salida bajista de 14x ya no esta por encima del EV/FCF actual: el defecto del 21-ago se resuelve solo.  Cambios: AP 8,000-&gt;9,030; AQ 9,500-&gt;11,040; AS 5,000-&gt;2,180; AT 4,800-&gt;3,331; AU 7,500-&gt;4,930; AV 51,000-&gt;46,400; AZ 20,000-&gt;25,863; BD 5,000-&gt;2,180; BF 7,693-&gt;3,354.</t>
  </si>
  <si>
    <t>AP; AQ; AS; AT; AU; AV; BD; BF</t>
  </si>
  <si>
    <t>Interpump. Cifras ya casi correctas del 21-ago, se ajustan a las publicadas. CASO BAJISTA ENDURECIDO: asumia +2,5% anual para un industrial ciclico; un caso malo de verdad es que el FCF CAIGA un 3,0% anual. Pasa de +11% a -18%.  Cambios: AP 416-&gt;370; AQ 707-&gt;675; AS 230-&gt;263; AT 236-&gt;229; AU 456-&gt;446; AV 2,080-&gt;2,080; BD 260-&gt;226; BF 480-&gt;549.</t>
  </si>
  <si>
    <t>Robertet. Cifras del 21-ago ya correctas, se ajustan caja (142,3 -&gt; 180,7) y EBITDA (174 -&gt; 167,2). CASO BAJISTA ENDURECIDO de +6,6% a +4,2%/a: un +6,6% anual durante cinco anos no es un escenario malo para una casa de fragancias cuya conversion de EBITDA a FCF esta en el 40%.  Cambios: AP 142-&gt;181; AQ 253-&gt;253; AS 67-&gt;67; AT 107-&gt;108; AU 174-&gt;167; AV 844-&gt;844; BD 92-&gt;82; BF 145-&gt;145.</t>
  </si>
  <si>
    <t>Roko. Deuda 4.887 -&gt; 3.020 y capital empleado 9.895. El caso bajista (FCF plano, 0%/a) esta bien planteado y NO se toca; lo que hace que solo pierda un 1% es el multiplo de salida bajista de 22x contra un EV/FCF de 21,9x, o sea que el escenario malo casi no incluye de-rating. BH es columna protegida: queda como aviso.  Cambios: AP 500-&gt;435; AQ 4,887-&gt;3,020; AS 1,150-&gt;1,150; AT 891-&gt;893; AU 1,750-&gt;1,560; AV 7,091-&gt;7,090; AZ 10,160-&gt;9,895; BD 1,150-&gt;1,150; BF 1,900-&gt;1,900.</t>
  </si>
  <si>
    <t>Framework Notes fila 58</t>
  </si>
  <si>
    <t>Refresco de LTM</t>
  </si>
  <si>
    <t>Se anaden a la lista de filas con FCF normalizado: COST (8), META (28), GOOG (32), NVDA (38), TSM (40) y NFLX (50). Con MSFT, AMZN, DNP, CPR, TREX e IPCO son doce. Todas cumplen el disparador escrito (capex del periodo por encima del doble del D&amp;A, o FCF reportado negativo con flujo de operaciones positivo); NVDA y NFLX lo cumplen por poco y el efecto es del 2,8% y el 3,7%, se aplican igual para no elegir a dedo.</t>
  </si>
  <si>
    <t>BD de DSGX, ZS, EVD, JDG, META, IP, RBT</t>
  </si>
  <si>
    <t>Revision del realismo del caso bajista</t>
  </si>
  <si>
    <t>Roger pidio comprobar si el caso bajista era demasiado optimista en las once filas que no perdian un 15%. Diagnostico: en ocho de ellas el escenario MALO asumia que el FCF CRECIA, entre un +2,5% y un +10,0% anual durante cinco anos, que no es un caso bajista sino un caso base. Se endurece el FCF@5y minimo en siete (ZS +10,0-&gt;+3,1; DSGX +8,0-&gt;+0,8; RBT +6,6-&gt;+4,2; JDG +6,2-&gt;+1,4; META +5,0-&gt;-5,4; EVD +4,0-&gt;+0,9; IP +2,5-&gt;-3,0). NO se tocan: ROKO B (el 0%/a esta bien, el problema es el multiplo de salida, columna protegida), BN (el beneficio distribuible es contratado y el escenario se fijo a proposito el 22-ago), CHKP y NKE (se arreglan solos al corregir el LTM) y SOM (publica el 8-sep, se revisa entonces).</t>
  </si>
  <si>
    <t>ninguno</t>
  </si>
  <si>
    <t>Somero no ha publicado el semestre: los resultados del 1S2026 son el 8-sep-2026, la fecha que ya tenia la hoja. AVISO PARA ENTONCES: los ingresos LTM de la hoja son 64,9 M$ y la actualizacion de trading de julio situa las expectativas de mercado para 2026 en 86,0 M$ de ingresos y 15,9 M$ de EBITDA ajustado; la cifra de la hoja parece corta. Su caso bajista asume el FCF creciendo un 6,5% anual para un ciclico puro de construccion no residencial en EE.UU., lo que tambien habra que endurecer.</t>
  </si>
  <si>
    <t>Estado a 25-ago-2026: los cuatro pasos hechos en AMZN, MSFT, CSU, BN, COST, LIFCO B, RAA y LOTB (22-ago); en NTO, ABNB, DNP, LR, STMN, KKR, KRX, SPOT, CPR, TFPM, TREX y SGO (25-ago, resultados nuevos); y en COST, DSGX, ZS, SU, ITX, EVD, VLTO, JDG, META, GOOG, ABBNE, GRMN, NVDA, TSM, SIKA, CHKP, NFLX, NKE, IP, RBT y ROKO B (25-ago, refresco de LTM). Con los pasos 1-3 hechos y el 4 pendiente a proposito: FERG, IPCO, NET y CRWD (estas dos con EV/FCF de 303x y 127x, los multiplos de salida no pueden capturar el precio). Pendientes de publicar: VEEV y NVDA el 26-ago, EVD y S el 27-ago, SOM el 8-sep, DSGX el 10-sep, JDG el 22-sep.</t>
  </si>
  <si>
    <t>T (R2 Financials)</t>
  </si>
  <si>
    <t>Deep dive 25-ago-2026</t>
  </si>
  <si>
    <t>Cloudflare. R2 Financials 8 -&gt; 7. El 8 se puso el 21-ago justificandolo con un ROIC del 1,4% que no esta en las cuentas: en GAAP el margen operativo LTM es -7,8% y el ROIC -5,1%. Aun quitando los hasta 165 M$ de cargos de reestructuracion (125 en caja, 35 en SBC), el margen seria -2,6%. El SBC son 508 M$, el 20% de los ingresos, y ES el FCF. A favor: ingresos +36% en el Q2 y caja neta de 634 M$. A vigilar: el recorte del 20% de la plantilla del 7-may es una apuesta por un modelo operativo agentic-AI que toca soporte y no la fuerza comercial. VALORACION: con un EV/FCF de 285x, para que el caso alcista solo EMPATE con el precio de hoy hace falta un FCF a 5 anos de 3.253 M$, un 56,9% anual. Los multiplos de salida (20x/30x) ya son los mas altos del libro, los mismos que Microsoft y Costco. No es un problema de multiplo: el precio esta fuera del marco.</t>
  </si>
  <si>
    <t>CrowdStrike. R2 Potential 15 -&gt; 16. Hecho nuevo del Q1 FY2027 (3-jun-2026): ARR 5.510 M$ +24%, net new ARR record de 256 M$ +32%, ingresos +26% con CUATRO trimestres consecutivos de aceleracion y guia de net new ARR subida 520 pb. La recuperacion del apagon de 2024 esta completa y la consolidacion de plataforma funciona. FCF record de 468 M$ en el trimestre, 1.510 LTM con margen del 29,7%. En GAAP sigue en perdidas (-160 M$ operativo) por el SBC; R2 Financials se deja en 12 porque un margen FCF del 29,7% lo justifica. VALORACION: EV/FCF de 121x. Para que el alcista empate hace falta un FCF a 5 anos de 6.098 M$, un 32,2% anual, que es justo lo que crece hoy el net new ARR: a diferencia de Cloudflare NO es imposible, pero exige que se cumpla el escenario bueno entero solo para no perder dinero.</t>
  </si>
  <si>
    <t>T (R2 Financials); AH (R3 Financing Source); AP; AQ; AS; AT; AU; AV; AZ; BD; BF</t>
  </si>
  <si>
    <t>SentinelOne. R2 Financials 6 -&gt; 7 y R3 Financing Source 0 -&gt; 1. Inflexion real en el Q1 FY2027 (28-may-2026): primer resultado operativo NON-GAAP positivo de su historia (+10,5 M$ frente a -3,9), guia de margen operativo FY27 del 10% (+650 pb), ARR 1.163 M$ +23% y net new ARR record de 44 M$ +55%. Ya no necesita levantar capital: 657 M$ de caja e inversiones a corto mas 156 a largo, sin deuda, y FCF LTM positivo de 62 M$. En contra: en GAAP el resultado operativo LTM es -301 M$, el 29% de los ingresos, y recortaron un 8% de plantilla. Financials corregidos: caja 1.100 -&gt; 657 (el 1.100 incluia inversiones a largo), ingresos 815 -&gt; 1.050, EBITDA 10 -&gt; -259, NOPAT -20 -&gt; -301. VALORACION: EV/FCF de 101x sobre una base de FCF de solo 62 M$. Para que el alcista empate hacen falta 241 M$ a cinco anos, un 31,2% anual, alcanzable con ingresos al 21% y el margen yendo del 6% al 15%. Es la unica de las tres de ciber cuyo caso alcista casi cuadra: -4%.</t>
  </si>
  <si>
    <t>V (R2 Potential); AA (R2 Risks); AP; AQ; AS; AT; AU; AV; AZ; BD; BF</t>
  </si>
  <si>
    <t>Mips AB. R2 Potential 10 -&gt; 12 y R2 Risks -12 -&gt; -13. El Q2 2026 (16-jul) cambia la tesis: ventas +72% (organico +42%), margen EBIT ajustado del 46,7% frente al 40,4% y sobre todo el segmento Safety +604% (organico +80%) por la compra de KOROYD y los cascos de ala completa. Deja de ser una historia de un solo ciclo (bici y nieve) y gana una segunda pata industrial: por eso sube Potential. Baja Risks porque aparece la primera grieta en el foso: pagan 3,25 M$ a BrainGuard para cerrar un pleito de infraccion de patente, con unos 35 MSEK de impacto en el Q3. En un negocio que ES una patente, perder un pleito no es un gasto, es informacion. Financials: aparece deuda de 331 MSEK (Koroyd) donde la hoja tenia cero, capital empleado 350 -&gt; 1.185 y el ROIC baja del 40,9% al 16,1%. VALORACION: EV/FCF 58,7x. Para empatar hace falta un 21,1% anual durante cinco anos; el alcista se fija en el 18%, ya agresivo para un licenciador de IP expuesto al ciclo del casco.</t>
  </si>
  <si>
    <t>AF (R3 Capital Intensity); AP; AQ; AS; AT; AU; AV; AZ; BD; BF</t>
  </si>
  <si>
    <t>Lotus Bakeries. R3 Capital Intensity 7 -&gt; 6. El 1S2026 (7-ago) confirma la calidad -ingresos 749,1 M EUR +14%, EBITDA subyacente 156,3 +20,9%, beneficio neto 98,1 +23,5%, Biscoff creciendo mas del 20% en VOLUMEN y no solo en precio, y la planta de Tailandia en la parte alta de las expectativas- y a la vez que el negocio se vuelve mas intensivo en capital: capex de 2026 y 2027 por encima de 250 M EUR combinados y compromiso de al menos 500 M EUR a cinco anos entre Mebane, Lembeke y Chonburi. El capex LTM (101,8) es 2,7 veces el D&amp;A (37,7). FCF NORMALIZADO: mantenimiento = max(37,7 ; 50,9) = 50,9 y FCF = 233,5 - 50,9 = 182,6 en vez de los 131,7 reportados. Financials corregidos: caja 100 -&gt; 274, deuda 200 -&gt; 409 (deuda neta 115,4, o sea 0,3x EBITDA), capital empleado 800 -&gt; 1.309. VALORACION: EV/FCF de 59,2x, la mas cara del libro entre las de calidad alta. El alcista se rebasa al 18% anual desde el negocio; para EMPATAR harian falta 433, un 18,8% anual. Lotus a este precio descuenta exactamente lo que esta entregando hoy, sin margen.</t>
  </si>
  <si>
    <t>V (R2 Potential); AP; AQ; AS; AT; AU; AV; AZ; BD; BF</t>
  </si>
  <si>
    <t>Monster Beverage. R2 Potential 11 -&gt; 12. Hecho nuevo del Q2 2026 (6-ago): ventas 2.540 M$ +20,2%, primera vez por encima de 2.500; margen bruto 55,9%; y sobre todo INTERNACIONAL 1.160 M$ +34,6%, ya el 46% del negocio frente al 41% de hace un ano. El motor de crecimiento ya no es Estados Unidos y eso alarga el recorrido. En contra: el segmento de alcohol cae un 15,2%, o sea que la diversificacion fuera de la bebida energetica no funciona. Split 2:1 el 11-ago. Financials corregidos: caja 4.201 -&gt; 3.419, aparece deuda de 93, FCF 1.800 -&gt; 2.100, capital empleado 5.164 -&gt; 9.665 (ROIC 22,3%). VALORACION: el EV/FCF baja de 50,5x a 43,7x con el dato correcto. Alcista rebasado al 14% anual desde el negocio; para empatar harian falta 4.171, un 14,7% anual. Se queda a un pelo, y la razon es el multiplo de salida alcista de 22x contra un EV/FCF de 43,7x: es la unica fila del grupo donde lo que rompe el caso es el multiplo y no el crecimiento.</t>
  </si>
  <si>
    <t>AA (R2 Risks); AP; AQ; AS; AT; AU; AV; AZ; BD; BF</t>
  </si>
  <si>
    <t>TFF Group. R2 Risks -13 -&gt; -14. El ejercicio cerrado el 30-abr-2026 (publicado el 16-jul) es un desplome: ingresos 312,75 M EUR frente a 425,43, un -26,5% publicado y -23,4% a tipo constante; EBITDA 48,2 -40%; beneficio neto 9,20 -71,1%, el 2,9% de las ventas; dividendo recortado de 0,50 a 0,40 EUR. La amplitud del ciclo es mayor de lo que asumia el rating. LO IMPORTANTE, Y ES BUENA NOTICIA: la fila estaba MAL. La caja real son 97,2 M EUR y no 25 (subio 17,5 en el ano) y el FCF LTM es 59,1 y no 25, porque al frenar la produccion liberan el circulante inmovilizado en madera. La deuda neta baja a 285,2 desde 314. Con los datos correctos el EV/FCF pasa de 28,1x a 11,0x y el FVE minimo DEJA DE SER NEGATIVO: ese defecto era un error de datos, no de formula. VALORACION: bajista -81% y alcista +180%. El bajista es tan duro porque el multiplo de salida de 6x es solo el 55% del actual, punitivo para un ciclico en el suelo. Ver la recomendacion de subirlo a 8x.</t>
  </si>
  <si>
    <t>AE (R3 Risk of Disappearance); AP; AQ; AS; AT; AU; AV; AZ; BD; BF</t>
  </si>
  <si>
    <t>Oatly. R3 Risk of Disappearance -10 -&gt; -12. La revision del 21-ago recogio bien la mejora operativa (Q2 del 22-jul: ingresos +15,2%, margen bruto 33,9%, adj EBITDA +0,4 M$ frente a -3,6, guia subida al 8-10%) pero no miro el balance en detalle. Al hacerlo: pasivo corriente de 574,9 M$ contra un activo total de 744, deuda de 549,1 contra 44,6 de caja, capital empleado de solo 169 y Altman Z de -1,9. El FCF LTM sigue negativo (-21,9) aunque mejorando desde -50. La operativa mejora de verdad; la estructura de capital es lo que puede matarla antes de que la mejora llegue. Financials corregidos: ingresos 830 -&gt; 925, EBITDA -10 -&gt; -13,6, NOPAT -100 -&gt; -49,2, capital empleado 650 -&gt; 169. VALORACION: el FVE minimo negativo NO es aqui un error de datos: con un FCF terminal cercano a cero y 504 M$ de deuda neta, en el caso bajista la accion vale cero. Lo que si es un defecto de formula es que la TIR lo exprese como -200% anual en vez de topar en -100%. BD se pone en 0 y BF se deja en 114.</t>
  </si>
  <si>
    <t>AT (NOPAT); AU (EBITDA)</t>
  </si>
  <si>
    <t>Metricas non-GAAP por indicacion de Roger</t>
  </si>
  <si>
    <t>Brookfield. Se sustituyen las cifras de relleno por las metricas que la compania reporta y que son las que tienen sentido en una gestora: NOPAT 5.500 -&gt; 5.700, que es el DISTRIBUTABLE EARNINGS ANTES DE REALIZACIONES de los ultimos doce meses (2,39 $/accion), la parte recurrente y no grumosa; y EBITDA 15.000 -&gt; 5.700, porque en Brookfield no existe analogo de EBITDA y la columna AX debe leerse como EV / DE antes de realizaciones (19,5x). El FCF sigue en 6.200, el DE TOTAL incluyendo realizaciones (2,61 $/accion). El Q2 2026 fue record: DE antes de realizaciones 1.400 M$ +15% y DE total 1.500. AVISO: no se tocan caja ni deuda, que son de perimetro CORPORATIVO a proposito (10.000 y 17.815); el consolidado GAAP trae 268.910 M$ de deuda de Global Atlantic y de los vehiculos y daria un EV sin sentido. AZ (90.000) sigue sin base publicada.</t>
  </si>
  <si>
    <t>Se anade LOTB (16) a la lista de filas con FCF normalizado: capex LTM 101,8 frente a un D&amp;A de 37,7, con un compromiso publicado de al menos 500 M EUR de capacidad Biscoff a cinco anos. Con ella son trece.</t>
  </si>
  <si>
    <t>Filas normalizadas a 25-ago-2026 (doce): MSFT (5), COST (8), AMZN (13), DNP (23), META (28), GOOG (32), NVDA (38), TSM (40), CPR (44), NFLX (50), TREX (55) e IPCO (63). CONDICION ANADIDA EL 25-AGO: la normalizacion solo vale si el capex elevado es TEMPORAL. Si el capex lleva TRES O MAS EJERCICIOS SEGUIDOS por encima del doble del D&amp;A, no es una fase de inversion, es como funciona el negocio, y entonces se usa el FCF reportado. Por eso sale LOTB (16): capex sobre D&amp;A de 1,9x-5,1x-2,1x-3,3x-2,9x-2,7x en seis ejercicios seguidos y 500 M EUR mas comprometidos hasta 2030. Normalizarlo inflaba su FCF un 39% y su EV/FCF pasaba de 81,9x a 59,2x. PENDIENTE: pasar este mismo test a las doce restantes. EXCEPCIONES ya documentadas: TFPM (49), capex que son compras de streams; EVD (20), D&amp;A de la fuente no fiable.</t>
  </si>
  <si>
    <t>OJO: el FCF normalizado NO sustituye a las columnas FCF@5y, que siguen siendo la vision forward y la base de la valoracion. El normalizado solo sirve para que el EV/FCF de cribado signifique algo durante el ciclo de inversion. Y ADVERTENCIA DEL 25-AGO: hay negocios cuyo FCF a traves del ciclo no existe porque el beneficio se reinvierte en circulante, no en activo fijo. TFF Group es el caso extremo del libro: FCF acumulado de -25,3 M EUR en cinco ejercicios (18,0 / -29,2 / -55,7 / -17,5 / +59,1), y el unico ano bueno es el de desalmacenamiento de madera. En esos casos el EV/FCF da falsos positivos en el suelo y falsos negativos en la recuperacion: la metrica honesta es EV/EBITDA.</t>
  </si>
  <si>
    <t>AS; BD; BF</t>
  </si>
  <si>
    <t>Deep dive 2a version - se retira la normalizacion del FCF</t>
  </si>
  <si>
    <t>Lotus Bakeries. RECTIFICA LA ENTRADA DE ESTA MANANA. Se retira el FCF normalizado: AS vuelve de 182,6 a 131,7 M EUR (el reportado) y el EV/FCF pasa de 59,2x a 82,2x. Motivo: la regla del libro se escribio para un PICO temporal de capex (caso Amazon/Microsoft), y en Lotus no hay pico sino REGIMEN - el capex supera el doble del D&amp;A en cinco de los ultimos seis ejercicios (1,90x - 5,09x - 2,07x - 3,33x - 2,89x - 2,70x) y hay 500 M EUR mas comprometidos hasta 2030. El dato que lo cierra: en cinco ejercicios el FCF acumulado es 302,9 M EUR contra un beneficio neto acumulado de 648,2, o sea una CONVERSION DE CAJA DEL 47% sostenida. BD/BF rebasados sobre el FCF reportado: 185 (+7,0%/a) y 243 (+13,0%/a, el organico de Biscoff en 2025). Resultado: bajista -75% y alcista -44%. TAMBIEN SE RETIRA la recomendacion de subir los multiplos de 15x/25x a 17x/28x: era contar dos veces el mismo argumento, porque yo habia subido el FCF por normalizacion Y ademas pedia mas multiplo. A 13.100 EUR Lotus cotiza a 56 veces beneficio y 82 veces caja libre. El negocio sigue siendo de los mejores del libro; el precio no.</t>
  </si>
  <si>
    <t>Deep dive 2a version - FCF de ciclo completo</t>
  </si>
  <si>
    <t>TFF Group. RECTIFICA LA ENTRADA DE ESTA MANANA, que decia que TFF era la unica del grupo con asimetria positiva (+180%). Estaba construida sobre UN ano anomalo. El historico de cinco ejercicios: FCF de +18,0 / -29,2 / -55,7 / -17,5 / +59,1, o sea un ACUMULADO DE -25,3 M EUR en cinco anos. El unico ano positivo de verdad es el ultimo y es el del desalmacenamiento de madera. A traves del ciclo TFF no genera caja libre: el beneficio se reinvierte en roble secandose tres anos. BD/BF pasan a 12 y 42 (antes 59 y 104), que es lo que se puede defender sobre el ciclo completo y no sobre el ano de destocking. Resultado: bajista -100% (topado) y alcista -34%. SE RETIRA la recomendacion de subir el multiplo bajista de 6x a 8x: Roger tiene razon en que en un ciclico el multiplo es alto en el suelo y bajo en el pico, asi que lo que debe crecer es el FCF, no el multiplo. AVISO METODOLOGICO: para esta fila el EV/FCF da falsos positivos en el suelo y falsos negativos en la recuperacion. La metrica honesta es EV/EBITDA (14,6x hoy, unas 8x a mitad de ciclo).</t>
  </si>
  <si>
    <t>Deep dive 2a version - pico de ciclo</t>
  </si>
  <si>
    <t>Mips AB. El historico dice que hoy es MAXIMO HISTORICO de ingresos y que el ciclo es violento: 608 (2021) - 563 - 357 (2023, un -41% desde el pico) - 483 - 533 - 664 LTM. Y el margen EBIT del 46,7% de hoy tampoco es record: en 2021 fue del 52%. Rebasar el caso alcista al 18% anual desde este punto era anclar la valoracion en el mejor momento del ciclo, que es justo lo que el paso 4 del framework prohibe. BD pasa de 121 a 90 (el bajista repite la caida de 2023) y BF de 384 a 270 (+10,0%/a, el recorrido de volumen que da la propia guia de Safety). Resultado: bajista -85% y alcista -39%. SE RETIRA la recomendacion de subir el multiplo alcista de 22,5x a 25x, por la misma razon que en TFF: no se sube el multiplo de salida de un negocio que esta en pico de ciclo.</t>
  </si>
  <si>
    <t>AE (R3 Risk of Disappearance)</t>
  </si>
  <si>
    <t>Revertido por indicacion de Roger</t>
  </si>
  <si>
    <t>Oatly. R3 Risk of Disappearance vuelve de -12 a -10. Roger no ve tanto riesgo de desaparicion: la distribucion es buena y muchos consumidores perciben el producto como unico, y ademas la mejora financiera es real - estan reduciendo gastos y creciendo a la vez, con apalancamiento operativo. Se mantiene el resto de la fila como estaba, incluido BD=0 (en el escenario malo la accion vale cero) y BF=114. La asimetria a 15,57 $ es exigente; a 8 $ el planteamiento era razonable.</t>
  </si>
  <si>
    <t>BL4:BM71 (Worst IRR y Best IRR)</t>
  </si>
  <si>
    <t>Suelo de -99% en las TIR</t>
  </si>
  <si>
    <t>Se anade suelo: =IF($BJn&lt;=0,-0,99,MAX(-0,99,($BJn/Gn)^(1/5)-1)) y la equivalente en BM. Antes, cuando el FVE salia negativo la formula devolvia disparates (-188% anual en TFF, -216% en Oatly) que contaminaban cualquier media por categoria; y cuando el FVE era negativo con exponente fraccionario podia dar error. Una accion no puede perder mas del 100%. El pipeline de Python ya hacia esto (devuelve -0,99); ahora el Excel coincide. BL y BM son columnas protegidas: se tocan por indicacion expresa de Roger. AVISO: en la primera pasada la plantilla de BL se escribio con comillas dobles y PowerShell interpolo $BJ como variable vacia, dejando =IF(57&lt;=0,...) en las 68 filas; detectado y corregido en el mismo turno con comillas simples.</t>
  </si>
  <si>
    <t>Framework Notes filas 58 y 59</t>
  </si>
  <si>
    <t>Condicion nueva para normalizar el FCF</t>
  </si>
  <si>
    <t>Fila 58: la normalizacion solo vale si el capex elevado es TEMPORAL. Si lleva TRES O MAS EJERCICIOS SEGUIDOS por encima del doble del D&amp;A, no es una fase de inversion sino como funciona el negocio, y se usa el FCF reportado. Sale LOTB y quedan doce filas normalizadas. PENDIENTE: pasar este test a las doce restantes, empezando por META, GOOG, MSFT y AMZN, que tambien llevan varios ejercicios de capex alto. Fila 59: advertencia nueva sobre los negocios cuyo FCF a traves del ciclo no existe porque el beneficio se reinvierte en circulante y no en activo fijo, con TFF como caso extremo del libro.</t>
  </si>
  <si>
    <t>AH (R3 Financing Source); AI (R3 Incentives)</t>
  </si>
  <si>
    <t>Correccion de un error propio</t>
  </si>
  <si>
    <t>SentinelOne. CORRIGE UN ERROR MIO DEL 25-AGO: el mapa de columnas del script tenia AH en la posicion 35, que es AI, asi que el cambio previsto -Financing Source de 0 a 1- se escribio en Incentives y lo bajo de 6 a 1. Efecto real: el R3 cayo 5 puntos en vez de subir 1. Restaurado: AH=1 (que era la intencion, por 657 M$ de caja e inversiones a corto mas 156 a largo, sin deuda y FCF LTM positivo de 62 M$) y AI=6 (valor original). El R3 pasa de 2,86 a 3,71.</t>
  </si>
  <si>
    <t>Deep dive completo del 25-ago-2026</t>
  </si>
  <si>
    <t>Costco. R2 Potential 11 -&gt; 13. El 11 estaba calibrado como el de un retailer americano maduro y el deep dive muestra que el motor no son las aperturas: el parque solo ha crecido un 17% en seis anos (795 a 931 almacenes) mientras la FACTURACION POR ALMACEN subia de 209,8 a 315,3 M$ (+50%) y el BENEFICIO POR ALMACEN de 5,03 a 9,50 M$ (+89%). O sea apalancamiento operativo sobre una base de costes ya pagada, mas subidas de cuota cada cinco anos, mas penetracion de Kirkland, mas comercio electronico apalancando los mismos almacenes. Y Europa sigue practicamente sin ejecutar. FLYWHEEL confirmado con el indicador que la tesis de 2021 eligio como senal de alarma: la renovacion EE.UU./Canada ha subido del 91% al 92,2% y la mundial del 88% al 89,7%. Las cuotas son el 49% del beneficio operativo. NO se sube Optionality (sigue en 1 sobre 3): Europa lleva cinco anos prometida y sin ejecutar, y una opcion no ejercida no se premia.</t>
  </si>
  <si>
    <t>AD (R3 Durability); L (R1 Optionality); BF</t>
  </si>
  <si>
    <t>Inditex. R3 Durability 14 -&gt; 15 y R1 Optionality 2 -&gt; 1,5. Durability al maximo porque el deep dive responde la pregunta que la tesis de 2021 dejo abierta: el online iba a comprimir el margen y ha hecho lo contrario. Es el 26,7% de las ventas (10.700 M EUR) y el margen bruto SUBIO 42 pb hasta el 58,3%, con el EBIT en 20,2% frente al 16-16,5% que se esperaba. Ademas han cerrado casi 2.000 tiendas desde 2019 (7.400 a 5.460) y venden mas que nunca. Absorber un cambio de canal que ha matado a media industria textil expandiendo margen ES antifragilidad demostrada. Optionality baja porque la palanca online ya esta ejercida y esta en la base, no en el futuro; Asia, que era la otra palanca de la tesis, lleva cinco anos sin arrancar; y no lanzan una marca organica desde Uterque en 2008 ni compran una desde Stradivarius en 1998. BF pasa de 12.407 a 10.832 (+12,0%/a a +9,0%/a): con el parque de tiendas ENCOGIENDO y Asia sin ejecutar, un 12% anual de FCF durante cinco anos exige que el margen siga expandiendo por encima del 20,2%. El +9%/a es lo que da el historial real (beneficio neto +9,5% anual entre 2019 y 2025). Alcista pasa de +67% a +46%, asimetria 2,3:1. AVISO ya recogido: la hoja tenia DEUDA CERO y son 6.040 M EUR, casi todo arrendamientos NIIF 16 de 5.460 tiendas; la caja neta excluyendo arrendamientos ronda los 10.000 M EUR.</t>
  </si>
  <si>
    <t>Ninguno - nota de proceso</t>
  </si>
  <si>
    <t>Revision de las tesis del Drive</t>
  </si>
  <si>
    <t>Revisadas las 36 tesis de la carpeta de Drive (2020-2021). Once son de empresas de la watchlist: COST, ITX, AMZN, MSFT, NTO, ABNB, GOOG, META, VID, SIKA y SPOT, mas Brookfield Asset Management que no es la matriz que seguimos. PATRON QUE CONVIENE ANOTAR: en Costco e Inditex el analisis del NEGOCIO fue solido -las dos identificaron la metrica correcta a vigilar- y la estimacion del RECORRIDO se quedo corta por un factor de dos o tres. Costco con precio de venta en 450 $ y hoy 947; Inditex con techo en 35-40 EUR y hoy 58,28. Es un sesgo consistente, no mala suerte, y hay que tenerlo delante al fijar los multiplos de salida del escenario alcista. Indice completo en Inversion Roger/00_Tesis_en_Drive_indice.md.</t>
  </si>
  <si>
    <t>Ninguno - deep dive sin cambio de rating</t>
  </si>
  <si>
    <t>Nintendo. SIN CAMBIO DE RATING, y se explica por que. El deep dive confirma la tesis del Drive en lo esencial -las IP tienen efecto Lindy, la explotacion fuera de la consola ya esta ocurriendo (Osaka, cine, series) y la caja neta sigue siendo el 19% de la capitalizacion, igual proporcion que en 2021- y no aparece ningun hecho nuevo que mueva R1, R2 ni R3. LO QUE SI APARECE ES UN PROBLEMA DE MEDICION: en el ano de lanzamiento Nintendo fabrica e inventaria millones de consolas antes de venderlas, asi que el circulante absorbe caja justo cuando el beneficio hace maximo y el FCF se deprime en el PICO de ventas. Por eso el EV/FCF sale en 38,1x en el mejor ejercicio de su historia. La tesis de 2021 decia que en la parte alta del ciclo la empresa PARECERIA BARATA y es justo al reves. Mismo mecanismo que TFF Group: negocios donde el circulante se mueve al reves que el beneficio. Para Nintendo la metrica honesta es EV/EBIT sobre beneficio medio de ciclo. Contexto: FY2026 cerro con ventas de 2.313 mm JPY (+98,6%) y la propia guia FY2027 es de 2.050 mm (-11,4%); el +150% de resultado operativo del Q1 incluye unos 300 M$ de devoluciones de aranceles que no se repiten.</t>
  </si>
  <si>
    <t>U (R2 MOAT)</t>
  </si>
  <si>
    <t>Airbnb. R2 MOAT 16 -&gt; 17. Hecho de largo plazo que las ratings no recogian: la marca se ha convertido en CATEGORIA -la gente dice un airbnb- y eso hace que el trafico directo sustituya al comprado. Consecuencia medible: margen operativo del 20,8% frente al 11% que proyectaba la tesis del Drive para este momento, y margen FCF del 37%. Un foso de marca que reduce estructuralmente el coste de adquisicion es exactamente lo que mide esta columna. NO se sube MOAT del R1 (sigue en 6 sobre 8): la observacion del 21-ago de que el anfitrion tiene Booking a un clic y de que la oferta es legislable ciudad a ciudad sigue siendo cierta. PENDIENTE: Experiencias lleva cinco anos sin monetizar; si sigue asi hay que sacarla del caso alcista. AVISO: de los 12.069 M$ de caja, una parte son fondos de anfitriones pendientes de pago -flotacion, no caja propia- y la fila no lo distingue.</t>
  </si>
  <si>
    <t>AF (R3 Capital Intensity)</t>
  </si>
  <si>
    <t>Alphabet. R3 Capital Intensity 6 -&gt; 5. El capex LTM es de 132.410 M$, el 29,7% de las ventas y CINCO VECES el D&amp;A. La tesis del Drive describia Alphabet como un negocio donde para cada dolar extra ganado no hace falta invertir practicamente nada; eso ha dejado de ser cierto. Precedente del libro: a Microsoft se le bajo esta misma columna de 5 a 4 con el capex al 35% de las ventas. El capital empleado sube a 795.872 M$ y el ROIC baja al 15,1%, bajo para Alphabet. RIESGO ESTRUCTURAL QUE HAY QUE VIGILAR y que no estaba en la tesis de 2021: si el usuario deja de teclear una consulta y pasa a preguntar a un asistente que da la respuesta directa SIN ensenar diez enlaces con anuncios encima, el inventario publicitario se encoge aunque la busqueda siga existiendo. Es lo que decide el valor terminal. AVISO: toda la asimetria de esta fila descansa en la normalizacion del FCF; con el reportado (53.270) el EV/FCF seria 76,5x.</t>
  </si>
  <si>
    <t>AF (R3 Capital Intensity); AH (R3 Financing Source)</t>
  </si>
  <si>
    <t>Meta. R3 Capital Intensity 7 -&gt; 5 y R3 Financing Source 4 -&gt; 3. Capex LTM de 89.320 M$, el 39,1% de las ventas y casi CUATRO VECES el D&amp;A: mas intensivo que Microsoft cuando se le bajo esta columna. Y por primera vez en su historia la DEUDA (112.320) SUPERA A LA CAJA (90.260), o sea que la apuesta se esta financiando con apalancamiento. Meta ha pasado de ser el negocio mas ligero en capital de las grandes tecnologicas a uno de los mas pesados. El negocio publicitario sigue siendo extraordinario -38,1% de margen operativo sobre 228.250 M$- y el bucle de la subasta que describia la tesis de 2021 sigue funcionando: el ARPU sube sin necesidad de anadir usuarios. AVISO SOBRE LA ASIMETRIA: 10,5:1 sobre el papel es la mas alta del libro, pero el rango entre el bajista (-5,4% anual de FCF) y el alcista (+16%) es enorme porque la incertidumbre es enorme. Un 10,5:1 no es senal de compra, es senal de resultado BINARIO, y un binario se penaliza por el divisor de riesgo terminal, no se premia por el numerador. WhatsApp sigue sin monetizar cinco anos despues: opcionalidad no ejercida que no se debe pagar.</t>
  </si>
  <si>
    <t>Sika. R2 Potential 11 -&gt; 10. La tesis del Drive es la mejor documentada del lote y su parte cualitativa no necesita correccion: el foso de la ESPECIFICACION es real -el prescriptor escribe el producto en el pliego y cambiarlo puede exigir una nueva homologacion, asi que el coste de cambio es regulatorio y no economico- y ademas se ensancha con la regulacion climatica. Cultura solida (promocion interna, el CEO llevaba 32 anos dentro, compromiso 86/100) y retribucion bien disenada, con el ROCE relativo pesando el 40% del incentivo largo. LO QUE BAJA POTENTIAL ES CUANTITATIVO Y DE LARGO PLAZO: la propia tesis reconoce que el crecimiento organico es bajo, y los numeros lo confirman -de 9.250 M CHF en 2021 a 11.760 en 2024 con MBCC aportando 2.100 de esos 2.500, o sea que casi todo el crecimiento de tres anos vino de una compra financiada con 2.250 M EUR de bonos-. Hoy el ROIC es del 9,6%, cerca del coste de capital, y la deuda neta 5.455 M CHF = 2,8x EBITDA, lo que limita la siguiente compra. Un consolidador que reinvierte al 9,6% no compone, administra. Contraste con la tesis: margen FCF 11,9% cumple lo esperado (9-12%), pero el EBITDA esta en 17,5% y no en el 20% previsto. AVISO: el multiplo de salida bajista de 18x es el 66% del actual, blando para un ciclico apalancado; 15x seria mas honesto.</t>
  </si>
  <si>
    <t>T (R2 Financials); AH (R3 Financing Source)</t>
  </si>
  <si>
    <t>Spotify. R2 Financials 13 -&gt; 15 y R3 Financing Source 2 -&gt; 4. Ha demostrado lo que tenia que demostrar: que el apalancamiento operativo existia. De perdidas estructurales a un resultado operativo de 2.653 M EUR (14,6% de margen), un FCF de 3.267 (18% de margen) y un ROIC del 24%, con 6.519 M EUR de CAJA NETA. Ya no depende de nadie para financiarse. LA LECCION QUE HAY QUE LLEVARSE AL RESTO DEL LIBRO: la tesis del Drive fijaba el caso alcista en 380 $ y la accion esta en 550,72 $; fallo en una unica variable, el margen, y ella misma la habia senalado como su punto debil (los margenes operativos me generan dudas, el apalancamiento operativo es poco visible). En negocios con base de costes fija grande y margen bruto creciente, el apalancamiento operativo NO es lineal: es explosivo al cruzar el umbral de rentabilidad. Mismo error que en Airbnb (11% proyectado, 20,8% real). Y es lo que puede estar pasando AHORA con SentinelOne, que acaba de cruzar a operativo no-GAAP positivo. NO se sube MOAT ni Concentration: Spotify no es dueno de lo que vende y tres discograficas pueden decidir su margen; el -2 de concentracion esta bien puesto.</t>
  </si>
  <si>
    <t>2026-08-26</t>
  </si>
  <si>
    <t>SAP</t>
  </si>
  <si>
    <t>CTVA</t>
  </si>
  <si>
    <t>21/10/2026</t>
  </si>
  <si>
    <t>ALTA NUEVA - fila 72 completa</t>
  </si>
  <si>
    <t>Alta desde la tesis del Drive + deep dive del 26-ago-2026</t>
  </si>
  <si>
    <t>SAP SE. ALTA EN LA WATCHLIST. Cubre el unico hueco estructural que quedaba: software empresarial europeo con foso de coste de cambio, sin nada equivalente entre las 68 filas anteriores. La tesis del Drive (2021) acerto en el mecanismo -durante anos SAP se centro en EXTRAER valor en vez de aportarlo, y la migracion a la nube era la palanca- y se quedo corta en la magnitud, como todas: fijaba 36 B de ventas como escenario optimista y hoy son 38.190 M EUR. FLYWHEEL: el cliente implanta SAP en un proyecto de anos, toda su operativa queda codificada dentro, sacarlo es rehacer la empresa, y alrededor crece un ecosistema de consultoras y profesionales que actua de fuerza de ventas gratuita. La migracion a S/4HANA era la unica ventana en veinte anos en que la puerta estaba abierta y la han convertido en palanca: de licencia perpetua a suscripcion recurrente. FINANCIEROS LTM: ingresos 38.190, resultado operativo 10.990 (28,8% de margen), FCF 8.730 (22,9% de margen), caja neta de 1.690, capex del 1,9% de las ventas -no procede normalizar-, capital empleado 55.875 y ROIC del 14,1%. OJO CON EL ROIC: la tesis citaba un 40%, que es sobre capital invertido excluyendo fondo de comercio; con la definicion del libro sale 14,1% porque arrastra el goodwill de Concur, Ariba, SuccessFactors y Qualtrics. Las dos cifras son ciertas: el 40% dice que el negocio operativo es extraordinario, el 14,1% dice que han pagado mucho por comprar crecimiento. VALORACION: EV/FCF de 23,5x frente a la mediana del libro de 26,7x. Bajista 9.600 (+1,9%/a) a 16x y alcista 15.400 (+12,0%/a) a 24x: -25% y +80%, asimetria 3,2:1. RIESGO ESTRUCTURAL: si un agente de IA puede consultar y operar los datos de la empresa sin la capa de interfaz de SAP, el valor se desplaza del software al dato, y el dato es del cliente.</t>
  </si>
  <si>
    <t>ALTA NUEVA - fila 73 completa</t>
  </si>
  <si>
    <t>Corteva. ALTA EN LA WATCHLIST. Es el unico agricola del libro. La tesis del Drive (2021) hace el mejor trabajo del lote explicando POR QUE el agricultor no puede dejar de comprar: la semilla es el eslabon mas barato de la cosecha y el que mas la condiciona, y no puede guardar semilla de su propia cosecha porque la genetica se degrada en la segunda generacion. Es una suscripcion anual disfrazada de venta de producto. FLYWHEEL: 8-9% de las ventas en I+D, mas rendimiento por hectarea, recompra obligatoria cada campana, datos de cada parcela que mejoran la siguiente semilla, y un equipo comercial que llega a cada agricultor en las pocas semanas de la siembra. PROBLEMA DE MEDICION, EL TERCERO DEL LIBRO tras TFF y Nintendo: el FCF de un solo ano no significa nada. Cinco ejercicios: 2.154 / 267 / 1.174 / 1.548 / 2.815, con el capex plano en unos 590. Toda la variacion es circulante, porque entrega semilla en primavera y cobra tras la cosecha, y el corte LTM a junio cae en el pico de cuentas a cobrar (FCF LTM de solo 629). Se fija AS en 2.200, entre la media de cinco anos (1.592) y el calculo limpio de EBITDA menos capex, intereses e impuestos (2.560). EL ROIC DEL 6,8% ESTA DISTORSIONADO: el capital empleado de 30.853 incluye el fondo de comercio de la fusion DowDuPont de 2019; el ratio penaliza una fusion pagada hace siete anos, no el negocio de hoy. Por eso el EV/EBITDA de 13,5x es mejor lente que el EV/FCF de 26,3x. VALORACION: bajista 2.200 (0%/a) a 14x y alcista 3.543 (+10,0%/a) a 22x -multiplos bajos a proposito, por la regla de los ciclicos-. Sale -49% y +36%, asimetria 0,7:1. CONCLUSION HONESTA: buen negocio a precio exigente. La propia tesis decia -no brainer cerca de 28$- y hoy cotiza a 82,91.</t>
  </si>
  <si>
    <t>Deep dive del 26-ago-2026</t>
  </si>
  <si>
    <t>Halma. Financieros LTM al dia -llevaban desde el 24-jun- y deep dive nuevo. Correcciones: la DEUDA estaba infravalorada en 513 M GBP (400 -&gt; 913,4) y el CAPITAL EMPLEADO en 1.091 (2.100 -&gt; 3.191), asi que el ROIC baja del 17,6% al 12,6%. Tambien ingresos 2.340 -&gt; 2.580, EBITDA 515 -&gt; 622,8 y FCF 400 -&gt; 425,7. BD/BF rebasados sobre la base nueva manteniendo las CAGR implicitas. FLYWHEEL: compra fabricantes de nicho cuyo producto es OBLIGATORIO por norma -detectores de gas, sensores de humo, instrumentacion de agua-, y la norma solo se regula en una direccion, asi que cada revision AMPLIA el mercado. El producto es barato dentro del proyecto y critico para el resultado, por eso el cliente no negocia el precio y el margen operativo aguanta el 20,6% decadas. Es el mismo mecanismo que Sika pero mas cerca del extremo obligatorio. No procede normalizar el FCF: capex de 54,9 frente a un D&amp;A de 92,4, es de los negocios mas ligeros en capital del libro.</t>
  </si>
  <si>
    <t>Revision de la watchlist y archivo de material</t>
  </si>
  <si>
    <t>Roger revierte las cuatro salidas que propuse el 25-ago y las cuatro se quedan: IPCO por la expansion en marcha y por ser de los mejor gestionados en materias primas; KIST por el historial de Andrew Austin en RockRose y la opcionalidad de Noruega y Oman a estos precios; WOSG porque el acuerdo de distribucion con Rolex es de largo plazo y beneficia a las dos partes; BFIT se queda pero es la que mas dudas genera a los dos. El libro pasa de 68 a 70 empresas con SAP y Corteva. ARCHIVO: se encontro en la carpeta de Descargas material que existia pero no estaba en las carpetas de empresa y que por eso la auditoria de cobertura no contaba - la nota de analisis completa de Judges Scientific del 6-ago (con matriz C x A, sizing y disparadores de precio), el dashboard de Kaspi, los escenarios de Adyen, tres versiones del ecosistema de Brookfield, cuatro documentos de Celsius, dos de Monster y uno de Orca. Todo movido a su carpeta.</t>
  </si>
  <si>
    <t>Halma. R2 Financials 14 -&gt; 13. Hecho nuevo del deep dive: con el balance real el ROIC baja del 17,6% al 12,6%, porque el capital empleado son 3.191 M GBP y no 2.100, y la deuda 913,4 y no 400. El negocio operativo sigue siendo excelente -20,6% de margen operativo, capex del 2,1% de las ventas, conversion de caja del 80% del EBITDA- pero el retorno sobre TODO el capital empleado, incluido lo pagado por decadas de adquisiciones, es cinco puntos mas bajo de lo que decia la hoja. Ese es el numero relevante para juzgar a un comprador en serie. Contexto de largo plazo que NO cambia: sus mercados son obligatorios por norma y la norma solo se regula en una direccion, asi que cada revision normativa amplia el mercado. Por eso Durability sigue en 15 sobre 15, el maximo del libro. AVISO: con 13.600 M GBP de capitalizacion, cada compra de 50-100 M GBP mueve menos la aguja que hace diez anos; el crecimiento por adquisicion se diluye con la escala.</t>
  </si>
  <si>
    <t>Lifco. R2 Potential 13 -&gt; 12, por el mismo criterio que se aplico a Sika el 25-ago. El crecimiento organico es del 4,2% en 2025 y del 2,9% en el 1S26: la mayor parte del crecimiento es COMPRADO, no generado. Eso esta bien mientras el multiplo de entrada siga siendo bajo -Lifco paga 5-8 veces EBITA a fundadores que se jubilan, y ese es exactamente el modelo- pero el recorrido que mide esta columna depende de que siga habiendo empresas comprables a ese precio, y hay cada vez mas capital privado persiguiendo las mismas. FLYWHEEL, que es lo mejor de la compania: compra barato a un fundador que se jubila, NO integra, deja el nombre y el equipo, y ese trato le da reputacion entre fundadores, de modo que el flujo de operaciones llega solo. El foso es cultural, no financiero: cualquier fondo puede pagar 8 veces EBITA, muy pocos pueden prometer de forma creible que no tocaran la empresa en veinte anos. AVISO SOBRE EL CASO BAJISTA: asume el FCF creciendo un 7,0% anual, que para un comprador en serie es un ano normal y no un escenario malo. El bajista de verdad es que se seque el flujo de adquisiciones y quede el organico del 3%. Conviene endurecerlo.</t>
  </si>
  <si>
    <t>AH (R3 Financing Source)</t>
  </si>
  <si>
    <t>Schneider Electric. R3 Financing Source 4 -&gt; 3. La correccion de deuda del 25-ago -de 12.500 a 20.810 M EUR, ocho mil millones de diferencia por AVEVA y ETAP- deja la deuda neta en 16.290, o sea 1,9x EBITDA. Sigue siendo comodo pero ya no es la compania sin deuda que la hoja asumia, y limita la siguiente compra grande. FLYWHEEL: el instalador especifica Schneider una vez y el equipo dura decadas; toda ampliacion, repuesto o mantenimiento tiene que ser compatible con lo instalado, asi que el ingreso recurrente no exige volver a ganar al cliente. Encima del hardware venden software (EcoStruxure, AVEVA) que solo tiene sentido si el hardware es suyo. El riesgo real es perder la ESPECIFICACION frente a ABB o Siemens: es lento y silencioso, no se ve en los resultados hasta anos despues. COMPARACION UTIL: margen operativo 17,9% frente al 17,7% de ABB, pero ROIC del 13,2% frente al 17,6% de ABB. ABB convierte mejor el capital; Schneider tiene mas software. Y el viento de cola de la electrificacion NO es informacion: esta en el precio, a 30,3x FCF.</t>
  </si>
  <si>
    <t>AK (R3 Terminal Risk)</t>
  </si>
  <si>
    <t>Fair Isaac. R3 Terminal Risk -6 -&gt; -7. El deep dive deja claro que FICO tiene UN solo riesgo y es binario: el score esta escrito dentro de la normativa del mercado hipotecario estadounidense, y si la FHFA admite scores alternativos, el coste de cambio -que hoy no es de la entidad sino del SISTEMA- deja de existir. El proceso esta abierto. Ademas la compania se apalanca deliberadamente para recomprar acciones (2.200 M$ de deuda neta, 2,5x EBITDA), lo cual es matematicamente correcto con un ROIC del 29,1% pero amplifica el riesgo de cola. AVISO SOBRE EL CASO BAJISTA: +8,0% anual de FCF no es un caso bajista para FICO, es casi su caso base, porque solo con subir el precio por consulta ya llega. El bajista de verdad es regulatorio y es DISCONTINUO: si se abre el mercado, el FCF no crece al 8%, se estanca, y el multiplo se desploma a la vez. Esta fila tiene un riesgo de cola que el escenario lineal no captura, igual que Meta. ECONOMIA DEL NEGOCIO, que es de las mejores del libro: 50,9% de margen EBITDA, 42,4% de margen FCF, 29,1% de ROIC y capital empleado minimo. Casi todo el valor esta en el 40% de los ingresos que es el score; el software es una opcion, no la tesis.</t>
  </si>
  <si>
    <t>Veralto. R2 MOAT 16 -&gt; 17. Hecho de largo plazo: el 61% de los ingresos ya son RECURRENTES y la compania apunta al 65% en 2027. El flywheel es cuchilla y maquinilla con la norma detras - se vende un fotometro de Hach o una impresora Videojet a precio poco relevante, se queda instalado diez o quince anos, y solo funciona con MI consumible: reactivos calibrados para mi instrumento, tintas formuladas para mi cabezal. El consumible es barato y el coste de fallar es enorme, porque si la impresora falla para la linea de envasado y si el reactivo da mala lectura la planta incumple. Nadie arriesga por ahorrar ahi. A eso se suma el Danaher Business System, que se llevaron entero en la escision de 2023 y no aparece en el balance. FINANCIEROS: 24,4% de margen EBITDA, capex del orden del 1% de las ventas, ROIC 16,3%, deuda neta 1,1x EBITDA. LO QUE NO SE SUBE Y POR QUE: Capital Allocation sigue en 13 sobre 15 pero es una nota HEREDADA de la reputacion de Danaher, no ganada por Veralto - lleva menos de tres anos cotizando sola y no hay historial propio de asignacion de capital. RIESGO ESTRUCTURAL: comoditizacion del consumible, dificil en agua porque la homologacion es regulatoria, menos dificil en tintas de codificacion.</t>
  </si>
  <si>
    <t>V (R2 Potential); AA (R2 Risks)</t>
  </si>
  <si>
    <t>Legrand. R2 Potential 13 -&gt; 15 y R2 Risks -7 -&gt; -8, las dos por el mismo hecho. LEGRAND HA DEJADO DE SER LO QUE ERA: los centros de datos fueron el 26% de los ingresos de 2025 y la compania apunta a que puedan llegar al 40%; Norteamerica y Centroamerica son ya el 47% del grupo con el negocio estadounidense creciendo un 27%; y en 2026 lleva SIETE adquisiciones cerradas, unas 450 M EUR de ingresos anuales, todas en centro de datos y transicion energetica. La guia se sube a +16-19% de ventas ex divisa, +8-10% organico y margen operativo ajustado del 20,5-21,0%. SUBE POTENTIAL porque el recorrido es real y grande. BAJA RISKS porque son DOS RUEDAS DISTINTAS: el negocio historico -el enchufe, la marca local, Bticino en Italia y Pass &amp; Seymour en EE.UU.- tiene un foso de habito y distribucion de cien anos; el de centro de datos compite en un mercado nuevo con clientes hiperescaladores que tienen ingenieros propios, homologan a varios proveedores y negocian el precio cada ano. Es lo contrario del cliente que hizo grande a Legrand. Ademas un 26% de ingresos ligado al capex de la IA es una concentracion ciclica NUEVA en una compania que se compraba por no ser ciclica. AVISO: el ROIC es del 9,0% con 15.683 M EUR de capital empleado lleno de fondo de comercio, y la deuda neta esta en 2,5x EBITDA tras las siete compras.</t>
  </si>
  <si>
    <t>X (R2 Revenue Quality)</t>
  </si>
  <si>
    <t>KKR. R2 Revenue Quality 8 -&gt; 9. El mix ha migrado de carried interest -que es grumoso y depende de vender bien- a FEE-RELATED EARNINGS, que son contractuales: 1.214 M$ en el Q2 2026, +34% interanual, sobre 638.000 M$ de activos que pagan comision de los 796.000 totales. A eso se suma el capital PERMANENTE de Global Atlantic, que elimina el riesgo de ciclo de captacion: el asegurado financia a largo plazo la municion que la gestora necesita para ser paciente. En los ultimos doce meses ha captado 133.000 M$, con un record de 77.000 en un solo trimestre. AVISOS METODOLOGICOS IMPORTANTES, iguales que en Brookfield: (1) el capital empleado de 80.000 M$ NO TIENE BASE PUBLICADA, es una cifra de relleno, y el ROIC del 6,5% no mide nada - para una gestora la metrica correcta es el retorno sobre capital propio invertido, no sobre un balance que incluye dinero de terceros; (2) la deuda de 56.164 M$ es sobre todo pasivo de la aseguradora, no deuda del accionista de KKR. Lo honesto es juzgarla por el multiplo sobre beneficio ajustado: 5.000 M$ contra 96.846 de capitalizacion son 19,4 veces. AVISO SOBRE EL BAJISTA: +7,0% anual de FCF no es un caso bajista para una gestora; en un mal ciclo las comisiones de exito desaparecen y las de gestion se estancan.</t>
  </si>
  <si>
    <t>Y (R2 Mgmt &amp; Culture); AK (R3 Terminal Risk)</t>
  </si>
  <si>
    <t>Kingspan. R2 Mgmt &amp; Culture 11 -&gt; 9 y R3 Terminal Risk -4 -&gt; -5. GRENFELL, Y NO ES RUIDO PASADO. El informe final de la investigacion concluyo que Kingspan, aunque NO se le considero causante de la tragedia, CREO A SABIENDAS UN MERCADO FALSO para el aislamiento de la fachada, afirmando falsamente que habia superado ensayos que permitian su uso por encima de 18 metros. Consecuencias concretas: el BRE, el organismo britanico de normalizacion de la construccion, PUSO FIN A SU RELACION con Kingspan citando riesgo reputacional; la investigacion recogio que Kingspan amenazo con demandar por difamacion cuando se expusieron los ensayos defectuosos; y el respaldo de los asesores de voto al consejero delegado sigue siendo cualificado ano tras ano. POR QUE IMPORTA AL FLYWHEEL Y NO SOLO A LA IMAGEN: el motor de Kingspan es que la norma de eficiencia se endurece y su panel es la forma mas barata de cumplirla. Un fabricante cuyo producto se compra PORQUE cumple una norma no puede permitirse que el organismo que fija la norma le retire la confianza. Es dano al primer eslabon. Es la razon por la que esta fila no puede puntuar como Halma con un modelo conceptualmente parecido. NEGOCIO: ejecutan bien -guia subida a 1.125 M EUR de beneficio de explotacion, Advnsys +36%- pero el 79% del grupo crece al 2,2%, el margen EBITDA es del 13,4% (la mitad que Halma o Veralto, porque fabrican y transportan acero y espuma) y a 33,4x FCF la asimetria es 0,7:1.</t>
  </si>
  <si>
    <t>BD</t>
  </si>
  <si>
    <t>Revision del caso bajista</t>
  </si>
  <si>
    <t>Lifco. BD de 5.330 a 4.405. El caso bajista asumia el FCF creciendo un 7,0% anual durante cinco anos, que para un comprador en serie es un ano NORMAL y no un escenario malo. El bajista de verdad para Lifco es que se seque el flujo de adquisiciones -por inflacion del multiplo de entrada, que es el riesgo estructural del modelo- y quede solo el organico, que fue del 4,2% en 2025 y del 2,9% en el 1S26. Se fija en +3,0% anual. Ya se senalo al hacer el deep dive del 26-ago y se aplica ahora.</t>
  </si>
  <si>
    <t>Fair Isaac. BD de 1.073 a 730. El caso bajista asumia el FCF creciendo un 8,0% anual, que NO es un caso bajista para FICO: solo con subir el precio por consulta del score ya llega, y lo lleva haciendo anos sin que el volumen se resienta. El bajista real de esta fila es REGULATORIO Y DISCONTINUO: si la FHFA admite scores alternativos en el mercado hipotecario, el coste de cambio -que hoy no es de la entidad sino del SISTEMA- deja de existir, el FCF se estanca y el multiplo se desploma a la vez. Se pone el FCF@5y plano en 730. Sigue sin capturar que en ese escenario el multiplo tambien caeria, asi que el bajista real es peor que el que sale.</t>
  </si>
  <si>
    <t>Revision tras el deep dive del 25-ago</t>
  </si>
  <si>
    <t>Meta. R3 Terminal Risk -5 -&gt; -6. Al hacer el deep dive se anoto que la asimetria de 10,5:1 -la mas alta del libro- no es una senal de compra sino de resultado BINARIO, y que en el framework de sizing un binario se penaliza por el DIVISOR de riesgo terminal, no se premia por el numerador de asimetria. Esto lo aplica. Los hechos: capex de 89.320 M$, el 39,1% de las ventas y casi cuatro veces el D&amp;A, financiado con deuda neta positiva por primera vez en su historia (112.320 de deuda contra 90.260 de caja). Ademas Meta no controla el sistema operativo por el que llega a sus usuarios - Apple ya demostro en 2021 que puede cambiar las reglas y costarle decenas de miles de millones, riesgo que Alphabet no tiene porque se compro el suyo con Android.</t>
  </si>
  <si>
    <t>Correccion del capital empleado</t>
  </si>
  <si>
    <t>KKR. AZ de 80.000 a 34.500 M$. Los 80.000 eran una cifra de relleno sin base publicada y el ROIC resultante -6,5%- no media nada, porque el balance consolidado de KKR incluye los fondos que gestiona y la aseguradora Global Atlantic, o sea dinero de TERCEROS. Se sustituye por el VALOR CONTABLE publicado por la compania a 30-jun-2026: 34.500 M$, que incluye 5.300 M$ de caja e inversiones a corto. Es el capital del accionista, que es el denominador correcto para una gestora. El ROIC pasa del 6,5% al 15,0%, que si es una cifra interpretable. AVISO QUE SIGUE ABIERTO: la deuda de 56.164 M$ que entra en el EV es sobre todo pasivo de la aseguradora respaldado por su cartera, no deuda del accionista, asi que el EV/FCF de esta fila sigue estando inflado. Lo honesto para KKR es el multiplo sobre beneficio ajustado: 5.000 M$ contra 96.846 de capitalizacion, 19,4 veces.</t>
  </si>
  <si>
    <t>Brookfield. AZ de 90.000 a 42.483 M$. Mismo problema y misma solucion que en KKR: los 90.000 no tenian base publicada. El balance de Brookfield a 30-jun-2026 trae 525.515 M$ de activo y 166.636 de patrimonio total, pero de ese patrimonio solo 42.483 M$ son CAPITAL COMUN DE LA MATRIZ; los otros 120.100 son minoritarios de las filiales consolidadas, o sea dinero que no es del accionista de BN. Con el capital comun el ROIC pasa del 6,3% al 13,4% sobre el DE antes de realizaciones de 5.700 M$, que es coherente con lo que la propia compania comunica. Se completa asi la fila que quedo a medias el 25-ago cuando se pasaron NOPAT y EBITDA a metricas non-GAAP.</t>
  </si>
  <si>
    <t>Ninguno - verificacion</t>
  </si>
  <si>
    <t>Verificacion del aviso sobre la flotacion</t>
  </si>
  <si>
    <t>Airbnb. SE COMPRUEBA Y NO HAY QUE CAMBIAR NADA. El 25-ago se aviso de que parte de los 12.069 M$ de caja podian ser fondos de anfitriones pendientes de pago -flotacion, no caja propia- y de que eso afectaria al EV. Revisado el balance a 30-jun-2026: los 12.069 son caja y equivalentes (6.821) mas inversiones a corto (5.248), que son recursos PROPIOS de Airbnb. Los fondos de clientes van en lineas separadas del balance -fondos a cobrar y a pagar por cuenta de clientes- que en la presentacion normalizada quedan dentro de otros activos corrientes (12.308) y otros pasivos corrientes (13.245). El aviso era excesivamente cauteloso y queda retirado. MATIZ QUE SI ES REAL aunque no se ajusta: hay 2.831 M$ de ingresos diferidos, reservas cobradas cuya estancia aun no se ha producido. Es un pasivo genuino contra esa caja, pero es circulante negativo estructural del modelo -igual que en Costco, Inditex y Spotify- y no se neteaba en aquellas, asi que tampoco aqui.</t>
  </si>
  <si>
    <t>Triple Flag. R2 Risks -11 -&gt; -10. La compra del flujo del 5,5% de oro sobre Ravenswood por 440 M$, la mayor de su historia, sube la guia de 2026 a 100.000-110.000 GEO y la perspectiva de 2030 a 150.000-160.000, un +45% de volumen. Mas activos significa menos dependencia de una sola mina, que es el riesgo estructural de una compania de regalias -por eso Customers sigue en 6 sobre 10-. FLYWHEEL: paga por adelantado y recibe metal o dinero durante decadas sin poner un euro mas; no paga costes operativos, ni inflacion de salarios mineros, ni capex de sostenimiento, ni rehabilitacion. Margen bruto del 80%. Y lo que casi nadie valora: si la minera encuentra mas mineral, la regalia lo cubre GRATIS - compra opcionalidad geologica sin pagarla. LO QUE HAY QUE TENER CLARO: es una apuesta apalancada al precio del oro sin admitirlo. Los ingresos pasaron de unos 310 M$ en 2025 a 489 LTM y ese salto es del metal, no del negocio. Por eso el caso bajista asume el FCF CAYENDO un 3,5% anual y el alcista del 9% es solo VOLUMEN, sin sumarle subida de oro. EXCEPCION METODOLOGICA vigente: la regla de FCF normalizado se dispara mecanicamente pero no se aplica, porque ese capex son compras de flujos -M&amp;A de crecimiento- y en una royalty el capex de sostenimiento es cero.</t>
  </si>
  <si>
    <t>AG (R3 Capital Allocation)</t>
  </si>
  <si>
    <t>Campari. R3 Capital Allocation 9 -&gt; 8. El ROIC es del 5,8%, muy por debajo del coste de capital, con 7.090 M EUR de capital empleado llenos de marcas pagadas a multiplos de mercado -Courvoisier en 2024 por mas de mil millones es el ejemplo mas caro- y una deuda neta de 3,2x EBITDA, la mas alta del libro entre las companias de calidad media o alta. Y la propia estrategia lo reconoce: estan VENDIENDO marcas no prioritarias (Bisquit &amp; Dubouche y Cabo Wabo a Cobblestone) y el consejero delegado dice que la simplificacion de cartera termina en 2027. Es una compania deshaciendo compras. EL HECHO DE LARGO PLAZO MAS IMPORTANTE: Aperol crecio un 3,3% organico en el 1S2026 y el grupo un 2,7%, con guia del 3%. Aperol venia de una decada de doble digito. La joya de la corona ha entrado en crecimiento de un digito medio-bajo. Lo que si funciona es el agave: Espolon +8,2% y Sarti Rosa +8,8%. FLYWHEEL: no vende una bebida, vende un RITUAL con nombre -el Spritz tiene copa, proporcion y momento del dia propios- que se aprende viendo a otros en una terraza, y que el bar adopta porque se hace en diez segundos y se cobra como coctel. El foso no es el gusto del consumidor: es el hueco en la carta y la mano del camarero. Y a diferencia de Lotus, el ritual SI tiene sustituto: el siguiente ritual.</t>
  </si>
  <si>
    <t>Check Point. R2 Potential 8 -&gt; 9. Tres hechos nuevos que apuntan en la misma direccion: Gil Shwed dejo de ser consejero delegado en 2024 tras TREINTA Y UN anos y Nadav Zafrir -cofundador de Team8, ex Unidad 8200- lleva el timon; estan contratando cientos de comerciales para preparar un crecimiento mas fuerte en 2027, que es exactamente lo que la tesis bajista decia que nunca harian, gastar margen para comprar crecimiento; y correo, gestion de exposicion y seguridad de IA superaron conjuntamente el 40% de crecimiento en ARR en el Q2 2026. EL FLYWHEEL QUE FUNCIONA es la renovacion: las politicas de seguridad se acumulan durante anos, nadie sabe ya por que esta cada regla, y migrar significa reescribir y auditar la politica de la compania entera. EL QUE SE PARO es el paso cero, ganar clientes nuevos: el sector crece a doble digito y Check Point crecio un 5% en el Q1. Palo Alto y CrowdStrike gastaron el dinero en fuerza comercial y producto; Check Point lo gasto en recomprar acciones. LO QUE HACE INTERESANTE LA FILA: a 11,6x FCF es la mas barata del libro entre las rentables -mediana 26,7x- con un margen de caja libre del 39,9% y CONTABILIDAD LIMPIA, sin la discusion GAAP contra non-GAAP de Cloudflare, CrowdStrike o Zscaler. No hace falta que el despertar funcione para no perder dinero. El multiplo de salida bajista de 6x asume que dentro de cinco anos el mercado paga seis veces el FCF, precio de liquidacion ordenada: para una compania que pierde cuota es el escenario correcto y hay que dejarlo asi.</t>
  </si>
  <si>
    <t>RCL</t>
  </si>
  <si>
    <t>ALTA. Fila 74 nueva. Todas las columnas.</t>
  </si>
  <si>
    <t>Deep dive del 7-sep-2026 + 10-K FY2025 y 10-Q Q1/Q2-2026 (SEC EDGAR, CIK 0000884887)</t>
  </si>
  <si>
    <t>Royal Caribbean Group entra en la watchlist. Compuesto 3,48 (R1 4,06 / R2 4,10 / R3 2,57), entre Basic-Fit (3,09) y Verallia (3,96): calidad economica decente y calidad estructural mala, que es lo que es un ciclico intensivo en capital. AVISO DE MARCO: el EV/FCF NO aplica. El capex lleva cuatro periodos seguidos por encima del doble del D&amp;A (2023 2,68x, 2024 2,04x, 2025 3,04x, LTM 3,97x), asi que la normalizacion esta prohibida por la regla del 25-ago (la de Lotus Bakeries), y el FCF reportado LTM es de -416 M$ (OCF 6.786 - capex 7.202; D&amp;A 1.813). En AS, BD y BF hay EBITDA con multiplos EV/EBITDA, anotado en el comentario de cada celda. Valoracion: EV 92.887 M$ a 265,19 $, 13,42x EV/EBITDA LTM contra una media pre-pandemia de 11,03x (z = +0,67 sobre la serie completa). Escenarios a 2031: EBITDA 7.620 / 10.414 / 12.787 con salida a 8,0x / 10,0x / 11,5x, ninguno por encima del multiplo de hoy. TIR -7,8% / +6,8% / +15,5%, asimetria 2,98:1 en el modelo y 2,07:1 en este Excel, que aplica la deuda neta de hoy a un flujo de 2031 y por tanto no acredita los 11.000 M$ de desapalancamiento. Monte Carlo narrativo recalibrado: TIR mediana +2,6%, 46,9% de probabilidad de perder dinero, 19,2% de sacar mas del 10% anual. Veredicto: conviccion 3/5, riesgo terminal MEDIO-ALTO, sizing 0-1% ahora y 2-3% por debajo de 225 $. Vigilancia: el spread unitario del Q2-2026 fue -0,13% interanual, el primer trimestre no positivo del ciclo.</t>
  </si>
  <si>
    <t>trimestral</t>
  </si>
  <si>
    <t>anual</t>
  </si>
  <si>
    <t>no reportado (0)</t>
  </si>
  <si>
    <t>SBC LTM</t>
  </si>
  <si>
    <t>Capex de crecimiento</t>
  </si>
  <si>
    <t>FCF normalizado</t>
  </si>
  <si>
    <t>Fuente del SBC</t>
  </si>
  <si>
    <t>NORMALIZADO: FCF-SBC -22.282 + capex crecimiento 80.564 (capex 151.003 - D&amp;A 70.439 como mantenimiento). TTM Q2-26. FCF@5y escalado x0,758</t>
  </si>
  <si>
    <t>NORMALIZADO: FCF-SBC -104,6 + capex crecimiento 155,3 (Blackrod; capex 285,8 - DD&amp;A 130,5). FCF@5y sin escalar (base anterior 18,6 no comparable). BF era texto</t>
  </si>
  <si>
    <t>FCF-SBC NEGATIVO: SBC = 20% ingresos. FCF@5y pasado a post-SBC: ingresos y5 7.666 (25%/a) x SBC 10% = -767 sobre 658/1.175. EV/FCF no computable a este precio</t>
  </si>
  <si>
    <t>FCF-SBC NEGATIVO (turnaround, sin capex que normalizar). FCF@5y post-SBC: -15 sobre 0/114 (SBC 1,4% ingresos)</t>
  </si>
  <si>
    <t>2026-09-11</t>
  </si>
  <si>
    <t>trimestral (Q2 FY27: 8,0 incl. impuestos asociados). Caja PRO FORMA 182 = 401,1 - Tai 99,3 - Extensiv 119,9 (cerradas tras el balance). Proximos resultados: estimacion</t>
  </si>
  <si>
    <t>2026-09-12</t>
  </si>
  <si>
    <t>LTM H1-26 (H2-25+H1-26). FCF honesto: EBITDA 1.344 - capex 128 - leases 25 - impuestos ~380 + intereses del float ~330 - SBC 43 = ~1.098 (def. Adyen 86% conv. = 1.156 sin impuestos). OJO: ~330 son intereses sobre fondos de comercios, bajan con tipos. Caja neta REAL 2.710 (3.000 - Orb 290), no la del balance. Antes AS=864 venia de OCF yfinance contaminado por fondos de comercios. FCF@5y sin escalar</t>
  </si>
  <si>
    <t>23/09/2026</t>
  </si>
  <si>
    <t>10/12/2026</t>
  </si>
  <si>
    <t>03/09/2026</t>
  </si>
  <si>
    <t>21/01/2027</t>
  </si>
  <si>
    <t>01/12/2026</t>
  </si>
  <si>
    <t>20/01/2027</t>
  </si>
  <si>
    <t/>
  </si>
  <si>
    <t>2026-09-27</t>
  </si>
  <si>
    <t>FUENTE: 10-Q Q2 FY27 (EDGAR XBRL, LTM = H1 FY27 + FY26 - H1 FY26). OCF 1.665,5 - capex (software capitalizado) 26,7 - SBC 494,6 = 1.144,2. Caja 1.812 + inversiones 5.430,9. Sin deuda financiera (arrend. operativos fuera, US GAAP). EBITDA pendiente (D&amp;A no etiquetada completa). Proximos resultados ESTIMADOS por patron (Q3 FY26 fue el 20-nov-2025)</t>
  </si>
  <si>
    <t>FUENTE: 8-K Q4 FY26 (24-sep-2026): ingresos 303.154, EBIT 11.685, OCF 15.825, capex 6.435, caja 20.207 + inv. 1.094, deuda 2.248 + 3.914. SBC 911 y D&amp;A 2.565 son LTM a Q3 (10-Q) hasta el 10-K de octubre. FCF-SBC 8.479; capex de crecimiento 6.435 - 2.565 = 3.870 -&gt; normalizado 12.349. FCF@5y DEVUELTO a los valores de Roger (el 26-sep los escale sin preguntar). Proximos: estimado 10-dic</t>
  </si>
  <si>
    <t>24/11/2026</t>
  </si>
  <si>
    <t>FUENTE: 10-K FY26 (EDGAR XBRL). OCF 1.129,7 - capex 277,3 - software 73,2 - SBC 821,9 = -42,7. D&amp;A 148,5 -&gt; capex de crecimiento 202,0 -&gt; normalizado 159,3. Caja 928,4 + inversiones 2.545,8. Convertibles 1.696,4. Proximos ESTIMADOS por patron</t>
  </si>
  <si>
    <t>20/08/2026</t>
  </si>
  <si>
    <t>FUENTE: RNS interinos 23-sep-2026 + preliminares FY25. FCF sin intereses, tras alquileres y SBC: FY25 ~19,8 - 1S25 6,1 + 1S26 (-1,9) = 11,8 LTM (arrend. FY25 ~1,8 estimado). Deuda 58,6 + contraprestaciones 2,3 (excl. NIIF 16); caja 15,6 -&gt; 45,3 = deuda neta ajustada de la compania, 2,1x su EBITDA de covenant (21,6). NOPAT estatutario LTM ~3. FCF@5y SIN escalar. Proximo: trading update (estimado)</t>
  </si>
  <si>
    <t>FUENTE: 10-Q Q2 FY27 (EDGAR XBRL). OCF 2.016,6 - capex 407,9 - software 83,1 - SBC 1.244 = 281,6. D&amp;A no etiquetada de forma completa: sin normalizar y EBITDA pendiente. Deuda 746,2. Proximos estimados</t>
  </si>
  <si>
    <t>FUENTE: 10-Q Q2 FY27 (EDGAR XBRL) y nota de prensa. OCF 134.360 - capex 7.354 - SBC 7.241 = 119.765; D&amp;A 3.687 -&gt; capex de crecimiento 3.667. Caja 22.443 + valores de deuda 34.143 (fuera 42.783 de participaciones en acciones). DEUDA 33.366 (bonos nuevos; antes 12.810). FCF@5y DEVUELTO a los valores de Roger. Proximos estimados</t>
  </si>
  <si>
    <t>25/03/2027</t>
  </si>
  <si>
    <t>FUENTE: Geschaeftsbericht 2025 (Betriebsertrag 305,7, EBITDA 138,4, FCF 74,5, Gewinn 78,2) + ad hoc H1-26 (137,0 / 56,8 / FCF 18,7 / 28,9; H1-25 149,6 / 65,9 / 16,7 / 37,1). LTM = FY + H1-26 - H1-25. El 26-sep corregi los ingresos a 259 con yfinance: ERROR, el 306 de la fila era el dato bueno. Proximos: anual (estimado)</t>
  </si>
  <si>
    <t>FUENTE: 10-Q Q2 FY27 (EDGAR XBRL). OCF 57,3 - capex 0,8 - software 25,5 - SBC 322,1 = -291,1. D&amp;A 67,6 &gt; capex: nada que normalizar. Caja 201 + inversiones 454,3. FCF@5y post-SBC -287/-146 (propuesta de agosto, pendiente de Roger). Proximos estimados</t>
  </si>
  <si>
    <t>FUENTE: informe financiero semestral 2026 (lleva columna FY25). LTM: OCF 117,8 - capex 45,6 - arrendamientos ~7,8 (2x el semestre; el anual 2025 pendiente del DEU) = 64,4. D&amp;A 32,4 -&gt; capex de crecimiento 13,2 -&gt; 77,6. Deuda financiera 228,4 (sin 28,3 de arrendamientos). EBITDA recurrente 174,1-100,2+93,6. Objetivo 2026 rebajado a 3-5% organico. Proximo: ventas 3T (estimado)</t>
  </si>
  <si>
    <t>FUENTE: cuentas anuales consolidadas FY25 (nota 8, nota 16, estado de cambios en el patrimonio), nota FY25 y anexos H1-26 de Inditex. LTM = FY25 + H1-26 - H1-25. FCF de Inditex DESPUES DE ALQUILERES: OCF 10.439 - capex 2.750 - pagos fijos de arrendamiento 1.870 = 5.819; menos SBC 113 (reconocimiento de pagos en acciones FY25, proxy LTM) = 5.706. Deuda solo financiera (1); pasivos por arrendamiento 6.197 fuera. EBITDA post-alquileres 11.666 - 1.870. Capex de crecimiento (capex - amortizacion de inmovilizado SIN derechos de uso): FY25 2.712 - 1.545 = 1.167; NO sumado en BS hasta que Roger decida (deep dive 27-sep, pregunta 1). FCF@5y y multiplos provisionales (pregunta 2). 9M: 2-dic-2026 (Inditex)</t>
  </si>
  <si>
    <t>01/10/2026</t>
  </si>
  <si>
    <t>18/12/2026</t>
  </si>
  <si>
    <t>FUENTE: 10-Q Q3 FY26 (EDGAR XBRL, 30-jun-2026). LTM: OCF 1.001,5 - capex 5,5 - software capitalizado 35,1 - SBC 174,3 = 786,6. Ingresos 2.393,6; EBIT 1.236,3; EBITDA 1.252 (EBIT + D&amp;A 16,1); NOPAT 946 (EBIT x (1-23,5%)). Caja 248,4; deuda 5.582,4 (recompras de 3.046 en 9M financiadas con deuda; la fila llevaba 2.400, dato viejo). 28-sep-2026: la FHFA anuncia una sola tabla de precios (LLPA) para FICO Classic y VantageScore 4.0, sin el ajuste de 20 puntos: el riesgo regulatorio de la tesis se ha materializado. FCF@5y y multiplos pendientes de Roger. Proximos: ~5-nov-2026 (estimado)</t>
  </si>
  <si>
    <t>FUENTE: 10-Q Q2 2026 (EDGAR XBRL). NORMALIZADO: OCF 6.786 - SBC 151 - D&amp;A 1.814 (mantenimiento); capex de barcos 7.202 = crecimiento. Deuda 21.263 + 1.573 = 22.836 (el 26-sep puse 23.518 de yfinance: error). Proximos estimados | 23-sep-2026 (8-K): compra del 50% de Sandals y Beaches Resorts por ~3.000 M$ (~10x EBITDA futuro), con deuda comprometida (Morgan Stanley); cierre a principios de 2027: la deuda subira ~3.000 al cerrar</t>
  </si>
  <si>
    <t>anual | Trading update 24-sep-2026 (RNS): guia de margen EBIT ajustado FY27 sube a 23,5-24% (antes ~22,7%); organico a divisa constante de dos digitos bajos (fotonica ~+30%, aporta ~5 pp); 6 adquisiciones por 515 M GBP (record) y 3 desinversiones por 83; la libra fuerte resta. Semestrales el 19-nov-2026 (confirmado)</t>
  </si>
  <si>
    <t>FUENTE: informe anual 2025 y semestral 2026 (corporate.eventim.de). OJO: 1.089 de la caja (dic-25) es DINERO DE ENTRADAS DE PROMOTORES; la propia CTS calcula caja neta 200,8 (caja+valores 1.605 - deuda incl. dinero de entradas y arrendamientos 1.404). FCF FY25 tras alquileres: OCF 364,7 - capex 278,9 - arrend. 25,8 = 60,0 (LTM no computable: el semestral no separa capex). Capex de crecimiento (Arena Milano) 278,9 - 75,5 = 203,4. El OCF lleva +49 de dinero de entradas: PREGUNTA ABIERTA de metodo. Proximos estimados | 30-sep-2026: el CFO William Willms sale del consejo con efecto inmediato, sin motivo comunicado; interino Philipp Knigge</t>
  </si>
  <si>
    <t>SBC no reportado (0). Capital Markets Day 28/29-sep-2026: objetivos 2027-30 suben a organico +6-8%/anio (antes +3-5%) + ~5% de perimetro, margen operativo ajustado 21-22%, FCF 13-15% de ventas, ~60% del FCF a adquisiciones, payout ~50%, deuda neta/EBITDA 1,5-2,5x, desinversiones de 0,5-1,0 mil M EUR de ventas; centros de datos 32% de ventas (&gt;3.000 M EUR en 2026). Cifras LTM pendientes de fuente primaria (revisar NIIF 16)</t>
  </si>
  <si>
    <t>DE non-GAAP LTM Q2-26 (6.200 = 2,61 $/acc) menos SBC equity-settled 120 (40-F FY25). NO usar OCF-capex consolidado | Investor Day 17-sep-2026 (segunda mano): el valor del plan, 140 $/accion, pasa de 2030 a 2031; DE antes de realizaciones 5.300 (2026) -&gt; 11.600 (2031)</t>
  </si>
  <si>
    <t>FUENTE: RNS resultados FY25 + interinos 1S26 (8-sep). LTM = FY25 + 1S26 - 1S25: OCF 20,7 - capex 0,9 - arrend. financ. 0,3 - SBC 1,0 = 18,4. Ingresos 88,857-39,828+48,675. Caja 29,6, sin deuda (0,8 arrend. financieros). Guia FY26 subida a ~95 / EBITDA 19,5. Grupo VN Capital (~44%) entra en el consejo (21-sep). FCF@5y de Roger sin tocar. Proximo: trading update (estimado) | 1-oct-2026: junta extraordinaria el 10-nov para pasar el consejo a mandatos de 2 anios y voto por mayoria (acuerdo con VN Capital)</t>
  </si>
  <si>
    <t>FUENTE: 6-K trimestrales (beneficio neto 3T25 278.046 + 4T25 276.983 + 1T26 251.907 + 2T26 258.889 = 1.065.825) - SBC ~11.000 (5.484 en 6M26 x2, estimado). Marco de la tesis: FCF distribuible ~ beneficio neto (hibrido banco). Sept-26: Kaspi sube al 93,5% de Hepsiburada (ampliacion TRY 9.321 M + 57,7 M$ a VR Global); Kim (presidente) vende a diario acciones (Form 4). Deep dive 12-sep-2026 | 28-30 sep: Kim sigue vendiendo (51.000 ADS a ~95 $; le quedan 36,57 M)</t>
  </si>
  <si>
    <t>trimestral. FCF 10.116 - SBC 1.939 = 8.177 (14,8%). Caja/deuda son el balance a 30-jun; PRO FORMA con Delivery Hero (41,50 EUR en efectivo, cierre 2S27): deuda neta ~21.400 (2,0-2,3x EBITDA aj.). Take rate Mobility -500 pb de los que 400 son opticos (UK). Deep dive 12-sep-2026 | 9/15-sep-2026: emision de 4.500 M EUR en bonos (2029-2046), financiacion de Delivery Hero</t>
  </si>
  <si>
    <t>trimestral | 25-sep-2026 (8-K): Rob Gehring, CEO Americas, se va a Coca-Cola el 30-nov</t>
  </si>
  <si>
    <t>FUENTE: estados consolidados de TSMC (6-K del 26-feb-2026, FY25, y del 14-ago-2026, H1-26; en NT$). LTM = FY25 + H1-26 - H1-25. Convertido a USD a 31,6 NT$/$ (cambio implicito de TSMC en el H1-26: Q2 NT$1.270.380 M = US$40.200 M). Ingresos NT$4.440.492 M; EBIT 2.491.157; D&amp;A 688.888; flujo de explotacion 2.634.679 - capex 1.500.530 - SBC 683 - arrendamientos 4.101 = FCF-SBC NT$1.129.365 M (35.739 M$). Capex de crecimiento (capex - D&amp;A) 811.642 (25.685 M$) -&gt; normalizado 61.424 M$ en BS. Hasta el 2-oct la columna AS llevaba el normalizado y BS vacia. Caja: efectivo + activos financieros corrientes; deuda: bonos + prestamos (sin arrendamientos). Q3 2026: 15-oct (estimado)</t>
  </si>
  <si>
    <t>FUENTE: notas de resultados FY25 (24-feb-2026) y H1-26 (28-jul-2026) e informe financiero semestral 2026 de Verallia. LTM = FY25 + H1-26 - H1-25. Ingresos 3.331,5 + 1.698,8 - 1.722,6 = 3.307,7; EBITDA ajustado LTM 693,0 (de la compania). FCF de Verallia (EBITDA aj. - capex +/- circulante - otros impactos operativos, que incluyen el efecto de caja de la NIIF 16 - intereses - impuestos): 166,0 + 102,0 - 66,2 = 201,8, menos SBC 6,2 (estado de cambios en el patrimonio) = 195,6 (incluye 19 de reestructuracion en el H1-26). La fila llevaba 249 (sin fuente). Caja 413,9; deuda bruta 2.192,8 - arrendamientos 60,9 = 2.131,9 (deuda neta de la compania 1.778,9). Capex 246 &lt; amortizacion: sin normalizar. NOPAT pendiente. Q3: 27-oct-2026 (calendario de la compania)</t>
  </si>
  <si>
    <t>FUENTE: 10-K FY26 (EDGAR XBRL) + 8-K Q1 FY27 (1-oct-2026). Ingresos LTM = 46.398 + 11.213 - 11.720 = 45.891. FCF - SBC FY26 = OCF 2.868 - capex 684 - SBC 715 = 1.469 (el 10-Q del Q1 aun no esta: LTM de caja pendiente). Caja 6.903 + 1.465 = 8.368; deuda financiera 2.000 + 5.893 = 7.893 (sin arrendamientos operativos; la fila llevaba 11.040). EBITDA y NOPAT pendientes del 10-Q. Guia FY27: ventas -HSD, BPA aj. 1,15-1,35; plan Pace (1.000 M$ de cargos, 2.500 de ahorro hasta FY31). Investor Day en noviembre. Proximos: ~18-dic-2026 (estimado) | 2-oct: FCF@5y 2.823 / 6.005 (escenarios 'marca madura estancada' y 'recuperacion completa' del deep dive NKE_Deep_Dive.md), por decision de Roger; multiplos 14x / 21x sin cambio</t>
  </si>
  <si>
    <t>VYLOR (semillas de Corteva) desde el 1-oct-2026, sustituye a CTVA por decision de Roger (2-oct). FUENTE: Form 10 de Vylor (EDGAR, 21-sep-2026): estados combinados del negocio de semillas. LTM = FY25 + H1-26 - H1-25. Ventas 9.898 + 7.555 - 7.244 = 10.209. EBITDA operativo del segmento 2.636 + 3.000 - 2.705 = 2.931 (antes de costes corporativos; pro forma FY25 2.503). Flujo de explotacion 2.506 - 2.471 + 1.557 = 1.592 - capex 350 - SBC 47 = 1.195: INCLUYE el pago unico a Bayer por el litigio (cargo de 610 en FY25, pagado en el H1-26); sin el ~1.800; FY25 2.118. Capex de crecimiento 350 - depreciacion 317 = 33 -&gt; BS 1.228. NOPAT ~1.172 (EBIT FY25 sin Bayer 1.562 x 75%). Caja 1.100 y deuda 5.659 pro forma a 30-jun-2026; capital empleado = fondos propios pro forma 12.268 + deuda neta. | 2-oct (Roger: 'rehaz todo con Vylor, sin tocar los multiplos'): FCF@5y 2.200 / 3.320 sobre un FCF limpio de partida ~1.900 (FY25 2.118 y LTM sin Bayer ~1.800, menos ~130 de intereses netos de la deuda de la escision: cargo pro forma 170). Bajista: ventas +2%/anio, margen FCF 19,5% -&gt; 2.200 (+3%/anio). Alcista: ventas +5%/anio (precio +3% como en 2024-26, licencias), margen 25,5% por el giro de regalias (coste neto 439 en 2025 -&gt; neutral en 2026 -&gt; +1.000 en 2035) -&gt; 3.320 (+12%/anio). OJO: el crecimiento implicito de BE/BG se calcula contra AS (1.195, deprimido por Bayer) y sale inflado; contra 1.900 es +3% / +12%. Multiplos 14x / 22x de Roger SIN CAMBIO. Ratings rehechos para semillas: ver Updates Log del 2-oct. Q3: ~5-nov-2026 (estimado)</t>
  </si>
  <si>
    <t>VYLR</t>
  </si>
  <si>
    <t>ALTA por sustitucion de CTVA. A (tipo de dato), AP-AV, AZ, BQ-BT, ratings R1/R2/R3, BD/BF</t>
  </si>
  <si>
    <t>Form 10 de Vylor (EDGAR, 21-sep-2026) y 8-K de Corteva del 1-oct-2026</t>
  </si>
  <si>
    <t>Vylor sustituye a Corteva (escision del 1-oct-2026; la semilla, con el foso de la tesis, es Vylor). Roger: 'rehaz todo con Vylor, sin tocar los multiplos'. RATINGS (solo lo que cambia con la escision; New Corteva se lleva la proteccion de cultivos, los genericos, el acuerdo con la FTC y los pasivos heredados de DuPont): R1 MOAT 6-&gt;7 (recompra anual obligada de semilla hibrida, Pioneer n1 en maiz y soja de EE.UU., Enlist E3 en ~65% de la soja de EE.UU.), Optionality 1-&gt;2 (2a cartera de patentes de edicion genetica, trigo hibrido en 2027, licencias hacia +1.000 M$ netos en 2035). R2 Financials 11-&gt;12 (EBITDA de segmento 26,6% y +340 pb en 2025; FCF ~19% de ventas frente a 3% de proteccion de cultivos), MOAT 15-&gt;16, Potential 11-&gt;12, Risks -11-&gt;-9 (sin genericos, FTC ni pasivos de DuPont; quedan aprobaciones regulatorias, clima, Brasil y la deuda nueva). R3 Financing -&gt; 3-&gt;2 (5.659 M$ de deuda nueva por la escision, 3.499 pagados a New Corteva), MOAT Structural 12-&gt;13, Terminal Risk -4-&gt;-3. Resto sin cambio. Compuesto 5,81 -&gt; 6,31. FCF@5y 2.046/3.295 -&gt; 2.200/3.320 sobre un FCF limpio de ~1.900 (+3% / +12% anual). Multiplos 14x / 22x SIN CAMBIO. Test del bajista: valor 39,3 $ frente a 67,26 $, -41% (cumple el minimo del 15%). Multiplos dentro del anclaje 0,75x / 1,25x del EV/FCF limpio de hoy (~26x).</t>
  </si>
  <si>
    <t>FCF@5y NORMALIZADO el 4-oct-2026 por decision de Roger: BD/BF del 8-sep x BS/AS (127.082/54.582 = 2,328). BD 63.334,9 -&gt; 147.461,2; BF 96.094,3 -&gt; 223.734,1. CAGR sobre el normalizado 3,0% / 12,0% (las de Roger). BE/BG pasan a medirse contra BS. Multiplos sin cambio por decision de Roger: se calibraron el 22-ago sobre FCF@5y normalizado.</t>
  </si>
  <si>
    <t>FCF@5y NORMALIZADO el 4-oct-2026 por decision de Roger: BD/BF del 8-sep x BS/AS (82.436/15.840 = 5,204). BD 12.030,4 -&gt; 62.609,7; BF 33.269,4 -&gt; 173.143,7. CAGR sobre el normalizado -5,4% / 16,0% (las de Roger). BE/BG pasan a medirse contra BS. Multiplos sin cambio por decision de Roger: se calibraron el 22-ago sobre FCF@5y normalizado.</t>
  </si>
  <si>
    <t>FCF@5y NORMALIZADO el 4-oct-2026 por decision de Roger: BD/BF del 8-sep x BS/AS (132.291/25.126 = 5,265). BD 32.067,8 -&gt; 168.840,3; BF 50.537,4 -&gt; 266.084,7. CAGR sobre el normalizado 5,0% / 15,0% (las de Roger). BE/BG pasan a medirse contra BS. Multiplos sin cambio por decision de Roger: se calibraron el 22-ago sobre FCF@5y normalizado.</t>
  </si>
  <si>
    <t>MSFT; META; GOOG</t>
  </si>
  <si>
    <t>BD; BF; BE; BG (formula contra BS); BT</t>
  </si>
  <si>
    <t>Decision de Roger, 4-oct-2026 (P4 de la Carta de vientos macro)</t>
  </si>
  <si>
    <t>Normalizacion del FCF@5y de las Mag-7 (P4 de la Carta de vientos, decision de Roger 4-oct-2026). Desde el 8-sep BD/BF estaban en base FCF-SBC (escalados con AS), es decir, DESPUES del capex de IA, mientras el EV/FCF de hoy ya usaba el normalizado (BS) desde el 11-sep: la TIR mezclaba bases. Ahora BD/BF = valores del 8-sep x BS/AS, que conserva las CAGR de Roger y devuelve las filas a la base del 22-ago. MSFT x2,328: BD 63.334,9 -&gt; 147.461,2; BF 96.094,3 -&gt; 223.734,1. META x5,204: BD 12.030,4 -&gt; 62.609,7; BF 33.269,4 -&gt; 173.143,7. GOOG x5,265: BD 32.067,8 -&gt; 168.840,3; BF 50.537,4 -&gt; 266.084,7. BE/BG de las tres pasan a (BD/BS)^(1/5)-1. MULTIPLOS SIN CAMBIO (MSFT 20/30, META 18/26, GOOG 20/30) POR DECISION DE ROGER, excepcion consciente a la regla Lotus: se le ofrecio recortarlos con multiplo x (1 - g/ROIC) y prefirio mantenerlos porque se calibraron sobre FCF normalizado. TIR peor/mejor: MSFT -19,4/-5,3 -&gt; -4,9/+11,9; META -36,3/-14,6 -&gt; -9,8/+19,3; GOOG -28,8/-17,0 -&gt; -3,4/+14,3. AMZN ya estaba normalizada desde el 11-sep (sin cambio, -10,7/+5,9). NVDA no se normaliza: capex 7.354 = 1,99x D&amp;A, por debajo del umbral de 2x de la regla.</t>
  </si>
  <si>
    <t>2026-10-19</t>
  </si>
  <si>
    <t>19/10/2026</t>
  </si>
  <si>
    <t>08/01/2027</t>
  </si>
  <si>
    <t>FUENTE: informe anual 2025 + informe intermedio 1S26 + trading statement 3T26 (RNS 19-oct-2026, kistosplc.com). LTM a 30-jun (el 3T no publica flujo de caja; se queda el semestral): OCF 257,2 (incl. devoluciones fiscales noruegas) - capex 105,6 - arrend. 0,2 - SBC 3,6 = 147,8. D&amp;A 112,1 &gt; capex: sin capex de crecimiento por regla. Ingresos/EBITDA SIN Oman. CAJA/DEUDA a 30-sep (RNS 19-oct, notas 3 y 4): deuda = bono 300 nominal; caja = 165 de caja y casi caja (109 libre + 20 escrow del bono para el B9 + 36 devolucion fiscal noruega de dic-26) + 17 otros restringidos + 15 SPS holandes reembolsable + 2,5 prepago B9 = 199,5. Deuda neta ajustada de la compania 101 (30-jun: 23). NO incluye ~42 de impuestos devengados pendientes (netos de devoluciones) ni el pago del Bloque 9 (~29-32, cierre 4T26): deuda neta economica ~231 tras el B9 (kistos_update_3T26.py). FCF@5y Y MULTIPLOS (decididos por Roger el 19-oct-2026): ESPEJO DEL MODELO POR ACTIVOS v4, caso compania. BD 40 / BF 65 = FCF desapalancado de 2031 en S1 Ormuz se resuelve (38,8) y S3 prima geopolitica persistente (66,6). BH 6x / BI 10x son multiplos IMPLICITOS: incluyen la caja que se acumula hasta 2031 y el repago del bono, porque la formula de la fila usa la deuda neta de hoy. Reproducen 126p / 497p (modelo: 127p / 486p). NO comparables con los multiplos de salida de otras filas. Proximo: trading update ~8-ene-2027 (ESTIMADO: 8-ene-2025 y 8-ene-2026; la web de RI no publica calendario).</t>
  </si>
  <si>
    <t>USD por GBP (KIST, SOM) - GBP/USD 1,3305 al 19-oct-2026 (yfinance; valor fijo, no vinculado: actualizar a mano)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</si>
</sst>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0;\(#,##0\);\-"/>
    <numFmt numFmtId="166" formatCode="0.00\x"/>
    <numFmt numFmtId="167" formatCode="_-[$¥-411]* #,##0.00_-;\-[$¥-411]* #,##0.00_-;_-[$¥-411]* \-??_-;_-@_-"/>
    <numFmt numFmtId="168" formatCode="_([$$-409]* #,##0.00_);_([$$-409]* \(#,##0.00\);_([$$-409]* \-??_);_(@_)"/>
    <numFmt numFmtId="169" formatCode="_-* #,##0.00\ [$₸-43F]_-;\-* #,##0.00\ [$₸-43F]_-;_-* \-??\ [$₸-43F]_-;_-@_-"/>
    <numFmt numFmtId="170" formatCode="0.0%"/>
    <numFmt numFmtId="171" formatCode="0.0\x"/>
    <numFmt numFmtId="172" formatCode="_([$€-2]\ * #,##0.00_);_([$€-2]\ * \(#,##0.00\);_([$€-2]\ * &quot;-&quot;??_);_(@_)"/>
    <numFmt numFmtId="173" formatCode="0.0"/>
  </numFmts>
  <fonts count="39" x14ac:knownFonts="1">
    <font>
      <sz val="11"/>
      <color theme="1"/>
      <name val="Calibri"/>
      <family val="2"/>
      <charset val="1"/>
    </font>
    <font>
      <b/>
      <sz val="14"/>
      <color rgb="FFFFFFFF"/>
      <name val="Arial"/>
      <charset val="1"/>
    </font>
    <font>
      <b/>
      <sz val="10"/>
      <color rgb="FFFFFFFF"/>
      <name val="Arial"/>
      <charset val="1"/>
    </font>
    <font>
      <b/>
      <sz val="11"/>
      <color theme="0"/>
      <name val="Calibri"/>
      <family val="2"/>
      <charset val="1"/>
    </font>
    <font>
      <b/>
      <sz val="9"/>
      <color rgb="FFFFFFFF"/>
      <name val="Arial"/>
      <charset val="1"/>
    </font>
    <font>
      <b/>
      <sz val="9"/>
      <name val="Arial"/>
      <charset val="1"/>
    </font>
    <font>
      <b/>
      <sz val="9"/>
      <color rgb="FFFFFFFF"/>
      <name val="Arial"/>
      <family val="2"/>
      <charset val="1"/>
    </font>
    <font>
      <b/>
      <sz val="10"/>
      <name val="Arial"/>
      <charset val="1"/>
    </font>
    <font>
      <sz val="10"/>
      <name val="Arial"/>
      <charset val="1"/>
    </font>
    <font>
      <b/>
      <sz val="11"/>
      <name val="Arial"/>
      <charset val="1"/>
    </font>
    <font>
      <b/>
      <sz val="11"/>
      <color rgb="FF1F3864"/>
      <name val="Arial"/>
      <charset val="1"/>
    </font>
    <font>
      <sz val="10"/>
      <name val="Arial"/>
      <family val="2"/>
      <charset val="1"/>
    </font>
    <font>
      <b/>
      <sz val="18"/>
      <color rgb="FFFFFFFF"/>
      <name val="Calibri"/>
      <family val="2"/>
      <charset val="1"/>
    </font>
    <font>
      <b/>
      <sz val="20"/>
      <color rgb="FFFFFFFF"/>
      <name val="Calibri"/>
      <family val="2"/>
      <charset val="1"/>
    </font>
    <font>
      <i/>
      <sz val="10"/>
      <color rgb="FFBDC3C7"/>
      <name val="Calibri"/>
      <family val="2"/>
      <charset val="1"/>
    </font>
    <font>
      <b/>
      <sz val="10"/>
      <color rgb="FFFFFFFF"/>
      <name val="Calibri"/>
      <family val="2"/>
      <charset val="1"/>
    </font>
    <font>
      <b/>
      <sz val="26"/>
      <color rgb="FF2C3E50"/>
      <name val="Calibri"/>
      <family val="2"/>
      <charset val="1"/>
    </font>
    <font>
      <i/>
      <sz val="9"/>
      <color rgb="FF7F8C8D"/>
      <name val="Calibri"/>
      <family val="2"/>
      <charset val="1"/>
    </font>
    <font>
      <b/>
      <sz val="9"/>
      <color rgb="FF95A5A6"/>
      <name val="Calibri"/>
      <family val="2"/>
      <charset val="1"/>
    </font>
    <font>
      <b/>
      <sz val="9"/>
      <color rgb="FF27AE60"/>
      <name val="Calibri"/>
      <family val="2"/>
      <charset val="1"/>
    </font>
    <font>
      <b/>
      <sz val="9"/>
      <color rgb="FF3498DB"/>
      <name val="Calibri"/>
      <family val="2"/>
      <charset val="1"/>
    </font>
    <font>
      <b/>
      <sz val="11"/>
      <color rgb="FFFFFFFF"/>
      <name val="Calibri"/>
      <family val="2"/>
      <charset val="1"/>
    </font>
    <font>
      <b/>
      <sz val="14"/>
      <color rgb="FFFFFFFF"/>
      <name val="Calibri"/>
      <family val="2"/>
      <charset val="1"/>
    </font>
    <font>
      <b/>
      <sz val="13"/>
      <color rgb="FFFFFFFF"/>
      <name val="Calibri"/>
      <family val="2"/>
      <charset val="1"/>
    </font>
    <font>
      <b/>
      <sz val="11"/>
      <color theme="1"/>
      <name val="Calibri"/>
      <family val="2"/>
      <charset val="1"/>
    </font>
    <font>
      <b/>
      <sz val="12"/>
      <color rgb="FFFFFFFF"/>
      <name val="Calibri"/>
      <family val="2"/>
      <charset val="1"/>
    </font>
    <font>
      <b/>
      <sz val="9"/>
      <color theme="1"/>
      <name val="Calibri"/>
      <family val="2"/>
      <charset val="1"/>
    </font>
    <font>
      <b/>
      <sz val="9"/>
      <color rgb="FFFFFFFF"/>
      <name val="Calibri"/>
      <family val="2"/>
      <charset val="1"/>
    </font>
    <font>
      <b/>
      <sz val="10"/>
      <color theme="1"/>
      <name val="Calibri"/>
      <family val="2"/>
      <charset val="1"/>
    </font>
    <font>
      <b/>
      <sz val="12"/>
      <color theme="1"/>
      <name val="Calibri"/>
      <family val="2"/>
      <charset val="1"/>
    </font>
    <font>
      <sz val="11"/>
      <color rgb="FF666666"/>
      <name val="Calibri"/>
      <family val="2"/>
      <charset val="1"/>
    </font>
    <font>
      <i/>
      <sz val="10"/>
      <color rgb="FF666666"/>
      <name val="Calibri"/>
      <family val="2"/>
      <charset val="1"/>
    </font>
    <font>
      <b/>
      <sz val="14"/>
      <color theme="1"/>
      <name val="Calibri"/>
      <family val="2"/>
      <charset val="1"/>
    </font>
    <font>
      <sz val="11"/>
      <color rgb="FF1F4E79"/>
      <name val="Calibri"/>
      <family val="2"/>
      <charset val="1"/>
    </font>
    <font>
      <i/>
      <sz val="9"/>
      <color rgb="FF808080"/>
      <name val="Calibri"/>
      <family val="2"/>
      <charset val="1"/>
    </font>
    <font>
      <sz val="10"/>
      <name val="Arial"/>
      <family val="2"/>
    </font>
    <font>
      <b/>
      <sz val="9"/>
      <name val="Arial"/>
      <family val="2"/>
    </font>
    <font>
      <b/>
      <sz val="11"/>
      <color theme="0"/>
      <name val="Calibri"/>
      <family val="2"/>
    </font>
    <font>
      <b/>
      <sz val="9"/>
      <color indexed="81"/>
      <name val="Tahoma"/>
      <charset val="1"/>
    </font>
  </fonts>
  <fills count="48">
    <fill>
      <patternFill patternType="none"/>
    </fill>
    <fill>
      <patternFill patternType="gray125"/>
    </fill>
    <fill>
      <patternFill patternType="solid">
        <fgColor rgb="FF1F3864"/>
        <bgColor rgb="FF2C3E50"/>
      </patternFill>
    </fill>
    <fill>
      <patternFill patternType="solid">
        <fgColor rgb="FF595959"/>
        <bgColor rgb="FF666666"/>
      </patternFill>
    </fill>
    <fill>
      <patternFill patternType="solid">
        <fgColor rgb="FF2E75B6"/>
        <bgColor rgb="FF4B7BC4"/>
      </patternFill>
    </fill>
    <fill>
      <patternFill patternType="solid">
        <fgColor rgb="FF548235"/>
        <bgColor rgb="FF2E8632"/>
      </patternFill>
    </fill>
    <fill>
      <patternFill patternType="solid">
        <fgColor rgb="FFC65911"/>
        <bgColor rgb="FF9C5700"/>
      </patternFill>
    </fill>
    <fill>
      <patternFill patternType="darkGray">
        <fgColor theme="5" tint="-0.249977111117893"/>
        <bgColor rgb="FF8E2717"/>
      </patternFill>
    </fill>
    <fill>
      <patternFill patternType="solid">
        <fgColor theme="6" tint="-0.249977111117893"/>
        <bgColor rgb="FF548235"/>
      </patternFill>
    </fill>
    <fill>
      <patternFill patternType="solid">
        <fgColor rgb="FFE7E6E6"/>
        <bgColor rgb="FFEAECEE"/>
      </patternFill>
    </fill>
    <fill>
      <patternFill patternType="solid">
        <fgColor rgb="FFF2F2F2"/>
        <bgColor rgb="FFECF0F1"/>
      </patternFill>
    </fill>
    <fill>
      <patternFill patternType="solid">
        <fgColor rgb="FFFFF2CC"/>
        <bgColor rgb="FFFFF3E0"/>
      </patternFill>
    </fill>
    <fill>
      <patternFill patternType="solid">
        <fgColor rgb="FFFFE699"/>
        <bgColor rgb="FFFFEB9C"/>
      </patternFill>
    </fill>
    <fill>
      <patternFill patternType="solid">
        <fgColor rgb="FFE2EFDA"/>
        <bgColor rgb="FFE8F5E9"/>
      </patternFill>
    </fill>
    <fill>
      <patternFill patternType="solid">
        <fgColor theme="0" tint="-0.14999847407452621"/>
        <bgColor rgb="FFD6DCE5"/>
      </patternFill>
    </fill>
    <fill>
      <patternFill patternType="solid">
        <fgColor rgb="FF1A252F"/>
        <bgColor rgb="FF1F3864"/>
      </patternFill>
    </fill>
    <fill>
      <patternFill patternType="solid">
        <fgColor rgb="FF1F4E79"/>
        <bgColor rgb="FF2F5496"/>
      </patternFill>
    </fill>
    <fill>
      <patternFill patternType="solid">
        <fgColor rgb="FF2C3E50"/>
        <bgColor rgb="FF34495E"/>
      </patternFill>
    </fill>
    <fill>
      <patternFill patternType="solid">
        <fgColor rgb="FF27AE60"/>
        <bgColor rgb="FF2E8632"/>
      </patternFill>
    </fill>
    <fill>
      <patternFill patternType="solid">
        <fgColor rgb="FFF39C12"/>
        <bgColor rgb="FFED7D31"/>
      </patternFill>
    </fill>
    <fill>
      <patternFill patternType="solid">
        <fgColor rgb="FF3498DB"/>
        <bgColor rgb="FF4B7BC4"/>
      </patternFill>
    </fill>
    <fill>
      <patternFill patternType="solid">
        <fgColor rgb="FF8D5FAC"/>
        <bgColor rgb="FF666666"/>
      </patternFill>
    </fill>
    <fill>
      <patternFill patternType="solid">
        <fgColor rgb="FFE23632"/>
        <bgColor rgb="FFC65911"/>
      </patternFill>
    </fill>
    <fill>
      <patternFill patternType="solid">
        <fgColor rgb="FFF8F9FA"/>
        <bgColor rgb="FFFFFFFF"/>
      </patternFill>
    </fill>
    <fill>
      <patternFill patternType="solid">
        <fgColor rgb="FFEAECEE"/>
        <bgColor rgb="FFECF0F1"/>
      </patternFill>
    </fill>
    <fill>
      <patternFill patternType="solid">
        <fgColor rgb="FFFFFFFF"/>
        <bgColor rgb="FFF8F9FA"/>
      </patternFill>
    </fill>
    <fill>
      <patternFill patternType="solid">
        <fgColor rgb="FF34495E"/>
        <bgColor rgb="FF2C3E50"/>
      </patternFill>
    </fill>
    <fill>
      <patternFill patternType="solid">
        <fgColor rgb="FF7830A0"/>
        <bgColor rgb="FF8D5FAC"/>
      </patternFill>
    </fill>
    <fill>
      <patternFill patternType="solid">
        <fgColor rgb="FFE2D0F4"/>
        <bgColor rgb="FFD9D9D9"/>
      </patternFill>
    </fill>
    <fill>
      <patternFill patternType="solid">
        <fgColor rgb="FFC6E0B4"/>
        <bgColor rgb="FFC6EFCE"/>
      </patternFill>
    </fill>
    <fill>
      <patternFill patternType="solid">
        <fgColor rgb="FF2E8632"/>
        <bgColor rgb="FF548235"/>
      </patternFill>
    </fill>
    <fill>
      <patternFill patternType="solid">
        <fgColor rgb="FF1565C0"/>
        <bgColor rgb="FF2E75B6"/>
      </patternFill>
    </fill>
    <fill>
      <patternFill patternType="solid">
        <fgColor rgb="FFE8F5E9"/>
        <bgColor rgb="FFECF0F1"/>
      </patternFill>
    </fill>
    <fill>
      <patternFill patternType="solid">
        <fgColor rgb="FFE3F2FD"/>
        <bgColor rgb="FFECF0F1"/>
      </patternFill>
    </fill>
    <fill>
      <patternFill patternType="solid">
        <fgColor rgb="FF2F5496"/>
        <bgColor rgb="FF1F4E79"/>
      </patternFill>
    </fill>
    <fill>
      <patternFill patternType="solid">
        <fgColor rgb="FFED7D31"/>
        <bgColor rgb="FFFF6F00"/>
      </patternFill>
    </fill>
    <fill>
      <patternFill patternType="solid">
        <fgColor rgb="FF4B7BC4"/>
        <bgColor rgb="FF2E75B6"/>
      </patternFill>
    </fill>
    <fill>
      <patternFill patternType="solid">
        <fgColor rgb="FFFCE4D6"/>
        <bgColor rgb="FFFFF2CC"/>
      </patternFill>
    </fill>
    <fill>
      <patternFill patternType="solid">
        <fgColor rgb="FFD6DCE5"/>
        <bgColor rgb="FFD9D9D9"/>
      </patternFill>
    </fill>
    <fill>
      <patternFill patternType="solid">
        <fgColor rgb="FFFF6F00"/>
        <bgColor rgb="FFED7D31"/>
      </patternFill>
    </fill>
    <fill>
      <patternFill patternType="solid">
        <fgColor rgb="FFFFF3E0"/>
        <bgColor rgb="FFFFF2CC"/>
      </patternFill>
    </fill>
    <fill>
      <patternFill patternType="solid">
        <fgColor rgb="FF375623"/>
        <bgColor rgb="FF404040"/>
      </patternFill>
    </fill>
    <fill>
      <patternFill patternType="solid">
        <fgColor rgb="FF843C0C"/>
        <bgColor rgb="FF8E2717"/>
      </patternFill>
    </fill>
    <fill>
      <patternFill patternType="solid">
        <fgColor rgb="FF96A89A"/>
        <bgColor rgb="FF808687"/>
      </patternFill>
    </fill>
    <fill>
      <patternFill patternType="solid">
        <fgColor rgb="FFD0CECE"/>
        <bgColor rgb="FFCCCCCC"/>
      </patternFill>
    </fill>
    <fill>
      <patternFill patternType="solid">
        <fgColor rgb="FFE7E6E6"/>
        <bgColor rgb="FFF2F2F2"/>
      </patternFill>
    </fill>
    <fill>
      <patternFill patternType="solid">
        <fgColor rgb="FF000000"/>
        <bgColor rgb="FF1A252F"/>
      </patternFill>
    </fill>
    <fill>
      <patternFill patternType="solid">
        <fgColor rgb="FFFFFF00"/>
        <bgColor rgb="FFFFEB9C"/>
      </patternFill>
    </fill>
  </fills>
  <borders count="29">
    <border>
      <left/>
      <right/>
      <top/>
      <bottom/>
      <diagonal/>
    </border>
    <border>
      <left style="thin">
        <color rgb="FFBFBFC3"/>
      </left>
      <right style="thin">
        <color rgb="FFBFBFC3"/>
      </right>
      <top style="thin">
        <color rgb="FFBFBFC3"/>
      </top>
      <bottom style="thin">
        <color rgb="FFBFBFC3"/>
      </bottom>
      <diagonal/>
    </border>
    <border>
      <left/>
      <right/>
      <top/>
      <bottom style="thick">
        <color rgb="FF2C3E50"/>
      </bottom>
      <diagonal/>
    </border>
    <border>
      <left style="thick">
        <color rgb="FF2C3E50"/>
      </left>
      <right style="thin">
        <color rgb="FFECF0F1"/>
      </right>
      <top style="thick">
        <color rgb="FF2C3E50"/>
      </top>
      <bottom/>
      <diagonal/>
    </border>
    <border>
      <left/>
      <right style="thin">
        <color rgb="FFECF0F1"/>
      </right>
      <top style="thick">
        <color rgb="FF2C3E50"/>
      </top>
      <bottom/>
      <diagonal/>
    </border>
    <border>
      <left/>
      <right style="thick">
        <color rgb="FF2C3E50"/>
      </right>
      <top style="thick">
        <color rgb="FF2C3E50"/>
      </top>
      <bottom/>
      <diagonal/>
    </border>
    <border>
      <left style="thick">
        <color rgb="FF2C3E50"/>
      </left>
      <right style="thin">
        <color rgb="FFECF0F1"/>
      </right>
      <top/>
      <bottom/>
      <diagonal/>
    </border>
    <border>
      <left/>
      <right style="thin">
        <color rgb="FFECF0F1"/>
      </right>
      <top/>
      <bottom/>
      <diagonal/>
    </border>
    <border>
      <left/>
      <right style="thick">
        <color rgb="FF2C3E50"/>
      </right>
      <top/>
      <bottom/>
      <diagonal/>
    </border>
    <border>
      <left style="thick">
        <color rgb="FF2C3E50"/>
      </left>
      <right/>
      <top style="thick">
        <color rgb="FF2C3E50"/>
      </top>
      <bottom style="thick">
        <color rgb="FF2C3E50"/>
      </bottom>
      <diagonal/>
    </border>
    <border>
      <left/>
      <right/>
      <top style="thick">
        <color rgb="FF2C3E50"/>
      </top>
      <bottom style="thick">
        <color rgb="FF2C3E50"/>
      </bottom>
      <diagonal/>
    </border>
    <border>
      <left/>
      <right style="thick">
        <color rgb="FF2C3E50"/>
      </right>
      <top style="thick">
        <color rgb="FF2C3E50"/>
      </top>
      <bottom style="thick">
        <color rgb="FF2C3E50"/>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D9D9D9"/>
      </bottom>
      <diagonal/>
    </border>
    <border>
      <left/>
      <right/>
      <top/>
      <bottom style="thin">
        <color rgb="FFD9D9D9"/>
      </bottom>
      <diagonal/>
    </border>
    <border>
      <left/>
      <right/>
      <top style="thin">
        <color rgb="FFD9D9D9"/>
      </top>
      <bottom style="thin">
        <color rgb="FFD9D9D9"/>
      </bottom>
      <diagonal/>
    </border>
    <border>
      <left/>
      <right/>
      <top style="thin">
        <color rgb="FFD9D9D9"/>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3">
    <xf numFmtId="0" fontId="0" fillId="0" borderId="0" xfId="0"/>
    <xf numFmtId="0" fontId="3" fillId="7" borderId="0" xfId="0" applyFont="1" applyFill="1" applyAlignment="1">
      <alignment horizontal="center"/>
    </xf>
    <xf numFmtId="0" fontId="4" fillId="8" borderId="0" xfId="0" applyFont="1" applyFill="1" applyAlignment="1">
      <alignment horizontal="center" vertical="center" wrapText="1"/>
    </xf>
    <xf numFmtId="0" fontId="5"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0" xfId="0" applyFont="1" applyFill="1" applyAlignment="1">
      <alignment horizontal="center" vertical="center" wrapText="1"/>
    </xf>
    <xf numFmtId="0" fontId="6" fillId="7" borderId="0" xfId="0" applyFont="1" applyFill="1" applyAlignment="1">
      <alignment horizontal="center" vertical="center" wrapText="1"/>
    </xf>
    <xf numFmtId="0" fontId="6" fillId="8" borderId="0" xfId="0" applyFont="1" applyFill="1" applyAlignment="1">
      <alignment horizontal="center" vertical="center" wrapText="1"/>
    </xf>
    <xf numFmtId="0" fontId="7" fillId="10"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4" fontId="8" fillId="10" borderId="1" xfId="0" applyNumberFormat="1" applyFont="1" applyFill="1" applyBorder="1" applyAlignment="1">
      <alignment horizontal="center" vertical="center" wrapText="1"/>
    </xf>
    <xf numFmtId="164" fontId="8" fillId="10" borderId="1" xfId="0" applyNumberFormat="1" applyFont="1" applyFill="1" applyBorder="1" applyAlignment="1">
      <alignment horizontal="center" vertical="center" wrapText="1"/>
    </xf>
    <xf numFmtId="3" fontId="8" fillId="10" borderId="1" xfId="0" applyNumberFormat="1" applyFont="1" applyFill="1" applyBorder="1" applyAlignment="1">
      <alignment horizontal="center" vertical="center" wrapText="1"/>
    </xf>
    <xf numFmtId="1" fontId="7" fillId="10" borderId="1" xfId="0" applyNumberFormat="1" applyFont="1" applyFill="1" applyBorder="1" applyAlignment="1">
      <alignment horizontal="center" vertical="center" wrapText="1"/>
    </xf>
    <xf numFmtId="2" fontId="9" fillId="11" borderId="1" xfId="0" applyNumberFormat="1" applyFont="1" applyFill="1" applyBorder="1" applyAlignment="1">
      <alignment horizontal="center" vertical="center" wrapText="1"/>
    </xf>
    <xf numFmtId="2" fontId="10" fillId="12" borderId="1" xfId="0" applyNumberFormat="1" applyFont="1" applyFill="1" applyBorder="1" applyAlignment="1">
      <alignment horizontal="center" vertical="center" wrapText="1"/>
    </xf>
    <xf numFmtId="0" fontId="8" fillId="13" borderId="1" xfId="0" applyFont="1" applyFill="1" applyBorder="1" applyAlignment="1">
      <alignment horizontal="center" vertical="center"/>
    </xf>
    <xf numFmtId="165" fontId="8" fillId="13" borderId="1" xfId="0" applyNumberFormat="1" applyFont="1" applyFill="1" applyBorder="1" applyAlignment="1">
      <alignment horizontal="center" vertical="center"/>
    </xf>
    <xf numFmtId="166" fontId="0" fillId="0" borderId="0" xfId="0" applyNumberFormat="1"/>
    <xf numFmtId="165" fontId="11" fillId="13" borderId="1" xfId="0" applyNumberFormat="1" applyFont="1" applyFill="1" applyBorder="1" applyAlignment="1">
      <alignment horizontal="center" vertical="center"/>
    </xf>
    <xf numFmtId="10" fontId="11" fillId="13" borderId="0" xfId="0" applyNumberFormat="1" applyFont="1" applyFill="1" applyAlignment="1">
      <alignment horizontal="center" vertical="center"/>
    </xf>
    <xf numFmtId="10" fontId="0" fillId="0" borderId="0" xfId="0" applyNumberFormat="1"/>
    <xf numFmtId="166" fontId="0" fillId="14" borderId="0" xfId="0" applyNumberFormat="1" applyFill="1"/>
    <xf numFmtId="2" fontId="11" fillId="11" borderId="1" xfId="0" applyNumberFormat="1" applyFont="1" applyFill="1" applyBorder="1" applyAlignment="1">
      <alignment horizontal="center" vertical="center"/>
    </xf>
    <xf numFmtId="1" fontId="7" fillId="0" borderId="1" xfId="0" applyNumberFormat="1" applyFont="1" applyBorder="1" applyAlignment="1">
      <alignment horizontal="center" vertical="center" wrapText="1"/>
    </xf>
    <xf numFmtId="0" fontId="10" fillId="0" borderId="0" xfId="0" applyFont="1"/>
    <xf numFmtId="0" fontId="8" fillId="0" borderId="0" xfId="0" applyFont="1" applyAlignment="1">
      <alignment horizontal="left" vertical="center" wrapText="1"/>
    </xf>
    <xf numFmtId="167" fontId="0" fillId="0" borderId="0" xfId="0" applyNumberFormat="1"/>
    <xf numFmtId="168" fontId="0" fillId="0" borderId="0" xfId="0" applyNumberFormat="1"/>
    <xf numFmtId="169" fontId="0" fillId="0" borderId="0" xfId="0" applyNumberFormat="1"/>
    <xf numFmtId="0" fontId="13" fillId="16" borderId="0" xfId="0" applyFont="1" applyFill="1" applyAlignment="1">
      <alignment horizontal="center"/>
    </xf>
    <xf numFmtId="0" fontId="21" fillId="25" borderId="12" xfId="0" applyFont="1" applyFill="1" applyBorder="1" applyAlignment="1">
      <alignment horizontal="center"/>
    </xf>
    <xf numFmtId="0" fontId="21" fillId="25" borderId="13" xfId="0" applyFont="1" applyFill="1" applyBorder="1" applyAlignment="1">
      <alignment horizontal="center"/>
    </xf>
    <xf numFmtId="0" fontId="21" fillId="25" borderId="14" xfId="0" applyFont="1" applyFill="1" applyBorder="1" applyAlignment="1">
      <alignment horizontal="center"/>
    </xf>
    <xf numFmtId="0" fontId="0" fillId="25" borderId="0" xfId="0" applyFill="1"/>
    <xf numFmtId="2" fontId="0" fillId="0" borderId="0" xfId="0" applyNumberFormat="1"/>
    <xf numFmtId="1" fontId="0" fillId="0" borderId="0" xfId="0" applyNumberFormat="1"/>
    <xf numFmtId="0" fontId="0" fillId="25" borderId="15" xfId="0" applyFill="1" applyBorder="1" applyAlignment="1">
      <alignment horizontal="center"/>
    </xf>
    <xf numFmtId="0" fontId="0" fillId="25" borderId="16" xfId="0" applyFill="1" applyBorder="1"/>
    <xf numFmtId="2" fontId="0" fillId="25" borderId="16" xfId="0" applyNumberFormat="1" applyFill="1" applyBorder="1" applyAlignment="1">
      <alignment horizontal="center"/>
    </xf>
    <xf numFmtId="1" fontId="0" fillId="25" borderId="16" xfId="0" applyNumberFormat="1" applyFill="1" applyBorder="1" applyAlignment="1">
      <alignment horizontal="center"/>
    </xf>
    <xf numFmtId="170" fontId="0" fillId="25" borderId="16" xfId="0" applyNumberFormat="1" applyFill="1" applyBorder="1" applyAlignment="1">
      <alignment horizontal="center"/>
    </xf>
    <xf numFmtId="171" fontId="0" fillId="25" borderId="17" xfId="0" applyNumberFormat="1" applyFill="1" applyBorder="1" applyAlignment="1">
      <alignment horizontal="center"/>
    </xf>
    <xf numFmtId="0" fontId="0" fillId="13" borderId="15" xfId="0" applyFill="1" applyBorder="1" applyAlignment="1">
      <alignment horizontal="center"/>
    </xf>
    <xf numFmtId="0" fontId="0" fillId="13" borderId="16" xfId="0" applyFill="1" applyBorder="1"/>
    <xf numFmtId="2" fontId="0" fillId="13" borderId="16" xfId="0" applyNumberFormat="1" applyFill="1" applyBorder="1" applyAlignment="1">
      <alignment horizontal="center"/>
    </xf>
    <xf numFmtId="1" fontId="0" fillId="13" borderId="16" xfId="0" applyNumberFormat="1" applyFill="1" applyBorder="1" applyAlignment="1">
      <alignment horizontal="center"/>
    </xf>
    <xf numFmtId="170" fontId="0" fillId="13" borderId="16" xfId="0" applyNumberFormat="1" applyFill="1" applyBorder="1" applyAlignment="1">
      <alignment horizontal="center"/>
    </xf>
    <xf numFmtId="171" fontId="0" fillId="13" borderId="17" xfId="0" applyNumberFormat="1" applyFill="1" applyBorder="1" applyAlignment="1">
      <alignment horizontal="center"/>
    </xf>
    <xf numFmtId="0" fontId="0" fillId="13" borderId="18" xfId="0" applyFill="1" applyBorder="1" applyAlignment="1">
      <alignment horizontal="center"/>
    </xf>
    <xf numFmtId="0" fontId="0" fillId="13" borderId="19" xfId="0" applyFill="1" applyBorder="1"/>
    <xf numFmtId="2" fontId="0" fillId="13" borderId="19" xfId="0" applyNumberFormat="1" applyFill="1" applyBorder="1" applyAlignment="1">
      <alignment horizontal="center"/>
    </xf>
    <xf numFmtId="1" fontId="0" fillId="13" borderId="19" xfId="0" applyNumberFormat="1" applyFill="1" applyBorder="1" applyAlignment="1">
      <alignment horizontal="center"/>
    </xf>
    <xf numFmtId="170" fontId="0" fillId="13" borderId="19" xfId="0" applyNumberFormat="1" applyFill="1" applyBorder="1" applyAlignment="1">
      <alignment horizontal="center"/>
    </xf>
    <xf numFmtId="171" fontId="0" fillId="13" borderId="20" xfId="0" applyNumberFormat="1" applyFill="1" applyBorder="1" applyAlignment="1">
      <alignment horizontal="center"/>
    </xf>
    <xf numFmtId="0" fontId="24" fillId="28" borderId="0" xfId="0" applyFont="1" applyFill="1" applyAlignment="1">
      <alignment horizontal="center"/>
    </xf>
    <xf numFmtId="0" fontId="26" fillId="29" borderId="0" xfId="0" applyFont="1" applyFill="1" applyAlignment="1">
      <alignment horizontal="center"/>
    </xf>
    <xf numFmtId="0" fontId="26" fillId="28" borderId="0" xfId="0" applyFont="1" applyFill="1" applyAlignment="1">
      <alignment horizontal="center"/>
    </xf>
    <xf numFmtId="170" fontId="0" fillId="0" borderId="0" xfId="0" applyNumberFormat="1"/>
    <xf numFmtId="0" fontId="24" fillId="32" borderId="21" xfId="0" applyFont="1" applyFill="1" applyBorder="1"/>
    <xf numFmtId="0" fontId="24" fillId="33" borderId="21" xfId="0" applyFont="1" applyFill="1" applyBorder="1"/>
    <xf numFmtId="0" fontId="0" fillId="0" borderId="21" xfId="0" applyBorder="1"/>
    <xf numFmtId="4" fontId="0" fillId="0" borderId="21" xfId="0" applyNumberFormat="1" applyBorder="1"/>
    <xf numFmtId="170" fontId="0" fillId="0" borderId="21" xfId="0" applyNumberFormat="1" applyBorder="1"/>
    <xf numFmtId="2" fontId="0" fillId="0" borderId="21" xfId="0" applyNumberFormat="1" applyBorder="1"/>
    <xf numFmtId="1" fontId="0" fillId="0" borderId="21" xfId="0" applyNumberFormat="1" applyBorder="1"/>
    <xf numFmtId="0" fontId="27" fillId="35" borderId="22" xfId="0" applyFont="1" applyFill="1" applyBorder="1" applyAlignment="1">
      <alignment horizontal="center"/>
    </xf>
    <xf numFmtId="4" fontId="21" fillId="35" borderId="22" xfId="0" applyNumberFormat="1" applyFont="1" applyFill="1" applyBorder="1" applyAlignment="1">
      <alignment horizontal="center"/>
    </xf>
    <xf numFmtId="170" fontId="21" fillId="35" borderId="22" xfId="0" applyNumberFormat="1" applyFont="1" applyFill="1" applyBorder="1" applyAlignment="1">
      <alignment horizontal="center"/>
    </xf>
    <xf numFmtId="0" fontId="21" fillId="35" borderId="22" xfId="0" applyFont="1" applyFill="1" applyBorder="1" applyAlignment="1">
      <alignment horizontal="center"/>
    </xf>
    <xf numFmtId="0" fontId="21" fillId="36" borderId="22" xfId="0" applyFont="1" applyFill="1" applyBorder="1" applyAlignment="1">
      <alignment horizontal="center"/>
    </xf>
    <xf numFmtId="2" fontId="21" fillId="36" borderId="22" xfId="0" applyNumberFormat="1" applyFont="1" applyFill="1" applyBorder="1" applyAlignment="1">
      <alignment horizontal="center"/>
    </xf>
    <xf numFmtId="1" fontId="21" fillId="36" borderId="22" xfId="0" applyNumberFormat="1" applyFont="1" applyFill="1" applyBorder="1" applyAlignment="1">
      <alignment horizontal="center"/>
    </xf>
    <xf numFmtId="0" fontId="0" fillId="37" borderId="23" xfId="0" applyFill="1" applyBorder="1" applyAlignment="1">
      <alignment horizontal="center"/>
    </xf>
    <xf numFmtId="4" fontId="0" fillId="37" borderId="23" xfId="0" applyNumberFormat="1" applyFill="1" applyBorder="1" applyAlignment="1">
      <alignment horizontal="center"/>
    </xf>
    <xf numFmtId="170" fontId="0" fillId="37" borderId="23" xfId="0" applyNumberFormat="1" applyFill="1" applyBorder="1" applyAlignment="1">
      <alignment horizontal="center"/>
    </xf>
    <xf numFmtId="0" fontId="0" fillId="38" borderId="23" xfId="0" applyFill="1" applyBorder="1" applyAlignment="1">
      <alignment horizontal="center"/>
    </xf>
    <xf numFmtId="0" fontId="0" fillId="25" borderId="24" xfId="0" applyFill="1" applyBorder="1" applyAlignment="1">
      <alignment horizontal="center"/>
    </xf>
    <xf numFmtId="4" fontId="0" fillId="25" borderId="24" xfId="0" applyNumberFormat="1" applyFill="1" applyBorder="1" applyAlignment="1">
      <alignment horizontal="center"/>
    </xf>
    <xf numFmtId="170" fontId="0" fillId="25" borderId="24" xfId="0" applyNumberFormat="1" applyFill="1" applyBorder="1" applyAlignment="1">
      <alignment horizontal="center"/>
    </xf>
    <xf numFmtId="0" fontId="0" fillId="38" borderId="24" xfId="0" applyFill="1" applyBorder="1" applyAlignment="1">
      <alignment horizontal="center"/>
    </xf>
    <xf numFmtId="0" fontId="0" fillId="25" borderId="25" xfId="0" applyFill="1" applyBorder="1" applyAlignment="1">
      <alignment horizontal="center"/>
    </xf>
    <xf numFmtId="4" fontId="0" fillId="25" borderId="25" xfId="0" applyNumberFormat="1" applyFill="1" applyBorder="1" applyAlignment="1">
      <alignment horizontal="center"/>
    </xf>
    <xf numFmtId="170" fontId="0" fillId="25" borderId="25" xfId="0" applyNumberFormat="1" applyFill="1" applyBorder="1" applyAlignment="1">
      <alignment horizontal="center"/>
    </xf>
    <xf numFmtId="0" fontId="7" fillId="45" borderId="28" xfId="0" applyFont="1" applyFill="1" applyBorder="1" applyAlignment="1">
      <alignment horizontal="left" vertical="center"/>
    </xf>
    <xf numFmtId="172" fontId="0" fillId="0" borderId="0" xfId="0" applyNumberFormat="1"/>
    <xf numFmtId="0" fontId="35" fillId="10" borderId="1" xfId="0" applyFont="1" applyFill="1" applyBorder="1" applyAlignment="1">
      <alignment horizontal="center" vertical="center"/>
    </xf>
    <xf numFmtId="0" fontId="36" fillId="0" borderId="1" xfId="0" applyFont="1" applyBorder="1" applyAlignment="1">
      <alignment horizontal="center" vertical="center" wrapText="1"/>
    </xf>
    <xf numFmtId="173" fontId="8" fillId="10" borderId="1" xfId="0" applyNumberFormat="1" applyFont="1" applyFill="1" applyBorder="1" applyAlignment="1">
      <alignment horizontal="center" vertical="center" wrapText="1"/>
    </xf>
    <xf numFmtId="173" fontId="8" fillId="0" borderId="1" xfId="0" applyNumberFormat="1" applyFont="1" applyBorder="1" applyAlignment="1">
      <alignment horizontal="center" vertical="center" wrapText="1"/>
    </xf>
    <xf numFmtId="0" fontId="37" fillId="46" borderId="0" xfId="0" applyFont="1" applyFill="1" applyAlignment="1">
      <alignment horizontal="center" wrapText="1"/>
    </xf>
    <xf numFmtId="0" fontId="8" fillId="0" borderId="0" xfId="0" applyFont="1" applyAlignment="1">
      <alignment horizontal="center" vertical="center"/>
    </xf>
    <xf numFmtId="0" fontId="8" fillId="47" borderId="0" xfId="0" applyFont="1" applyFill="1" applyAlignment="1">
      <alignment horizontal="center" vertical="center"/>
    </xf>
    <xf numFmtId="49" fontId="8" fillId="0" borderId="0" xfId="0" applyNumberFormat="1" applyFont="1" applyAlignment="1">
      <alignment horizontal="center" vertical="center"/>
    </xf>
    <xf numFmtId="49" fontId="0" fillId="0" borderId="0" xfId="0" applyNumberFormat="1"/>
    <xf numFmtId="14" fontId="0" fillId="0" borderId="0" xfId="0" applyNumberFormat="1"/>
    <xf numFmtId="3" fontId="0" fillId="0" borderId="0" xfId="0" applyNumberFormat="1"/>
    <xf numFmtId="14" fontId="8" fillId="0" borderId="0" xfId="0" applyNumberFormat="1" applyFont="1" applyAlignment="1">
      <alignment horizontal="center" vertical="center"/>
    </xf>
    <xf numFmtId="49" fontId="8" fillId="47" borderId="0" xfId="0" applyNumberFormat="1" applyFont="1" applyFill="1" applyAlignment="1">
      <alignment horizontal="center" vertical="center"/>
    </xf>
    <xf numFmtId="49" fontId="7" fillId="45" borderId="28" xfId="0" applyNumberFormat="1" applyFont="1" applyFill="1" applyBorder="1" applyAlignment="1">
      <alignment horizontal="left" vertical="center"/>
    </xf>
    <xf numFmtId="0" fontId="0" fillId="0" borderId="0" xfId="0" applyAlignment="1">
      <alignment vertical="top" wrapText="1"/>
    </xf>
    <xf numFmtId="3" fontId="8" fillId="13" borderId="1" xfId="0" applyNumberFormat="1" applyFont="1" applyFill="1" applyBorder="1" applyAlignment="1">
      <alignment horizontal="center" vertical="center"/>
    </xf>
    <xf numFmtId="49" fontId="8" fillId="13" borderId="1" xfId="0" applyNumberFormat="1" applyFont="1" applyFill="1" applyBorder="1" applyAlignment="1">
      <alignment horizontal="center" vertical="center"/>
    </xf>
    <xf numFmtId="0" fontId="37" fillId="2" borderId="0" xfId="0" applyFont="1" applyFill="1" applyAlignment="1">
      <alignment horizontal="center" vertical="top"/>
    </xf>
    <xf numFmtId="0" fontId="0" fillId="0" borderId="0" xfId="0"/>
    <xf numFmtId="0" fontId="2" fillId="5" borderId="0" xfId="0" applyFont="1" applyFill="1" applyAlignment="1">
      <alignment horizontal="center" vertical="center" wrapText="1"/>
    </xf>
    <xf numFmtId="0" fontId="2" fillId="4" borderId="0" xfId="0"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2" fillId="6" borderId="0" xfId="0" applyFont="1" applyFill="1" applyAlignment="1">
      <alignment horizontal="center" vertical="center" wrapText="1"/>
    </xf>
    <xf numFmtId="0" fontId="4" fillId="8" borderId="0" xfId="0" applyFont="1" applyFill="1" applyAlignment="1">
      <alignment horizontal="center" vertical="center" wrapText="1"/>
    </xf>
    <xf numFmtId="0" fontId="2" fillId="3" borderId="0" xfId="0" applyFont="1" applyFill="1" applyAlignment="1">
      <alignment horizontal="center" vertical="center" wrapText="1"/>
    </xf>
    <xf numFmtId="0" fontId="3" fillId="7" borderId="0" xfId="0" applyFont="1" applyFill="1" applyAlignment="1">
      <alignment horizontal="center"/>
    </xf>
    <xf numFmtId="0" fontId="0" fillId="9" borderId="0" xfId="0" applyFill="1" applyAlignment="1">
      <alignment horizontal="center"/>
    </xf>
    <xf numFmtId="0" fontId="25" fillId="34" borderId="21" xfId="0" applyFont="1" applyFill="1" applyBorder="1" applyAlignment="1">
      <alignment horizontal="center"/>
    </xf>
    <xf numFmtId="0" fontId="0" fillId="0" borderId="26" xfId="0" applyBorder="1"/>
    <xf numFmtId="0" fontId="0" fillId="0" borderId="27" xfId="0" applyBorder="1"/>
    <xf numFmtId="0" fontId="22" fillId="27" borderId="0" xfId="0" applyFont="1" applyFill="1"/>
    <xf numFmtId="2" fontId="0" fillId="9" borderId="0" xfId="0" applyNumberFormat="1" applyFill="1" applyAlignment="1">
      <alignment horizontal="center"/>
    </xf>
    <xf numFmtId="10" fontId="0" fillId="9" borderId="0" xfId="0" applyNumberFormat="1" applyFill="1" applyAlignment="1">
      <alignment horizontal="center"/>
    </xf>
    <xf numFmtId="0" fontId="32" fillId="10" borderId="0" xfId="0" applyFont="1" applyFill="1" applyAlignment="1">
      <alignment horizontal="center"/>
    </xf>
    <xf numFmtId="0" fontId="25" fillId="27" borderId="0" xfId="0" applyFont="1" applyFill="1"/>
    <xf numFmtId="0" fontId="29" fillId="25" borderId="24" xfId="0" applyFont="1" applyFill="1" applyBorder="1" applyAlignment="1">
      <alignment horizontal="center"/>
    </xf>
    <xf numFmtId="0" fontId="0" fillId="0" borderId="24" xfId="0" applyBorder="1"/>
    <xf numFmtId="4" fontId="29" fillId="25" borderId="24" xfId="0" applyNumberFormat="1" applyFont="1" applyFill="1" applyBorder="1" applyAlignment="1">
      <alignment horizontal="center"/>
    </xf>
    <xf numFmtId="170" fontId="29" fillId="25" borderId="24" xfId="0" applyNumberFormat="1" applyFont="1" applyFill="1" applyBorder="1" applyAlignment="1">
      <alignment horizontal="center"/>
    </xf>
    <xf numFmtId="0" fontId="15" fillId="34" borderId="0" xfId="0" applyFont="1" applyFill="1" applyAlignment="1">
      <alignment horizontal="center"/>
    </xf>
    <xf numFmtId="0" fontId="30" fillId="0" borderId="0" xfId="0" applyFont="1" applyAlignment="1">
      <alignment horizontal="center"/>
    </xf>
    <xf numFmtId="0" fontId="30" fillId="38" borderId="24" xfId="0" applyFont="1" applyFill="1" applyBorder="1" applyAlignment="1">
      <alignment horizontal="center"/>
    </xf>
    <xf numFmtId="0" fontId="31" fillId="37" borderId="0" xfId="0" applyFont="1" applyFill="1" applyAlignment="1">
      <alignment horizontal="center"/>
    </xf>
    <xf numFmtId="0" fontId="15" fillId="41" borderId="0" xfId="0" applyFont="1" applyFill="1" applyAlignment="1">
      <alignment horizontal="center"/>
    </xf>
    <xf numFmtId="0" fontId="15" fillId="18" borderId="4" xfId="0" applyFont="1" applyFill="1" applyBorder="1" applyAlignment="1">
      <alignment horizontal="center" vertical="center"/>
    </xf>
    <xf numFmtId="0" fontId="0" fillId="0" borderId="4" xfId="0" applyBorder="1"/>
    <xf numFmtId="0" fontId="15" fillId="19" borderId="4" xfId="0" applyFont="1" applyFill="1" applyBorder="1" applyAlignment="1">
      <alignment horizontal="center" vertical="center"/>
    </xf>
    <xf numFmtId="0" fontId="28" fillId="40" borderId="24" xfId="0" applyFont="1" applyFill="1" applyBorder="1" applyAlignment="1">
      <alignment horizontal="center"/>
    </xf>
    <xf numFmtId="0" fontId="19" fillId="24" borderId="10" xfId="0" applyFont="1" applyFill="1" applyBorder="1" applyAlignment="1">
      <alignment horizontal="center" vertical="center"/>
    </xf>
    <xf numFmtId="0" fontId="0" fillId="0" borderId="10" xfId="0" applyBorder="1"/>
    <xf numFmtId="0" fontId="17" fillId="23" borderId="7" xfId="0" applyFont="1" applyFill="1" applyBorder="1" applyAlignment="1">
      <alignment horizontal="center" vertical="center"/>
    </xf>
    <xf numFmtId="0" fontId="0" fillId="0" borderId="7" xfId="0" applyBorder="1"/>
    <xf numFmtId="2" fontId="16" fillId="23" borderId="7" xfId="0" applyNumberFormat="1" applyFont="1" applyFill="1" applyBorder="1" applyAlignment="1">
      <alignment horizontal="center" vertical="center"/>
    </xf>
    <xf numFmtId="0" fontId="16" fillId="23" borderId="7" xfId="0" applyFont="1" applyFill="1" applyBorder="1" applyAlignment="1">
      <alignment horizontal="center" vertical="center"/>
    </xf>
    <xf numFmtId="0" fontId="18" fillId="24" borderId="11" xfId="0" applyFont="1" applyFill="1" applyBorder="1" applyAlignment="1">
      <alignment horizontal="center" vertical="center"/>
    </xf>
    <xf numFmtId="0" fontId="0" fillId="0" borderId="11" xfId="0" applyBorder="1"/>
    <xf numFmtId="0" fontId="15" fillId="22" borderId="5" xfId="0" applyFont="1" applyFill="1" applyBorder="1" applyAlignment="1">
      <alignment horizontal="center" vertical="center"/>
    </xf>
    <xf numFmtId="0" fontId="0" fillId="0" borderId="5" xfId="0" applyBorder="1"/>
    <xf numFmtId="0" fontId="17" fillId="23" borderId="8" xfId="0" applyFont="1" applyFill="1" applyBorder="1" applyAlignment="1">
      <alignment horizontal="center" vertical="center"/>
    </xf>
    <xf numFmtId="0" fontId="0" fillId="0" borderId="8" xfId="0" applyBorder="1"/>
    <xf numFmtId="0" fontId="25" fillId="6" borderId="21" xfId="0" applyFont="1" applyFill="1" applyBorder="1" applyAlignment="1">
      <alignment horizontal="center"/>
    </xf>
    <xf numFmtId="0" fontId="23" fillId="27" borderId="0" xfId="0" applyFont="1" applyFill="1" applyAlignment="1">
      <alignment horizontal="center"/>
    </xf>
    <xf numFmtId="2" fontId="33" fillId="9" borderId="0" xfId="0" applyNumberFormat="1" applyFont="1" applyFill="1" applyAlignment="1">
      <alignment horizontal="center"/>
    </xf>
    <xf numFmtId="0" fontId="15" fillId="42" borderId="0" xfId="0" applyFont="1" applyFill="1" applyAlignment="1">
      <alignment horizontal="center"/>
    </xf>
    <xf numFmtId="0" fontId="22" fillId="30" borderId="0" xfId="0" applyFont="1" applyFill="1"/>
    <xf numFmtId="0" fontId="15" fillId="27" borderId="0" xfId="0" applyFont="1" applyFill="1" applyAlignment="1">
      <alignment horizontal="center"/>
    </xf>
    <xf numFmtId="0" fontId="15" fillId="5" borderId="0" xfId="0" applyFont="1" applyFill="1" applyAlignment="1">
      <alignment horizontal="center"/>
    </xf>
    <xf numFmtId="0" fontId="25" fillId="27" borderId="0" xfId="0" applyFont="1" applyFill="1" applyAlignment="1">
      <alignment horizontal="center"/>
    </xf>
    <xf numFmtId="0" fontId="29" fillId="0" borderId="0" xfId="0" applyFont="1" applyAlignment="1">
      <alignment horizontal="center"/>
    </xf>
    <xf numFmtId="0" fontId="22" fillId="31" borderId="0" xfId="0" applyFont="1" applyFill="1"/>
    <xf numFmtId="0" fontId="15" fillId="43" borderId="0" xfId="0" applyFont="1" applyFill="1" applyAlignment="1">
      <alignment horizontal="center"/>
    </xf>
    <xf numFmtId="10" fontId="32" fillId="10" borderId="0" xfId="0" applyNumberFormat="1" applyFont="1" applyFill="1" applyAlignment="1">
      <alignment horizontal="center"/>
    </xf>
    <xf numFmtId="0" fontId="14" fillId="17" borderId="2" xfId="0" applyFont="1" applyFill="1" applyBorder="1" applyAlignment="1">
      <alignment horizontal="center" vertical="center"/>
    </xf>
    <xf numFmtId="0" fontId="0" fillId="0" borderId="2" xfId="0" applyBorder="1"/>
    <xf numFmtId="0" fontId="30" fillId="37" borderId="24" xfId="0" applyFont="1" applyFill="1" applyBorder="1" applyAlignment="1">
      <alignment horizontal="center"/>
    </xf>
    <xf numFmtId="4" fontId="30" fillId="37" borderId="24" xfId="0" applyNumberFormat="1" applyFont="1" applyFill="1" applyBorder="1" applyAlignment="1">
      <alignment horizontal="center"/>
    </xf>
    <xf numFmtId="170" fontId="28" fillId="40" borderId="24" xfId="0" applyNumberFormat="1" applyFont="1" applyFill="1" applyBorder="1" applyAlignment="1">
      <alignment horizontal="center"/>
    </xf>
    <xf numFmtId="0" fontId="15" fillId="17" borderId="3" xfId="0" applyFont="1" applyFill="1" applyBorder="1" applyAlignment="1">
      <alignment horizontal="center" vertical="center"/>
    </xf>
    <xf numFmtId="170" fontId="30" fillId="37" borderId="24" xfId="0" applyNumberFormat="1" applyFont="1" applyFill="1" applyBorder="1" applyAlignment="1">
      <alignment horizontal="center"/>
    </xf>
    <xf numFmtId="0" fontId="17" fillId="23" borderId="6" xfId="0" applyFont="1" applyFill="1" applyBorder="1" applyAlignment="1">
      <alignment horizontal="center" vertical="center"/>
    </xf>
    <xf numFmtId="0" fontId="22" fillId="39" borderId="0" xfId="0" applyFont="1" applyFill="1" applyAlignment="1">
      <alignment horizontal="center"/>
    </xf>
    <xf numFmtId="0" fontId="16" fillId="23" borderId="6" xfId="0" applyFont="1" applyFill="1" applyBorder="1" applyAlignment="1">
      <alignment horizontal="center" vertical="center"/>
    </xf>
    <xf numFmtId="0" fontId="34" fillId="44" borderId="0" xfId="0" applyFont="1" applyFill="1" applyAlignment="1">
      <alignment horizontal="center"/>
    </xf>
    <xf numFmtId="0" fontId="28" fillId="40" borderId="0" xfId="0" applyFont="1" applyFill="1"/>
    <xf numFmtId="0" fontId="12" fillId="15" borderId="0" xfId="0" applyFont="1" applyFill="1" applyAlignment="1">
      <alignment horizontal="center" vertical="center"/>
    </xf>
    <xf numFmtId="0" fontId="16" fillId="23" borderId="8" xfId="0" applyFont="1" applyFill="1" applyBorder="1" applyAlignment="1">
      <alignment horizontal="center" vertical="center"/>
    </xf>
    <xf numFmtId="4" fontId="28" fillId="40" borderId="24" xfId="0" applyNumberFormat="1" applyFont="1" applyFill="1" applyBorder="1" applyAlignment="1">
      <alignment horizontal="center"/>
    </xf>
    <xf numFmtId="0" fontId="15" fillId="4" borderId="0" xfId="0" applyFont="1" applyFill="1" applyAlignment="1">
      <alignment horizontal="center"/>
    </xf>
    <xf numFmtId="0" fontId="15" fillId="6" borderId="0" xfId="0" applyFont="1" applyFill="1" applyAlignment="1">
      <alignment horizontal="center"/>
    </xf>
    <xf numFmtId="0" fontId="18" fillId="24" borderId="9" xfId="0" applyFont="1" applyFill="1" applyBorder="1" applyAlignment="1">
      <alignment horizontal="center" vertical="center"/>
    </xf>
    <xf numFmtId="0" fontId="22" fillId="26" borderId="0" xfId="0" applyFont="1" applyFill="1" applyAlignment="1">
      <alignment horizontal="left" vertical="center"/>
    </xf>
    <xf numFmtId="0" fontId="20" fillId="24" borderId="10" xfId="0" applyFont="1" applyFill="1" applyBorder="1" applyAlignment="1">
      <alignment horizontal="center" vertical="center"/>
    </xf>
    <xf numFmtId="0" fontId="15" fillId="20" borderId="4" xfId="0" applyFont="1" applyFill="1" applyBorder="1" applyAlignment="1">
      <alignment horizontal="center" vertical="center"/>
    </xf>
    <xf numFmtId="0" fontId="15" fillId="21" borderId="4" xfId="0" applyFont="1" applyFill="1" applyBorder="1" applyAlignment="1">
      <alignment horizontal="center" vertical="center"/>
    </xf>
  </cellXfs>
  <cellStyles count="1">
    <cellStyle name="Normal" xfId="0" builtinId="0"/>
  </cellStyles>
  <dxfs count="8">
    <dxf>
      <fill>
        <patternFill>
          <bgColor rgb="FFFFEB9C"/>
        </patternFill>
      </fill>
    </dxf>
    <dxf>
      <fill>
        <patternFill>
          <bgColor rgb="FFC6EFCE"/>
        </patternFill>
      </fill>
    </dxf>
    <dxf>
      <fill>
        <patternFill>
          <bgColor rgb="FFBDD7E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E23632"/>
      <rgbColor rgb="FFE2EFDA"/>
      <rgbColor rgb="FFEAECEE"/>
      <rgbColor rgb="FFFFE699"/>
      <rgbColor rgb="FFC65911"/>
      <rgbColor rgb="FFD6DCE5"/>
      <rgbColor rgb="FF9C5700"/>
      <rgbColor rgb="FF006100"/>
      <rgbColor rgb="FFF2F2F2"/>
      <rgbColor rgb="FF77933C"/>
      <rgbColor rgb="FF595959"/>
      <rgbColor rgb="FF2E8632"/>
      <rgbColor rgb="FFBFBFC3"/>
      <rgbColor rgb="FF808687"/>
      <rgbColor rgb="FF4B7BC4"/>
      <rgbColor rgb="FF7830A0"/>
      <rgbColor rgb="FFFFF2CC"/>
      <rgbColor rgb="FFE3F2FD"/>
      <rgbColor rgb="FF34495E"/>
      <rgbColor rgb="FFED7D31"/>
      <rgbColor rgb="FF1565C0"/>
      <rgbColor rgb="FFE2D0F4"/>
      <rgbColor rgb="FFF8F9FA"/>
      <rgbColor rgb="FFE7E6E6"/>
      <rgbColor rgb="FFFFF3E0"/>
      <rgbColor rgb="FFD9D9D9"/>
      <rgbColor rgb="FF8D5FAC"/>
      <rgbColor rgb="FF375623"/>
      <rgbColor rgb="FF1F4E79"/>
      <rgbColor rgb="FFECF0F1"/>
      <rgbColor rgb="FF548235"/>
      <rgbColor rgb="FFE8F5E9"/>
      <rgbColor rgb="FFC6EFCE"/>
      <rgbColor rgb="FFFFEB9C"/>
      <rgbColor rgb="FFBDD7EE"/>
      <rgbColor rgb="FFD0CECE"/>
      <rgbColor rgb="FFCCCCCC"/>
      <rgbColor rgb="FFFFC7CE"/>
      <rgbColor rgb="FF2E75B6"/>
      <rgbColor rgb="FF3498DB"/>
      <rgbColor rgb="FFC6E0B4"/>
      <rgbColor rgb="FFFCE4D6"/>
      <rgbColor rgb="FFF39C12"/>
      <rgbColor rgb="FFFF6F00"/>
      <rgbColor rgb="FF666666"/>
      <rgbColor rgb="FF96A89A"/>
      <rgbColor rgb="FF1F3864"/>
      <rgbColor rgb="FF27AE60"/>
      <rgbColor rgb="FF2C3E50"/>
      <rgbColor rgb="FF1A252F"/>
      <rgbColor rgb="FF8E2717"/>
      <rgbColor rgb="FF843C0C"/>
      <rgbColor rgb="FF2F5496"/>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ichStyles" Target="richData/richStyles.xml"/><Relationship Id="rId5" Type="http://schemas.openxmlformats.org/officeDocument/2006/relationships/theme" Target="theme/theme1.xml"/><Relationship Id="rId15" Type="http://schemas.openxmlformats.org/officeDocument/2006/relationships/calcChain" Target="calcChain.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 Id="rId14" Type="http://schemas.microsoft.com/office/2017/06/relationships/rdRichValueTypes" Target="richData/rdRichValueTyp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rot="0"/>
          <a:lstStyle/>
          <a:p>
            <a:pPr>
              <a:defRPr sz="1300" b="0" strike="noStrike">
                <a:uFillTx/>
                <a:latin typeface="Arial"/>
              </a:defRPr>
            </a:pPr>
            <a:r>
              <a:rPr lang="en-US" sz="1400" b="1" strike="noStrike">
                <a:solidFill>
                  <a:schemeClr val="tx1">
                    <a:lumMod val="65000"/>
                    <a:lumOff val="35000"/>
                  </a:schemeClr>
                </a:solidFill>
                <a:uFillTx/>
                <a:latin typeface="Calibri"/>
              </a:rPr>
              <a:t>📊 Distribución por Tier de Calidad</a:t>
            </a:r>
          </a:p>
        </c:rich>
      </c:tx>
      <c:overlay val="0"/>
      <c:spPr>
        <a:noFill/>
        <a:ln w="0">
          <a:noFill/>
          <a:prstDash val="solid"/>
        </a:ln>
      </c:spPr>
    </c:title>
    <c:autoTitleDeleted val="0"/>
    <c:plotArea>
      <c:layout/>
      <c:pieChart>
        <c:varyColors val="1"/>
        <c:ser>
          <c:idx val="0"/>
          <c:order val="0"/>
          <c:spPr>
            <a:solidFill>
              <a:srgbClr val="4F81BD"/>
            </a:solidFill>
            <a:ln w="12600">
              <a:noFill/>
              <a:prstDash val="solid"/>
            </a:ln>
          </c:spPr>
          <c:dPt>
            <c:idx val="0"/>
            <c:bubble3D val="0"/>
            <c:spPr>
              <a:solidFill>
                <a:srgbClr val="4F81BD"/>
              </a:solidFill>
              <a:ln w="19080">
                <a:solidFill>
                  <a:schemeClr val="lt1"/>
                </a:solidFill>
                <a:prstDash val="solid"/>
                <a:round/>
              </a:ln>
            </c:spPr>
            <c:extLst>
              <c:ext xmlns:c16="http://schemas.microsoft.com/office/drawing/2014/chart" uri="{C3380CC4-5D6E-409C-BE32-E72D297353CC}">
                <c16:uniqueId val="{00000001-4080-4E7D-8FF4-F0E659FB7C45}"/>
              </c:ext>
            </c:extLst>
          </c:dPt>
          <c:dPt>
            <c:idx val="1"/>
            <c:bubble3D val="0"/>
            <c:spPr>
              <a:solidFill>
                <a:srgbClr val="C0504D"/>
              </a:solidFill>
              <a:ln w="19080">
                <a:solidFill>
                  <a:schemeClr val="lt1"/>
                </a:solidFill>
                <a:prstDash val="solid"/>
                <a:round/>
              </a:ln>
            </c:spPr>
            <c:extLst>
              <c:ext xmlns:c16="http://schemas.microsoft.com/office/drawing/2014/chart" uri="{C3380CC4-5D6E-409C-BE32-E72D297353CC}">
                <c16:uniqueId val="{00000003-4080-4E7D-8FF4-F0E659FB7C45}"/>
              </c:ext>
            </c:extLst>
          </c:dPt>
          <c:dPt>
            <c:idx val="2"/>
            <c:bubble3D val="0"/>
            <c:spPr>
              <a:solidFill>
                <a:srgbClr val="9BBB59"/>
              </a:solidFill>
              <a:ln w="19080">
                <a:solidFill>
                  <a:schemeClr val="lt1"/>
                </a:solidFill>
                <a:prstDash val="solid"/>
                <a:round/>
              </a:ln>
            </c:spPr>
            <c:extLst>
              <c:ext xmlns:c16="http://schemas.microsoft.com/office/drawing/2014/chart" uri="{C3380CC4-5D6E-409C-BE32-E72D297353CC}">
                <c16:uniqueId val="{00000005-4080-4E7D-8FF4-F0E659FB7C45}"/>
              </c:ext>
            </c:extLst>
          </c:dPt>
          <c:dPt>
            <c:idx val="3"/>
            <c:bubble3D val="0"/>
            <c:spPr>
              <a:solidFill>
                <a:srgbClr val="8064A2"/>
              </a:solidFill>
              <a:ln w="19080">
                <a:solidFill>
                  <a:schemeClr val="lt1"/>
                </a:solidFill>
                <a:prstDash val="solid"/>
                <a:round/>
              </a:ln>
            </c:spPr>
            <c:extLst>
              <c:ext xmlns:c16="http://schemas.microsoft.com/office/drawing/2014/chart" uri="{C3380CC4-5D6E-409C-BE32-E72D297353CC}">
                <c16:uniqueId val="{00000007-4080-4E7D-8FF4-F0E659FB7C45}"/>
              </c:ext>
            </c:extLst>
          </c:dPt>
          <c:dLbls>
            <c:dLbl>
              <c:idx val="0"/>
              <c:spPr>
                <a:ln>
                  <a:prstDash val="solid"/>
                </a:ln>
              </c:spPr>
              <c:txPr>
                <a:bodyPr wrap="square"/>
                <a:lstStyle/>
                <a:p>
                  <a:pPr>
                    <a:defRPr sz="1100" b="1" strike="noStrike">
                      <a:solidFill>
                        <a:schemeClr val="tx1">
                          <a:lumMod val="75000"/>
                          <a:lumOff val="25000"/>
                        </a:schemeClr>
                      </a:solidFill>
                      <a:uFillTx/>
                      <a:latin typeface="Calibri"/>
                    </a:defRPr>
                  </a:pPr>
                  <a:endParaRPr lang="es-ES"/>
                </a:p>
              </c:txPr>
              <c:dLblPos val="bestFit"/>
              <c:showLegendKey val="0"/>
              <c:showVal val="0"/>
              <c:showCatName val="0"/>
              <c:showSerName val="0"/>
              <c:showPercent val="1"/>
              <c:showBubbleSize val="1"/>
              <c:extLst>
                <c:ext xmlns:c16="http://schemas.microsoft.com/office/drawing/2014/chart" uri="{C3380CC4-5D6E-409C-BE32-E72D297353CC}">
                  <c16:uniqueId val="{00000001-4080-4E7D-8FF4-F0E659FB7C45}"/>
                </c:ext>
              </c:extLst>
            </c:dLbl>
            <c:dLbl>
              <c:idx val="1"/>
              <c:spPr>
                <a:ln>
                  <a:prstDash val="solid"/>
                </a:ln>
              </c:spPr>
              <c:txPr>
                <a:bodyPr wrap="square"/>
                <a:lstStyle/>
                <a:p>
                  <a:pPr>
                    <a:defRPr sz="1100" b="1" strike="noStrike">
                      <a:solidFill>
                        <a:schemeClr val="tx1">
                          <a:lumMod val="75000"/>
                          <a:lumOff val="25000"/>
                        </a:schemeClr>
                      </a:solidFill>
                      <a:uFillTx/>
                      <a:latin typeface="Calibri"/>
                    </a:defRPr>
                  </a:pPr>
                  <a:endParaRPr lang="es-ES"/>
                </a:p>
              </c:txPr>
              <c:dLblPos val="bestFit"/>
              <c:showLegendKey val="0"/>
              <c:showVal val="0"/>
              <c:showCatName val="0"/>
              <c:showSerName val="0"/>
              <c:showPercent val="1"/>
              <c:showBubbleSize val="1"/>
              <c:extLst>
                <c:ext xmlns:c16="http://schemas.microsoft.com/office/drawing/2014/chart" uri="{C3380CC4-5D6E-409C-BE32-E72D297353CC}">
                  <c16:uniqueId val="{00000003-4080-4E7D-8FF4-F0E659FB7C45}"/>
                </c:ext>
              </c:extLst>
            </c:dLbl>
            <c:dLbl>
              <c:idx val="2"/>
              <c:spPr>
                <a:ln>
                  <a:prstDash val="solid"/>
                </a:ln>
              </c:spPr>
              <c:txPr>
                <a:bodyPr wrap="square"/>
                <a:lstStyle/>
                <a:p>
                  <a:pPr>
                    <a:defRPr sz="1100" b="1" strike="noStrike">
                      <a:solidFill>
                        <a:schemeClr val="tx1">
                          <a:lumMod val="75000"/>
                          <a:lumOff val="25000"/>
                        </a:schemeClr>
                      </a:solidFill>
                      <a:uFillTx/>
                      <a:latin typeface="Calibri"/>
                    </a:defRPr>
                  </a:pPr>
                  <a:endParaRPr lang="es-ES"/>
                </a:p>
              </c:txPr>
              <c:dLblPos val="bestFit"/>
              <c:showLegendKey val="0"/>
              <c:showVal val="0"/>
              <c:showCatName val="0"/>
              <c:showSerName val="0"/>
              <c:showPercent val="1"/>
              <c:showBubbleSize val="1"/>
              <c:extLst>
                <c:ext xmlns:c16="http://schemas.microsoft.com/office/drawing/2014/chart" uri="{C3380CC4-5D6E-409C-BE32-E72D297353CC}">
                  <c16:uniqueId val="{00000005-4080-4E7D-8FF4-F0E659FB7C45}"/>
                </c:ext>
              </c:extLst>
            </c:dLbl>
            <c:dLbl>
              <c:idx val="3"/>
              <c:spPr>
                <a:ln>
                  <a:prstDash val="solid"/>
                </a:ln>
              </c:spPr>
              <c:txPr>
                <a:bodyPr wrap="square"/>
                <a:lstStyle/>
                <a:p>
                  <a:pPr>
                    <a:defRPr sz="1100" b="1" strike="noStrike">
                      <a:solidFill>
                        <a:schemeClr val="tx1">
                          <a:lumMod val="75000"/>
                          <a:lumOff val="25000"/>
                        </a:schemeClr>
                      </a:solidFill>
                      <a:uFillTx/>
                      <a:latin typeface="Calibri"/>
                    </a:defRPr>
                  </a:pPr>
                  <a:endParaRPr lang="es-ES"/>
                </a:p>
              </c:txPr>
              <c:dLblPos val="bestFit"/>
              <c:showLegendKey val="0"/>
              <c:showVal val="0"/>
              <c:showCatName val="0"/>
              <c:showSerName val="0"/>
              <c:showPercent val="1"/>
              <c:showBubbleSize val="1"/>
              <c:extLst>
                <c:ext xmlns:c16="http://schemas.microsoft.com/office/drawing/2014/chart" uri="{C3380CC4-5D6E-409C-BE32-E72D297353CC}">
                  <c16:uniqueId val="{00000007-4080-4E7D-8FF4-F0E659FB7C45}"/>
                </c:ext>
              </c:extLst>
            </c:dLbl>
            <c:spPr>
              <a:noFill/>
              <a:ln>
                <a:noFill/>
                <a:prstDash val="solid"/>
              </a:ln>
            </c:spPr>
            <c:txPr>
              <a:bodyPr wrap="square"/>
              <a:lstStyle/>
              <a:p>
                <a:pPr>
                  <a:defRPr sz="1100" b="1" strike="noStrike">
                    <a:solidFill>
                      <a:schemeClr val="tx1">
                        <a:lumMod val="75000"/>
                        <a:lumOff val="25000"/>
                      </a:schemeClr>
                    </a:solidFill>
                    <a:uFillTx/>
                    <a:latin typeface="Calibri"/>
                  </a:defRPr>
                </a:pPr>
                <a:endParaRPr lang="es-ES"/>
              </a:p>
            </c:txPr>
            <c:dLblPos val="bestFit"/>
            <c:showLegendKey val="0"/>
            <c:showVal val="0"/>
            <c:showCatName val="0"/>
            <c:showSerName val="0"/>
            <c:showPercent val="1"/>
            <c:showBubbleSize val="1"/>
            <c:showLeaderLines val="1"/>
            <c:extLst>
              <c:ext xmlns:c15="http://schemas.microsoft.com/office/drawing/2012/chart" uri="{CE6537A1-D6FC-4f65-9D91-7224C49458BB}"/>
            </c:extLst>
          </c:dLbls>
          <c:cat>
            <c:strRef>
              <c:f>Dashboard!$L$8:$L$17</c:f>
              <c:strCache>
                <c:ptCount val="10"/>
                <c:pt idx="5">
                  <c:v>Tier</c:v>
                </c:pt>
                <c:pt idx="6">
                  <c:v>Tier 1 (+8)</c:v>
                </c:pt>
                <c:pt idx="7">
                  <c:v>⭐ Tier 2 (7-8)</c:v>
                </c:pt>
                <c:pt idx="8">
                  <c:v>Tier 3 (6-7)</c:v>
                </c:pt>
                <c:pt idx="9">
                  <c:v>⚠️ Below 6</c:v>
                </c:pt>
              </c:strCache>
            </c:strRef>
          </c:cat>
          <c:val>
            <c:numRef>
              <c:f>Dashboard!$M$14:$M$17</c:f>
              <c:numCache>
                <c:formatCode>General</c:formatCode>
                <c:ptCount val="4"/>
                <c:pt idx="0">
                  <c:v>3</c:v>
                </c:pt>
                <c:pt idx="1">
                  <c:v>19</c:v>
                </c:pt>
                <c:pt idx="2">
                  <c:v>15</c:v>
                </c:pt>
                <c:pt idx="3">
                  <c:v>31</c:v>
                </c:pt>
              </c:numCache>
            </c:numRef>
          </c:val>
          <c:extLst>
            <c:ext xmlns:c16="http://schemas.microsoft.com/office/drawing/2014/chart" uri="{C3380CC4-5D6E-409C-BE32-E72D297353CC}">
              <c16:uniqueId val="{00000008-4080-4E7D-8FF4-F0E659FB7C45}"/>
            </c:ext>
          </c:extLst>
        </c:ser>
        <c:dLbls>
          <c:showLegendKey val="0"/>
          <c:showVal val="0"/>
          <c:showCatName val="0"/>
          <c:showSerName val="0"/>
          <c:showPercent val="0"/>
          <c:showBubbleSize val="0"/>
          <c:showLeaderLines val="1"/>
        </c:dLbls>
        <c:firstSliceAng val="0"/>
      </c:pieChart>
    </c:plotArea>
    <c:legend>
      <c:legendPos val="b"/>
      <c:overlay val="0"/>
      <c:spPr>
        <a:noFill/>
        <a:ln w="0">
          <a:noFill/>
          <a:prstDash val="solid"/>
        </a:ln>
      </c:spPr>
      <c:txPr>
        <a:bodyPr/>
        <a:lstStyle/>
        <a:p>
          <a:pPr>
            <a:defRPr sz="1000" b="0" strike="noStrike">
              <a:solidFill>
                <a:schemeClr val="tx1">
                  <a:lumMod val="65000"/>
                  <a:lumOff val="35000"/>
                </a:schemeClr>
              </a:solidFill>
              <a:uFillTx/>
              <a:latin typeface="Calibri"/>
            </a:defRPr>
          </a:pPr>
          <a:endParaRPr lang="es-ES"/>
        </a:p>
      </c:txPr>
    </c:legend>
    <c:plotVisOnly val="1"/>
    <c:dispBlanksAs val="gap"/>
    <c:showDLblsOverMax val="1"/>
  </c:chart>
  <c:spPr>
    <a:solidFill>
      <a:srgbClr val="FFFFFF"/>
    </a:solidFill>
    <a:ln w="9360">
      <a:solidFill>
        <a:schemeClr val="dk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rot="0"/>
          <a:lstStyle/>
          <a:p>
            <a:pPr>
              <a:defRPr sz="1300" b="0" strike="noStrike">
                <a:uFillTx/>
                <a:latin typeface="Arial"/>
              </a:defRPr>
            </a:pPr>
            <a:r>
              <a:rPr lang="en-US" sz="1400" b="1" strike="noStrike">
                <a:solidFill>
                  <a:schemeClr val="tx1">
                    <a:lumMod val="65000"/>
                    <a:lumOff val="35000"/>
                  </a:schemeClr>
                </a:solidFill>
                <a:uFillTx/>
                <a:latin typeface="Calibri"/>
              </a:rPr>
              <a:t>📈 Calidad Compuesta vs IRR Bull</a:t>
            </a:r>
          </a:p>
        </c:rich>
      </c:tx>
      <c:overlay val="0"/>
      <c:spPr>
        <a:noFill/>
        <a:ln w="0">
          <a:noFill/>
          <a:prstDash val="solid"/>
        </a:ln>
      </c:spPr>
    </c:title>
    <c:autoTitleDeleted val="0"/>
    <c:plotArea>
      <c:layout/>
      <c:scatterChart>
        <c:scatterStyle val="lineMarker"/>
        <c:varyColors val="0"/>
        <c:ser>
          <c:idx val="0"/>
          <c:order val="0"/>
          <c:spPr>
            <a:ln w="28440">
              <a:noFill/>
              <a:prstDash val="solid"/>
            </a:ln>
          </c:spPr>
          <c:marker>
            <c:symbol val="circle"/>
            <c:size val="10"/>
            <c:spPr>
              <a:solidFill>
                <a:srgbClr val="4F81BD"/>
              </a:solidFill>
              <a:ln>
                <a:prstDash val="solid"/>
              </a:ln>
            </c:spPr>
          </c:marker>
          <c:dLbls>
            <c:spPr>
              <a:noFill/>
              <a:ln>
                <a:noFill/>
                <a:prstDash val="solid"/>
              </a:ln>
            </c:spPr>
            <c:txPr>
              <a:bodyPr wrap="square"/>
              <a:lstStyle/>
              <a:p>
                <a:pPr>
                  <a:defRPr sz="900" b="0" strike="noStrike">
                    <a:solidFill>
                      <a:schemeClr val="tx1">
                        <a:lumMod val="75000"/>
                        <a:lumOff val="25000"/>
                      </a:schemeClr>
                    </a:solidFill>
                    <a:uFillTx/>
                    <a:latin typeface="Calibri"/>
                  </a:defRPr>
                </a:pPr>
                <a:endParaRPr lang="es-ES"/>
              </a:p>
            </c:txPr>
            <c:dLblPos val="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xVal>
            <c:numRef>
              <c:f>Dashboard!$P$8:$P$22</c:f>
              <c:numCache>
                <c:formatCode>0.00</c:formatCode>
                <c:ptCount val="15"/>
                <c:pt idx="0">
                  <c:v>8.33</c:v>
                </c:pt>
                <c:pt idx="1">
                  <c:v>7.86</c:v>
                </c:pt>
                <c:pt idx="2">
                  <c:v>7.8</c:v>
                </c:pt>
                <c:pt idx="3">
                  <c:v>7.97</c:v>
                </c:pt>
                <c:pt idx="4">
                  <c:v>8.1300000000000008</c:v>
                </c:pt>
                <c:pt idx="5">
                  <c:v>7.92</c:v>
                </c:pt>
                <c:pt idx="6">
                  <c:v>7.78</c:v>
                </c:pt>
                <c:pt idx="7">
                  <c:v>7.22</c:v>
                </c:pt>
                <c:pt idx="8">
                  <c:v>7.76</c:v>
                </c:pt>
                <c:pt idx="9">
                  <c:v>7.81</c:v>
                </c:pt>
                <c:pt idx="10">
                  <c:v>7.73</c:v>
                </c:pt>
                <c:pt idx="11">
                  <c:v>7.77</c:v>
                </c:pt>
                <c:pt idx="12">
                  <c:v>7.84</c:v>
                </c:pt>
                <c:pt idx="13">
                  <c:v>7.78</c:v>
                </c:pt>
                <c:pt idx="14">
                  <c:v>7.14</c:v>
                </c:pt>
              </c:numCache>
            </c:numRef>
          </c:xVal>
          <c:yVal>
            <c:numRef>
              <c:f>Dashboard!$Q$8:$Q$22</c:f>
              <c:numCache>
                <c:formatCode>0.00%</c:formatCode>
                <c:ptCount val="15"/>
                <c:pt idx="0">
                  <c:v>8.669021918158748E-2</c:v>
                </c:pt>
                <c:pt idx="1">
                  <c:v>0.11210182270941682</c:v>
                </c:pt>
                <c:pt idx="2">
                  <c:v>0.20520658178954276</c:v>
                </c:pt>
                <c:pt idx="3">
                  <c:v>0.24983312746672115</c:v>
                </c:pt>
                <c:pt idx="4">
                  <c:v>-3.7574755369150781E-3</c:v>
                </c:pt>
                <c:pt idx="5">
                  <c:v>0.15788109561386898</c:v>
                </c:pt>
                <c:pt idx="6">
                  <c:v>0.11450999817020913</c:v>
                </c:pt>
                <c:pt idx="7">
                  <c:v>-0.20245465416639263</c:v>
                </c:pt>
                <c:pt idx="8">
                  <c:v>3.2096650354910716E-2</c:v>
                </c:pt>
                <c:pt idx="9">
                  <c:v>5.0624228362174284E-2</c:v>
                </c:pt>
                <c:pt idx="10">
                  <c:v>5.9401231796886389E-2</c:v>
                </c:pt>
                <c:pt idx="11">
                  <c:v>5.4598830936068099E-2</c:v>
                </c:pt>
                <c:pt idx="12">
                  <c:v>-0.17507049330501923</c:v>
                </c:pt>
                <c:pt idx="13">
                  <c:v>8.4928539133130032E-2</c:v>
                </c:pt>
                <c:pt idx="14">
                  <c:v>0.17751074547836376</c:v>
                </c:pt>
              </c:numCache>
            </c:numRef>
          </c:yVal>
          <c:smooth val="0"/>
          <c:extLst>
            <c:ext xmlns:c16="http://schemas.microsoft.com/office/drawing/2014/chart" uri="{C3380CC4-5D6E-409C-BE32-E72D297353CC}">
              <c16:uniqueId val="{00000000-AD5E-4A7A-88EF-5308B096E744}"/>
            </c:ext>
          </c:extLst>
        </c:ser>
        <c:dLbls>
          <c:showLegendKey val="0"/>
          <c:showVal val="0"/>
          <c:showCatName val="0"/>
          <c:showSerName val="0"/>
          <c:showPercent val="0"/>
          <c:showBubbleSize val="0"/>
        </c:dLbls>
        <c:axId val="52018216"/>
        <c:axId val="91285629"/>
      </c:scatterChart>
      <c:valAx>
        <c:axId val="52018216"/>
        <c:scaling>
          <c:orientation val="minMax"/>
          <c:min val="5"/>
        </c:scaling>
        <c:delete val="0"/>
        <c:axPos val="b"/>
        <c:majorGridlines>
          <c:spPr>
            <a:ln w="9360">
              <a:solidFill>
                <a:schemeClr val="dk1">
                  <a:lumMod val="15000"/>
                  <a:lumOff val="85000"/>
                </a:schemeClr>
              </a:solidFill>
              <a:prstDash val="solid"/>
              <a:round/>
            </a:ln>
          </c:spPr>
        </c:majorGridlines>
        <c:title>
          <c:tx>
            <c:rich>
              <a:bodyPr rot="0"/>
              <a:lstStyle/>
              <a:p>
                <a:pPr>
                  <a:defRPr sz="1300" b="0" strike="noStrike">
                    <a:uFillTx/>
                    <a:latin typeface="Arial"/>
                  </a:defRPr>
                </a:pPr>
                <a:r>
                  <a:rPr lang="es-ES" sz="1000" b="0" strike="noStrike">
                    <a:solidFill>
                      <a:schemeClr val="tx1">
                        <a:lumMod val="65000"/>
                        <a:lumOff val="35000"/>
                      </a:schemeClr>
                    </a:solidFill>
                    <a:uFillTx/>
                    <a:latin typeface="Calibri"/>
                  </a:rPr>
                  <a:t>Composite Rating</a:t>
                </a:r>
              </a:p>
            </c:rich>
          </c:tx>
          <c:overlay val="0"/>
          <c:spPr>
            <a:noFill/>
            <a:ln w="0">
              <a:noFill/>
              <a:prstDash val="solid"/>
            </a:ln>
          </c:spPr>
        </c:title>
        <c:numFmt formatCode="General" sourceLinked="0"/>
        <c:majorTickMark val="none"/>
        <c:minorTickMark val="none"/>
        <c:tickLblPos val="nextTo"/>
        <c:spPr>
          <a:ln w="9360">
            <a:solidFill>
              <a:schemeClr val="dk1">
                <a:lumMod val="25000"/>
                <a:lumOff val="75000"/>
              </a:schemeClr>
            </a:solidFill>
            <a:prstDash val="solid"/>
            <a:round/>
          </a:ln>
        </c:spPr>
        <c:txPr>
          <a:bodyPr/>
          <a:lstStyle/>
          <a:p>
            <a:pPr>
              <a:defRPr sz="900" b="0" strike="noStrike">
                <a:solidFill>
                  <a:schemeClr val="tx1">
                    <a:lumMod val="65000"/>
                    <a:lumOff val="35000"/>
                  </a:schemeClr>
                </a:solidFill>
                <a:uFillTx/>
                <a:latin typeface="Calibri"/>
              </a:defRPr>
            </a:pPr>
            <a:endParaRPr lang="es-ES"/>
          </a:p>
        </c:txPr>
        <c:crossAx val="91285629"/>
        <c:crosses val="autoZero"/>
        <c:crossBetween val="midCat"/>
      </c:valAx>
      <c:valAx>
        <c:axId val="91285629"/>
        <c:scaling>
          <c:orientation val="minMax"/>
        </c:scaling>
        <c:delete val="0"/>
        <c:axPos val="l"/>
        <c:majorGridlines>
          <c:spPr>
            <a:ln w="9360">
              <a:solidFill>
                <a:schemeClr val="dk1">
                  <a:lumMod val="15000"/>
                  <a:lumOff val="85000"/>
                </a:schemeClr>
              </a:solidFill>
              <a:prstDash val="solid"/>
              <a:round/>
            </a:ln>
          </c:spPr>
        </c:majorGridlines>
        <c:title>
          <c:tx>
            <c:rich>
              <a:bodyPr rot="-5400000"/>
              <a:lstStyle/>
              <a:p>
                <a:pPr>
                  <a:defRPr sz="1300" b="0" strike="noStrike">
                    <a:uFillTx/>
                    <a:latin typeface="Arial"/>
                  </a:defRPr>
                </a:pPr>
                <a:r>
                  <a:rPr lang="es-ES" sz="1000" b="0" strike="noStrike">
                    <a:solidFill>
                      <a:schemeClr val="tx1">
                        <a:lumMod val="65000"/>
                        <a:lumOff val="35000"/>
                      </a:schemeClr>
                    </a:solidFill>
                    <a:uFillTx/>
                    <a:latin typeface="Calibri"/>
                  </a:rPr>
                  <a:t>IRR Bull (%)</a:t>
                </a:r>
              </a:p>
            </c:rich>
          </c:tx>
          <c:overlay val="0"/>
          <c:spPr>
            <a:noFill/>
            <a:ln w="0">
              <a:noFill/>
              <a:prstDash val="solid"/>
            </a:ln>
          </c:spPr>
        </c:title>
        <c:numFmt formatCode="0.00%" sourceLinked="0"/>
        <c:majorTickMark val="none"/>
        <c:minorTickMark val="none"/>
        <c:tickLblPos val="nextTo"/>
        <c:spPr>
          <a:ln w="9360">
            <a:solidFill>
              <a:schemeClr val="dk1">
                <a:lumMod val="25000"/>
                <a:lumOff val="75000"/>
              </a:schemeClr>
            </a:solidFill>
            <a:prstDash val="solid"/>
            <a:round/>
          </a:ln>
        </c:spPr>
        <c:txPr>
          <a:bodyPr/>
          <a:lstStyle/>
          <a:p>
            <a:pPr>
              <a:defRPr sz="900" b="0" strike="noStrike">
                <a:solidFill>
                  <a:schemeClr val="tx1">
                    <a:lumMod val="65000"/>
                    <a:lumOff val="35000"/>
                  </a:schemeClr>
                </a:solidFill>
                <a:uFillTx/>
                <a:latin typeface="Calibri"/>
              </a:defRPr>
            </a:pPr>
            <a:endParaRPr lang="es-ES"/>
          </a:p>
        </c:txPr>
        <c:crossAx val="52018216"/>
        <c:crosses val="autoZero"/>
        <c:crossBetween val="midCat"/>
      </c:valAx>
    </c:plotArea>
    <c:plotVisOnly val="1"/>
    <c:dispBlanksAs val="gap"/>
    <c:showDLblsOverMax val="1"/>
  </c:chart>
  <c:spPr>
    <a:solidFill>
      <a:srgbClr val="FFFFFF"/>
    </a:solidFill>
    <a:ln w="9360">
      <a:solidFill>
        <a:schemeClr val="dk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rot="0"/>
          <a:lstStyle/>
          <a:p>
            <a:pPr>
              <a:defRPr sz="1300" b="0" strike="noStrike">
                <a:uFillTx/>
                <a:latin typeface="Arial"/>
              </a:defRPr>
            </a:pPr>
            <a:r>
              <a:rPr lang="en-US" sz="1300" b="1" strike="noStrike">
                <a:solidFill>
                  <a:schemeClr val="tx1">
                    <a:lumMod val="65000"/>
                    <a:lumOff val="35000"/>
                  </a:schemeClr>
                </a:solidFill>
                <a:uFillTx/>
                <a:latin typeface="Calibri"/>
              </a:rPr>
              <a:t>🏰 MOAT vs Opcionalidad</a:t>
            </a:r>
          </a:p>
        </c:rich>
      </c:tx>
      <c:overlay val="0"/>
      <c:spPr>
        <a:noFill/>
        <a:ln w="0">
          <a:noFill/>
          <a:prstDash val="solid"/>
        </a:ln>
      </c:spPr>
    </c:title>
    <c:autoTitleDeleted val="0"/>
    <c:plotArea>
      <c:layout/>
      <c:barChart>
        <c:barDir val="col"/>
        <c:grouping val="clustered"/>
        <c:varyColors val="0"/>
        <c:ser>
          <c:idx val="0"/>
          <c:order val="0"/>
          <c:tx>
            <c:strRef>
              <c:f>Dashboard!$AK$6</c:f>
              <c:strCache>
                <c:ptCount val="1"/>
                <c:pt idx="0">
                  <c:v>MOAT</c:v>
                </c:pt>
              </c:strCache>
            </c:strRef>
          </c:tx>
          <c:spPr>
            <a:solidFill>
              <a:srgbClr val="1565C0"/>
            </a:solidFill>
            <a:ln w="12600">
              <a:noFill/>
              <a:prstDash val="solid"/>
            </a:ln>
          </c:spPr>
          <c:invertIfNegative val="0"/>
          <c:dLbls>
            <c:spPr>
              <a:noFill/>
              <a:ln>
                <a:noFill/>
                <a:prstDash val="solid"/>
              </a:ln>
            </c:spPr>
            <c:txPr>
              <a:bodyPr wrap="square"/>
              <a:lstStyle/>
              <a:p>
                <a:pPr>
                  <a:defRPr sz="1000" b="0" strike="noStrike">
                    <a:solidFill>
                      <a:srgbClr val="000000"/>
                    </a:solidFill>
                    <a:uFillTx/>
                    <a:latin typeface="Calibri"/>
                  </a:defRPr>
                </a:pPr>
                <a:endParaRPr lang="es-E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Dashboard!$AJ$7:$AJ$16</c:f>
              <c:strCache>
                <c:ptCount val="10"/>
                <c:pt idx="0">
                  <c:v>VEEV</c:v>
                </c:pt>
                <c:pt idx="1">
                  <c:v>MSFT</c:v>
                </c:pt>
                <c:pt idx="2">
                  <c:v>COST</c:v>
                </c:pt>
                <c:pt idx="3">
                  <c:v>AMZN</c:v>
                </c:pt>
                <c:pt idx="4">
                  <c:v>FICO</c:v>
                </c:pt>
                <c:pt idx="5">
                  <c:v>ADYEN</c:v>
                </c:pt>
                <c:pt idx="6">
                  <c:v>BN</c:v>
                </c:pt>
                <c:pt idx="7">
                  <c:v>DSGX</c:v>
                </c:pt>
                <c:pt idx="8">
                  <c:v>RAA</c:v>
                </c:pt>
                <c:pt idx="9">
                  <c:v>NTO</c:v>
                </c:pt>
              </c:strCache>
            </c:strRef>
          </c:cat>
          <c:val>
            <c:numRef>
              <c:f>Dashboard!$AK$7:$AK$16</c:f>
              <c:numCache>
                <c:formatCode>General</c:formatCode>
                <c:ptCount val="10"/>
                <c:pt idx="0">
                  <c:v>8</c:v>
                </c:pt>
                <c:pt idx="1">
                  <c:v>8</c:v>
                </c:pt>
                <c:pt idx="2">
                  <c:v>8</c:v>
                </c:pt>
                <c:pt idx="3">
                  <c:v>8</c:v>
                </c:pt>
                <c:pt idx="4">
                  <c:v>8</c:v>
                </c:pt>
                <c:pt idx="5">
                  <c:v>7</c:v>
                </c:pt>
                <c:pt idx="6">
                  <c:v>7</c:v>
                </c:pt>
                <c:pt idx="7">
                  <c:v>7</c:v>
                </c:pt>
                <c:pt idx="8">
                  <c:v>7</c:v>
                </c:pt>
                <c:pt idx="9">
                  <c:v>7</c:v>
                </c:pt>
              </c:numCache>
            </c:numRef>
          </c:val>
          <c:extLst>
            <c:ext xmlns:c16="http://schemas.microsoft.com/office/drawing/2014/chart" uri="{C3380CC4-5D6E-409C-BE32-E72D297353CC}">
              <c16:uniqueId val="{00000000-E9E3-4EF5-9427-F42F92AC07B7}"/>
            </c:ext>
          </c:extLst>
        </c:ser>
        <c:ser>
          <c:idx val="1"/>
          <c:order val="1"/>
          <c:tx>
            <c:strRef>
              <c:f>Dashboard!$AL$6</c:f>
              <c:strCache>
                <c:ptCount val="1"/>
                <c:pt idx="0">
                  <c:v>Optionality</c:v>
                </c:pt>
              </c:strCache>
            </c:strRef>
          </c:tx>
          <c:spPr>
            <a:solidFill>
              <a:srgbClr val="9C27B0"/>
            </a:solidFill>
            <a:ln w="12600">
              <a:noFill/>
              <a:prstDash val="solid"/>
            </a:ln>
          </c:spPr>
          <c:invertIfNegative val="0"/>
          <c:dLbls>
            <c:spPr>
              <a:noFill/>
              <a:ln>
                <a:noFill/>
                <a:prstDash val="solid"/>
              </a:ln>
            </c:spPr>
            <c:txPr>
              <a:bodyPr wrap="square"/>
              <a:lstStyle/>
              <a:p>
                <a:pPr>
                  <a:defRPr sz="1000" b="0" strike="noStrike">
                    <a:solidFill>
                      <a:srgbClr val="000000"/>
                    </a:solidFill>
                    <a:uFillTx/>
                    <a:latin typeface="Calibri"/>
                  </a:defRPr>
                </a:pPr>
                <a:endParaRPr lang="es-E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Dashboard!$AJ$7:$AJ$16</c:f>
              <c:strCache>
                <c:ptCount val="10"/>
                <c:pt idx="0">
                  <c:v>VEEV</c:v>
                </c:pt>
                <c:pt idx="1">
                  <c:v>MSFT</c:v>
                </c:pt>
                <c:pt idx="2">
                  <c:v>COST</c:v>
                </c:pt>
                <c:pt idx="3">
                  <c:v>AMZN</c:v>
                </c:pt>
                <c:pt idx="4">
                  <c:v>FICO</c:v>
                </c:pt>
                <c:pt idx="5">
                  <c:v>ADYEN</c:v>
                </c:pt>
                <c:pt idx="6">
                  <c:v>BN</c:v>
                </c:pt>
                <c:pt idx="7">
                  <c:v>DSGX</c:v>
                </c:pt>
                <c:pt idx="8">
                  <c:v>RAA</c:v>
                </c:pt>
                <c:pt idx="9">
                  <c:v>NTO</c:v>
                </c:pt>
              </c:strCache>
            </c:strRef>
          </c:cat>
          <c:val>
            <c:numRef>
              <c:f>Dashboard!$AL$7:$AL$16</c:f>
              <c:numCache>
                <c:formatCode>General</c:formatCode>
                <c:ptCount val="10"/>
                <c:pt idx="0">
                  <c:v>3</c:v>
                </c:pt>
                <c:pt idx="1">
                  <c:v>3</c:v>
                </c:pt>
                <c:pt idx="2">
                  <c:v>1</c:v>
                </c:pt>
                <c:pt idx="3">
                  <c:v>3</c:v>
                </c:pt>
                <c:pt idx="4">
                  <c:v>2</c:v>
                </c:pt>
                <c:pt idx="5">
                  <c:v>3</c:v>
                </c:pt>
                <c:pt idx="6">
                  <c:v>3</c:v>
                </c:pt>
                <c:pt idx="7">
                  <c:v>2</c:v>
                </c:pt>
                <c:pt idx="8">
                  <c:v>2</c:v>
                </c:pt>
                <c:pt idx="9">
                  <c:v>3</c:v>
                </c:pt>
              </c:numCache>
            </c:numRef>
          </c:val>
          <c:extLst>
            <c:ext xmlns:c16="http://schemas.microsoft.com/office/drawing/2014/chart" uri="{C3380CC4-5D6E-409C-BE32-E72D297353CC}">
              <c16:uniqueId val="{00000001-E9E3-4EF5-9427-F42F92AC07B7}"/>
            </c:ext>
          </c:extLst>
        </c:ser>
        <c:dLbls>
          <c:showLegendKey val="0"/>
          <c:showVal val="0"/>
          <c:showCatName val="0"/>
          <c:showSerName val="0"/>
          <c:showPercent val="0"/>
          <c:showBubbleSize val="0"/>
        </c:dLbls>
        <c:gapWidth val="219"/>
        <c:overlap val="-27"/>
        <c:axId val="87773390"/>
        <c:axId val="3936355"/>
      </c:barChart>
      <c:catAx>
        <c:axId val="87773390"/>
        <c:scaling>
          <c:orientation val="minMax"/>
        </c:scaling>
        <c:delete val="0"/>
        <c:axPos val="b"/>
        <c:numFmt formatCode="General" sourceLinked="0"/>
        <c:majorTickMark val="none"/>
        <c:minorTickMark val="none"/>
        <c:tickLblPos val="nextTo"/>
        <c:spPr>
          <a:ln w="9360">
            <a:solidFill>
              <a:schemeClr val="dk1">
                <a:lumMod val="15000"/>
                <a:lumOff val="85000"/>
              </a:schemeClr>
            </a:solidFill>
            <a:prstDash val="solid"/>
            <a:round/>
          </a:ln>
        </c:spPr>
        <c:txPr>
          <a:bodyPr/>
          <a:lstStyle/>
          <a:p>
            <a:pPr>
              <a:defRPr sz="900" b="0" strike="noStrike">
                <a:solidFill>
                  <a:schemeClr val="tx1">
                    <a:lumMod val="65000"/>
                    <a:lumOff val="35000"/>
                  </a:schemeClr>
                </a:solidFill>
                <a:uFillTx/>
                <a:latin typeface="Calibri"/>
              </a:defRPr>
            </a:pPr>
            <a:endParaRPr lang="es-ES"/>
          </a:p>
        </c:txPr>
        <c:crossAx val="3936355"/>
        <c:crosses val="autoZero"/>
        <c:auto val="1"/>
        <c:lblAlgn val="ctr"/>
        <c:lblOffset val="100"/>
        <c:noMultiLvlLbl val="0"/>
      </c:catAx>
      <c:valAx>
        <c:axId val="3936355"/>
        <c:scaling>
          <c:orientation val="minMax"/>
        </c:scaling>
        <c:delete val="0"/>
        <c:axPos val="l"/>
        <c:majorGridlines>
          <c:spPr>
            <a:ln w="9360">
              <a:solidFill>
                <a:schemeClr val="dk1">
                  <a:lumMod val="15000"/>
                  <a:lumOff val="85000"/>
                </a:schemeClr>
              </a:solidFill>
              <a:prstDash val="solid"/>
              <a:round/>
            </a:ln>
          </c:spPr>
        </c:majorGridlines>
        <c:numFmt formatCode="General" sourceLinked="0"/>
        <c:majorTickMark val="none"/>
        <c:minorTickMark val="none"/>
        <c:tickLblPos val="nextTo"/>
        <c:spPr>
          <a:ln w="9360">
            <a:noFill/>
            <a:prstDash val="solid"/>
          </a:ln>
        </c:spPr>
        <c:txPr>
          <a:bodyPr/>
          <a:lstStyle/>
          <a:p>
            <a:pPr>
              <a:defRPr sz="900" b="0" strike="noStrike">
                <a:solidFill>
                  <a:schemeClr val="tx1">
                    <a:lumMod val="65000"/>
                    <a:lumOff val="35000"/>
                  </a:schemeClr>
                </a:solidFill>
                <a:uFillTx/>
                <a:latin typeface="Calibri"/>
              </a:defRPr>
            </a:pPr>
            <a:endParaRPr lang="es-ES"/>
          </a:p>
        </c:txPr>
        <c:crossAx val="87773390"/>
        <c:crosses val="autoZero"/>
        <c:crossBetween val="between"/>
      </c:valAx>
    </c:plotArea>
    <c:legend>
      <c:legendPos val="b"/>
      <c:overlay val="0"/>
      <c:spPr>
        <a:noFill/>
        <a:ln w="0">
          <a:noFill/>
          <a:prstDash val="solid"/>
        </a:ln>
      </c:spPr>
      <c:txPr>
        <a:bodyPr/>
        <a:lstStyle/>
        <a:p>
          <a:pPr>
            <a:defRPr sz="900" b="0" strike="noStrike">
              <a:solidFill>
                <a:schemeClr val="tx1">
                  <a:lumMod val="65000"/>
                  <a:lumOff val="35000"/>
                </a:schemeClr>
              </a:solidFill>
              <a:uFillTx/>
              <a:latin typeface="Calibri"/>
            </a:defRPr>
          </a:pPr>
          <a:endParaRPr lang="es-ES"/>
        </a:p>
      </c:txPr>
    </c:legend>
    <c:plotVisOnly val="1"/>
    <c:dispBlanksAs val="gap"/>
    <c:showDLblsOverMax val="1"/>
  </c:chart>
  <c:spPr>
    <a:solidFill>
      <a:srgbClr val="FFFFFF"/>
    </a:solidFill>
    <a:ln w="9360">
      <a:solidFill>
        <a:schemeClr val="dk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rot="0"/>
          <a:lstStyle/>
          <a:p>
            <a:pPr>
              <a:defRPr sz="1300" b="0" strike="noStrike">
                <a:uFillTx/>
                <a:latin typeface="Arial"/>
              </a:defRPr>
            </a:pPr>
            <a:r>
              <a:rPr lang="en-US" sz="1300" b="1" strike="noStrike">
                <a:solidFill>
                  <a:schemeClr val="tx1">
                    <a:lumMod val="65000"/>
                    <a:lumOff val="35000"/>
                  </a:schemeClr>
                </a:solidFill>
                <a:uFillTx/>
                <a:latin typeface="Calibri"/>
              </a:rPr>
              <a:t>📊 Asimetría: IRR Bear vs Bull</a:t>
            </a:r>
          </a:p>
        </c:rich>
      </c:tx>
      <c:overlay val="0"/>
      <c:spPr>
        <a:noFill/>
        <a:ln w="0">
          <a:noFill/>
          <a:prstDash val="solid"/>
        </a:ln>
      </c:spPr>
    </c:title>
    <c:autoTitleDeleted val="0"/>
    <c:plotArea>
      <c:layout/>
      <c:barChart>
        <c:barDir val="col"/>
        <c:grouping val="clustered"/>
        <c:varyColors val="0"/>
        <c:ser>
          <c:idx val="0"/>
          <c:order val="0"/>
          <c:tx>
            <c:strRef>
              <c:f>Dashboard!$AP$6</c:f>
              <c:strCache>
                <c:ptCount val="1"/>
                <c:pt idx="0">
                  <c:v>IRR Bear %</c:v>
                </c:pt>
              </c:strCache>
            </c:strRef>
          </c:tx>
          <c:spPr>
            <a:solidFill>
              <a:srgbClr val="D32F2F"/>
            </a:solidFill>
            <a:ln w="12600">
              <a:noFill/>
              <a:prstDash val="solid"/>
            </a:ln>
          </c:spPr>
          <c:invertIfNegative val="0"/>
          <c:dLbls>
            <c:spPr>
              <a:noFill/>
              <a:ln>
                <a:noFill/>
                <a:prstDash val="solid"/>
              </a:ln>
            </c:spPr>
            <c:txPr>
              <a:bodyPr wrap="square"/>
              <a:lstStyle/>
              <a:p>
                <a:pPr>
                  <a:defRPr sz="1000" b="0" strike="noStrike">
                    <a:solidFill>
                      <a:srgbClr val="000000"/>
                    </a:solidFill>
                    <a:uFillTx/>
                    <a:latin typeface="Calibri"/>
                  </a:defRPr>
                </a:pPr>
                <a:endParaRPr lang="es-E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Dashboard!$AO$7:$AO$16</c:f>
              <c:strCache>
                <c:ptCount val="10"/>
                <c:pt idx="0">
                  <c:v>VEEV</c:v>
                </c:pt>
                <c:pt idx="1">
                  <c:v>ZS</c:v>
                </c:pt>
                <c:pt idx="2">
                  <c:v>ADYEN</c:v>
                </c:pt>
                <c:pt idx="3">
                  <c:v>ABNB</c:v>
                </c:pt>
                <c:pt idx="4">
                  <c:v>BN</c:v>
                </c:pt>
                <c:pt idx="5">
                  <c:v>DSGX</c:v>
                </c:pt>
                <c:pt idx="6">
                  <c:v>EVD</c:v>
                </c:pt>
                <c:pt idx="7">
                  <c:v>ITX</c:v>
                </c:pt>
                <c:pt idx="8">
                  <c:v>RAA</c:v>
                </c:pt>
                <c:pt idx="9">
                  <c:v>FICO</c:v>
                </c:pt>
              </c:strCache>
            </c:strRef>
          </c:cat>
          <c:val>
            <c:numRef>
              <c:f>Dashboard!$AP$7:$AP$16</c:f>
              <c:numCache>
                <c:formatCode>General</c:formatCode>
                <c:ptCount val="10"/>
                <c:pt idx="0">
                  <c:v>4.5</c:v>
                </c:pt>
                <c:pt idx="1">
                  <c:v>3.7</c:v>
                </c:pt>
                <c:pt idx="2">
                  <c:v>1.1000000000000001</c:v>
                </c:pt>
                <c:pt idx="3">
                  <c:v>1.8</c:v>
                </c:pt>
                <c:pt idx="4">
                  <c:v>0.6</c:v>
                </c:pt>
                <c:pt idx="5">
                  <c:v>-0.1</c:v>
                </c:pt>
                <c:pt idx="6">
                  <c:v>4.7</c:v>
                </c:pt>
                <c:pt idx="7">
                  <c:v>-4.2</c:v>
                </c:pt>
                <c:pt idx="8">
                  <c:v>-8</c:v>
                </c:pt>
                <c:pt idx="9">
                  <c:v>-7.9</c:v>
                </c:pt>
              </c:numCache>
            </c:numRef>
          </c:val>
          <c:extLst>
            <c:ext xmlns:c16="http://schemas.microsoft.com/office/drawing/2014/chart" uri="{C3380CC4-5D6E-409C-BE32-E72D297353CC}">
              <c16:uniqueId val="{00000000-E72E-4035-8D3D-932C0AE7B5A2}"/>
            </c:ext>
          </c:extLst>
        </c:ser>
        <c:ser>
          <c:idx val="1"/>
          <c:order val="1"/>
          <c:tx>
            <c:strRef>
              <c:f>Dashboard!$AQ$6</c:f>
              <c:strCache>
                <c:ptCount val="1"/>
                <c:pt idx="0">
                  <c:v>IRR Bull %</c:v>
                </c:pt>
              </c:strCache>
            </c:strRef>
          </c:tx>
          <c:spPr>
            <a:solidFill>
              <a:srgbClr val="388E3C"/>
            </a:solidFill>
            <a:ln w="12600">
              <a:noFill/>
              <a:prstDash val="solid"/>
            </a:ln>
          </c:spPr>
          <c:invertIfNegative val="0"/>
          <c:dLbls>
            <c:spPr>
              <a:noFill/>
              <a:ln>
                <a:noFill/>
                <a:prstDash val="solid"/>
              </a:ln>
            </c:spPr>
            <c:txPr>
              <a:bodyPr wrap="square"/>
              <a:lstStyle/>
              <a:p>
                <a:pPr>
                  <a:defRPr sz="1000" b="0" strike="noStrike">
                    <a:solidFill>
                      <a:srgbClr val="000000"/>
                    </a:solidFill>
                    <a:uFillTx/>
                    <a:latin typeface="Calibri"/>
                  </a:defRPr>
                </a:pPr>
                <a:endParaRPr lang="es-E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Dashboard!$AO$7:$AO$16</c:f>
              <c:strCache>
                <c:ptCount val="10"/>
                <c:pt idx="0">
                  <c:v>VEEV</c:v>
                </c:pt>
                <c:pt idx="1">
                  <c:v>ZS</c:v>
                </c:pt>
                <c:pt idx="2">
                  <c:v>ADYEN</c:v>
                </c:pt>
                <c:pt idx="3">
                  <c:v>ABNB</c:v>
                </c:pt>
                <c:pt idx="4">
                  <c:v>BN</c:v>
                </c:pt>
                <c:pt idx="5">
                  <c:v>DSGX</c:v>
                </c:pt>
                <c:pt idx="6">
                  <c:v>EVD</c:v>
                </c:pt>
                <c:pt idx="7">
                  <c:v>ITX</c:v>
                </c:pt>
                <c:pt idx="8">
                  <c:v>RAA</c:v>
                </c:pt>
                <c:pt idx="9">
                  <c:v>FICO</c:v>
                </c:pt>
              </c:strCache>
            </c:strRef>
          </c:cat>
          <c:val>
            <c:numRef>
              <c:f>Dashboard!$AQ$7:$AQ$16</c:f>
              <c:numCache>
                <c:formatCode>General</c:formatCode>
                <c:ptCount val="10"/>
                <c:pt idx="0">
                  <c:v>33.6</c:v>
                </c:pt>
                <c:pt idx="1">
                  <c:v>32.4</c:v>
                </c:pt>
                <c:pt idx="2">
                  <c:v>28.4</c:v>
                </c:pt>
                <c:pt idx="3">
                  <c:v>25</c:v>
                </c:pt>
                <c:pt idx="4">
                  <c:v>23.3</c:v>
                </c:pt>
                <c:pt idx="5">
                  <c:v>20.8</c:v>
                </c:pt>
                <c:pt idx="6">
                  <c:v>32.9</c:v>
                </c:pt>
                <c:pt idx="7">
                  <c:v>13.7</c:v>
                </c:pt>
                <c:pt idx="8">
                  <c:v>13.5</c:v>
                </c:pt>
                <c:pt idx="9">
                  <c:v>12.3</c:v>
                </c:pt>
              </c:numCache>
            </c:numRef>
          </c:val>
          <c:extLst>
            <c:ext xmlns:c16="http://schemas.microsoft.com/office/drawing/2014/chart" uri="{C3380CC4-5D6E-409C-BE32-E72D297353CC}">
              <c16:uniqueId val="{00000001-E72E-4035-8D3D-932C0AE7B5A2}"/>
            </c:ext>
          </c:extLst>
        </c:ser>
        <c:dLbls>
          <c:showLegendKey val="0"/>
          <c:showVal val="0"/>
          <c:showCatName val="0"/>
          <c:showSerName val="0"/>
          <c:showPercent val="0"/>
          <c:showBubbleSize val="0"/>
        </c:dLbls>
        <c:gapWidth val="219"/>
        <c:overlap val="-27"/>
        <c:axId val="84162720"/>
        <c:axId val="89395593"/>
      </c:barChart>
      <c:catAx>
        <c:axId val="84162720"/>
        <c:scaling>
          <c:orientation val="minMax"/>
        </c:scaling>
        <c:delete val="0"/>
        <c:axPos val="b"/>
        <c:numFmt formatCode="General" sourceLinked="0"/>
        <c:majorTickMark val="none"/>
        <c:minorTickMark val="none"/>
        <c:tickLblPos val="nextTo"/>
        <c:spPr>
          <a:ln w="9360">
            <a:solidFill>
              <a:schemeClr val="dk1">
                <a:lumMod val="15000"/>
                <a:lumOff val="85000"/>
              </a:schemeClr>
            </a:solidFill>
            <a:prstDash val="solid"/>
            <a:round/>
          </a:ln>
        </c:spPr>
        <c:txPr>
          <a:bodyPr/>
          <a:lstStyle/>
          <a:p>
            <a:pPr>
              <a:defRPr sz="900" b="0" strike="noStrike">
                <a:solidFill>
                  <a:schemeClr val="tx1">
                    <a:lumMod val="65000"/>
                    <a:lumOff val="35000"/>
                  </a:schemeClr>
                </a:solidFill>
                <a:uFillTx/>
                <a:latin typeface="Calibri"/>
              </a:defRPr>
            </a:pPr>
            <a:endParaRPr lang="es-ES"/>
          </a:p>
        </c:txPr>
        <c:crossAx val="89395593"/>
        <c:crosses val="autoZero"/>
        <c:auto val="1"/>
        <c:lblAlgn val="ctr"/>
        <c:lblOffset val="100"/>
        <c:noMultiLvlLbl val="0"/>
      </c:catAx>
      <c:valAx>
        <c:axId val="89395593"/>
        <c:scaling>
          <c:orientation val="minMax"/>
        </c:scaling>
        <c:delete val="0"/>
        <c:axPos val="l"/>
        <c:majorGridlines>
          <c:spPr>
            <a:ln w="9360">
              <a:solidFill>
                <a:schemeClr val="dk1">
                  <a:lumMod val="15000"/>
                  <a:lumOff val="85000"/>
                </a:schemeClr>
              </a:solidFill>
              <a:prstDash val="solid"/>
              <a:round/>
            </a:ln>
          </c:spPr>
        </c:majorGridlines>
        <c:numFmt formatCode="General" sourceLinked="0"/>
        <c:majorTickMark val="none"/>
        <c:minorTickMark val="none"/>
        <c:tickLblPos val="nextTo"/>
        <c:spPr>
          <a:ln w="9360">
            <a:noFill/>
            <a:prstDash val="solid"/>
          </a:ln>
        </c:spPr>
        <c:txPr>
          <a:bodyPr/>
          <a:lstStyle/>
          <a:p>
            <a:pPr>
              <a:defRPr sz="900" b="0" strike="noStrike">
                <a:solidFill>
                  <a:schemeClr val="tx1">
                    <a:lumMod val="65000"/>
                    <a:lumOff val="35000"/>
                  </a:schemeClr>
                </a:solidFill>
                <a:uFillTx/>
                <a:latin typeface="Calibri"/>
              </a:defRPr>
            </a:pPr>
            <a:endParaRPr lang="es-ES"/>
          </a:p>
        </c:txPr>
        <c:crossAx val="84162720"/>
        <c:crosses val="autoZero"/>
        <c:crossBetween val="between"/>
      </c:valAx>
    </c:plotArea>
    <c:legend>
      <c:legendPos val="b"/>
      <c:overlay val="0"/>
      <c:spPr>
        <a:noFill/>
        <a:ln w="0">
          <a:noFill/>
          <a:prstDash val="solid"/>
        </a:ln>
      </c:spPr>
      <c:txPr>
        <a:bodyPr/>
        <a:lstStyle/>
        <a:p>
          <a:pPr>
            <a:defRPr sz="900" b="0" strike="noStrike">
              <a:solidFill>
                <a:schemeClr val="tx1">
                  <a:lumMod val="65000"/>
                  <a:lumOff val="35000"/>
                </a:schemeClr>
              </a:solidFill>
              <a:uFillTx/>
              <a:latin typeface="Calibri"/>
            </a:defRPr>
          </a:pPr>
          <a:endParaRPr lang="es-ES"/>
        </a:p>
      </c:txPr>
    </c:legend>
    <c:plotVisOnly val="1"/>
    <c:dispBlanksAs val="gap"/>
    <c:showDLblsOverMax val="1"/>
  </c:chart>
  <c:spPr>
    <a:solidFill>
      <a:srgbClr val="FFFFFF"/>
    </a:solidFill>
    <a:ln w="9360">
      <a:solidFill>
        <a:schemeClr val="dk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rot="0"/>
          <a:lstStyle/>
          <a:p>
            <a:pPr>
              <a:defRPr sz="1300" b="0" strike="noStrike">
                <a:uFillTx/>
                <a:latin typeface="Arial"/>
              </a:defRPr>
            </a:pPr>
            <a:r>
              <a:rPr lang="en-US" sz="1400" b="1" strike="noStrike">
                <a:solidFill>
                  <a:srgbClr val="1565C0"/>
                </a:solidFill>
                <a:uFillTx/>
                <a:latin typeface="Calibri"/>
              </a:rPr>
              <a:t>📈 EV/FCF vs IRR Bull (%)</a:t>
            </a:r>
          </a:p>
        </c:rich>
      </c:tx>
      <c:overlay val="0"/>
      <c:spPr>
        <a:noFill/>
        <a:ln w="0">
          <a:noFill/>
          <a:prstDash val="solid"/>
        </a:ln>
      </c:spPr>
    </c:title>
    <c:autoTitleDeleted val="0"/>
    <c:plotArea>
      <c:layout/>
      <c:scatterChart>
        <c:scatterStyle val="lineMarker"/>
        <c:varyColors val="0"/>
        <c:ser>
          <c:idx val="0"/>
          <c:order val="0"/>
          <c:spPr>
            <a:ln w="28440">
              <a:noFill/>
              <a:prstDash val="solid"/>
            </a:ln>
          </c:spPr>
          <c:marker>
            <c:symbol val="circle"/>
            <c:size val="10"/>
            <c:spPr>
              <a:solidFill>
                <a:srgbClr val="1565C0"/>
              </a:solidFill>
              <a:ln>
                <a:prstDash val="solid"/>
              </a:ln>
            </c:spPr>
          </c:marker>
          <c:dLbls>
            <c:spPr>
              <a:noFill/>
              <a:ln>
                <a:noFill/>
                <a:prstDash val="solid"/>
              </a:ln>
            </c:spPr>
            <c:txPr>
              <a:bodyPr wrap="square"/>
              <a:lstStyle/>
              <a:p>
                <a:pPr>
                  <a:defRPr sz="1000" b="0" strike="noStrike">
                    <a:solidFill>
                      <a:srgbClr val="000000"/>
                    </a:solidFill>
                    <a:uFillTx/>
                    <a:latin typeface="Calibri"/>
                  </a:defRPr>
                </a:pPr>
                <a:endParaRPr lang="es-E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Dashboard!$AT$7:$AT$21</c:f>
              <c:numCache>
                <c:formatCode>General</c:formatCode>
                <c:ptCount val="15"/>
                <c:pt idx="0">
                  <c:v>20.173600073636401</c:v>
                </c:pt>
                <c:pt idx="1">
                  <c:v>44.5724369425714</c:v>
                </c:pt>
                <c:pt idx="2">
                  <c:v>28.571278521519002</c:v>
                </c:pt>
                <c:pt idx="3">
                  <c:v>24.369253736000001</c:v>
                </c:pt>
                <c:pt idx="4">
                  <c:v>51.179748126470599</c:v>
                </c:pt>
                <c:pt idx="5">
                  <c:v>25.7039266520833</c:v>
                </c:pt>
                <c:pt idx="6">
                  <c:v>29.589673076923098</c:v>
                </c:pt>
                <c:pt idx="7">
                  <c:v>26.244954871232899</c:v>
                </c:pt>
                <c:pt idx="8">
                  <c:v>27.905545425233299</c:v>
                </c:pt>
                <c:pt idx="9">
                  <c:v>52.2229498644231</c:v>
                </c:pt>
                <c:pt idx="10">
                  <c:v>37.736707694444398</c:v>
                </c:pt>
                <c:pt idx="11">
                  <c:v>24.612029698461502</c:v>
                </c:pt>
                <c:pt idx="12">
                  <c:v>45.617441111111098</c:v>
                </c:pt>
                <c:pt idx="13">
                  <c:v>43.630936634999998</c:v>
                </c:pt>
                <c:pt idx="14">
                  <c:v>38.120501266027397</c:v>
                </c:pt>
              </c:numCache>
            </c:numRef>
          </c:xVal>
          <c:yVal>
            <c:numRef>
              <c:f>Dashboard!$AU$7:$AU$21</c:f>
              <c:numCache>
                <c:formatCode>General</c:formatCode>
                <c:ptCount val="15"/>
                <c:pt idx="0">
                  <c:v>33.701681153345</c:v>
                </c:pt>
                <c:pt idx="1">
                  <c:v>10.123218193895701</c:v>
                </c:pt>
                <c:pt idx="2">
                  <c:v>28.414482662692301</c:v>
                </c:pt>
                <c:pt idx="3">
                  <c:v>23.4863412384314</c:v>
                </c:pt>
                <c:pt idx="4">
                  <c:v>0.80673234994763598</c:v>
                </c:pt>
                <c:pt idx="5">
                  <c:v>20.9506730863196</c:v>
                </c:pt>
                <c:pt idx="6">
                  <c:v>13.4877131347373</c:v>
                </c:pt>
                <c:pt idx="7">
                  <c:v>32.575210542620198</c:v>
                </c:pt>
                <c:pt idx="8">
                  <c:v>8.8031472249346301</c:v>
                </c:pt>
                <c:pt idx="9">
                  <c:v>4.7817205741696798</c:v>
                </c:pt>
                <c:pt idx="10">
                  <c:v>5.3744270407932504</c:v>
                </c:pt>
                <c:pt idx="11">
                  <c:v>13.683807480135</c:v>
                </c:pt>
                <c:pt idx="12">
                  <c:v>3.6173393375436902</c:v>
                </c:pt>
                <c:pt idx="13">
                  <c:v>4.3482859737552504</c:v>
                </c:pt>
                <c:pt idx="14">
                  <c:v>12.615575978128</c:v>
                </c:pt>
              </c:numCache>
            </c:numRef>
          </c:yVal>
          <c:smooth val="0"/>
          <c:extLst>
            <c:ext xmlns:c16="http://schemas.microsoft.com/office/drawing/2014/chart" uri="{C3380CC4-5D6E-409C-BE32-E72D297353CC}">
              <c16:uniqueId val="{00000000-0E62-4A00-A69F-24E930F2B80A}"/>
            </c:ext>
          </c:extLst>
        </c:ser>
        <c:dLbls>
          <c:showLegendKey val="0"/>
          <c:showVal val="0"/>
          <c:showCatName val="0"/>
          <c:showSerName val="0"/>
          <c:showPercent val="0"/>
          <c:showBubbleSize val="0"/>
        </c:dLbls>
        <c:axId val="11442017"/>
        <c:axId val="9024925"/>
      </c:scatterChart>
      <c:valAx>
        <c:axId val="11442017"/>
        <c:scaling>
          <c:orientation val="minMax"/>
        </c:scaling>
        <c:delete val="0"/>
        <c:axPos val="b"/>
        <c:majorGridlines>
          <c:spPr>
            <a:ln w="9360">
              <a:solidFill>
                <a:schemeClr val="dk1">
                  <a:lumMod val="15000"/>
                  <a:lumOff val="85000"/>
                </a:schemeClr>
              </a:solidFill>
              <a:prstDash val="solid"/>
              <a:round/>
            </a:ln>
          </c:spPr>
        </c:majorGridlines>
        <c:title>
          <c:tx>
            <c:rich>
              <a:bodyPr rot="0"/>
              <a:lstStyle/>
              <a:p>
                <a:pPr>
                  <a:defRPr sz="1300" b="0" strike="noStrike">
                    <a:uFillTx/>
                    <a:latin typeface="Arial"/>
                  </a:defRPr>
                </a:pPr>
                <a:r>
                  <a:rPr lang="es-ES" sz="1000" b="0" strike="noStrike">
                    <a:solidFill>
                      <a:schemeClr val="tx1">
                        <a:lumMod val="65000"/>
                        <a:lumOff val="35000"/>
                      </a:schemeClr>
                    </a:solidFill>
                    <a:uFillTx/>
                    <a:latin typeface="Calibri"/>
                  </a:rPr>
                  <a:t>EV/FCF (x)</a:t>
                </a:r>
              </a:p>
            </c:rich>
          </c:tx>
          <c:overlay val="0"/>
          <c:spPr>
            <a:noFill/>
            <a:ln w="0">
              <a:noFill/>
              <a:prstDash val="solid"/>
            </a:ln>
          </c:spPr>
        </c:title>
        <c:numFmt formatCode="General" sourceLinked="0"/>
        <c:majorTickMark val="none"/>
        <c:minorTickMark val="none"/>
        <c:tickLblPos val="nextTo"/>
        <c:spPr>
          <a:ln w="9360">
            <a:solidFill>
              <a:schemeClr val="dk1">
                <a:lumMod val="25000"/>
                <a:lumOff val="75000"/>
              </a:schemeClr>
            </a:solidFill>
            <a:prstDash val="solid"/>
            <a:round/>
          </a:ln>
        </c:spPr>
        <c:txPr>
          <a:bodyPr/>
          <a:lstStyle/>
          <a:p>
            <a:pPr>
              <a:defRPr sz="900" b="0" strike="noStrike">
                <a:solidFill>
                  <a:schemeClr val="tx1">
                    <a:lumMod val="65000"/>
                    <a:lumOff val="35000"/>
                  </a:schemeClr>
                </a:solidFill>
                <a:uFillTx/>
                <a:latin typeface="Calibri"/>
              </a:defRPr>
            </a:pPr>
            <a:endParaRPr lang="es-ES"/>
          </a:p>
        </c:txPr>
        <c:crossAx val="9024925"/>
        <c:crosses val="autoZero"/>
        <c:crossBetween val="midCat"/>
      </c:valAx>
      <c:valAx>
        <c:axId val="9024925"/>
        <c:scaling>
          <c:orientation val="minMax"/>
        </c:scaling>
        <c:delete val="0"/>
        <c:axPos val="l"/>
        <c:majorGridlines>
          <c:spPr>
            <a:ln w="9360">
              <a:solidFill>
                <a:schemeClr val="dk1">
                  <a:lumMod val="15000"/>
                  <a:lumOff val="85000"/>
                </a:schemeClr>
              </a:solidFill>
              <a:prstDash val="solid"/>
              <a:round/>
            </a:ln>
          </c:spPr>
        </c:majorGridlines>
        <c:title>
          <c:tx>
            <c:rich>
              <a:bodyPr rot="-5400000"/>
              <a:lstStyle/>
              <a:p>
                <a:pPr>
                  <a:defRPr sz="1300" b="0" strike="noStrike">
                    <a:uFillTx/>
                    <a:latin typeface="Arial"/>
                  </a:defRPr>
                </a:pPr>
                <a:r>
                  <a:rPr lang="es-ES" sz="1000" b="0" strike="noStrike">
                    <a:solidFill>
                      <a:schemeClr val="tx1">
                        <a:lumMod val="65000"/>
                        <a:lumOff val="35000"/>
                      </a:schemeClr>
                    </a:solidFill>
                    <a:uFillTx/>
                    <a:latin typeface="Calibri"/>
                  </a:rPr>
                  <a:t>IRR Bull (%)</a:t>
                </a:r>
              </a:p>
            </c:rich>
          </c:tx>
          <c:overlay val="0"/>
          <c:spPr>
            <a:noFill/>
            <a:ln w="0">
              <a:noFill/>
              <a:prstDash val="solid"/>
            </a:ln>
          </c:spPr>
        </c:title>
        <c:numFmt formatCode="General" sourceLinked="0"/>
        <c:majorTickMark val="none"/>
        <c:minorTickMark val="none"/>
        <c:tickLblPos val="nextTo"/>
        <c:spPr>
          <a:ln w="9360">
            <a:solidFill>
              <a:schemeClr val="dk1">
                <a:lumMod val="25000"/>
                <a:lumOff val="75000"/>
              </a:schemeClr>
            </a:solidFill>
            <a:prstDash val="solid"/>
            <a:round/>
          </a:ln>
        </c:spPr>
        <c:txPr>
          <a:bodyPr/>
          <a:lstStyle/>
          <a:p>
            <a:pPr>
              <a:defRPr sz="900" b="0" strike="noStrike">
                <a:solidFill>
                  <a:schemeClr val="tx1">
                    <a:lumMod val="65000"/>
                    <a:lumOff val="35000"/>
                  </a:schemeClr>
                </a:solidFill>
                <a:uFillTx/>
                <a:latin typeface="Calibri"/>
              </a:defRPr>
            </a:pPr>
            <a:endParaRPr lang="es-ES"/>
          </a:p>
        </c:txPr>
        <c:crossAx val="11442017"/>
        <c:crosses val="autoZero"/>
        <c:crossBetween val="midCat"/>
      </c:valAx>
    </c:plotArea>
    <c:plotVisOnly val="1"/>
    <c:dispBlanksAs val="gap"/>
    <c:showDLblsOverMax val="1"/>
  </c:chart>
  <c:spPr>
    <a:solidFill>
      <a:srgbClr val="FFFFFF"/>
    </a:solidFill>
    <a:ln w="9360">
      <a:solidFill>
        <a:schemeClr val="dk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28440</xdr:colOff>
      <xdr:row>24</xdr:row>
      <xdr:rowOff>9360</xdr:rowOff>
    </xdr:from>
    <xdr:to>
      <xdr:col>5</xdr:col>
      <xdr:colOff>41400</xdr:colOff>
      <xdr:row>39</xdr:row>
      <xdr:rowOff>38160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66600</xdr:colOff>
      <xdr:row>25</xdr:row>
      <xdr:rowOff>228600</xdr:rowOff>
    </xdr:from>
    <xdr:to>
      <xdr:col>10</xdr:col>
      <xdr:colOff>79560</xdr:colOff>
      <xdr:row>40</xdr:row>
      <xdr:rowOff>66960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43</xdr:row>
      <xdr:rowOff>0</xdr:rowOff>
    </xdr:from>
    <xdr:to>
      <xdr:col>5</xdr:col>
      <xdr:colOff>12960</xdr:colOff>
      <xdr:row>65</xdr:row>
      <xdr:rowOff>9720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0</xdr:colOff>
      <xdr:row>43</xdr:row>
      <xdr:rowOff>0</xdr:rowOff>
    </xdr:from>
    <xdr:to>
      <xdr:col>16</xdr:col>
      <xdr:colOff>356040</xdr:colOff>
      <xdr:row>65</xdr:row>
      <xdr:rowOff>9720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39</xdr:row>
      <xdr:rowOff>0</xdr:rowOff>
    </xdr:from>
    <xdr:to>
      <xdr:col>7</xdr:col>
      <xdr:colOff>932760</xdr:colOff>
      <xdr:row>57</xdr:row>
      <xdr:rowOff>53280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22">
  <rv s="0">
    <v>https://www.bing.com/financeapi/forcetrigger?t=a259jc&amp;q=XNYS%3aVEEV&amp;form=skydnc</v>
    <v>Learn more on Bing</v>
  </rv>
  <rv s="1">
    <v>es-ES</v>
    <v>a259jc</v>
    <v>268435456</v>
    <v>1</v>
    <v>Con tecnología de Refinitiv</v>
    <v>0</v>
    <v>1</v>
    <v>VEEVA SYSTEMS INC. (XNYS:VEEV)</v>
    <v>3</v>
    <v>4</v>
    <v>Finance</v>
    <v>5</v>
    <v>XNYS</v>
    <v>161908800</v>
    <v>2007</v>
    <v>310.36</v>
    <v>0.90690000000000004</v>
    <v>6.19</v>
    <v>1.9945000000000001E-2</v>
    <v>51252230640</v>
    <v>310.36</v>
    <v>Veeva Systems Inc. Ofrece soluciones en la nube para la industria global de las ciencias de la vida. La Compañía ofrece software en la nube, inteligencia artificial (IA), datos y consultoría de negocios y está diseñada para satisfacer las necesidades de sus clientes y sus funciones estratégicas de negocio, desde la investigación y el desarrollo hasta la comercialización. Sus categorías de productos incluyen Veeva Development Cloud, Veeva Quality Cloud, Veeva Commercial Cloud y Veeva Data Cloud. Veeva Development Cloud incluye paquetes de aplicaciones para las funciones clínicas, regulatorias y de seguridad de las empresas de ciencias de la vida, todo construido en su plataforma Veeva Vault. Veeva Quality Cloud unifica aplicaciones, procesos y partners en soluciones de laboratorio de gestión de contenido, capacitación, gestión de calidad, aseguramiento y control en la plataforma Veeva Vault. Veeva Commercial Cloud comprende soluciones de software y análisis. Es propietaria de Ostro, una plataforma de compromiso de marca para las ciencias de la vida. También proporciona Veeva Falcon MLR, una solución agentic MLR.</v>
    <v>7928</v>
    <v>XNYS</v>
    <v>46314.786229698439</v>
    <v>New York Stock Exchange</v>
    <v>0</v>
    <v>318.27999999999997</v>
    <v>319.95</v>
    <v>310.33</v>
    <v>148.05000000000001</v>
    <v>USD</v>
    <v>VEEVA SYSTEMS INC.</v>
    <v>VEEVA SYSTEMS INC.</v>
    <v>51.768700000000003</v>
    <v>316.55</v>
    <v>Healthcare Equipment &amp; Supplies</v>
    <v>4280 Hacienda Drive, PLEASANTON, CA, 94588 US</v>
    <v>VEEV</v>
    <v>Acciones</v>
    <v>VEEVA SYSTEMS INC. (XNYS:VEEV)</v>
    <v>873050</v>
    <v>1616496</v>
  </rv>
  <rv s="2">
    <v>1</v>
  </rv>
  <rv s="0">
    <v>http://en.wikipedia.org/wiki/Public_domain</v>
    <v>Public domain</v>
  </rv>
  <rv s="0">
    <v>https://en.wikipedia.org/wiki/Microsoft</v>
    <v>Wikipedia</v>
  </rv>
  <rv s="3">
    <v>3</v>
    <v>4</v>
  </rv>
  <rv s="4">
    <v>11</v>
    <v>https://www.bing.com/th?id=AMMS_e6e837c7bf3a77408619758b7447855a&amp;qlt=95</v>
    <v>5</v>
    <v>0</v>
    <v>https://www.bing.com/images/search?form=xlimg&amp;q=microsoft</v>
    <v>Image of MICROSOFT CORPORATION</v>
  </rv>
  <rv s="0">
    <v>https://www.bing.com/financeapi/forcetrigger?t=a1xzim&amp;q=XNAS%3aMSFT&amp;form=skydnc</v>
    <v>Learn more on Bing</v>
  </rv>
  <rv s="5">
    <v>es-ES</v>
    <v>a1xzim</v>
    <v>268435456</v>
    <v>1</v>
    <v>Con tecnología de Refinitiv</v>
    <v>6</v>
    <v>7</v>
    <v>MICROSOFT CORPORATION (XNAS:MSFT)</v>
    <v>9</v>
    <v>10</v>
    <v>Finance</v>
    <v>5</v>
    <v>XNAS</v>
    <v>7425545000</v>
    <v>1993</v>
    <v>529</v>
    <v>1.0465</v>
    <v>5.22</v>
    <v>9.8670000000000008E-3</v>
    <v>3967245927150</v>
    <v>529.04999999999995</v>
    <v>Microsoft Corporation es una empresa de tecnología. La Compañía desarrolla y apoya software, servicios, dispositivos y soluciones. El segmento Productividad y Procesos de Negocio está formado por productos y servicios en su cartera de servicios de productividad, comunicación e información. Este segmento incluye principalmente los productos y servicios en la nube de Microsoft 365 Commercial, los productos y servicios en la nube de Microsoft 365 Consumer, LinkedIn y los productos y servicios en la nube de Dynamics. El segmento de la nube inteligente consiste en productos de servidor y servicios en la nube, incluidos Azure y otros servicios en la nube que incluyen servicios basados en el consumo de inteligencia artificial y en la nube, servicios en la nube de GitHub, servicios en la nube de Ciencias de la Salud y de la Vida y otros servicios en la nube; y los productos de servidor consisten en SQL Server, Windows Server, Visual Studio, System Center, licencias de acceso de clientes relacionadas y otras ofertas locales. El segmento más personal de informática comprende principalmente Windows y dispositivos, XBOX y publicidad de búsqueda.</v>
    <v>223000</v>
    <v>XNAS</v>
    <v>46314.786250717189</v>
    <v>6</v>
    <v>Nasdaq Stock Market</v>
    <v>7</v>
    <v>535.5684</v>
    <v>553.72</v>
    <v>528.47969999999998</v>
    <v>349.2</v>
    <v>USD</v>
    <v>MICROSOFT CORPORATION</v>
    <v>MICROSOFT CORPORATION</v>
    <v>29.7698</v>
    <v>534.27</v>
    <v>Software &amp; IT Services</v>
    <v>One Microsoft Way, REDMOND, WA, 98052 US</v>
    <v>MSFT</v>
    <v>Acciones</v>
    <v>MICROSOFT CORPORATION (XNAS:MSFT)</v>
    <v>10654030</v>
    <v>22455836</v>
  </rv>
  <rv s="2">
    <v>8</v>
  </rv>
  <rv s="0">
    <v>https://www.bing.com/financeapi/forcetrigger?t=b1ao52&amp;q=XAMS%3aADYEN&amp;form=skydnc</v>
    <v>Learn more on Bing</v>
  </rv>
  <rv s="1">
    <v>es-ES</v>
    <v>b1ao52</v>
    <v>268435456</v>
    <v>1</v>
    <v>Con tecnología de Refinitiv</v>
    <v>0</v>
    <v>1</v>
    <v>Adyen N.V. (XAMS:ADYEN)</v>
    <v>3</v>
    <v>12</v>
    <v>Finance</v>
    <v>13</v>
    <v>XAMS</v>
    <v>31694880</v>
    <v>2006</v>
    <v>938.7</v>
    <v>2.2532999999999999</v>
    <v>-16.899999999999999</v>
    <v>-1.7840000000000002E-2</v>
    <v>30024560000</v>
    <v>947.3</v>
    <v>Adyen N.V. es una compañía de tecnología financiera con sede en los Países Bajos que cotiza en bolsa y que ofrece una plataforma única para pagos globales y gestión financiera. La compañía permite a los comerciantes aceptar, procesar y liquidar pagos a través de canales de punto de venta en línea, móviles y en tienda a través de una infraestructura de extremo a extremo. La plataforma de Adyen cubre todo el ciclo de vida del pago, incluyendo adquisición, autorización, gestión de riesgos, conciliación y liquidación, y se entrega a través de interfaces de programación de aplicaciones y soluciones de pago alojadas. La compañía posee licencias bancarias y de adquisición, lo que le permite apoyar el comercio unificado, la adquisición local y los productos financieros integrados. Adyen sirve a grandes comerciantes internacionales y empresas de plataformas en los mercados minoristas, de viajes, movilidad y digitales, incluidos Uber, H &amp; M, Netflix, eBay y Microsoft, entre otros. y opera oficinas en Europa, América del Norte, América Latina y Asia Pacífico.</v>
    <v>5020</v>
    <v>XAMS</v>
    <v>46314.666666666664</v>
    <v>Euronext Amsterdam</v>
    <v>10</v>
    <v>947.8</v>
    <v>1600.8</v>
    <v>923.4</v>
    <v>772.4</v>
    <v>EUR</v>
    <v>Adyen N.V.</v>
    <v>Adyen N.V.</v>
    <v>26.5444</v>
    <v>930.4</v>
    <v>Financial Technology (Fintech) &amp; Infrastructure</v>
    <v>Simon Carmiggeltstraat 6-50, AMSTERDAM, NOORD-HOLLAND, 1011DJ NL</v>
    <v>ADYEN</v>
    <v>Acciones</v>
    <v>Adyen N.V. (XAMS:ADYEN)</v>
    <v>83517</v>
    <v>109960</v>
  </rv>
  <rv s="2">
    <v>11</v>
  </rv>
  <rv s="0">
    <v>https://www.bing.com/financeapi/forcetrigger?t=a1o5ur&amp;q=XNYS%3aBAM&amp;form=skydnc</v>
    <v>Learn more on Bing</v>
  </rv>
  <rv s="1">
    <v>es-ES</v>
    <v>a1o5ur</v>
    <v>268435456</v>
    <v>1</v>
    <v>Con tecnología de Refinitiv</v>
    <v>0</v>
    <v>1</v>
    <v>Brookfield Corporation (XNYS:BN)</v>
    <v>3</v>
    <v>4</v>
    <v>Finance</v>
    <v>5</v>
    <v>XNYS</v>
    <v>2452011000</v>
    <v>2005</v>
    <v>36.74</v>
    <v>1.5596000000000001</v>
    <v>-0.22500000000000001</v>
    <v>-6.1439999999999993E-3</v>
    <v>89240940345</v>
    <v>36.619999999999997</v>
    <v>Brookfield Corporation es una firma de inversión global con sede en Canadá enfocada en la construcción de riqueza a largo plazo para instituciones e individuos de todo el mundo. La Compañía tiene tres negocios principales: Gestión de activos alternativos, Soluciones de patrimonio y sus negocios operativos, que se encuentran en energía renovable, infraestructura, servicios empresariales e industriales, y bienes raíces. Su negocio de gestión de activos incluye la gestión de fondos privados a largo plazo, estrategias perpetuas y estrategias líquidas en nombre de sus inversores y de sí mismo. El negocio de Wealth Solutions de la Compañía incluye su participación contabilizada en Brookfield Wealth Solutions Ltd. Su negocio de energía renovable y transición incluye la propiedad, operación y desarrollo de activos de generación de energía solar hidroeléctrica, eólica, a escala de servicios públicos, energía distribuida y soluciones sostenibles. El negocio de infraestructura de la Compañía incluye la propiedad, operación y desarrollo de servicios públicos, transporte, midstream y activos de datos.</v>
    <v>250000</v>
    <v>XNYS</v>
    <v>46314.786202546093</v>
    <v>New York Stock Exchange</v>
    <v>13</v>
    <v>36.854999999999997</v>
    <v>49.564999999999998</v>
    <v>36.255000000000003</v>
    <v>35.61</v>
    <v>USD</v>
    <v>Brookfield Corporation</v>
    <v>Brookfield Corporation</v>
    <v>71.167400000000001</v>
    <v>36.395000000000003</v>
    <v>Investment Banking &amp; Investment Services</v>
    <v>Brookfield Place, 181 Bay St, Ste 100, Po Box 762, TORONTO, ON, M5J 2T3 CA</v>
    <v>BN</v>
    <v>Acciones</v>
    <v>Brookfield Corporation (XNYS:BN)</v>
    <v>2260906</v>
    <v>5369619</v>
  </rv>
  <rv s="2">
    <v>14</v>
  </rv>
  <rv s="0">
    <v>https://www.bing.com/financeapi/forcetrigger?t=a1q6k2&amp;q=XNAS%3aCOST&amp;form=skydnc</v>
    <v>Learn more on Bing</v>
  </rv>
  <rv s="1">
    <v>es-ES</v>
    <v>a1q6k2</v>
    <v>268435456</v>
    <v>1</v>
    <v>Con tecnología de Refinitiv</v>
    <v>0</v>
    <v>1</v>
    <v>COSTCO WHOLESALE CORPORATION (XNAS:COST)</v>
    <v>3</v>
    <v>4</v>
    <v>Finance</v>
    <v>5</v>
    <v>XNAS</v>
    <v>443129400</v>
    <v>1987</v>
    <v>986</v>
    <v>0.85719999999999996</v>
    <v>5.57</v>
    <v>5.6310000000000006E-3</v>
    <v>440771951592</v>
    <v>989.11</v>
    <v>Costco Wholesale Corporation (Costco) opera almacenes de membresía y sitios de comercio electrónico que ofrecen una selección de productos de marca nacional y de marca privada en una amplia gama de categorías. La Compañía compra la mayoría de sus mercancías directamente a los proveedores y la dirige a puntos de consolidación de cross-docking (depósitos) o directamente a sus almacenes. Opera 891 almacenes, incluyendo 614 en los Estados Unidos y Puerto Rico, 108 en Canadá, 40 en México, 35 en Japón, 29 en el Reino Unido, 19 en Corea, 15 en Australia, 14 en Taiwán, siete en China, y más. cinco en España, dos en Francia, y uno en Islandia, Nueva Zelanda y Suecia. También opera sitios de comercio electrónico en los Estados Unidos, Canadá, el Reino Unido, México, Corea, Taiwán, Japón y Australia. La Compañía ofrece una amplia selección de mercancías, además de la conveniencia de departamentos especializados y servicios exclusivos para miembros.</v>
    <v>355000</v>
    <v>XNAS</v>
    <v>46314.78625270781</v>
    <v>Nasdaq Stock Market</v>
    <v>16</v>
    <v>997.43</v>
    <v>1096.5</v>
    <v>985.01</v>
    <v>844.06</v>
    <v>USD</v>
    <v>COSTCO WHOLESALE CORPORATION</v>
    <v>COSTCO WHOLESALE CORPORATION</v>
    <v>47.914900000000003</v>
    <v>994.68</v>
    <v>Diversified Retail</v>
    <v>999 Lake Dr, ISSAQUAH, WA, 98027- US</v>
    <v>COST</v>
    <v>Acciones</v>
    <v>COSTCO WHOLESALE CORPORATION (XNAS:COST)</v>
    <v>946290</v>
    <v>2356516</v>
  </rv>
  <rv s="2">
    <v>17</v>
  </rv>
  <rv s="0">
    <v>https://www.bing.com/financeapi/forcetrigger?t=a1rb5r&amp;q=XNAS%3aDSGX&amp;form=skydnc</v>
    <v>Learn more on Bing</v>
  </rv>
  <rv s="1">
    <v>es-ES</v>
    <v>a1rb5r</v>
    <v>268435456</v>
    <v>1</v>
    <v>Con tecnología de Refinitiv</v>
    <v>0</v>
    <v>1</v>
    <v>The Descartes Systems Group Inc. (XNAS:DSGX)</v>
    <v>3</v>
    <v>14</v>
    <v>Finance</v>
    <v>5</v>
    <v>XNAS</v>
    <v>85548550</v>
    <v>2023</v>
    <v>86.36</v>
    <v>0.23019999999999999</v>
    <v>0.36499999999999999</v>
    <v>4.1929999999999997E-3</v>
    <v>10541290000</v>
    <v>87.05</v>
    <v>Descartes Systems Group Inc. Se centra en los procesos de negocio de logística y gestión de la cadena de suministro. Sus soluciones basadas en la red se centran en mejorar la productividad, la seguridad y la sostenibilidad de las empresas con un uso intensivo de logística. Apoya a las cadenas de suministro internacionales y nacionales uniendo a las empresas de gran densidad logística en su Red Logística Global (GLN). Los transportistas, transportistas y proveedores de servicios logísticos se conectan y colaboran en la GLN aprovechando la tecnología, los datos y la inteligencia artificial para gestionar las entregas de última milla, los envíos nacionales e internacionales, la calificación y el pago del transporte, la investigación comercial global, el cumplimiento aduanero y una variedad de procesos regulatorios. Sus soluciones incluyen conectividad y mensajería de negocio a negocio, sistemas empresariales de corredores y transitarios, cumplimiento aduanero y normativo, envío y cumplimiento de comercio electrónico, inteligencia comercial global, enrutamiento, telefonía móvil y telemática, gestión del transporte, etc. y red logística global.</v>
    <v>2403</v>
    <v>XNAS</v>
    <v>46314.786089212503</v>
    <v>Nasdaq Stock Market</v>
    <v>19</v>
    <v>87.51</v>
    <v>97.71</v>
    <v>86.36</v>
    <v>62.555</v>
    <v>USD</v>
    <v>The Descartes Systems Group Inc.</v>
    <v>The Descartes Systems Group Inc.</v>
    <v>40.633600000000001</v>
    <v>87.415000000000006</v>
    <v>Software &amp; IT Services</v>
    <v>120 Randall Drive, WATERLOO, ON, N2V 1C6 CA</v>
    <v>DSGX</v>
    <v>Acciones</v>
    <v>The Descartes Systems Group Inc. (XNAS:DSGX)</v>
    <v>206061</v>
    <v>599699</v>
  </rv>
  <rv s="2">
    <v>20</v>
  </rv>
  <rv s="0">
    <v>https://www.bing.com/financeapi/forcetrigger?t=afjdk2&amp;q=XFRA%3aRAA&amp;form=skydnc</v>
    <v>Learn more on Bing</v>
  </rv>
  <rv s="1">
    <v>es-ES</v>
    <v>afjdk2</v>
    <v>268435456</v>
    <v>1</v>
    <v>Con tecnología de Refinitiv</v>
    <v>0</v>
    <v>1</v>
    <v>Rational (XFRA:RAA)</v>
    <v>3</v>
    <v>12</v>
    <v>Finance</v>
    <v>13</v>
    <v>XFRA</v>
    <v>11370000</v>
    <v>1999</v>
    <v>610.5</v>
    <v>1.3210999999999999</v>
    <v>2.5</v>
    <v>4.0980000000000001E-3</v>
    <v>7003920000</v>
    <v>610</v>
    <v>Rational AG is a Germany-based company that provides technology products for thermal food preparation for industrial and commercial kitchens. It operates through two segments: Through the RATIONAL segment, the Company offers the SelfCookingCenter 5 Senses, a steamer that works as hot air oven, stove or boiling pan. The FRIMA segment provides the complementary steamer VarioCookingCenter. The Company markets its products around the globe through a network of subsidiaries, including sales companies. It also offers related accessories, such as granite enameled containers, roasting and baking trays, grilling and roasting plates, potato bakers and muffin and timbale molds, among others.</v>
    <v>2912</v>
    <v>XFRA</v>
    <v>46314.754166666666</v>
    <v>Deutsche Boerse AG</v>
    <v>22</v>
    <v>616.5</v>
    <v>1028</v>
    <v>610.5</v>
    <v>388.4</v>
    <v>EUR</v>
    <v>Rational</v>
    <v>Rational</v>
    <v>26.08</v>
    <v>612.5</v>
    <v>Household Goods</v>
    <v>Siegfried-Meister-Strasse 1, LANDSBERG AM LECH, BAYERN, 86899 DE</v>
    <v>RAA</v>
    <v>Acciones</v>
    <v>Rational (XFRA:RAA)</v>
    <v>5</v>
    <v>16500</v>
  </rv>
  <rv s="2">
    <v>23</v>
  </rv>
  <rv s="0">
    <v>https://www.bing.com/financeapi/forcetrigger?t=azbtyc&amp;q=XNAS%3aZS&amp;form=skydnc</v>
    <v>Learn more on Bing</v>
  </rv>
  <rv s="1">
    <v>es-ES</v>
    <v>azbtyc</v>
    <v>268435456</v>
    <v>1</v>
    <v>Con tecnología de Refinitiv</v>
    <v>0</v>
    <v>1</v>
    <v>ZSCALER, INC. (XNAS:ZS)</v>
    <v>3</v>
    <v>4</v>
    <v>Finance</v>
    <v>5</v>
    <v>XNAS</v>
    <v>163054700</v>
    <v>2007</v>
    <v>209.15</v>
    <v>0.85309999999999997</v>
    <v>5.73</v>
    <v>2.7629999999999998E-2</v>
    <v>34748587117</v>
    <v>207.38</v>
    <v>Zscaler, Inc. Es una compañía de seguridad en la nube. La Compañía ha desarrollado una plataforma que incorpora funcionalidades de seguridad básicas necesarias para permitir un acceso rápido y seguro a los recursos de la nube basado en la identidad, el contexto y las políticas de una organización. Zscaler Zero Trust Exchange es una plataforma nativa en la nube que conecta de forma segura a usuarios, dispositivos, aplicaciones y cargas de trabajo, incluidos agentes de inteligencia artificial (IA), sin depender de la arquitectura de red de hub y radios y la seguridad centrada en firewall. Ofrece sus soluciones utilizando un modelo de negocio de software como servicio (SaaS) y vende suscripciones a los clientes para acceder a su plataforma en la nube, junto con los servicios de soporte relacionados. Sus servicios incluyen Zscaler Internet Access (ZIA), Zscaler Private Access (ZPA) y Zscaler Digital Experience (ZDX). ZIA proporciona acceso seguro a aplicaciones administradas externamente, incluidas aplicaciones SaaS y destinos de Internet, independientemente del dispositivo, ubicación o red.</v>
    <v>8700</v>
    <v>XNAS</v>
    <v>46314.786266921095</v>
    <v>Nasdaq Stock Market</v>
    <v>25</v>
    <v>214.88</v>
    <v>336.99</v>
    <v>208.01</v>
    <v>114.625</v>
    <v>USD</v>
    <v>ZSCALER, INC.</v>
    <v>ZSCALER, INC.</v>
    <v>0</v>
    <v>213.11</v>
    <v>Software &amp; IT Services</v>
    <v>120 Holger Way, SAN JOSE, CA, 95134 US</v>
    <v>ZS</v>
    <v>Acciones</v>
    <v>ZSCALER, INC. (XNAS:ZS)</v>
    <v>1054371</v>
    <v>3264182</v>
  </rv>
  <rv s="2">
    <v>26</v>
  </rv>
  <rv s="0">
    <v>https://www.bing.com/financeapi/forcetrigger?t=afgyk2&amp;q=XFRA%3aNTO&amp;form=skydnc</v>
    <v>Learn more on Bing</v>
  </rv>
  <rv s="1">
    <v>es-ES</v>
    <v>afgyk2</v>
    <v>268435456</v>
    <v>1</v>
    <v>Con tecnología de Refinitiv</v>
    <v>0</v>
    <v>1</v>
    <v>Nintendo Co., Ltd. (XFRA:NTO)</v>
    <v>3</v>
    <v>15</v>
    <v>Finance</v>
    <v>13</v>
    <v>XFRA</v>
    <v>1287260000</v>
    <v>1947</v>
    <v>47.76</v>
    <v>0.1608</v>
    <v>8.5000000000000006E-2</v>
    <v>1.7749999999999999E-3</v>
    <v>10914680000000</v>
    <v>47.895000000000003</v>
    <v>Nintendo Co Ltd es una empresa con sede en Japón dedicada principalmente al desarrollo, fabricación y venta de productos de entretenimiento en el campo del entretenimiento en el hogar. La Compañía desarrolla, fabrica y vende hardware y software para juegos de consola portátiles y domésticos. Sus productos principales son las consolas de juegos, que son dispositivos de entretenimiento basados en computadora, y los bienes de carácter y las cartas de juego. Las consolas de juegos son hardware y software para juegos de consola portátil y doméstica, que son desarrollados por la Compañía y sus afiliados, fabricados por la Compañía y vendidos principalmente por sus afiliados en Japón y en el extranjero. La Compañía también desarrolla negocios que utilizan su propiedad intelectual (IP), como contenido de video y aplicaciones móviles.</v>
    <v>8666</v>
    <v>XFRA</v>
    <v>46314.732638888891</v>
    <v>Deutsche Boerse AG</v>
    <v>28</v>
    <v>48.4</v>
    <v>546.1</v>
    <v>47.74</v>
    <v>34.6</v>
    <v>EUR</v>
    <v>Nintendo Co., Ltd.</v>
    <v>Nintendo Co., Ltd.</v>
    <v>21.11</v>
    <v>47.98</v>
    <v>Leisure Products</v>
    <v>11-1, Kamitoba Hokotate-cho, Minami-ku, KYOTO-SHI, KYOTO-FU, 601-8501 JP</v>
    <v>NTO</v>
    <v>Acciones</v>
    <v>Nintendo Co., Ltd. (XFRA:NTO)</v>
    <v>168</v>
    <v>7447080</v>
  </rv>
  <rv s="2">
    <v>29</v>
  </rv>
  <rv s="0">
    <v>https://www.bing.com/financeapi/forcetrigger?t=a1nhlh&amp;q=XNAS%3aAMZN&amp;form=skydnc</v>
    <v>Learn more on Bing</v>
  </rv>
  <rv s="1">
    <v>es-ES</v>
    <v>a1nhlh</v>
    <v>268435456</v>
    <v>1</v>
    <v>Con tecnología de Refinitiv</v>
    <v>0</v>
    <v>1</v>
    <v>AMAZON.COM, INC. (XNAS:AMZN)</v>
    <v>3</v>
    <v>4</v>
    <v>Finance</v>
    <v>5</v>
    <v>XNAS</v>
    <v>10786310000</v>
    <v>1996</v>
    <v>255.78</v>
    <v>1.4914000000000001</v>
    <v>12.278</v>
    <v>4.9112000000000003E-2</v>
    <v>2829011814180</v>
    <v>250</v>
    <v>Amazon.com, Inc. Ofrece una variedad de productos y servicios a los clientes. Los productos ofrecidos a través de sus tiendas incluyen mercancía y contenido que ha adquirido para su reventa y productos ofrecidos por terceros vendedores. Los segmentos de la compañía incluyen Norteamérica, International y Amazon Web Services (AWS). Sirve a los consumidores a través de sus tiendas en línea y físicas y se centra en la selección, el precio y la conveniencia. Los clientes acceden a sus ofertas a través de sus sitios web, aplicaciones móviles, Alexa, dispositivos, streaming, y visitando físicamente sus tiendas. También fabrica y vende dispositivos electrónicos, incluyendo Kindle, tableta de fuego, Fire TV, Echo, Ring, Blink y eero, y desarrolla y produce contenido multimedia. Presta servicios a desarrolladores y empresas de todos los tamaños, incluidas empresas emergentes, agencias gubernamentales e instituciones académicas, a través de AWS, que ofrece un conjunto de servicios de tecnología bajo demanda, incluyendo computación, almacenamiento, base de datos, análisis, y el aprendizaje automático, y otros servicios.</v>
    <v>1595000</v>
    <v>XNAS</v>
    <v>46314.786254375002</v>
    <v>Nasdaq Stock Market</v>
    <v>31</v>
    <v>263.44</v>
    <v>287.2</v>
    <v>255.22</v>
    <v>196</v>
    <v>USD</v>
    <v>AMAZON.COM, INC.</v>
    <v>AMAZON.COM, INC.</v>
    <v>21.096</v>
    <v>262.27800000000002</v>
    <v>Diversified Retail</v>
    <v>410 Terry Avenue North, SEATTLE, WA, 98109 US</v>
    <v>AMZN</v>
    <v>Acciones</v>
    <v>AMAZON.COM, INC. (XNAS:AMZN)</v>
    <v>35816162</v>
    <v>36118132</v>
  </rv>
  <rv s="2">
    <v>32</v>
  </rv>
  <rv s="0">
    <v>https://www.bing.com/financeapi/forcetrigger?t=aea5k2&amp;q=XPAR%3aSU&amp;form=skydnc</v>
    <v>Learn more on Bing</v>
  </rv>
  <rv s="1">
    <v>es-ES</v>
    <v>aea5k2</v>
    <v>268435456</v>
    <v>1</v>
    <v>Con tecnología de Refinitiv</v>
    <v>0</v>
    <v>1</v>
    <v>Schneider Electric SE (XPAR:SU)</v>
    <v>3</v>
    <v>12</v>
    <v>Finance</v>
    <v>13</v>
    <v>XPAR</v>
    <v>578605300</v>
    <v>1988</v>
    <v>251.15</v>
    <v>1.4018999999999999</v>
    <v>-0.7</v>
    <v>-2.764E-3</v>
    <v>146560700000</v>
    <v>253.3</v>
    <v>Schneider Electric SE es una empresa con sede en Francia. La Compañía está especializada en la transformación digital de la gestión de energía y la automatización en hogares, edificios, centros de datos, infraestructuras y entornos industriales. Ofrece soluciones que abarcan la gestión de energía de media y baja tensión, sistemas energéticos seguros y tecnologías avanzadas de automatización. Sus ofertas integradas de eficiencia combinan gestión de energía, automatización y software, respaldadas por un ecosistema abierto que permite la colaboración con socios, integradores y desarrolladores para proporcionar control operativo en tiempo real y un rendimiento mejorado. Opera en más de 115 países, incluidos Francia, Europa Occidental, Estados Unidos, Norteamérica, China, la región de Asia-Pacífico y otros mercados globales.</v>
    <v>162970</v>
    <v>XPAR</v>
    <v>46314.666666666664</v>
    <v>Euronext Paris</v>
    <v>34</v>
    <v>252.6</v>
    <v>312.3</v>
    <v>248.8</v>
    <v>220.4</v>
    <v>EUR</v>
    <v>Schneider Electric SE</v>
    <v>Schneider Electric SE</v>
    <v>30.1053</v>
    <v>252.6</v>
    <v>Machinery, Equipment &amp; Components</v>
    <v>35 rue Joseph Monier, RUEIL-MALMAISON, ILE-DE-FRANCE, 92500 FR</v>
    <v>SU</v>
    <v>Acciones</v>
    <v>Schneider Electric SE (XPAR:SU)</v>
    <v>980200</v>
    <v>1609250</v>
  </rv>
  <rv s="2">
    <v>35</v>
  </rv>
  <rv s="0">
    <v>https://www.bing.com/financeapi/forcetrigger?t=amfy2w&amp;q=BMEX%3aITX&amp;form=skydnc</v>
    <v>Learn more on Bing</v>
  </rv>
  <rv s="6">
    <v>es-ES</v>
    <v>amfy2w</v>
    <v>268435456</v>
    <v>1</v>
    <v>Con tecnología de Refinitiv</v>
    <v>16</v>
    <v>17</v>
    <v>Industria de Diseño Textil, S.A. (BMEX:ITX)</v>
    <v>3</v>
    <v>18</v>
    <v>Finance</v>
    <v>19</v>
    <v>BMEX</v>
    <v>3116652000</v>
    <v>1985</v>
    <v>55.14</v>
    <v>1.1664000000000001</v>
    <v>-0.44</v>
    <v>1.444E-3</v>
    <v>-7.8770000000000003E-3</v>
    <v>0.08</v>
    <v>174096200000</v>
    <v>55.86</v>
    <v>Industria de Diseno Textil SA, conocida como Inditex SA, es una empresa con sede en España dedicada principalmente a la industria textil. Las actividades de la Compañía incluyen el diseño, confección, fabricación, distribución y venta al por menor de ropa para hombres, mujeres y niños, calzado y accesorios de moda, así como mobiliario para el hogar y productos textiles para el hogar. El negocio de la Compañía se divide en tres segmentos: Zara, que ofrece moda, con una amplia gama de productos para la ropa y el hogar; Bershka, que se dirige al segmento de consumidores jóvenes con artículos de moda y otros que comercializa ropa al por menor. La compañía opera en todo el mundo a través de ocho marcas: Zara, Pull&amp;Bear, Massimo Dutti, Bershka, Stradivarius, Oysho, Zara Hogar y Uterque. Ofrece sus productos en aproximadamente 215 mercados a través de su plataforma online y a través de sus tiendas físicas en 95 países. La empresa está controlada por Pontegadea Inversiones SL.</v>
    <v>163047</v>
    <v>BMEX</v>
    <v>46314.666666666664</v>
    <v>Bolsas y Mercados Espanoles</v>
    <v>37</v>
    <v>55.42</v>
    <v>59.42</v>
    <v>54.72</v>
    <v>46.07</v>
    <v>EUR</v>
    <v>Industria de Diseño Textil, S.A.</v>
    <v>Industria de Diseño Textil, S.A.</v>
    <v>27.165299999999998</v>
    <v>55.42</v>
    <v>55.5</v>
    <v>Specialty Retailers</v>
    <v>Edificio Inditex, Avda. Diputacion, s/n, ARTEIXO, LA CORUNA, 15143 ES</v>
    <v>ITX</v>
    <v>Acciones</v>
    <v>Industria de Diseño Textil, S.A. (BMEX:ITX)</v>
    <v>1112193</v>
    <v>1583950</v>
  </rv>
  <rv s="2">
    <v>38</v>
  </rv>
  <rv s="0">
    <v>https://www.bing.com/financeapi/forcetrigger?t=aaq652&amp;q=XBRU%3aLOTB&amp;form=skydnc</v>
    <v>Learn more on Bing</v>
  </rv>
  <rv s="1">
    <v>es-ES</v>
    <v>aaq652</v>
    <v>268435456</v>
    <v>1</v>
    <v>Con tecnología de Refinitiv</v>
    <v>0</v>
    <v>1</v>
    <v>Lotus Bakeries (XBRU:LOTB)</v>
    <v>3</v>
    <v>12</v>
    <v>Finance</v>
    <v>13</v>
    <v>XBRU</v>
    <v>816010</v>
    <v>1934</v>
    <v>12760</v>
    <v>0.85460000000000003</v>
    <v>120</v>
    <v>9.3169999999999989E-3</v>
    <v>10510250000</v>
    <v>12880</v>
    <v>Lotus Bakeries NV is a Belgium-based company that produces and sells biscuits and cakes. Its product portfolio is divided into six product lines. The Caramelized Biscuits line includes caramelized biscuits, caramelized biscuit spread and caramelized biscuit ice cream sold under the Lotus brand. The Waffles and Galettes line consists of Liege, soft, filled, galettes and vanilla waffles also sold under the Lotus brand. The Cake Specialties line comprises frangipane, madeleine, carre confiture and Zebra in Belgium, Glaces and Enkhuizer cookies in the Netherlands, as well as Breton butter. The Gingerbread line includes the sale of gingerbread products under the Peijnenburg and Snelle Jelle brands. The Pepparkakor Biscuits line encompasses a range of traditional Swedish biscuits sold under the Annas Pepparkakor brand in Sweden, Finland, the United States, Canada as well as other countries. The Dinosaurs Biscuits line includes the sale of children’s biscuit through the Dinosaurs brand.</v>
    <v>4164</v>
    <v>XBRU</v>
    <v>46314.666666666664</v>
    <v>Euronext Brussels</v>
    <v>40</v>
    <v>13000</v>
    <v>13200</v>
    <v>12700</v>
    <v>7270</v>
    <v>EUR</v>
    <v>Lotus Bakeries</v>
    <v>Lotus Bakeries</v>
    <v>54.805300000000003</v>
    <v>13000</v>
    <v>Food &amp; Tobacco</v>
    <v>Gentstraat 1, Lembeke, OOST-VLAANDEREN, 9971 BE</v>
    <v>LOTB</v>
    <v>Acciones</v>
    <v>Lotus Bakeries (XBRU:LOTB)</v>
    <v>664</v>
    <v>630</v>
  </rv>
  <rv s="2">
    <v>41</v>
  </rv>
  <rv s="0">
    <v>https://www.bing.com/financeapi/forcetrigger?t=ao9bxm&amp;q=XLON%3aHLMA&amp;form=skydnc</v>
    <v>Learn more on Bing</v>
  </rv>
  <rv s="1">
    <v>es-ES</v>
    <v>ao9bxm</v>
    <v>268435456</v>
    <v>1</v>
    <v>Con tecnología de Refinitiv</v>
    <v>0</v>
    <v>1</v>
    <v>HALMA PUBLIC LIMITED COMPANY (XLON:HLMA)</v>
    <v>3</v>
    <v>20</v>
    <v>Finance</v>
    <v>21</v>
    <v>XLON</v>
    <v>379645300</v>
    <v>1894</v>
    <v>3406</v>
    <v>1.1026</v>
    <v>-16</v>
    <v>-4.6670000000000001E-3</v>
    <v>13014240000</v>
    <v>3428</v>
    <v>Halma plc es una compañía global de tecnología que salva vidas. Los segmentos de la Compañía incluyen Seguridad, Medio Ambiente y Salud. Segmento de seguridad ofrece productos que protegen a las personas, los activos y la infraestructura en espacios comerciales, industriales y públicos. Las soluciones de este segmento incluyen soluciones de seguridad contra incendios, tecnologías de seguridad pública, soluciones de seguridad de los trabajadores y tecnologías de seguridad de infraestructura y activos. El segmento de Medio Ambiente y Análisis proporciona soluciones que monitorean el medio ambiente y mejoran la disponibilidad de recursos naturales críticos para la vida, se utilizan en el análisis de materiales y aplicaciones optoelectrónicas. Este segmento incluye análisis óptico, sistemas de análisis y tratamiento de agua y tecnologías de monitoreo ambiental. Los segmentos de atención médica proporcionan tecnologías para ayudar a la calidad de vida de los pacientes y mejorar la calidad de la atención prestada por los proveedores de atención médica. También diseña y fabrica dispositivos de notificación, iniciación y detección de alto rendimiento.</v>
    <v>9625</v>
    <v>XLON</v>
    <v>46314.650518055467</v>
    <v>London Stock Exchange</v>
    <v>43</v>
    <v>3418</v>
    <v>4902</v>
    <v>3372</v>
    <v>3260</v>
    <v>GBp</v>
    <v>HALMA PUBLIC LIMITED COMPANY</v>
    <v>HALMA PUBLIC LIMITED COMPANY</v>
    <v>34.784399999999998</v>
    <v>3412</v>
    <v>Electronic Equipment &amp; Parts</v>
    <v>Misbourne Court, Rectory Way, AMERSHAM, BUCKINGHAMSHIRE, HP7 0DE GB</v>
    <v>HLMA</v>
    <v>Acciones</v>
    <v>HALMA PUBLIC LIMITED COMPANY (XLON:HLMA)</v>
    <v>1012719</v>
    <v>820450</v>
  </rv>
  <rv s="2">
    <v>44</v>
  </rv>
  <rv s="0">
    <v>https://www.bing.com/financeapi/forcetrigger?t=a1svnm&amp;q=XNYS%3aFICO&amp;form=skydnc</v>
    <v>Learn more on Bing</v>
  </rv>
  <rv s="1">
    <v>es-ES</v>
    <v>a1svnm</v>
    <v>268435456</v>
    <v>1</v>
    <v>Con tecnología de Refinitiv</v>
    <v>0</v>
    <v>1</v>
    <v>FAIR ISAAC CORPORATION (XNYS:FICO)</v>
    <v>3</v>
    <v>4</v>
    <v>Finance</v>
    <v>5</v>
    <v>XNYS</v>
    <v>21597640</v>
    <v>1987</v>
    <v>764.42</v>
    <v>1.3669</v>
    <v>7.8049999999999997</v>
    <v>1.0121E-2</v>
    <v>16824453571</v>
    <v>771.19</v>
    <v>Fair Isaac Corporation es una compañía de software de análisis. El segmento de puntuaciones incluye soluciones y servicios de puntuación de negocio a negocio (B2B) que brindan a sus clientes acceso a crédito predictivo y otros puntajes que pueden integrarse fácilmente en sus flujos de transacciones y procesos de toma de decisiones. Este segmento también incluye sus soluciones de puntuación de negocio a consumidor (B2C), incluidas sus ofertas de suscripción de myFICO.com. Su segmento de software incluye soluciones analíticas y de gestión de decisiones preconfiguradas diseñadas para un tipo específico de necesidad o proceso de negocio, como originación de cuentas, gestión de clientes, participación de clientes, detección de fraude y marketing, así como servicios profesionales asociados. Este segmento también incluye FICO Platform, una oferta de software modular diseñada para soportar casos de uso analítico y de decisión avanzados, así como software analítico y de toma de decisiones independiente que puede ser configurado por sus clientes para abordar una amplia variedad de casos de uso de negocios.</v>
    <v>3876</v>
    <v>XNYS</v>
    <v>46314.786219930465</v>
    <v>New York Stock Exchange</v>
    <v>46</v>
    <v>782.84</v>
    <v>1858.91</v>
    <v>761.22</v>
    <v>586.04970000000003</v>
    <v>USD</v>
    <v>FAIR ISAAC CORPORATION</v>
    <v>FAIR ISAAC CORPORATION</v>
    <v>22.504899999999999</v>
    <v>778.995</v>
    <v>Software &amp; IT Services</v>
    <v>5 West Mendenhall, Suites 105, BOZEMAN, MT, 59715 US</v>
    <v>FICO</v>
    <v>Acciones</v>
    <v>FAIR ISAAC CORPORATION (XNYS:FICO)</v>
    <v>204684</v>
    <v>1118677</v>
  </rv>
  <rv s="2">
    <v>47</v>
  </rv>
  <rv s="0">
    <v>https://www.bing.com/financeapi/forcetrigger?t=amwtu2&amp;q=XSTO%3aLIFCO+B&amp;form=skydnc</v>
    <v>Learn more on Bing</v>
  </rv>
  <rv s="1">
    <v>es-ES</v>
    <v>amwtu2</v>
    <v>268435456</v>
    <v>1</v>
    <v>Con tecnología de Refinitiv</v>
    <v>0</v>
    <v>1</v>
    <v>Lifco (XSTO:LIFCO B)</v>
    <v>3</v>
    <v>22</v>
    <v>Finance</v>
    <v>23</v>
    <v>XSTO</v>
    <v>423836500</v>
    <v>1993</v>
    <v>327</v>
    <v>1.2954000000000001</v>
    <v>-1.6</v>
    <v>-4.8599999999999997E-3</v>
    <v>139527000000</v>
    <v>329.2</v>
    <v>Lifco AB (publ), formerly Lifco AB, is a Sweden-based conglomerate of small and medium-sized companies. The Company offers a safe haven for small and medium-sized businesses. Business concept is to acquire and develop sustainable, niche businesses with the potential to deliver sustainable earnings growth and robust cash flows. Lifco AB (publ) operates in three segments: Dental, Demolition &amp; Tools and Systems Solutions. Systems Solutions consists of a merger of those business areas which have similar economic characteristics and which do not individually meet the defined quantitative limits. The Company is involved in the distribution of dental equipment, such as denture attachments, disinfectants, saliva ejectors, bite registration and dental impression materials, bonding agents, and other consumables, as well as develops and sells medical record systems.</v>
    <v>8140</v>
    <v>XSTO</v>
    <v>46314.666666666664</v>
    <v>NASDAQ Stockholm</v>
    <v>49</v>
    <v>328.2</v>
    <v>956.5</v>
    <v>325.2</v>
    <v>140.30000000000001</v>
    <v>SEK</v>
    <v>Lifco</v>
    <v>Lifco</v>
    <v>38.83</v>
    <v>327.60000000000002</v>
    <v>Consumer Goods Conglomerates</v>
    <v>Verkmastaregatan 1, ENKOPING, UPPSALA, 745 85 SE</v>
    <v>LIFCO B</v>
    <v>Acciones</v>
    <v>Lifco (XSTO:LIFCO B)</v>
    <v>270977</v>
    <v>416700</v>
  </rv>
  <rv s="2">
    <v>50</v>
  </rv>
  <rv s="0">
    <v>https://www.bing.com/financeapi/forcetrigger?t=af9n8m&amp;q=XFRA%3aEVD&amp;form=skydnc</v>
    <v>Learn more on Bing</v>
  </rv>
  <rv s="1">
    <v>es-ES</v>
    <v>af9n8m</v>
    <v>268435456</v>
    <v>1</v>
    <v>Con tecnología de Refinitiv</v>
    <v>0</v>
    <v>1</v>
    <v>Eventim (XFRA:EVD)</v>
    <v>3</v>
    <v>12</v>
    <v>Finance</v>
    <v>13</v>
    <v>XFRA</v>
    <v>96000000</v>
    <v>2014</v>
    <v>61.25</v>
    <v>1.5154000000000001</v>
    <v>-1.4</v>
    <v>-2.2435999999999998E-2</v>
    <v>5928000000</v>
    <v>62.4</v>
    <v>Cts Eventim AG &amp; Co KgaA is a Germany-based company. The Company provides e ticketing and live entertainment sectors and operates in the leisure events market. The Company operates in two segments namely Ticketing and Live Entertainment. The objects of the Ticketing segment are to promote, sell, broker, distribute, and market tickets for cinema, concert, theatre, art, sports and other events in Germany and abroad, using data processing and data transmission technologies. Its tickets are marketed through its network platform (eventim.net), its in-house ticketing product (eventim.inhouse), the sports ticketing product (eventim.tixx) and a solution for ticket sales and admission control in stadiums and arenas. The objects of the Live Entertainment segment are to plan, prepare and execute tours and events, especially music events and concerts, and to market music productions. Internationally venues are also operated. The Company operates kinoheld GmbH as a majority owned subsidiary.</v>
    <v>5280</v>
    <v>XFRA</v>
    <v>46314.76666666667</v>
    <v>Deutsche Boerse AG</v>
    <v>52</v>
    <v>61.45</v>
    <v>113.8</v>
    <v>61</v>
    <v>25.98</v>
    <v>EUR</v>
    <v>Eventim</v>
    <v>Eventim</v>
    <v>19.329999999999998</v>
    <v>61</v>
    <v>Software &amp; IT Services</v>
    <v>Contrescarpe 75 A, BREMEN, BREMEN, 28195 DE</v>
    <v>EVD</v>
    <v>Acciones</v>
    <v>Eventim (XFRA:EVD)</v>
    <v>103</v>
    <v>215570</v>
  </rv>
  <rv s="2">
    <v>53</v>
  </rv>
  <rv s="0">
    <v>https://www.bing.com/financeapi/forcetrigger?t=a1xth7&amp;q=XNAS%3aMNST&amp;form=skydnc</v>
    <v>Learn more on Bing</v>
  </rv>
  <rv s="1">
    <v>es-ES</v>
    <v>a1xth7</v>
    <v>268435456</v>
    <v>1</v>
    <v>Con tecnología de Refinitiv</v>
    <v>0</v>
    <v>1</v>
    <v>MONSTER BEVERAGE CORPORATION (XNAS:MNST)</v>
    <v>3</v>
    <v>4</v>
    <v>Finance</v>
    <v>5</v>
    <v>XNAS</v>
    <v>1956016000</v>
    <v>2014</v>
    <v>45.47</v>
    <v>0.52890000000000004</v>
    <v>1.37</v>
    <v>2.9957999999999999E-2</v>
    <v>92128353600</v>
    <v>45.73</v>
    <v>Monster Beverage Corporation es una sociedad holding. La Compañía, a través de sus subsidiarias, desarrolla, comercializa, vende y distribuye bebidas energéticas y se concentra en bebidas energéticas bajo diversas marcas. Su segmento de bebidas Monster Energy consiste principalmente en bebidas energéticas Monster Energy, bebidas energéticas de alto rendimiento Reign Total Body Fuel, bebidas energéticas de bienestar total Reign Storm y bebidas energéticas Bang Energy. Su segmento de marcas estratégicas consiste principalmente en marcas de energía como Predator y Fury. Su segmento de marcas de alcohol consiste en varias cervezas artesanales, seltzers duros y bebidas de malta con sabor. Su otro segmento consiste en ciertos productos vendidos por American Fruits and Flavors LLC, una subsidiaria de propiedad total de la Compañía, a clientes independientes de terceros. También desarrolla, comercializa, vende y distribuye agua fija y con gas bajo la marca Monster Tour Water. Sus otras marcas incluyen Punch Monster, Juice Monster, Ultra Energy, Samurai y otros.</v>
    <v>6891</v>
    <v>XNAS</v>
    <v>46314.786260740628</v>
    <v>Nasdaq Stock Market</v>
    <v>55</v>
    <v>47.35</v>
    <v>50.17</v>
    <v>45.335000000000001</v>
    <v>32.9375</v>
    <v>USD</v>
    <v>MONSTER BEVERAGE CORPORATION</v>
    <v>MONSTER BEVERAGE CORPORATION</v>
    <v>43.712299999999999</v>
    <v>47.1</v>
    <v>Beverages</v>
    <v>1 Monster Way, CORONA, CA, 92879-7101 US</v>
    <v>MNST</v>
    <v>Acciones</v>
    <v>MONSTER BEVERAGE CORPORATION (XNAS:MNST)</v>
    <v>5314722</v>
    <v>9947000</v>
  </rv>
  <rv s="2">
    <v>56</v>
  </rv>
  <rv s="0">
    <v>https://www.bing.com/financeapi/forcetrigger?t=bwvem7&amp;q=XNAS%3aABNB&amp;form=skydnc</v>
    <v>Learn more on Bing</v>
  </rv>
  <rv s="1">
    <v>es-ES</v>
    <v>bwvem7</v>
    <v>268435456</v>
    <v>1</v>
    <v>Con tecnología de Refinitiv</v>
    <v>0</v>
    <v>1</v>
    <v>AIRBNB, INC. (XNAS:ABNB)</v>
    <v>3</v>
    <v>4</v>
    <v>Finance</v>
    <v>5</v>
    <v>XNAS</v>
    <v>589585700</v>
    <v>2008</v>
    <v>174.29</v>
    <v>1.2685</v>
    <v>1.325</v>
    <v>7.6280000000000002E-3</v>
    <v>103192237142</v>
    <v>173.7</v>
    <v>Airbnb, Inc. Opera una plataforma global para estancias y experiencias. El modelo de mercado de la Compañía conecta a anfitriones y huéspedes en línea o a través de dispositivos móviles para reservar espacios y experiencias en todo el mundo. La Compañía ha construido su plataforma para incorporar nuevos hosts, especialmente aquellos que anteriormente no habían considerado hosting. Se asocia con los anfitriones durante todo el proceso de configuración de su listado y les proporciona un conjunto de herramientas para administrar sus listados, incluyendo programación, merchandising, pagos integrados, soporte comunitario, etc. protección del anfitrión, orientación de precios y comentarios de las revisiones. Su sitio web y aplicaciones móviles ofrecen a sus huéspedes una manera de explorar una variedad de hogares y experiencias y una manera fácil de reservarlos. Su plataforma tecnológica impulsa su mercado de dos caras y permite su red global de anfitriones e invitados. Posee una cartera de marcas con protección en 220 países en los que opera para sus marcas principales, AIRBNB, y su logotipo de Belo.</v>
    <v>8200</v>
    <v>XNAS</v>
    <v>46314.786242904687</v>
    <v>Nasdaq Stock Market</v>
    <v>58</v>
    <v>175.4</v>
    <v>193.4529</v>
    <v>172.4787</v>
    <v>110.81</v>
    <v>USD</v>
    <v>AIRBNB, INC.</v>
    <v>AIRBNB, INC.</v>
    <v>39.797400000000003</v>
    <v>175.02500000000001</v>
    <v>Software &amp; IT Services</v>
    <v>888 Brannan St., SAN FRANCISCO, CA, 94103 US</v>
    <v>ABNB</v>
    <v>Acciones</v>
    <v>AIRBNB, INC. (XNAS:ABNB)</v>
    <v>1382038</v>
    <v>4549523</v>
  </rv>
  <rv s="2">
    <v>59</v>
  </rv>
  <rv s="0">
    <v>https://www.bing.com/financeapi/forcetrigger?t=aqbzjc&amp;q=XWAR%3aDNP&amp;form=skydnc</v>
    <v>Learn more on Bing</v>
  </rv>
  <rv s="1">
    <v>es-ES</v>
    <v>aqbzjc</v>
    <v>268435456</v>
    <v>1</v>
    <v>Con tecnología de Refinitiv</v>
    <v>0</v>
    <v>1</v>
    <v>Dino Polska (XWAR:DNP)</v>
    <v>3</v>
    <v>24</v>
    <v>Finance</v>
    <v>25</v>
    <v>XWAR</v>
    <v>980400000</v>
    <v>2012</v>
    <v>37.69</v>
    <v>1.0216000000000001</v>
    <v>0.93</v>
    <v>2.4622999999999999E-2</v>
    <v>37029710000</v>
    <v>37.770000000000003</v>
    <v>Dino Polska SA is a Poland-based company primarily engaged in the food retail. The Company focuses on operating a supermarkets chain under the Dino brand name. Its offer includes dairy and bakery products, chocolate and non-chocolate confectionary, fruits and vegetables, alcoholic and non-alcoholic beverages, as well as pet food, among others. In addition, the Company provides meat stalls under the Agro-Rydzyna brand name, as well as sells non-food goods, such as cosmetics, household products, kitchen appliances and toys. It also offers mobile phone recharge, cash back service and vouchers. The Company's supermarkets are located in a number of Polish voivodeships, including wielkopolskie, dolnoslaskie, lodzkie, mazowieckie and pomorskie, among others.</v>
    <v>58431</v>
    <v>XWAR</v>
    <v>46314.666689814818</v>
    <v>Warsaw Stock Exchange</v>
    <v>61</v>
    <v>38.700000000000003</v>
    <v>46.6</v>
    <v>37.68</v>
    <v>26.89</v>
    <v>PLN</v>
    <v>Dino Polska</v>
    <v>Dino Polska</v>
    <v>23.4161</v>
    <v>38.700000000000003</v>
    <v>Food &amp; Drug Retailing</v>
    <v>ul. Ostrowska 122, KROTOSZYN, WOJ. WIELKOPOLSKIE, 63-700 PL</v>
    <v>DNP</v>
    <v>Acciones</v>
    <v>Dino Polska (XWAR:DNP)</v>
    <v>2768975</v>
    <v>3601730</v>
  </rv>
  <rv s="2">
    <v>62</v>
  </rv>
  <rv s="7">
    <v>es-ES</v>
    <v>caydcw</v>
    <v>268435456</v>
    <v>1</v>
    <v>Con tecnología de Refinitiv</v>
    <v>26</v>
    <v>27</v>
    <v>VERALTO CORPORATION (XNYS:VLTO)</v>
    <v>28</v>
    <v>4</v>
    <v>Finance</v>
    <v>5</v>
    <v>XNYS</v>
    <v>243793300</v>
    <v>2022</v>
    <v>100.67</v>
    <v>0.69199999999999995</v>
    <v>-0.49</v>
    <v>-4.8500000000000001E-3</v>
    <v>24513416315</v>
    <v>101.04</v>
    <v>Veralto Corporation proporciona soluciones tecnológicas esenciales. Los segmentos de la compañía incluyen calidad del agua (WQ) y calidad e innovación del producto (PQI). El segmento WQ de la compañía proporciona instrumentación de precisión, consumibles, software, servicios y tecnologías avanzadas de tratamiento de agua para ayudar a medir, analizar y tratar el agua del mundo en aplicaciones municipales, industriales, comerciales, residenciales, de investigación y de recursos naturales. Su segmento PQI proporciona equipos, consumibles, software y servicios para diversas aplicaciones de marcado y codificación, trazabilidad, impresión, diseño de envases y gestión de calidad, conversión de envases y gestión de color y apariencia para productos industriales y productos envasados de consumo. Sus marcas del segmento WQ incluyen Hach, Trojan Technologies y ChemTreat. Sus marcas de segmento PQI incluyen Videojet, Linx, Esko, X-Rite y Pantone. Videojet proporciona marcaje, codificación y etiquetado de precisión en una amplia gama de materiales para proteger productos y productos farmacéuticos.</v>
    <v>17000</v>
    <v>XNYS</v>
    <v>46314.786220867965</v>
    <v>New York Stock Exchange</v>
    <v>100.94</v>
    <v>105.75</v>
    <v>100.19</v>
    <v>80.03</v>
    <v>USD</v>
    <v>VERALTO CORPORATION</v>
    <v>VERALTO CORPORATION</v>
    <v>25.346599999999999</v>
    <v>100.55</v>
    <v>Professional &amp; Commercial Services</v>
    <v>225 Wyman Street, Suite 250, WALTHAM, MA, 02451 US</v>
    <v>VLTO</v>
    <v>Acciones</v>
    <v>VERALTO CORPORATION (XNYS:VLTO)</v>
    <v>462818</v>
    <v>1856973</v>
  </rv>
  <rv s="2">
    <v>64</v>
  </rv>
  <rv s="0">
    <v>https://www.bing.com/financeapi/forcetrigger?t=ae94vh&amp;q=XPAR%3aLR&amp;form=skydnc</v>
    <v>Learn more on Bing</v>
  </rv>
  <rv s="1">
    <v>es-ES</v>
    <v>ae94vh</v>
    <v>268435456</v>
    <v>1</v>
    <v>Con tecnología de Refinitiv</v>
    <v>0</v>
    <v>1</v>
    <v>Legrand SA (XPAR:LR)</v>
    <v>3</v>
    <v>12</v>
    <v>Finance</v>
    <v>13</v>
    <v>XPAR</v>
    <v>262245700</v>
    <v>1998</v>
    <v>132.85</v>
    <v>1.2168000000000001</v>
    <v>-2.7</v>
    <v>-2.0149E-2</v>
    <v>35140930000</v>
    <v>134</v>
    <v>Legrand SA, anteriormente Legrand SNC, es una empresa con sede en Francia. La compañía se especializa predominantemente en infraestructura eléctrica y digital de edificios. Su gama de productos es adecuada para los segmentos comercial, industrial y residencial del mercado de baja tensión. La Compañía tiene operaciones comerciales e industriales en más de 90 países. Se beneficia de palancas de crecimiento sólidas y a largo plazo. Sus productos lanzados por la Compañía se utilizan para la eficiencia energética: Dimmer avanzado de diodo emisor de luz radiante (led) y medidor trifásico conectado con Netatmo, entre otros; productos conectados en el programa Eliot: Dispositivo portátil de teleasistencia NOVO GO y sistema de alarma contra incendios T4 inalámbrico, entre otros; y centros de datos: Bandeja de cable CABLOFIL Wiremesh CF 150/900 BS, y UPS Keor SPE RT, entre otros.</v>
    <v>40931</v>
    <v>XPAR</v>
    <v>46314.666666666664</v>
    <v>Euronext Paris</v>
    <v>66</v>
    <v>133.9</v>
    <v>166.95</v>
    <v>129.19999999999999</v>
    <v>121.95</v>
    <v>EUR</v>
    <v>Legrand SA</v>
    <v>Legrand SA</v>
    <v>26.684200000000001</v>
    <v>131.30000000000001</v>
    <v>Machinery, Equipment &amp; Components</v>
    <v>128, av. du Marechal de Lattre de Tassigny, LIMOGES, NOUVELLE-AQUITAINE, 87000 FR</v>
    <v>LR</v>
    <v>Acciones</v>
    <v>Legrand SA (XPAR:LR)</v>
    <v>610551</v>
    <v>614850</v>
  </rv>
  <rv s="2">
    <v>67</v>
  </rv>
  <rv s="0">
    <v>https://www.bing.com/financeapi/forcetrigger?t=aoaorw&amp;q=XLON%3aJDG&amp;form=skydnc</v>
    <v>Learn more on Bing</v>
  </rv>
  <rv s="1">
    <v>es-ES</v>
    <v>aoaorw</v>
    <v>268435456</v>
    <v>1</v>
    <v>Con tecnología de Refinitiv</v>
    <v>0</v>
    <v>1</v>
    <v>Judges (XLON:JDG)</v>
    <v>3</v>
    <v>20</v>
    <v>Finance</v>
    <v>21</v>
    <v>XLON</v>
    <v>6660690</v>
    <v>2002</v>
    <v>3555</v>
    <v>0.81759999999999999</v>
    <v>-120</v>
    <v>-3.3803E-2</v>
    <v>236454700</v>
    <v>3550</v>
    <v>Judges Scientific plc is a United Kingdom-based company, which is focused on acquiring and developing companies within the scientific instrument sector. The principal activities of the Company and its subsidiaries comprise the design, manufacture and sale of scientific instruments. The Company’s segments include Materials Sciences and Vacuum. Its subsidiaries are primarily United Kingdom-based with products sold around the world to a diverse range of markets, including higher education institutions, the scientific communities, manufacturers, and regulatory authorities. It is engaged in operating approximately 25 businesses. Its subsidiaries include Fire Testing Technology Limited, PE.fiberoptics Limited, UHV Design Limited, Aitchee Engineering Limited, Quorum Technologies Limited, Deben UK Limited, Oxford Cryosystems Limited, Global Digital Systems Limited, Scientifica Limited, Dia-Stron Limited, Geotek Coring Limited, EWB Solutions Limited, among others.</v>
    <v>791</v>
    <v>XLON</v>
    <v>46314.649522846878</v>
    <v>London Stock Exchange</v>
    <v>69</v>
    <v>3550</v>
    <v>6100</v>
    <v>3430</v>
    <v>3430</v>
    <v>GBp</v>
    <v>Judges</v>
    <v>Judges</v>
    <v>0</v>
    <v>3430</v>
    <v>Machinery, Equipment &amp; Components</v>
    <v>52c Borough High Street, LONDON, SE1 1XN GB</v>
    <v>JDG</v>
    <v>Acciones</v>
    <v>Judges (XLON:JDG)</v>
    <v>18192</v>
    <v>16290</v>
  </rv>
  <rv s="2">
    <v>70</v>
  </rv>
  <rv s="0">
    <v>https://www.bing.com/financeapi/forcetrigger?t=an3gc7&amp;q=XSWX%3aSTMN&amp;form=skydnc</v>
    <v>Learn more on Bing</v>
  </rv>
  <rv s="1">
    <v>es-ES</v>
    <v>an3gc7</v>
    <v>268435456</v>
    <v>1</v>
    <v>Con tecnología de Refinitiv</v>
    <v>0</v>
    <v>1</v>
    <v>Straumann Holding Ltd (XSWX:STMN)</v>
    <v>3</v>
    <v>29</v>
    <v>Finance</v>
    <v>13</v>
    <v>XSWX</v>
    <v>159455200</v>
    <v>2005</v>
    <v>92.9</v>
    <v>1.3603000000000001</v>
    <v>-0.86</v>
    <v>-9.1660000000000005E-3</v>
    <v>14960090000</v>
    <v>93.82</v>
    <v>Straumann Holding AG es una compañía con sede en Suiza activa en el campo de la implantología y odontología restauradora y la regeneración de tejidos orales. En colaboración con clínicas, institutos de investigación y universidades, el Grupo investiga y desarrolla implantes, instrumentos, diseño/ fabricación de prótesis por ordenador y productos de regeneración de tejidos para usar en soluciones de reemplazo y restauración de dientes o para prevenir la perdida de dientes. Straumann Holding AG también ofrece una serie de servicios profesionales dentales a lo largo del mundo, incluye capacitación y educación, provisto por Equipo Internacional de implantología Sus productos y servicios están disponibles en varios países a través de las sedes del grupo y por una red de subsidiarias y socios tecnológicos ubicados en Europa, Norte América, Asia/la región del pacifico y en Latino América, incluyendo Dental Wings Inc localizado en Canadá y Createch Medical SL en Espana.</v>
    <v>11582</v>
    <v>XSWX</v>
    <v>46314.652777777781</v>
    <v>SIX Swiss Exchange</v>
    <v>72</v>
    <v>93.42</v>
    <v>109.8</v>
    <v>91.66</v>
    <v>73.02</v>
    <v>CHF</v>
    <v>Straumann Holding Ltd</v>
    <v>Straumann Holding Ltd</v>
    <v>40.439700000000002</v>
    <v>92.96</v>
    <v>Healthcare Equipment &amp; Supplies</v>
    <v>Peter Merian-Weg 12, BASEL, BASEL-STADT, 4002 CH</v>
    <v>STMN</v>
    <v>Acciones</v>
    <v>Straumann Holding Ltd (XSWX:STMN)</v>
    <v>417660</v>
    <v>381110</v>
  </rv>
  <rv s="2">
    <v>73</v>
  </rv>
  <rv s="0">
    <v>https://www.bing.com/financeapi/forcetrigger?t=a1slm7&amp;q=XNAS%3aMETA&amp;form=skydnc</v>
    <v>Learn more on Bing</v>
  </rv>
  <rv s="1">
    <v>es-ES</v>
    <v>a1slm7</v>
    <v>268435456</v>
    <v>1</v>
    <v>Con tecnología de Refinitiv</v>
    <v>0</v>
    <v>1</v>
    <v>META PLATFORMS, INC. (XNAS:META)</v>
    <v>3</v>
    <v>4</v>
    <v>Finance</v>
    <v>5</v>
    <v>XNAS</v>
    <v>2547506000</v>
    <v>2004</v>
    <v>707.2</v>
    <v>1.2569999999999999</v>
    <v>-5.0350000000000001</v>
    <v>-7.0980000000000001E-3</v>
    <v>1794183000740</v>
    <v>709.32500000000005</v>
    <v>Meta Platforms, Inc. Está construyendo conexiones humanas, impulsadas por inteligencia artificial y tecnologías inmersivas. Los productos de la Compañía permiten a las personas conectarse y compartir con amigos y familiares a través de dispositivos móviles, computadoras personales, auriculares de realidad virtual (VR) y realidad mixta (MR), realidad aumentada (AR) y wearables. También ayuda a las personas a descubrir y aprender sobre lo que está sucediendo en el mundo que les rodea, permitiendo a las personas compartir sus experiencias, ideas, fotos, videos y otros contenidos con audiencias que van desde sus familiares y amigos más cercanos hasta el público en general. Los segmentos de la compañía incluyen Family of Apps (FOA) y Reality Labs (RL). El segmento FOA incluye Facebook, Instagram, Messenger, WhatsApp e hilos. El segmento de RL incluye su hardware, software y contenido de consumo relacionado con la realidad virtual, aumentada y mixta. Sus ofertas de productos en realidad virtual incluyen sus dispositivos Meta Quest, así como software y contenido disponible a través de la Tienda Meta Horizon.</v>
    <v>75472</v>
    <v>XNAS</v>
    <v>46314.786261145309</v>
    <v>Nasdaq Stock Market</v>
    <v>75</v>
    <v>708.7</v>
    <v>779.81920000000002</v>
    <v>693.86</v>
    <v>520.26</v>
    <v>USD</v>
    <v>META PLATFORMS, INC.</v>
    <v>META PLATFORMS, INC.</v>
    <v>24.388200000000001</v>
    <v>704.29</v>
    <v>Software &amp; IT Services</v>
    <v>1 Meta Way, MENLO PARK, CA, 94025 US</v>
    <v>META</v>
    <v>Acciones</v>
    <v>META PLATFORMS, INC. (XNAS:META)</v>
    <v>10691002</v>
    <v>21404615</v>
  </rv>
  <rv s="2">
    <v>76</v>
  </rv>
  <rv s="0">
    <v>https://www.bing.com/financeapi/forcetrigger?t=a1wj9c&amp;q=XNYS%3aKKR&amp;form=skydnc</v>
    <v>Learn more on Bing</v>
  </rv>
  <rv s="1">
    <v>es-ES</v>
    <v>a1wj9c</v>
    <v>268435456</v>
    <v>1</v>
    <v>Con tecnología de Refinitiv</v>
    <v>0</v>
    <v>1</v>
    <v>KKR &amp; CO. INC. (XNYS:KKR)</v>
    <v>3</v>
    <v>4</v>
    <v>Finance</v>
    <v>5</v>
    <v>XNYS</v>
    <v>897635600</v>
    <v>2021</v>
    <v>87.36</v>
    <v>1.7344999999999999</v>
    <v>0.64500000000000002</v>
    <v>7.4819999999999999E-3</v>
    <v>77964140038</v>
    <v>86.21</v>
    <v>KKR &amp; Co. Inc. Es una empresa de inversión global que ofrece gestión alternativa de activos, mercados de capital y soluciones de seguros. Los segmentos de la Compañía incluyen Gestión de Activos, Seguros y Holdings Estratégicos. El segmento de gestión de activos ofrece una gama de servicios de gestión de inversiones a fondos de inversión, vehículos y cuentas y proporciona servicios de mercados de capitales a empresas de cartera y terceros. El segmento de Gestión de Activos incluye cinco líneas de negocio: Capital Privado, Activos Inmobiliarios, Estrategias de Crédito y Líquido, Mercados de Capitales y Actividades Principales. El segmento de seguros es operado por Global Atlantic, que es una compañía de seguros de vida y jubilación de los Estados Unidos que ofrece un conjunto de productos de protección, herencia y ahorro y soluciones de reaseguro a clientes en los mercados individuales e institucionales. Global Atlantic ofrece anualidades de tasa fija a individuos y otras. El segmento Estratégico Holdings representa su participación en su estrategia básica de capital riesgo.</v>
    <v>5043</v>
    <v>XNYS</v>
    <v>46314.78622010391</v>
    <v>New York Stock Exchange</v>
    <v>78</v>
    <v>88.05</v>
    <v>144.84</v>
    <v>86.15</v>
    <v>82.67</v>
    <v>USD</v>
    <v>KKR &amp; CO. INC.</v>
    <v>KKR &amp; CO. INC.</v>
    <v>27.689</v>
    <v>86.855000000000004</v>
    <v>Investment Banking &amp; Investment Services</v>
    <v>30 Hudson Yards, NEW YORK, NY, 10001 US</v>
    <v>KKR</v>
    <v>Acciones</v>
    <v>KKR &amp; CO. INC. (XNYS:KKR)</v>
    <v>2554593</v>
    <v>5212505</v>
  </rv>
  <rv s="2">
    <v>79</v>
  </rv>
  <rv s="0">
    <v>https://www.bing.com/financeapi/forcetrigger?t=brh6oc&amp;q=XNYS%3aNET&amp;form=skydnc</v>
    <v>Learn more on Bing</v>
  </rv>
  <rv s="1">
    <v>es-ES</v>
    <v>brh6oc</v>
    <v>268435456</v>
    <v>1</v>
    <v>Con tecnología de Refinitiv</v>
    <v>0</v>
    <v>1</v>
    <v>CLOUDFLARE, INC. (XNYS:NET)</v>
    <v>3</v>
    <v>4</v>
    <v>Finance</v>
    <v>5</v>
    <v>XNYS</v>
    <v>356079700</v>
    <v>2009</v>
    <v>302.23</v>
    <v>1.353</v>
    <v>2.895</v>
    <v>9.7710000000000002E-3</v>
    <v>106537265841</v>
    <v>296.3</v>
    <v>Cloudflare, Inc. Es una compañía de conectividad en la nube. La Compañía ofrece una gama de servicios a empresas de todos los tamaños y en todas las geografías, mejorando el rendimiento de las aplicaciones críticas para el negocio. Su conjunto completo de productos consiste en servicios de aplicaciones que ayudan a ofrecer seguridad, rendimiento y confiabilidad para las aplicaciones de cualquier organización conectadas a Internet, incluidos sitios web e interfaces de programación de aplicaciones (API) y su plataforma Secure Access Service Edge (SASE), contiene su conjunto de servicios de seguridad y soluciones de servicios de red para ayudar a garantizar que el tráfico entrante y saliendo de la red y los dispositivos de una organización se verifique y autorice y los datos estén protegidos y seguros, así como para conectar de forma segura centros de datos, servicios en la nube y sucursales a una organización con su nube de conectividad. La compañía también ofrece soluciones basadas en desarrolladores que construyen e implementan aplicaciones de inteligencia artificial y sin servidor.</v>
    <v>5483</v>
    <v>XNYS</v>
    <v>46314.786262267968</v>
    <v>New York Stock Exchange</v>
    <v>81</v>
    <v>306.68</v>
    <v>370.35</v>
    <v>296.3</v>
    <v>158.83000000000001</v>
    <v>USD</v>
    <v>CLOUDFLARE, INC.</v>
    <v>CLOUDFLARE, INC.</v>
    <v>0</v>
    <v>299.19499999999999</v>
    <v>Software &amp; IT Services</v>
    <v>101 Townsend St, SAN FRANCISCO, CA, 94107-1934 US</v>
    <v>NET</v>
    <v>Acciones</v>
    <v>CLOUDFLARE, INC. (XNYS:NET)</v>
    <v>1990210</v>
    <v>3047000</v>
  </rv>
  <rv s="2">
    <v>82</v>
  </rv>
  <rv s="0">
    <v>https://www.bing.com/financeapi/forcetrigger?t=bq8rqh&amp;q=XNAS%3aCRWD&amp;form=skydnc</v>
    <v>Learn more on Bing</v>
  </rv>
  <rv s="1">
    <v>es-ES</v>
    <v>bq8rqh</v>
    <v>268435456</v>
    <v>1</v>
    <v>Con tecnología de Refinitiv</v>
    <v>0</v>
    <v>1</v>
    <v>CROWDSTRIKE HOLDINGS, INC. (XNAS:CRWD)</v>
    <v>3</v>
    <v>4</v>
    <v>Finance</v>
    <v>5</v>
    <v>XNAS</v>
    <v>1023935000</v>
    <v>2011</v>
    <v>233.38</v>
    <v>1.1887000000000001</v>
    <v>1.2</v>
    <v>5.2769999999999996E-3</v>
    <v>234061301650</v>
    <v>227.39</v>
    <v>CrowdStrike Holdings, Inc. Es una compañía global de ciberseguridad. La compañía proporciona una plataforma nativa en la nube para proteger áreas críticas de riesgo empresarial: Puntos finales y cargas de trabajo en la nube, identidad y datos. La plataforma CrowdStrike Falcon nativa de inteligencia artificial (IA) de la compañía es una plataforma unificada nativa de la nube construida con IA en el núcleo, capaz de aprovechar la seguridad y los datos empresariales para ofrecer soluciones altamente modulares a través de un único sensor ligero. Mediante la IA a escala de nube, Security Cloud enriquece y correlaciona los eventos de ciberseguridad con indicadores de ataque, inteligencia de amenazas y datos empresariales (incluidos datos de puntos finales, cargas de trabajo, identidades, DevOps, activos de TI, etc.). y configuraciones) para crear datos procesables, identificar cambios en las tácticas adversarias y prevenir automáticamente amenazas en tiempo real en toda su base de clientes. Vende su plataforma Falcon a través de un modelo de suscripción de socio-primero a organizaciones de todos los tamaños en múltiples industrias a nivel mundial.</v>
    <v>11706</v>
    <v>XNAS</v>
    <v>46314.786269409378</v>
    <v>Nasdaq Stock Market</v>
    <v>84</v>
    <v>234.262</v>
    <v>286.98989999999998</v>
    <v>226.80009999999999</v>
    <v>85.68</v>
    <v>USD</v>
    <v>CROWDSTRIKE HOLDINGS, INC.</v>
    <v>CROWDSTRIKE HOLDINGS, INC.</v>
    <v>4010.3508999999999</v>
    <v>228.59</v>
    <v>Software &amp; IT Services</v>
    <v>206 E. 9TH STREET, SUITE 1400, AUSTIN, TX, 78701 US</v>
    <v>CRWD</v>
    <v>Acciones</v>
    <v>CROWDSTRIKE HOLDINGS, INC. (XNAS:CRWD)</v>
    <v>5461732</v>
    <v>10434567</v>
  </rv>
  <rv s="2">
    <v>85</v>
  </rv>
  <rv s="0">
    <v>https://www.bing.com/financeapi/forcetrigger?t=a1u3p2&amp;q=XNAS%3aGOOG&amp;form=skydnc</v>
    <v>Learn more on Bing</v>
  </rv>
  <rv s="1">
    <v>es-ES</v>
    <v>a1u3p2</v>
    <v>268435456</v>
    <v>1</v>
    <v>Con tecnología de Refinitiv</v>
    <v>0</v>
    <v>1</v>
    <v>ALPHABET INC. (XNAS:GOOG)</v>
    <v>3</v>
    <v>4</v>
    <v>Finance</v>
    <v>5</v>
    <v>XNAS</v>
    <v>12230000000</v>
    <v>2015</v>
    <v>340.56</v>
    <v>1.2040999999999999</v>
    <v>3.47</v>
    <v>1.0299000000000001E-2</v>
    <v>4162847400000</v>
    <v>336.91</v>
    <v>Alphabet Inc. Es una compañía holding. Los segmentos de la Compañía incluyen Google Services, Google Cloud y otras apuestas. El segmento de Servicios de Google incluye productos y servicios como anuncios, Android, Chrome, dispositivos, Google Maps, Google Maps, etc. Google Play, Búsqueda y YouTube. El segmento de Google Cloud incluye servicios de infraestructura y plataforma, herramientas de colaboración y otros servicios para clientes empresariales. Su otro segmento de apuestas se dedica a la venta de servicios relacionados con la salud y servicios de Internet. Google Cloud ofrece servicios en la nube listos para la empresa, incluidos Google Cloud Platform y Google Workspace. Google Cloud Platform proporciona acceso a soluciones como las ofertas de inteligencia artificial (IA), incluida su infraestructura de IA, la plataforma Vertex AI y Gemini para Google Cloud; ciberseguridad y datos y análisis. Google Workspace incluye herramientas de comunicación y colaboración basadas en la nube para empresas, como Calendar, Gmail, Docs, Drive, y reunirse.</v>
    <v>198933</v>
    <v>XNAS</v>
    <v>46314.786266053125</v>
    <v>Nasdaq Stock Market</v>
    <v>87</v>
    <v>342.52</v>
    <v>404.47</v>
    <v>338.25099999999998</v>
    <v>244.67</v>
    <v>USD</v>
    <v>ALPHABET INC.</v>
    <v>ALPHABET INC.</v>
    <v>17.1098</v>
    <v>340.38</v>
    <v>Software &amp; IT Services</v>
    <v>1600 Amphitheatre Parkway, MOUNTAIN VIEW, CA, 94043 US</v>
    <v>GOOG</v>
    <v>Acciones</v>
    <v>ALPHABET INC. (XNAS:GOOG)</v>
    <v>6646906</v>
    <v>16913044</v>
  </rv>
  <rv s="2">
    <v>88</v>
  </rv>
  <rv s="8">
    <v>es-ES</v>
    <v>cjjy9c</v>
    <v>268435456</v>
    <v>1</v>
    <v>Con tecnología de Refinitiv</v>
    <v>30</v>
    <v>31</v>
    <v>Abb Ltd (XSWX:ABBNE)</v>
    <v>28</v>
    <v>32</v>
    <v>Finance</v>
    <v>13</v>
    <v>XSWX</v>
    <v>1823154000</v>
    <v>1999</v>
    <v>75.739999999999995</v>
    <v>1.1167</v>
    <v>-1.68</v>
    <v>-2.2017999999999999E-2</v>
    <v>137509000000</v>
    <v>76.3</v>
    <v>Abb Ltd es una sociedad de cartera. Los segmentos de la Compañía incluyen productos de electrificación, robótica y movimiento, automatización industrial, redes eléctricas y corporativos y otros. Opera a través de cuatro divisiones: Productos de Electrificación , Robótica y movimiento, Automatización industrial y Redes eléctricas. Se dedica a servir a los clientes en los servicios públicos, la industria y el transporte y la infraestructura. El segmento de Productos de Electrificación fabrica y vende productos y servicios que incluyen dispositivos de conmutación, interruptores, interruptores y productos de control de baja y media tensión. El segmento de Robótica y movimiento fabrica y vende motores, generadores, unidades de velocidad variable y robots y robots. El segmento de Automatización industrial desarrolla y vende sistemas de control y optimización de planta, y productos y soluciones de automatización. El segmento de Redes eléctricas suministra productos de energía y automatización, sistemas y soluciones de software y servicio.</v>
    <v>112700</v>
    <v>XSWX</v>
    <v>46314.641122685185</v>
    <v>SIX Swiss Exchange</v>
    <v>75.819999999999993</v>
    <v>74.08</v>
    <v>CHF</v>
    <v>Abb Ltd</v>
    <v>Abb Ltd</v>
    <v>74.62</v>
    <v>Machinery, Equipment &amp; Components</v>
    <v>Affolternstrasse 44, ZUERICH, ZUERICH, 8050 CH</v>
    <v>ABBNE</v>
    <v>Acciones</v>
    <v>Abb Ltd (XSWX:ABBNE)</v>
    <v>107259</v>
    <v>1962210</v>
  </rv>
  <rv s="2">
    <v>90</v>
  </rv>
  <rv s="0">
    <v>https://www.bing.com/financeapi/forcetrigger?t=a1u6sm&amp;q=XNYS%3aGRMN&amp;form=skydnc</v>
    <v>Learn more on Bing</v>
  </rv>
  <rv s="1">
    <v>es-ES</v>
    <v>a1u6sm</v>
    <v>268435456</v>
    <v>1</v>
    <v>Con tecnología de Refinitiv</v>
    <v>0</v>
    <v>1</v>
    <v>Garmin Ltd. (XNYS:GRMN)</v>
    <v>3</v>
    <v>4</v>
    <v>Finance</v>
    <v>5</v>
    <v>XNYS</v>
    <v>192852500</v>
    <v>2010</v>
    <v>286.05</v>
    <v>0.90169999999999995</v>
    <v>0.36</v>
    <v>1.2640000000000001E-3</v>
    <v>54991890374</v>
    <v>284.79000000000002</v>
    <v>Garmin Ltd. (Garmin) es una entidad con sede en Suiza. La Compañía y sus filiales ofrecen sistemas de posicionamiento global (GPS) y dispositivos y aplicaciones inalámbricas. La Compañía opera a través de cinco segmentos: Fitness, outdoor, aviación, marina y auto. Ofrece una gama de productos de navegación automática, así como una gama de productos y aplicaciones diseñados para el mercado de GPS móvil. Ofrece Handhelds al aire libre, dispositivos portables, dispositivos de golf y dispositivos de seguimiento de perros y entrenamiento / obediencia de mascotas. Garmin ofrece varios productos diseñados para su uso en el seguimiento de fitness y actividad. El segmento de negocios de aviación de la compañía es un proveedor de soluciones para fabricantes de aeronaves, propietarios y operadores de aeronaves existentes, así como clientes militares y gubernamentales, y sirve a una gama de aeronaves, incluyendo aviones de transporte, aviación de negocios, aviación general, deportes experimentales / ligeros, etc. helicópteros, vehículos pilotados opcionalmente y vehículos aéreos no tripulados. La compañía opera en todo el mundo.</v>
    <v>23000</v>
    <v>XNYS</v>
    <v>46314.786259721877</v>
    <v>New York Stock Exchange</v>
    <v>92</v>
    <v>286.625</v>
    <v>314.27999999999997</v>
    <v>284.07499999999999</v>
    <v>186.67</v>
    <v>USD</v>
    <v>Garmin Ltd.</v>
    <v>Garmin Ltd.</v>
    <v>29.406600000000001</v>
    <v>285.14999999999998</v>
    <v>Communications &amp; Networking</v>
    <v>Muehlentalstrasse 2, SCHAFFHAUSEN, SCHAFFHAUSEN, 8200 CH</v>
    <v>GRMN</v>
    <v>Acciones</v>
    <v>Garmin Ltd. (XNYS:GRMN)</v>
    <v>208906</v>
    <v>876977</v>
  </rv>
  <rv s="2">
    <v>93</v>
  </rv>
  <rv s="0">
    <v>https://www.bing.com/financeapi/forcetrigger?t=azfd2w&amp;q=XFRA%3aKRX&amp;form=skydnc</v>
    <v>Learn more on Bing</v>
  </rv>
  <rv s="1">
    <v>es-ES</v>
    <v>azfd2w</v>
    <v>268435456</v>
    <v>1</v>
    <v>Con tecnología de Refinitiv</v>
    <v>0</v>
    <v>1</v>
    <v>KINGSPAN GROUP PUBLIC LIMITED COMPANY (XFRA:KRX)</v>
    <v>3</v>
    <v>12</v>
    <v>Finance</v>
    <v>13</v>
    <v>XFRA</v>
    <v>182916100</v>
    <v>1979</v>
    <v>95.65</v>
    <v>1.2406999999999999</v>
    <v>-6.85</v>
    <v>-6.6829E-2</v>
    <v>17642260000</v>
    <v>102.5</v>
    <v>Kingspan Group PLC es una empresa con sede en Irlanda, que participa en la fabricación de soluciones de aislamiento y envolvente de edificios de alto rendimiento. Sus segmentos incluyen paneles aislados; Aislamiento; Luz, aire + agua; Datos + pisos, y techos + impermeabilización. El segmento de paneles aislados fabrica paneles aislados, marcos estructurales y fachadas metálicas. El segmento de aislamiento fabrica placas de aislamiento rígido, aislamiento técnico y sistemas de madera de ingeniería. El segmento Luz, Aire + Agua fabrica soluciones de energía y agua, iluminación diurna, gestión de humos y sistemas de ventilación y actividades de servicio relacionadas. El segmento Data + Flooring se dedica a la fabricación de soluciones de almacenamiento de centros de datos y pisos de acceso elevados. El segmento Roofing + Waterproofing se dedica a la fabricación de soluciones de techos e impermeabilización para la renovación y nueva construcción de edificios. También ofrece soluciones de membrana de cloruro de polivinilo (PVC) para techos no residenciales.</v>
    <v>27955</v>
    <v>XFRA</v>
    <v>46314.740277777775</v>
    <v>Deutsche Boerse AG</v>
    <v>95</v>
    <v>95.65</v>
    <v>108.4</v>
    <v>95.65</v>
    <v>32.01</v>
    <v>EUR</v>
    <v>KINGSPAN GROUP PUBLIC LIMITED COMPANY</v>
    <v>KINGSPAN GROUP PUBLIC LIMITED COMPANY</v>
    <v>26.01</v>
    <v>95.65</v>
    <v>Homebuilding &amp; Construction Supplies</v>
    <v>Dublin Road,, KINGSCOURT, CAVAN, A82 XY31 IE</v>
    <v>KRX</v>
    <v>Acciones</v>
    <v>KINGSPAN GROUP PUBLIC LIMITED COMPANY (XFRA:KRX)</v>
    <v>40</v>
    <v>358370</v>
  </rv>
  <rv s="2">
    <v>96</v>
  </rv>
  <rv s="0">
    <v>https://www.bing.com/financeapi/forcetrigger?t=bpiour&amp;q=OTCM%3aKAKZF&amp;form=skydnc</v>
    <v>Learn more on Bing</v>
  </rv>
  <rv s="1">
    <v>es-ES</v>
    <v>bpiour</v>
    <v>268435456</v>
    <v>1</v>
    <v>Con tecnología de Refinitiv</v>
    <v>0</v>
    <v>1</v>
    <v>Joint Stock Company Kaspi.kz (XNAS:KSPI)</v>
    <v>3</v>
    <v>4</v>
    <v>Finance</v>
    <v>5</v>
    <v>XNAS</v>
    <v>189333500</v>
    <v>2008</v>
    <v>93.01</v>
    <v>0.23</v>
    <v>-1.0549999999999999</v>
    <v>-1.1322E-2</v>
    <v>17442348687</v>
    <v>93.18</v>
    <v>Kaspi.kz AO es una empresa de tecnología financiera con sede en Kazajistán, que proporciona una gama de servicios como pagos en línea, comercio electrónico y banca digital. La Compañía opera en tres segmentos: Pagos, Marketplace y Fintech. En el segmento de pagos, la Compañía opera la Plataforma de Pagos a través de la cual los consumidores pueden pagar las transacciones de compra, las facturas de los hogares y realizar transacciones entre pares. También permite a los comerciantes aceptar pagos, emitir y liquidar facturas, pagar a los proveedores y supervisar el volumen de negocios. En el segmento del mercado, la compañía opera la plataforma del mercado que ofrece m-Commerce, e-Commerce y Kaspi Travel. En el segmento de fintech, la compañía opera la plataforma Fintech que ofrece servicios de compra ahora, pago después (BNPL), finanzas y productos de depósito. La Compañía opera la aplicación móvil Super App.</v>
    <v>7700</v>
    <v>XNAS</v>
    <v>46314.786019003906</v>
    <v>Nasdaq Stock Market</v>
    <v>98</v>
    <v>93.01</v>
    <v>109.94</v>
    <v>91.174999999999997</v>
    <v>68.59</v>
    <v>USD</v>
    <v>Joint Stock Company Kaspi.kz</v>
    <v>Joint Stock Company Kaspi.kz</v>
    <v>7.9062000000000001</v>
    <v>92.125</v>
    <v>Financial Technology (Fintech) &amp; Infrastructure</v>
    <v>Bostandykskiy Rayon, Ul. Nauryzbay Batyra, 154A, ALMATY, ALMATY, 050013 KZ</v>
    <v>KSPI</v>
    <v>Acciones</v>
    <v>Joint Stock Company Kaspi.kz (XNAS:KSPI)</v>
    <v>207605</v>
    <v>482875</v>
  </rv>
  <rv s="2">
    <v>99</v>
  </rv>
  <rv s="0">
    <v>https://www.bing.com/financeapi/forcetrigger?t=amft3m&amp;q=BMEX%3aCBAV&amp;form=skydnc</v>
    <v>Learn more on Bing</v>
  </rv>
  <rv s="9">
    <v>es-ES</v>
    <v>amft3m</v>
    <v>268435456</v>
    <v>1</v>
    <v>Con tecnología de Refinitiv</v>
    <v>33</v>
    <v>34</v>
    <v>CLINICA BAVIERA S.A (BMEX:CBAV)</v>
    <v>3</v>
    <v>35</v>
    <v>Finance</v>
    <v>13</v>
    <v>BMEX</v>
    <v>16307580</v>
    <v>54.4</v>
    <v>0.74690000000000001</v>
    <v>-0.2</v>
    <v>-3.676E-3</v>
    <v>887132300</v>
    <v>54.4</v>
    <v>Clínica Baviera SA es una empresa con sede en España dedicada al sector sanitario. La Compañía se centra en la prestación de servicios dentro del campo de la medicina oftálmica. La Compañía está especializada en el diagnóstico y tratamiento de trastornos oculares, incluyendo miopía, hipermetropía, astigmatismo, cataratas, etc. glaucoma, retina vítrea y estrabismo, entre otros. La Compañía opera una red de clínicas ubicadas en varios países europeos, como España, Alemania, Austria e Italia. La Compañía es una matriz del Grupo Baviera, un grupo que comprende varias entidades controladas, entre ellas Clinica Baviera Italia Srl, Clinica Baviera Mallorca SL, Care Visión Germany GmbH y Castellana de INTERMEDIACION Sanitaria SL, entre otras.</v>
    <v>2009</v>
    <v>BMEX</v>
    <v>46314.666666666664</v>
    <v>Bolsas y Mercados Espanoles</v>
    <v>101</v>
    <v>54.8</v>
    <v>62</v>
    <v>54.2</v>
    <v>40.1</v>
    <v>EUR</v>
    <v>CLINICA BAVIERA S.A</v>
    <v>CLINICA BAVIERA S.A</v>
    <v>18.990400000000001</v>
    <v>54.2</v>
    <v>Healthcare Providers &amp; Services</v>
    <v>Paseo de la Castellana 20, MADRID, MADRID, 28046 ES</v>
    <v>CBAV</v>
    <v>Acciones</v>
    <v>CLINICA BAVIERA S.A (BMEX:CBAV)</v>
    <v>919</v>
    <v>2270</v>
  </rv>
  <rv s="2">
    <v>102</v>
  </rv>
  <rv s="0">
    <v>https://www.bing.com/financeapi/forcetrigger?t=a1yv52&amp;q=XNAS%3aNVDA&amp;form=skydnc</v>
    <v>Learn more on Bing</v>
  </rv>
  <rv s="1">
    <v>es-ES</v>
    <v>a1yv52</v>
    <v>268435456</v>
    <v>1</v>
    <v>Con tecnología de Refinitiv</v>
    <v>0</v>
    <v>1</v>
    <v>NVIDIA CORPORATION (XNAS:NVDA)</v>
    <v>3</v>
    <v>4</v>
    <v>Finance</v>
    <v>5</v>
    <v>XNAS</v>
    <v>24100000000</v>
    <v>1998</v>
    <v>217.83</v>
    <v>2.1953999999999998</v>
    <v>3.17</v>
    <v>1.4803999999999999E-2</v>
    <v>5236930000000</v>
    <v>214.13</v>
    <v>NVIDIA Corporation es una empresa de infraestructura de inteligencia artificial (IA). La Compañía se dedica a la computación acelerada para ayudar a resolver los problemas computacionales desafiantes. Sus segmentos incluyen Compute &amp; Networking y Graphics. El segmento Compute &amp; Networking incluye sus plataformas de computación y redes aceleradas de centros de datos y soluciones y software de IA, y plataformas automotrices y soluciones de vehículos autónomos y eléctricos, incluido el software. El segmento de gráficos incluye GPU GeForce para juegos y computadoras personales (PC), y GPU Quadro/NVIDIA RTX para gráficos de estaciones de trabajo empresariales. Su pila tecnológica incluye la plataforma de desarrollo básica NVIDIA CUDA que se ejecuta en todas las GPU NVIDIA, así como cientos de bibliotecas de software, frameworks, algoritmos, kits de desarrollo de software (SDK) e interfaces de programación de aplicaciones (API) específicos de dominios. Sus plataformas se dirigen a cuatro mercados, que incluyen Data Center, Gaming, Visualización Profesional y Automoción.</v>
    <v>42000</v>
    <v>XNAS</v>
    <v>46314.78624798594</v>
    <v>Nasdaq Stock Market</v>
    <v>104</v>
    <v>219.62</v>
    <v>243.37</v>
    <v>214.7</v>
    <v>164.27</v>
    <v>USD</v>
    <v>NVIDIA CORPORATION</v>
    <v>NVIDIA CORPORATION</v>
    <v>27.469100000000001</v>
    <v>217.3</v>
    <v>Semiconductors &amp; Semiconductor Equipment</v>
    <v>2788 San Tomas Expressway, SANTA CLARA, CA, 95051 US</v>
    <v>NVDA</v>
    <v>Acciones</v>
    <v>NVIDIA CORPORATION (XNAS:NVDA)</v>
    <v>66481652</v>
    <v>107960158</v>
  </rv>
  <rv s="2">
    <v>105</v>
  </rv>
  <rv s="0">
    <v>https://www.bing.com/financeapi/forcetrigger?t=alwkk2&amp;q=XLIS%3aCOR&amp;form=skydnc</v>
    <v>Learn more on Bing</v>
  </rv>
  <rv s="1">
    <v>es-ES</v>
    <v>alwkk2</v>
    <v>268435456</v>
    <v>1</v>
    <v>Con tecnología de Refinitiv</v>
    <v>0</v>
    <v>1</v>
    <v>Corticeira Amori (XLIS:COR)</v>
    <v>3</v>
    <v>12</v>
    <v>Finance</v>
    <v>13</v>
    <v>XLIS</v>
    <v>133000000</v>
    <v>1963</v>
    <v>6.8</v>
    <v>0.45479999999999998</v>
    <v>0.06</v>
    <v>8.8370000000000011E-3</v>
    <v>903070000</v>
    <v>6.79</v>
    <v>Corticeira Amorim SGPS SA (Corticeira Amorim) is a Portugal-based holding company engaged in the cork industry. The Company organizes its activities into five business divisions: Raw Materials, Cork Stoppers, Coverings, Cork Composites and Isolations. In the Raw Materials division, the Company is active in the purchase, storage and initial preparation of cork. The Cork Stoppers division produces and supplies various types of bottle caps, mainly for the wine industry. The Coverings division is active in the production of cork-based laminates. The Cork Composites and the Isolations units produce thermal, acoustic and anti-vibration insulation products, among others. The Company and its subsidiaries operate in Portugal, Spain, Tunisia, the United States, Australia, Germany, China, Italy, Argentina, France and Netherlands, among others. The Company is a subsidiary of Amorim Capital SGPS SA.</v>
    <v>4637</v>
    <v>XLIS</v>
    <v>46314.666666666664</v>
    <v>Euronext Lisbon</v>
    <v>107</v>
    <v>6.85</v>
    <v>7.44</v>
    <v>6.74</v>
    <v>6.04</v>
    <v>EUR</v>
    <v>Corticeira Amori</v>
    <v>Corticeira Amori</v>
    <v>20.563300000000002</v>
    <v>6.85</v>
    <v>Paper &amp; Forest Products</v>
    <v>Rua Comendador Americo Ferreira Amorim, N 380, Apartado 20, Mozelos, AVEIRO, 4536-902 PT</v>
    <v>COR</v>
    <v>Acciones</v>
    <v>Corticeira Amori (XLIS:COR)</v>
    <v>45501</v>
    <v>100710</v>
  </rv>
  <rv s="2">
    <v>108</v>
  </rv>
  <rv s="0">
    <v>https://www.bing.com/financeapi/forcetrigger?t=a24kjc&amp;q=XNYS%3aTSM&amp;form=skydnc</v>
    <v>Learn more on Bing</v>
  </rv>
  <rv s="1">
    <v>es-ES</v>
    <v>a24kjc</v>
    <v>268435456</v>
    <v>1</v>
    <v>Con tecnología de Refinitiv</v>
    <v>0</v>
    <v>1</v>
    <v>Taiwan Semiconductor Manufacturing Company Limited (XNYS:TSM)</v>
    <v>3</v>
    <v>4</v>
    <v>Finance</v>
    <v>5</v>
    <v>XNYS</v>
    <v>5186474000</v>
    <v>1987</v>
    <v>421.77</v>
    <v>1.4333</v>
    <v>9.0749999999999993</v>
    <v>2.1994E-2</v>
    <v>2187058288690</v>
    <v>412.61</v>
    <v>Taiwan Semiconductor Manufacturing Co Ltd es una empresa con sede en Taiwán dedicada principalmente a la prestación de servicios de fabricación de circuitos integrados. Los servicios integrados de fabricación de circuitos incluyen tecnología de proceso, tecnología de proceso especial, soporte del ecosistema de diseño, tecnología de máscara, embalaje avanzado 3DFabricTM y servicios de tecnología de apilamiento de silicio. La compañía ha completado la transferencia y la producción en masa de la tecnología 5nm, y se dedica a la investigación y desarrollo de la tecnología de proceso 3nm y la tecnología de proceso 2nm. La gama de aplicaciones de productos cubre toda la industria de aplicaciones electrónicas, incluyendo computadoras personales y productos periféricos, productos de aplicaciones de información, productos de sistemas de comunicación cableados e inalámbricos, servidores y centros de datos.</v>
    <v>52045</v>
    <v>XNYS</v>
    <v>46314.786238437497</v>
    <v>New York Stock Exchange</v>
    <v>110</v>
    <v>427.15989999999999</v>
    <v>487.47</v>
    <v>415.50009999999997</v>
    <v>266.82</v>
    <v>USD</v>
    <v>Taiwan Semiconductor Manufacturing Company Limited</v>
    <v>Taiwan Semiconductor Manufacturing Company Limited</v>
    <v>27.353899999999999</v>
    <v>421.685</v>
    <v>Semiconductors &amp; Semiconductor Equipment</v>
    <v>No.8, Li-Hsin 6th Road, Hsinchu Science Park, HSINCHU, HSINCHU, 300 TW</v>
    <v>TSM</v>
    <v>Acciones</v>
    <v>Taiwan Semiconductor Manufacturing Company Limited (XNYS:TSM)</v>
    <v>9117066</v>
    <v>10895556</v>
  </rv>
  <rv s="2">
    <v>111</v>
  </rv>
  <rv s="0">
    <v>https://www.bing.com/financeapi/forcetrigger?t=azgv7w&amp;q=XNYS%3aSPOT&amp;form=skydnc</v>
    <v>Learn more on Bing</v>
  </rv>
  <rv s="1">
    <v>es-ES</v>
    <v>azgv7w</v>
    <v>268435456</v>
    <v>1</v>
    <v>Con tecnología de Refinitiv</v>
    <v>0</v>
    <v>1</v>
    <v>Spotify Technology S.A. (XNYS:SPOT)</v>
    <v>3</v>
    <v>4</v>
    <v>Finance</v>
    <v>5</v>
    <v>XNYS</v>
    <v>205534200</v>
    <v>2007</v>
    <v>525</v>
    <v>1.5216000000000001</v>
    <v>-11.52</v>
    <v>-2.1717E-2</v>
    <v>106659917748</v>
    <v>530.46</v>
    <v>Spotify Technology SA es una empresa con sede en Luxemburgo que ofrece servicios de música digital en streaming. La Compañía permite a los usuarios descubrir nuevos lanzamientos, que incluyen los últimos singles y álbumes; listas de reproducción, que incluye listas de reproducción preparadas por fanáticos de la música y expertos, y más de millones de canciones para que los usuarios puedan reproducir sus favoritos, descubrir nuevas pistas y construir una colección personalizada. Sus usuarios pueden seleccionar Spotify Free, que incluye solo reproducción aleatoria o Spotify Premium, que abarca una gama de características, como reproducción aleatoria, publicidad gratuita, saltos ilimitados, escuchar sin conexión, reproducir cualquier pista y audio. La Compañía opera a través de una serie de subsidiarias, incluyendo Spotify LTD y está presente en más de 20 países. Su servicio ofrece una experiencia de escucha de música sin pausas comerciales.</v>
    <v>7287</v>
    <v>XNYS</v>
    <v>46314.786236839842</v>
    <v>New York Stock Exchange</v>
    <v>113</v>
    <v>528.52</v>
    <v>696.94989999999996</v>
    <v>511.17</v>
    <v>405</v>
    <v>USD</v>
    <v>Spotify Technology S.A.</v>
    <v>Spotify Technology S.A.</v>
    <v>28.673100000000002</v>
    <v>518.94000000000005</v>
    <v>Software &amp; IT Services</v>
    <v>33, Boulevard Prince Henri, LUXEMBOURG, 1724 LU</v>
    <v>SPOT</v>
    <v>Acciones</v>
    <v>Spotify Technology S.A. (XNYS:SPOT)</v>
    <v>1137645</v>
    <v>1475604</v>
  </rv>
  <rv s="2">
    <v>114</v>
  </rv>
  <rv s="0">
    <v>https://www.bing.com/financeapi/forcetrigger?t=ajg6ec&amp;q=XMIL%3aPRY&amp;form=skydnc</v>
    <v>Learn more on Bing</v>
  </rv>
  <rv s="9">
    <v>es-ES</v>
    <v>ajg6ec</v>
    <v>268435456</v>
    <v>1</v>
    <v>Con tecnología de Refinitiv</v>
    <v>33</v>
    <v>34</v>
    <v>Prysmian S.p.A. (XMIL:PRY)</v>
    <v>3</v>
    <v>35</v>
    <v>Finance</v>
    <v>36</v>
    <v>XMIL</v>
    <v>308861600</v>
    <v>109</v>
    <v>0.99329999999999996</v>
    <v>-2.2999999999999998</v>
    <v>-2.1023999999999998E-2</v>
    <v>33789460000</v>
    <v>109.4</v>
    <v>PRYSMIAN S.P.A. es una empresa con sede en Italia activa en el desarrollo, diseño, producción, suministro y montaje de cables. Las actividades de negocio de la Empresa se dividen en dos sectores principales: Energía y Telecomunicaciones. El segmento de Energía se divide en cuatro líneas de negocio, que incluyen los Servicios Públicos, que consta de sistemas de transmisión de potencia, transmisión submarina de energía y cables y sistemas para distribución de energía, así como componentes y accesorios; Comercio e Instaladores, ofrece cables de distribución de energía hasta y dentro de edificios; Industrial, que incluye cables para los sectores de energías renovables, automotriz, ascensor y petróleo y gas, y Otros, que está activa en la venta de productos semiacabados, materias primas u otros bienes. El segmento de Telecomunicaciones hace sistemas de cable y productos de conectividad utilizados en las redes de telecomunicaciones, incluyendo fibra óptica, cables ópticos, componentes de conectividad, cables ópticos terrestres y cables de cobre, entre otros.</v>
    <v>34591</v>
    <v>XMIL</v>
    <v>46314.666666666664</v>
    <v>Borsa Italiana</v>
    <v>116</v>
    <v>110.5</v>
    <v>157.25</v>
    <v>105.15</v>
    <v>79.16</v>
    <v>EUR</v>
    <v>Prysmian S.p.A.</v>
    <v>Prysmian S.p.A.</v>
    <v>22.383600000000001</v>
    <v>107.1</v>
    <v>Machinery, Equipment &amp; Components</v>
    <v>Via Chiese 6, MILANO, MILANO, 20126 IT</v>
    <v>PRY</v>
    <v>Acciones</v>
    <v>Prysmian S.p.A. (XMIL:PRY)</v>
    <v>1123680</v>
    <v>1289390</v>
  </rv>
  <rv s="2">
    <v>117</v>
  </rv>
  <rv s="0">
    <v>https://www.bing.com/financeapi/forcetrigger?t=an2bf2&amp;q=XSWX%3aJFN&amp;form=skydnc</v>
    <v>Learn more on Bing</v>
  </rv>
  <rv s="1">
    <v>es-ES</v>
    <v>an2bf2</v>
    <v>268435456</v>
    <v>1</v>
    <v>Con tecnología de Refinitiv</v>
    <v>0</v>
    <v>1</v>
    <v>Jungfraubahn (XSWX:JFN)</v>
    <v>3</v>
    <v>29</v>
    <v>Finance</v>
    <v>13</v>
    <v>XSWX</v>
    <v>5835000</v>
    <v>1952</v>
    <v>231</v>
    <v>0.57469999999999999</v>
    <v>1</v>
    <v>4.3099999999999996E-3</v>
    <v>1353720000</v>
    <v>232</v>
    <v>Jungfraubahn Holding AG is a Switzerland-based holding company engaged in the operation of excursion railways and winter sports facilities in the Eiger Monch &amp; Jungfrau Region and the marketing of the Jungfraujoch-Top of Europe experience, as well as the trip to the Jungfraujoch. The Company’s destinations include Jungfraujoch-Top of Europe, Kleine Scheidegg, Harder Kulm, Schynige Platte, Grindelwald First and Murren and Winteregg. The Company owns various restaurants and lodges along the railway trails. Jungfraubahn Holding AG's activities are carried out through a number of subsidiaries, including Jungfraubahn AG, Wengernalpbahn AG, Firstbahn AG, Bergbahn Lauterbrunnen-Muerren AG, Harderbahn AG, Parkhaus Lauterbrunnen AG and Jungfraubahnen Management AG, among others.</v>
    <v>757</v>
    <v>XSWX</v>
    <v>46314.674444444441</v>
    <v>SIX Swiss Exchange</v>
    <v>119</v>
    <v>233</v>
    <v>327</v>
    <v>230</v>
    <v>220</v>
    <v>CHF</v>
    <v>Jungfraubahn</v>
    <v>Jungfraubahn</v>
    <v>19.237100000000002</v>
    <v>233</v>
    <v>Hotels &amp; Entertainment Services</v>
    <v>Harderstrasse 14, INTERLAKEN, BERN, 3800 CH</v>
    <v>JFN</v>
    <v>Acciones</v>
    <v>Jungfraubahn (XSWX:JFN)</v>
    <v>4236</v>
    <v>5760</v>
  </rv>
  <rv s="2">
    <v>120</v>
  </rv>
  <rv s="0">
    <v>https://www.bing.com/financeapi/forcetrigger?t=ajejhw&amp;q=XMIL%3aCPR&amp;form=skydnc</v>
    <v>Learn more on Bing</v>
  </rv>
  <rv s="1">
    <v>es-ES</v>
    <v>ajejhw</v>
    <v>268435456</v>
    <v>1</v>
    <v>Con tecnología de Refinitiv</v>
    <v>0</v>
    <v>1</v>
    <v>Davide Campari Milano NV (XMIL:CPR)</v>
    <v>3</v>
    <v>12</v>
    <v>Finance</v>
    <v>36</v>
    <v>XMIL</v>
    <v>1231268000</v>
    <v>2020</v>
    <v>6.5579999999999998</v>
    <v>0.2853</v>
    <v>-0.01</v>
    <v>-1.5110000000000002E-3</v>
    <v>8150992000</v>
    <v>6.62</v>
    <v>Davide Campari Milano NV, constituida en los Países Bajos, es una empresa activa en la industria de las bebidas espirituosas de marca. Posee una amplia y variada cartera de productos de más de 50 marcas, incluidas Aperol, Appleton Estate, Campari, Grand Marnier, SKYY Vodka y Wild Turkey. Opera a través de cuatro segmentos geográficos: América; Sur de Europa, Medio Oriente y África; Europa del Norte, Central y del Este; Asia-Pacífico. La Compañía es un alcance de distribución global, que opera en más de 190 países de todo el mundo con un enfoque en Europa y las Américas. Cuenta con 21 plantas productivas y red de distribución propia en 20 países.</v>
    <v>4935</v>
    <v>XMIL</v>
    <v>46314.666666666664</v>
    <v>Borsa Italiana</v>
    <v>122</v>
    <v>6.63</v>
    <v>6.82</v>
    <v>6.532</v>
    <v>5.27</v>
    <v>EUR</v>
    <v>Davide Campari Milano NV</v>
    <v>Davide Campari Milano NV</v>
    <v>29.047799999999999</v>
    <v>6.61</v>
    <v>Beverages</v>
    <v>Via Sacchetti, 20, SESTO SAN GIOVANNI, MILANO, 20099 IT</v>
    <v>CPR</v>
    <v>Acciones</v>
    <v>Davide Campari Milano NV (XMIL:CPR)</v>
    <v>3875800</v>
    <v>5730650</v>
  </rv>
  <rv s="2">
    <v>123</v>
  </rv>
  <rv s="0">
    <v>https://www.bing.com/financeapi/forcetrigger?t=b1lbp2&amp;q=XSWX%3aSIKA&amp;form=skydnc</v>
    <v>Learn more on Bing</v>
  </rv>
  <rv s="1">
    <v>es-ES</v>
    <v>b1lbp2</v>
    <v>268435456</v>
    <v>1</v>
    <v>Con tecnología de Refinitiv</v>
    <v>0</v>
    <v>1</v>
    <v>Sika Ltd (XSWX:SIKA)</v>
    <v>3</v>
    <v>29</v>
    <v>Finance</v>
    <v>13</v>
    <v>XSWX</v>
    <v>160479300</v>
    <v>1971</v>
    <v>179.95</v>
    <v>1.6085</v>
    <v>0.75</v>
    <v>4.1079999999999997E-3</v>
    <v>29295490000</v>
    <v>182.55</v>
    <v>Sika AG es una compañía con base en Suiza activa en la industria química. La Compañía produce productos principalmente para las industrias de automóviles y autopartes, energía renovable y equipos y componentes. Las actividades de la Compañía se dividen en dos áreas de negocio: la División de Construcción ofrece una gama de productos, que incluyen mezclas de hormigón, morteros listos para usar, sistemas de techado, sistemas de impermeabilización, sistemas de pisos y soluciones de protección de acero, entre otros y la División Industria desarrolla soluciones de unión, sellado, amortiguación, acristalamiento y refuerzo, entre otros. Las marcas de la Compañía incluye Sarnafil, Sika, Sikadur, Sikaflex, SikaGrout, SikaPower, SikaHydroPrep, SikaReinforcer, Sika ViscoCrete, Sikaplan y SikaRapid, entre otros. La Compañía tiene una actividad global, con actividades divididas en regiones geográficas, a saber, Europa, Medio Oriente y África (EMEA), América del Norte, América Latina y Asia/ Pacifico. La Compañía opera a través de numerosas filiales.</v>
    <v>33856</v>
    <v>XSWX</v>
    <v>46314.754027777781</v>
    <v>SIX Swiss Exchange</v>
    <v>125</v>
    <v>183.3</v>
    <v>197.6</v>
    <v>179.3</v>
    <v>120.35</v>
    <v>CHF</v>
    <v>Sika Ltd</v>
    <v>Sika Ltd</v>
    <v>28.171299999999999</v>
    <v>183.3</v>
    <v>Chemicals</v>
    <v>Zugerstrasse 50, BAAR, ZUG, 6340 CH</v>
    <v>SIKA</v>
    <v>Acciones</v>
    <v>Sika Ltd (XSWX:SIKA)</v>
    <v>164580</v>
    <v>375880</v>
  </rv>
  <rv s="2">
    <v>126</v>
  </rv>
  <rv s="0">
    <v>https://www.bing.com/financeapi/forcetrigger?t=a1pmur&amp;q=XNAS%3aCHKP&amp;form=skydnc</v>
    <v>Learn more on Bing</v>
  </rv>
  <rv s="1">
    <v>es-ES</v>
    <v>a1pmur</v>
    <v>268435456</v>
    <v>1</v>
    <v>Con tecnología de Refinitiv</v>
    <v>0</v>
    <v>1</v>
    <v>CHECK POINT SOFTWARE TECHNOLOGIES LTD. (XNAS:CHKP)</v>
    <v>3</v>
    <v>4</v>
    <v>Finance</v>
    <v>5</v>
    <v>XNAS</v>
    <v>102100600</v>
    <v>1993</v>
    <v>138.44999999999999</v>
    <v>0.45590000000000003</v>
    <v>2.08</v>
    <v>1.5087E-2</v>
    <v>14288978969</v>
    <v>137.87</v>
    <v>Check Point Software Technologies Ltd es una empresa con sede en Israel dedicada principalmente a la industria de la ciberseguridad. La compañía se centra en proporcionar soluciones de seguridad basadas en IA y entregadas en la nube para proteger a las empresas corporativas y los gobiernos de todo el mundo. Su producto clave es Check Point Infinity Architecture, que es una plataforma integral de ciberseguridad. La Plataforma tiene como objetivo defenderse contra los ciberataques de quinta generación en varias redes, endpoints, entornos de nube, cargas de trabajo, Internet de las Cosas (IoT) y dispositivos móviles. Aparte de eso, la Compañía ofrece una gama de productos y servicios diseñados para proteger la infraestructura de TI. Integra tecnologías avanzadas de prevención de amenazas, incluyendo firewall, sistema de prevención de intrusiones (IPS), antivirus, anti-bot y capacidades de sandboxing.</v>
    <v>6825</v>
    <v>XNAS</v>
    <v>46314.786219767971</v>
    <v>Nasdaq Stock Market</v>
    <v>128</v>
    <v>140.15</v>
    <v>210.66</v>
    <v>137.38999999999999</v>
    <v>112.23</v>
    <v>USD</v>
    <v>CHECK POINT SOFTWARE TECHNOLOGIES LTD.</v>
    <v>CHECK POINT SOFTWARE TECHNOLOGIES LTD.</v>
    <v>14.336600000000001</v>
    <v>139.94999999999999</v>
    <v>Software &amp; IT Services</v>
    <v>5 Shlomo Kaplan Street, TEL AVIV, TEL AVIV, 6789159 IL</v>
    <v>CHKP</v>
    <v>Acciones</v>
    <v>CHECK POINT SOFTWARE TECHNOLOGIES LTD. (XNAS:CHKP)</v>
    <v>638453</v>
    <v>1093227</v>
  </rv>
  <rv s="2">
    <v>129</v>
  </rv>
  <rv s="0">
    <v>https://www.bing.com/financeapi/forcetrigger?t=ajgoa2&amp;q=XMIL%3aTGYM&amp;form=skydnc</v>
    <v>Learn more on Bing</v>
  </rv>
  <rv s="9">
    <v>es-ES</v>
    <v>ajgoa2</v>
    <v>268435456</v>
    <v>1</v>
    <v>Con tecnología de Refinitiv</v>
    <v>33</v>
    <v>34</v>
    <v>Technogym S.p.A. (XMIL:TGYM)</v>
    <v>3</v>
    <v>35</v>
    <v>Finance</v>
    <v>36</v>
    <v>XMIL</v>
    <v>201327500</v>
    <v>12.94</v>
    <v>0.86240000000000006</v>
    <v>-0.01</v>
    <v>-7.7220000000000001E-4</v>
    <v>2607191000</v>
    <v>12.95</v>
    <v>Technogym SpA es una empresa con sede en Italia que se dedica a la industria de productos recreativos. La Empresa fabrica equipos fitness. Diseña y fabrica equipos fitness para particulares, empresas, centros de fitness, hoteles y spas, y centros médicos. La oferta de productos de la Empresa incluye cintas de correr, bicicletas estáticas, entrenadores de cross, entrenamiento en circuito, equipos para ejercicios de core, accesorios de fitness, bancos de gimnasio, kinesis, equipos para ejercicios de piernas, multigimnasios, equipos de carga de placas, software y hardware, steppers, máquinas de estiramiento, equipos para la parte superior del cuerpo y pesas, mancuernas y barras para entrenamiento cardiovascular, fitness en grupo, entrenamiento de resistencia y funcional, y entrenamiento de fuerza, entre otros.</v>
    <v>2800</v>
    <v>XMIL</v>
    <v>46314.666666666664</v>
    <v>Borsa Italiana</v>
    <v>131</v>
    <v>13</v>
    <v>21.82</v>
    <v>12.83</v>
    <v>11.92</v>
    <v>EUR</v>
    <v>Technogym S.p.A.</v>
    <v>Technogym S.p.A.</v>
    <v>22.486499999999999</v>
    <v>12.94</v>
    <v>Leisure Products</v>
    <v>Via Calcinaro, 2861, CESENA, FORLI CESENA, 47521 IT</v>
    <v>TGYM</v>
    <v>Acciones</v>
    <v>Technogym S.p.A. (XMIL:TGYM)</v>
    <v>124890</v>
    <v>223030</v>
  </rv>
  <rv s="2">
    <v>132</v>
  </rv>
  <rv s="0">
    <v>https://www.bing.com/financeapi/forcetrigger?t=amg4gh&amp;q=BMEX%3aVID&amp;form=skydnc</v>
    <v>Learn more on Bing</v>
  </rv>
  <rv s="9">
    <v>es-ES</v>
    <v>amg4gh</v>
    <v>268435456</v>
    <v>1</v>
    <v>Con tecnología de Refinitiv</v>
    <v>33</v>
    <v>34</v>
    <v>VIDRALA, S.A. (BMEX:VID)</v>
    <v>3</v>
    <v>35</v>
    <v>Finance</v>
    <v>13</v>
    <v>BMEX</v>
    <v>35206260</v>
    <v>90.3</v>
    <v>1.0257000000000001</v>
    <v>0</v>
    <v>0</v>
    <v>3196728000</v>
    <v>90.8</v>
    <v>VIDRALA, S.A. es una empresa española dedicada principalmente a la industria del vidrio. La empresa opera a través de dos segmentos: España y la Unión Europea. Las actividades de la empresa incluyen la producción, distribución y venta de botellas y envases de vidrio en las industrias de alimentos y bebidas. La empresa realiza sus propias operaciones de investigación y desarrollo (I+D). Opera plantas de producción y hornos de fusión situados en países como Portugal, Francia, Bélgica e Italia. La empresa posee las siguientes subsidiarias: Crisnova Vidrio, S. A., Inverbeira Sociedad de Promoción de Empresas, S. A., Gallo Vidro, S. A., Castellar Vidrio, S. A., Corsico Vetro SRL, MD Verre, S. A., Omega Immobiliere et Financiere, S. A., Investverre, S. A. y CD Verre, S. A.</v>
    <v>4771</v>
    <v>BMEX</v>
    <v>46314.666666666664</v>
    <v>Bolsas y Mercados Espanoles</v>
    <v>134</v>
    <v>90.8</v>
    <v>92.8</v>
    <v>89.5</v>
    <v>70.400000000000006</v>
    <v>EUR</v>
    <v>VIDRALA, S.A.</v>
    <v>VIDRALA, S.A.</v>
    <v>14.5403</v>
    <v>90.8</v>
    <v>Containers &amp; Packaging</v>
    <v>Barrio Munegazo, 22, LLODIO, ALAVA, 01400 ES</v>
    <v>VID</v>
    <v>Acciones</v>
    <v>VIDRALA, S.A. (BMEX:VID)</v>
    <v>19437</v>
    <v>20630</v>
  </rv>
  <rv s="2">
    <v>135</v>
  </rv>
  <rv s="0">
    <v>https://www.bing.com/financeapi/forcetrigger?t=c276a2&amp;q=XTSE%3aTFPM&amp;form=skydnc</v>
    <v>Learn more on Bing</v>
  </rv>
  <rv s="1">
    <v>es-ES</v>
    <v>c276a2</v>
    <v>268435456</v>
    <v>1</v>
    <v>Con tecnología de Refinitiv</v>
    <v>0</v>
    <v>1</v>
    <v>Triple Flag Precious Metals Corp. (XTSE:TFPM)</v>
    <v>3</v>
    <v>37</v>
    <v>Finance</v>
    <v>38</v>
    <v>XTSE</v>
    <v>205685500</v>
    <v>2019</v>
    <v>43.44</v>
    <v>0.34089999999999998</v>
    <v>-0.315</v>
    <v>-7.2560000000000003E-3</v>
    <v>8864016622</v>
    <v>43.41</v>
    <v>Triple Flag Precious Metals Corp. Es una empresa de retransmisión y regalías de metales preciosos. Ofrece a los inversores exposición al oro y la plata de un total de 242 activos, que consisten en 17 flujos y 225 regalías, de las Américas y Australia. Estas corrientes y regalías están vinculadas a los activos mineros en diversas etapas del ciclo de vida de la mina, incluidas 36 minas productoras y 206 proyectos en la etapa de desarrollo y exploración y otros activos. Cuenta con una cartera diversificada de propiedades en Australia, Perú, Sudáfrica, Colombia, Canadá, México, Estados Unidos, Mongolia, Costa de Marfil y otros. Su cartera diversificada de flujos y regalías ofrece exposición a la producción de un conjunto de activos mineros, incluyendo la mina de cobre y oro Northparkes en Australia (Evolution Mining), la mina polimetálica Cerro Lindo en Perú (Nexa), la mina de oro Fosterville en Australia (Agnico Eagle), la mina de oro Buritica en Colombia (Zijin) y las operaciones Impala Bafokeng en Sudáfrica (Implats).</v>
    <v>19</v>
    <v>XTSE</v>
    <v>46314.774085648147</v>
    <v>Toronto Stock Exchange</v>
    <v>137</v>
    <v>43.44</v>
    <v>57.26</v>
    <v>42.86</v>
    <v>37.274999999999999</v>
    <v>CAD</v>
    <v>Triple Flag Precious Metals Corp.</v>
    <v>Triple Flag Precious Metals Corp.</v>
    <v>15.2478</v>
    <v>43.094999999999999</v>
    <v>Metals &amp; Mining</v>
    <v>TD Canada Trust Tower, 161 Bay Street, Suite 4535, Toronto, ON, M5J 2S1 CA</v>
    <v>TFPM</v>
    <v>Acciones</v>
    <v>Triple Flag Precious Metals Corp. (XTSE:TFPM)</v>
    <v>29584</v>
    <v>125080</v>
  </rv>
  <rv s="2">
    <v>138</v>
  </rv>
  <rv s="0">
    <v>https://www.bing.com/financeapi/forcetrigger?t=a1ygoc&amp;q=XNAS%3aNFLX&amp;form=skydnc</v>
    <v>Learn more on Bing</v>
  </rv>
  <rv s="1">
    <v>es-ES</v>
    <v>a1ygoc</v>
    <v>268435456</v>
    <v>1</v>
    <v>Con tecnología de Refinitiv</v>
    <v>0</v>
    <v>1</v>
    <v>NETFLIX, INC. (XNAS:NFLX)</v>
    <v>3</v>
    <v>4</v>
    <v>Finance</v>
    <v>5</v>
    <v>XNAS</v>
    <v>4163939000</v>
    <v>1997</v>
    <v>69.81</v>
    <v>1.5987</v>
    <v>-0.85</v>
    <v>-1.2052E-2</v>
    <v>290143269520</v>
    <v>70.53</v>
    <v>Netflix, Inc. Es un proveedor de servicios de entretenimiento. La Compañía adquiere, concede licencias y produce contenido, incluida la programación original. Ofrece membresías pagadas en más de 190 países que ofrecen series de televisión (TV), películas y juegos en una variedad de géneros e idiomas. Permite a los miembros jugar, pausar y reanudar la mirada tanto como quieran, en cualquier momento y en cualquier lugar, y puede cambiar sus planes en cualquier momento. La Compañía ofrece a los miembros la posibilidad de recibir contenido en streaming a través de una serie de dispositivos conectados a Internet, incluidos televisores, reproductores de video digital, decodificadores de TV y dispositivos móviles. Se dedica a escalar su servicio de streaming, como la introducción de juegos y publicidad en su servicio, así como ofrecer programación en vivo. Está desarrollando tecnología y utilizando computación en la nube de terceros, tecnología y otros servicios. La Compañía también se dedica a escalar sus propias operaciones de estudio para producir contenido original.</v>
    <v>16000</v>
    <v>XNAS</v>
    <v>46314.786265798437</v>
    <v>Nasdaq Stock Market</v>
    <v>140</v>
    <v>70.22</v>
    <v>124.86</v>
    <v>69.02</v>
    <v>65.08</v>
    <v>USD</v>
    <v>NETFLIX, INC.</v>
    <v>NETFLIX, INC.</v>
    <v>21.952000000000002</v>
    <v>69.680000000000007</v>
    <v>Software &amp; IT Services</v>
    <v>121 Albright Way, LOS GATOS, CA, 95032 US</v>
    <v>NFLX</v>
    <v>Acciones</v>
    <v>NETFLIX, INC. (XNAS:NFLX)</v>
    <v>22001526</v>
    <v>37246596</v>
  </rv>
  <rv s="2">
    <v>141</v>
  </rv>
  <rv s="0">
    <v>https://www.bing.com/financeapi/forcetrigger?t=a1yjxm&amp;q=XNYS%3aNKE&amp;form=skydnc</v>
    <v>Learn more on Bing</v>
  </rv>
  <rv s="1">
    <v>es-ES</v>
    <v>a1yjxm</v>
    <v>268435456</v>
    <v>1</v>
    <v>Con tecnología de Refinitiv</v>
    <v>0</v>
    <v>1</v>
    <v>NIKE, INC. (XNYS:NKE)</v>
    <v>3</v>
    <v>4</v>
    <v>Finance</v>
    <v>5</v>
    <v>XNYS</v>
    <v>1485309000</v>
    <v>1969</v>
    <v>37.36</v>
    <v>1.0396000000000001</v>
    <v>-4.4999999999999998E-2</v>
    <v>-1.212E-3</v>
    <v>55082684265</v>
    <v>37.130000000000003</v>
    <v>NIKE, Inc. Se dedica al diseño, comercialización y distribución de calzado deportivo, ropa, equipos y accesorios y servicios para actividades deportivas y de fitness. Los segmentos operativos de la compañía incluyen América del Norte, Europa, Oriente Medio y África (EMEA), Gran China y Asia Pacífico y América Latina (APLA). Vende una línea de equipos y accesorios bajo la marca NIKE, incluyendo bolsos, calcetines, bolas deportivas, gafas, relojes, dispositivos digitales, murciélagos, guantes, equipos de protección y otros equipos diseñados para actividades deportivas. También diseña productos específicamente para la marca Jordan y Converse. La marca Jordan diseña, distribuye y otorga licencias de calzado deportivo y casual, ropa y accesorios principalmente centrados en el rendimiento y la cultura del baloncesto utilizando la marca Jumpman. La Compañía también diseña, distribuye y otorga licencias de zapatillas de deporte casuales, ropa y accesorios bajo las marcas registradas Chuck Taylor, All Star, One Star, Star Chevron y Jack Purcell.</v>
    <v>73000</v>
    <v>XNYS</v>
    <v>46314.786244548435</v>
    <v>New York Stock Exchange</v>
    <v>143</v>
    <v>37.36</v>
    <v>70.44</v>
    <v>36.72</v>
    <v>31.97</v>
    <v>USD</v>
    <v>NIKE, INC.</v>
    <v>NIKE, INC.</v>
    <v>17.7746</v>
    <v>37.085000000000001</v>
    <v>Textiles &amp; Apparel</v>
    <v>One Bowerman Dr, BEAVERTON, OR, 97005-6453 US</v>
    <v>NKE</v>
    <v>Acciones</v>
    <v>NIKE, INC. (XNYS:NKE)</v>
    <v>11568834</v>
    <v>44651580</v>
  </rv>
  <rv s="2">
    <v>144</v>
  </rv>
  <rv s="0">
    <v>https://www.bing.com/financeapi/forcetrigger?t=amwwgh&amp;q=XSTO%3aMIPS&amp;form=skydnc</v>
    <v>Learn more on Bing</v>
  </rv>
  <rv s="10">
    <v>es-ES</v>
    <v>amwwgh</v>
    <v>268435456</v>
    <v>1</v>
    <v>Con tecnología de Refinitiv</v>
    <v>39</v>
    <v>40</v>
    <v>MIPS (XSTO:MIPS)</v>
    <v>3</v>
    <v>41</v>
    <v>Finance</v>
    <v>23</v>
    <v>XSTO</v>
    <v>26497990</v>
    <v>2001</v>
    <v>413.8</v>
    <v>1.9921</v>
    <v>-7</v>
    <v>-1.6795000000000001E-2</v>
    <v>11044360000</v>
    <v>416.8</v>
    <v>Mips AB is a Sweden-based company, which specializes in helmet safety and brain protection. The Company offers its MIPS Brain Protection System (BPS) that implies solutions protecting against rotational motion transferred to the brain from angled impacts to the head. BPS is designed to add protection in helmets due to the low friction layer, which enables a relative movement between the head and the helmet, mimicking the brain’s own protection system. The technology implements into bicycle, snow, motorcycle and equestrian helmets. More than 40 helmet brands use BPS, including Bell, Fox Head, Giro, Scott, Smith and Trek, among others. The Company determines only one segment as operations solely comprise sales of the component kit included in consumer products.</v>
    <v>127</v>
    <v>XSTO</v>
    <v>46314.666666666664</v>
    <v>NASDAQ Stockholm</v>
    <v>146</v>
    <v>417.6</v>
    <v>405.6</v>
    <v>SEK</v>
    <v>MIPS</v>
    <v>MIPS</v>
    <v>66.680000000000007</v>
    <v>409.8</v>
    <v>Leisure Products</v>
    <v>Kemistvagen 1 B, TABY, STOCKHOLM, 183 79 SE</v>
    <v>MIPS</v>
    <v>Acciones</v>
    <v>MIPS (XSTO:MIPS)</v>
    <v>102137</v>
    <v>98520</v>
  </rv>
  <rv s="2">
    <v>147</v>
  </rv>
  <rv s="0">
    <v>https://www.bing.com/financeapi/forcetrigger?t=a325ur&amp;q=XNYS%3aFERG&amp;form=skydnc</v>
    <v>Learn more on Bing</v>
  </rv>
  <rv s="1">
    <v>es-ES</v>
    <v>a325ur</v>
    <v>268435456</v>
    <v>1</v>
    <v>Con tecnología de Refinitiv</v>
    <v>0</v>
    <v>1</v>
    <v>FERGUSON ENTERPRISES INC. (XNYS:FERG)</v>
    <v>3</v>
    <v>4</v>
    <v>Finance</v>
    <v>5</v>
    <v>XNYS</v>
    <v>193452700</v>
    <v>2024</v>
    <v>230.94499999999999</v>
    <v>1.1151</v>
    <v>-4.33</v>
    <v>-1.8695E-2</v>
    <v>43967929656</v>
    <v>231.61</v>
    <v>Ferguson Enterprises Inc. Es un distribuidor de valor agregado que sirve a profesionales especializados en el mercado de la construcción residencial y no residencial de América del Norte. Los segmentos geográficos de la Compañía incluyen Estados Unidos y Canadá. La Compañía ofrece una amplia gama de productos y servicios, tales como plomería, calefacción, ventilación y aire acondicionado (HVAC), electrodomésticos e iluminación para tuberías, válvulas y accesorios (PVF), soluciones de agua y aguas residuales, y más. Se vende a través de una red común de centros de distribución, sucursales, servicio de mostrador y asociados de ventas especializados, consultores de showroom y canales de comercio electrónico. La compañía sirve a diversas industrias, tales como plomería, HVAC, comercial / mecánica, suministro de instalaciones, fuego y fabricación, industrial, constructor, obras de agua. Las marcas de la compañía incluyen Armateck, Durastar, FNW, National Fire Products, Pollardwater, PROFLO, PROSELECT, Raptor, Hardware de firma y Westcraft.</v>
    <v>35000</v>
    <v>XNYS</v>
    <v>46314.786235948435</v>
    <v>New York Stock Exchange</v>
    <v>149</v>
    <v>231.91</v>
    <v>271.64</v>
    <v>225.94499999999999</v>
    <v>212.13</v>
    <v>USD</v>
    <v>FERGUSON ENTERPRISES INC.</v>
    <v>FERGUSON ENTERPRISES INC.</v>
    <v>22.365500000000001</v>
    <v>227.28</v>
    <v>Homebuilding &amp; Construction Supplies</v>
    <v>751 Lakefront Commons, NEWPORT NEWS, VA, 23606 US</v>
    <v>FERG</v>
    <v>Acciones</v>
    <v>FERGUSON ENTERPRISES INC. (XNYS:FERG)</v>
    <v>630111</v>
    <v>1480315</v>
  </rv>
  <rv s="2">
    <v>150</v>
  </rv>
  <rv s="0">
    <v>https://www.bing.com/financeapi/forcetrigger?t=c2kadm&amp;q=XNYS%3aS&amp;form=skydnc</v>
    <v>Learn more on Bing</v>
  </rv>
  <rv s="11">
    <v>es-ES</v>
    <v>c2kadm</v>
    <v>268435456</v>
    <v>1</v>
    <v>Con tecnología de Refinitiv</v>
    <v>42</v>
    <v>43</v>
    <v>SENTINELONE, INC. (XNYS:S)</v>
    <v>3</v>
    <v>44</v>
    <v>Finance</v>
    <v>5</v>
    <v>XNYS</v>
    <v>348049100</v>
    <v>2013</v>
    <v>22.1</v>
    <v>0.60940000000000005</v>
    <v>0.17499999999999999</v>
    <v>8.1089999999999999E-3</v>
    <v>7571808170</v>
    <v>21.58</v>
    <v>SentinelOne, Inc. Es un proveedor de ciberseguridad impulsado por inteligencia artificial (IA). La Plataforma Singularity de la compañía ofrece capacidades autónomas de prevención, detección, respuesta y administración de exposición de amenazas impulsadas por IA en los endpoints, cargas de trabajo en la nube y credenciales de identidad de una organización. La plataforma Singularity de la compañía ingiere, correlaciona y consulta petabytes de datos estructurados y no estructurados de una miríada de fuentes externas e internas dispares en constante expansión en tiempo real. Sus modelos de IA distribuida se ejecutan tanto localmente en cada endpoint y cada carga de trabajo en la nube, así como en su plataforma en la nube. La compañía a través de PingSafe Pte. Ltd. (PingSafe), que es una plataforma de protección de aplicaciones nativa en la nube (CNAPP) para reforzar su paquete de productos de seguridad en la nube. Al agregar CNAPP de PingSafe a su Cloud Workload Security (CWS), proporciona a las empresas una cobertura de seguridad en la nube integral que impulsa la seguridad, la postura mejorada y la protección autónoma.</v>
    <v>2800</v>
    <v>XNYS</v>
    <v>46314.786253575781</v>
    <v>New York Stock Exchange</v>
    <v>152</v>
    <v>22.22</v>
    <v>26.5</v>
    <v>21.54</v>
    <v>11.81</v>
    <v>USD</v>
    <v>SENTINELONE, INC.</v>
    <v>SENTINELONE, INC.</v>
    <v>21.754999999999999</v>
    <v>Software &amp; IT Services</v>
    <v>444 Castro Street, Suite 400, MOUNTAIN VIEW, CA, 94041 US</v>
    <v>S</v>
    <v>Acciones</v>
    <v>SENTINELONE, INC. (XNYS:S)</v>
    <v>4457084</v>
    <v>11250463</v>
  </rv>
  <rv s="2">
    <v>153</v>
  </rv>
  <rv s="0">
    <v>https://www.bing.com/financeapi/forcetrigger?t=a24grw&amp;q=XNYS%3aTREX&amp;form=skydnc</v>
    <v>Learn more on Bing</v>
  </rv>
  <rv s="1">
    <v>es-ES</v>
    <v>a24grw</v>
    <v>268435456</v>
    <v>1</v>
    <v>Con tecnología de Refinitiv</v>
    <v>0</v>
    <v>1</v>
    <v>TREX COMPANY, INC. (XNYS:TREX)</v>
    <v>3</v>
    <v>4</v>
    <v>Finance</v>
    <v>5</v>
    <v>XNYS</v>
    <v>101865200</v>
    <v>1998</v>
    <v>45.854999999999997</v>
    <v>1.4958</v>
    <v>0.88500000000000001</v>
    <v>1.9352999999999999E-2</v>
    <v>4748446298</v>
    <v>45.73</v>
    <v>Trex Company, Inc. Es un fabricante de terrazas alternativas de madera y barandillas residenciales y productos y accesorios para vivir al aire libre, comercializados bajo la marca Trex. El segmento de la compañía es Trex Residential. Sus categorías de productos incluyen cubiertas y accesorios, barandillas y cercas. Sus productos de terrazas están hechos en un proceso patentado que combina fibras de madera recuperadas y película de polietileno reciclado. Sus cubiertas y accesorios incluyen cubiertas Trex Signature, cubiertas Trex Transcend Lineage, cubiertas Trex Transcend, cubiertas Trex Select, cubiertas Trex Enhance, colección de sujetadores Trex Hideaway y sistema de iluminación exterior Trex DeckLighting. Su producto de decking Trex Transcend también se puede utilizar como revestimiento. Sus productos de barandilla incluyen barandilla Trex Signature X-Series, barandilla de aluminio Trex Signature, barandilla Trex Transcend, barandilla Trex Select, carril T Trex Select y barandilla Trex Enhance. Su producto compuesto de esgrima Trex Seclusions se ofrece a través de dos distribuidores especializados.</v>
    <v>1839</v>
    <v>XNYS</v>
    <v>46314.78620894609</v>
    <v>New York Stock Exchange</v>
    <v>155</v>
    <v>46.715000000000003</v>
    <v>51.75</v>
    <v>45.44</v>
    <v>29.77</v>
    <v>USD</v>
    <v>TREX COMPANY, INC.</v>
    <v>TREX COMPANY, INC.</v>
    <v>27.511199999999999</v>
    <v>46.615000000000002</v>
    <v>Homebuilding &amp; Construction Supplies</v>
    <v>2500 TREX WAY, WINCHESTER, VA, 22601 US</v>
    <v>TREX</v>
    <v>Acciones</v>
    <v>TREX COMPANY, INC. (XNYS:TREX)</v>
    <v>714560</v>
    <v>1525769</v>
  </rv>
  <rv s="2">
    <v>156</v>
  </rv>
  <rv s="0">
    <v>https://www.bing.com/financeapi/forcetrigger?t=aea12w&amp;q=XPAR%3aSGO&amp;form=skydnc</v>
    <v>Learn more on Bing</v>
  </rv>
  <rv s="1">
    <v>es-ES</v>
    <v>aea12w</v>
    <v>268435456</v>
    <v>1</v>
    <v>Con tecnología de Refinitiv</v>
    <v>0</v>
    <v>1</v>
    <v>Compagnie de Saint Gobain SA (XPAR:SGO)</v>
    <v>3</v>
    <v>12</v>
    <v>Finance</v>
    <v>13</v>
    <v>XPAR</v>
    <v>494834000</v>
    <v>1981</v>
    <v>65.84</v>
    <v>1.4491000000000001</v>
    <v>-0.12</v>
    <v>-1.8029999999999999E-3</v>
    <v>32926250000</v>
    <v>66.540000000000006</v>
    <v>Compagnie de Saint Gobain SA es un grupo con sede en Francia especializado en el diseño, fabricación, distribución de materiales para la construcción, la movilidad, la salud y soluciones industriales con el objetivo de mejorar el bienestar de la vida en todo el mundo. El Grupo, a través de sus filiales, opera a través de tres sectores: Distribución de Edificios (BD), Productos de Construcción (CP) y Materiales (IM). El sector BD cubre las actividades de distribución de la Compañía a los proveedores. El sector CP ofrece tanto soluciones interiores (aislantes y yeso) como soluciones exteriores (morteros industriales, tuberías y productos exteriores). El sector IM proporciona vidrio plano y materiales de alto rendimiento. Sus soluciones abarcan desde ventanas autolimpiables y vidrio fotovoltaico hasta sistemas de aislamiento inteligentes, sistemas de suministro de agua con muchas aplicaciones industriales.</v>
    <v>161688</v>
    <v>XPAR</v>
    <v>46314.666666666664</v>
    <v>Euronext Paris</v>
    <v>158</v>
    <v>66.42</v>
    <v>91.56</v>
    <v>65.260000000000005</v>
    <v>63.52</v>
    <v>EUR</v>
    <v>Compagnie de Saint Gobain SA</v>
    <v>Compagnie de Saint Gobain SA</v>
    <v>12.241099999999999</v>
    <v>66.42</v>
    <v>Homebuilding &amp; Construction Supplies</v>
    <v>Tour Saint-Gobain, 12 place de l'Iris, La Defense Cedex, 92096 FR</v>
    <v>SGO</v>
    <v>Acciones</v>
    <v>Compagnie de Saint Gobain SA (XPAR:SGO)</v>
    <v>765034</v>
    <v>1008470</v>
  </rv>
  <rv s="2">
    <v>159</v>
  </rv>
  <rv s="0">
    <v>https://www.bing.com/financeapi/forcetrigger?t=aea7cw&amp;q=XPAR%3aTFF&amp;form=skydnc</v>
    <v>Learn more on Bing</v>
  </rv>
  <rv s="1">
    <v>es-ES</v>
    <v>aea7cw</v>
    <v>268435456</v>
    <v>1</v>
    <v>Con tecnología de Refinitiv</v>
    <v>0</v>
    <v>1</v>
    <v>Tonnellerie FF (XPAR:TFF)</v>
    <v>3</v>
    <v>12</v>
    <v>Finance</v>
    <v>13</v>
    <v>XPAR</v>
    <v>21680000</v>
    <v>1956</v>
    <v>14</v>
    <v>0.56699999999999995</v>
    <v>-0.12</v>
    <v>-8.6210000000000002E-3</v>
    <v>301785600</v>
    <v>13.92</v>
    <v>Tonnellerie Francois Freres SA, formerly Tonnellerie Francois Freres SA, is a France-based company that manufactures and distributes oak barrels that are used to conserve and transport liquids. The Company has four core businesses: stave milling, cooperage, cask manufacturing and oak wine-aging products. Tonnellerie Francois Freres SA also offers oak products for oenology, where the wine is put in contact with wood in varied forms and has developed products for the alcohol maturing and aging market, especially the whisky market. The Company offers four brands of barrels: Exclusif, Privilege, Classique and Horizon. The Company operated through its subsidiaries, including Sogibois, Bouyoud, Treuil, Francois Inc, Classic Oak New Zealand, Demptos Napa, among others. The Company has operating units in France, the United States, Spain, Hungary, South Africa, China, New Zealand, Australia and Ireland.</v>
    <v>1288</v>
    <v>XPAR</v>
    <v>46314.666666666664</v>
    <v>Euronext Paris</v>
    <v>161</v>
    <v>14</v>
    <v>20</v>
    <v>13.8</v>
    <v>12.5</v>
    <v>EUR</v>
    <v>Tonnellerie FF</v>
    <v>Tonnellerie FF</v>
    <v>33.778199999999998</v>
    <v>13.8</v>
    <v>Containers &amp; Packaging</v>
    <v>Route departementale 17, Saint-Romain, SAINT-ROMAIN-AU-MONT-D OR, AUVERGNE-RHONE-ALPES, 21190 FR</v>
    <v>TFF</v>
    <v>Acciones</v>
    <v>Tonnellerie FF (XPAR:TFF)</v>
    <v>1851</v>
    <v>10270</v>
  </rv>
  <rv s="2">
    <v>162</v>
  </rv>
  <rv s="0">
    <v>https://www.bing.com/financeapi/forcetrigger?t=a1pghw&amp;q=XNAS%3aCELH&amp;form=skydnc</v>
    <v>Learn more on Bing</v>
  </rv>
  <rv s="1">
    <v>es-ES</v>
    <v>a1pghw</v>
    <v>268435456</v>
    <v>1</v>
    <v>Con tecnología de Refinitiv</v>
    <v>0</v>
    <v>1</v>
    <v>CELSIUS HOLDINGS, INC. (XNAS:CELH)</v>
    <v>3</v>
    <v>4</v>
    <v>Finance</v>
    <v>5</v>
    <v>XNAS</v>
    <v>253035000</v>
    <v>2005</v>
    <v>28</v>
    <v>1.004</v>
    <v>1.58</v>
    <v>5.6048000000000001E-2</v>
    <v>7532851950</v>
    <v>28.19</v>
    <v>Celsius Holdings, Inc. Se dedica al desarrollo, procesamiento, comercialización, venta y distribución de bebidas energéticas funcionales a una amplia gama de consumidores. El activo insignia de la Compañía, CELSIUS, se comercializa como un estilo de vida y bebida energética. Esta línea de productos viene en dos versiones: Una forma lista para beber y una forma de polvo en movimiento. También ofrece una nueva línea CELSIUS Essentials, disponible en latas de 16 onzas y una línea de hidratación de polvos con cero azúcar que se infunden con electrolitos y están disponibles en una variedad de sabores frutales. Los productos Celsius se ofrecen en canales minoristas a través de los Estados Unidos, incluyendo comestibles convencionales, naturales, conveniencia, fitness, etc. mercado masivo, especialidad de vitaminas y plataformas de comercio electrónico. Sus productos también se ofrecen en mercados seleccionados de Europa, Oriente Medio y la región de Asia-Pacífico. La formulación de su producto incluye ingredientes y suplementos como el té verde (EGCG), jengibre (de la raíz), calcio, cromo, vitaminas B y vitamina C.</v>
    <v>1497</v>
    <v>XNAS</v>
    <v>46314.786267395313</v>
    <v>Nasdaq Stock Market</v>
    <v>164</v>
    <v>30.05</v>
    <v>66</v>
    <v>27.9</v>
    <v>23.555</v>
    <v>USD</v>
    <v>CELSIUS HOLDINGS, INC.</v>
    <v>CELSIUS HOLDINGS, INC.</v>
    <v>127.988</v>
    <v>29.77</v>
    <v>Beverages</v>
    <v>2424 N. Federal Hwy, Suite 208, BOCA RATON, FL, 33431 US</v>
    <v>CELH</v>
    <v>Acciones</v>
    <v>CELSIUS HOLDINGS, INC. (XNAS:CELH)</v>
    <v>4310168</v>
    <v>6261639</v>
  </rv>
  <rv s="2">
    <v>165</v>
  </rv>
  <rv s="0">
    <v>https://www.bing.com/financeapi/forcetrigger?t=alo1ar&amp;q=XAMS%3aBFIT&amp;form=skydnc</v>
    <v>Learn more on Bing</v>
  </rv>
  <rv s="1">
    <v>es-ES</v>
    <v>alo1ar</v>
    <v>268435456</v>
    <v>1</v>
    <v>Con tecnología de Refinitiv</v>
    <v>0</v>
    <v>1</v>
    <v>Basic-Fit N.V. (XAMS:BFIT)</v>
    <v>3</v>
    <v>12</v>
    <v>Finance</v>
    <v>13</v>
    <v>XAMS</v>
    <v>65000000</v>
    <v>2016</v>
    <v>30.36</v>
    <v>0.86070000000000002</v>
    <v>0.12</v>
    <v>3.9680000000000002E-3</v>
    <v>1965600000</v>
    <v>30.24</v>
    <v>Basic-Fit N.V. es una compañía con sede en Holanda que es propietario de una red de gimnasios en la industria del fitness. La compañía ofrece una variedad de opciones de membresía, adaptadas a las necesidades individuales. Basic-Fit desarrolló una aplicación de fitness que ofrece consejos de nutrición, lecciones grupales virtuales y programas de entrenamiento para diversas necesidades o poblaciones. La aplicación ofrece seguimiento de los servicios de progreso de la capacitación.</v>
    <v>9432</v>
    <v>XAMS</v>
    <v>46314.666666666664</v>
    <v>Euronext Amsterdam</v>
    <v>167</v>
    <v>30.36</v>
    <v>36.700000000000003</v>
    <v>29.76</v>
    <v>22.84</v>
    <v>EUR</v>
    <v>Basic-Fit N.V.</v>
    <v>Basic-Fit N.V.</v>
    <v>42.639600000000002</v>
    <v>30.36</v>
    <v>Hotels &amp; Entertainment Services</v>
    <v>Wegalaan 60, HOOFDDORP, NOORD-HOLLAND, 2132JC NL</v>
    <v>BFIT</v>
    <v>Acciones</v>
    <v>Basic-Fit N.V. (XAMS:BFIT)</v>
    <v>183222</v>
    <v>140440</v>
  </rv>
  <rv s="2">
    <v>168</v>
  </rv>
  <rv s="0">
    <v>https://www.bing.com/financeapi/forcetrigger?t=bscvur&amp;q=XWBO%3aVRLA&amp;form=skydnc</v>
    <v>Learn more on Bing</v>
  </rv>
  <rv s="10">
    <v>es-ES</v>
    <v>bscvur</v>
    <v>268435456</v>
    <v>1</v>
    <v>Con tecnología de Refinitiv</v>
    <v>39</v>
    <v>40</v>
    <v>Verallia SA (XWBO:VRLA)</v>
    <v>3</v>
    <v>45</v>
    <v>Finance</v>
    <v>13</v>
    <v>XWBO</v>
    <v>127587300</v>
    <v>2015</v>
    <v>18.45</v>
    <v>1.1024</v>
    <v>-0.96</v>
    <v>-4.9611999999999996E-2</v>
    <v>2422883000</v>
    <v>19.350000000000001</v>
    <v>Verallia SASU es una empresa con sede en Francia, que opera como productora de soluciones de embalaje de vidrio. La Compañía fabrica una serie de frascos y botellas para diversos mercados, incluyendo los vinos tranquilos y espumosos, licores, alimentos, así como los sectores de la cerveza y no alcohólicos. Además de Francia, la Compañía también opera en muchos países de Europa Occidental, Europa del Este y América del Sur, entre otros.</v>
    <v>10801</v>
    <v>XWBO</v>
    <v>46232</v>
    <v>Wiener Boerse</v>
    <v>170</v>
    <v>18.739999999999998</v>
    <v>18.39</v>
    <v>EUR</v>
    <v>Verallia SA</v>
    <v>Verallia SA</v>
    <v>46.07</v>
    <v>18.39</v>
    <v>Containers &amp; Packaging</v>
    <v>TOUR CARPE DIEM - ESPLANADE NORD, 31 PLACE DES COROLLES, COURBEVOIE, ILE-DE-FRANCE, 92400 FR</v>
    <v>VRLA</v>
    <v>Acciones</v>
    <v>Verallia SA (XWBO:VRLA)</v>
    <v>798</v>
    <v>45570</v>
  </rv>
  <rv s="2">
    <v>171</v>
  </rv>
  <rv s="7">
    <v>es-ES</v>
    <v>c8f4a2</v>
    <v>268435456</v>
    <v>1</v>
    <v>Con tecnología de Refinitiv</v>
    <v>26</v>
    <v>27</v>
    <v>Kistos Holdings (XLON:KIST)</v>
    <v>28</v>
    <v>20</v>
    <v>Finance</v>
    <v>21</v>
    <v>XLON</v>
    <v>83117650</v>
    <v>2022</v>
    <v>302.5</v>
    <v>1.2730999999999999</v>
    <v>-14.5</v>
    <v>-4.6399999999999997E-2</v>
    <v>258670500</v>
    <v>312.5</v>
    <v>Kistos Holdings Plc is an independent energy company focused on generating value across the upstream and midstream markets. The principal area of activity is the acquisition and operation of companies or businesses in the energy sector. Its operations are based in the Netherlands, Norway, and the United Kingdom. In the Netherlands, it is engaged in the production and sale of gas and other hydrocarbons from the Q10-A field, and the appraisal and development of other Dutch licenses. In Norway, it is engaged in the production of oil and gas from interests in the Balder and Ringhorne Ost fields offshore Norway. In the United Kingdom, it is involved in the production and sale of gas and other hydrocarbons from its interest in the GLA, and the appraisal and development of other licenses in the United Kingdom North Sea, as well as the United Kingdom gas storage assets, which comprise two facilities, Hill Top and Hole House.</v>
    <v>53</v>
    <v>XLON</v>
    <v>46314.608332488278</v>
    <v>London Stock Exchange</v>
    <v>300</v>
    <v>350</v>
    <v>298</v>
    <v>145</v>
    <v>GBp</v>
    <v>Kistos Holdings</v>
    <v>Kistos Holdings</v>
    <v>13.957100000000001</v>
    <v>298</v>
    <v>Oil &amp; Gas</v>
    <v>2nd Floor, 3 St James Square, NaN, LONDON, ENGLAND, SW1Y 4JU GB</v>
    <v>KIST</v>
    <v>Acciones</v>
    <v>Kistos Holdings (XLON:KIST)</v>
    <v>245359</v>
    <v>154470</v>
  </rv>
  <rv s="2">
    <v>173</v>
  </rv>
  <rv s="0">
    <v>https://www.bing.com/financeapi/forcetrigger?t=bq9y7w&amp;q=XLON%3aWOSG&amp;form=skydnc</v>
    <v>Learn more on Bing</v>
  </rv>
  <rv s="1">
    <v>es-ES</v>
    <v>bq9y7w</v>
    <v>268435456</v>
    <v>1</v>
    <v>Con tecnología de Refinitiv</v>
    <v>0</v>
    <v>1</v>
    <v>Watches of CH (XLON:WOSG)</v>
    <v>3</v>
    <v>20</v>
    <v>Finance</v>
    <v>21</v>
    <v>XLON</v>
    <v>233301600</v>
    <v>2019</v>
    <v>706</v>
    <v>2.3479000000000001</v>
    <v>-8.5</v>
    <v>-1.2022999999999999E-2</v>
    <v>1649443000</v>
    <v>707</v>
    <v>Watches of Switzerland Group PLC is a United Kingdom-based luxury watch retailer. The Company operates in the United Kingdom and the United States comprising eight brands, such as Watches of Switzerland (United Kingdom and United States), Mappin &amp; Webb (United Kingdom), Goldsmiths (United Kingdom ), Mayors (United States), Betteridge (United States), Deutsch &amp; Deutsch (the United States), Analog:Shift and Hodinkee (United States) with a complementary jewelry offering. It also owns the exclusive distribution rights for Roberto Coin in the United States, Canada, Central America and the Caribbean. Its estate includes multi-brand showrooms and mono-brand boutiques in the United Kingdom, Europe and the United States. It operates two watches of Switzerland flagship showrooms in New York. The watches of Switzerland Group operate mono-brand boutiques on behalf of Rolex, OMEGA, TAG Heuer, Breitling, TUDOR, Grand Seiko, BVLGARI and Fope.</v>
    <v>2790</v>
    <v>XLON</v>
    <v>46314.64944877266</v>
    <v>London Stock Exchange</v>
    <v>175</v>
    <v>721</v>
    <v>801.5</v>
    <v>698.5</v>
    <v>368</v>
    <v>GBp</v>
    <v>Watches of CH</v>
    <v>Watches of CH</v>
    <v>16.5962</v>
    <v>698.5</v>
    <v>Specialty Retailers</v>
    <v>Aurum House, 2 Elland Road, LEICESTER, LEICESTERSHIRE, LE3 1TT GB</v>
    <v>WOSG</v>
    <v>Acciones</v>
    <v>Watches of CH (XLON:WOSG)</v>
    <v>368797</v>
    <v>330780</v>
  </rv>
  <rv s="2">
    <v>176</v>
  </rv>
  <rv s="0">
    <v>https://www.bing.com/financeapi/forcetrigger?t=aayx5r&amp;q=XTSE%3aIPCO&amp;form=skydnc</v>
    <v>Learn more on Bing</v>
  </rv>
  <rv s="1">
    <v>es-ES</v>
    <v>aayx5r</v>
    <v>268435456</v>
    <v>1</v>
    <v>Con tecnología de Refinitiv</v>
    <v>0</v>
    <v>1</v>
    <v>INTERNATIONAL PETROLEUM CORPORATION (XTSE:IPCO)</v>
    <v>3</v>
    <v>46</v>
    <v>Finance</v>
    <v>38</v>
    <v>XTSE</v>
    <v>111727700</v>
    <v>2017</v>
    <v>39.299999999999997</v>
    <v>0.41439999999999999</v>
    <v>0.68</v>
    <v>1.7294E-2</v>
    <v>30003460000</v>
    <v>39.32</v>
    <v>INTERNATIONAL PETROLEUM CORPORATION es una compañía spin-off con sede en Canadá para activos no noruegos de Lundin Petroleum AB. La Compañía se dedica a la producción y exploración de petróleo y gas natural, así como a líquidos de gas natural. La Compañía es propietaria directa o indirecta de varias subsidiarias de Lundin Petroleum AB. La Compañía tiene una cartera de activos en tres jurisdicciones: Malasia (Bertam), Francia (París y Cuenca de Aquitania) y los Países Bajos. La cartera está orientada hacia el petróleo ligero, con líquidos que representan el 94% de las reservas 2P y con la producción de gas generada principalmente a partir de los activos de petróleo y gas en los Países Bajos. La Compañía opera la mayoría de sus volúmenes producidos en la Cuenca de París y Malasia y posee intereses no operados en la Cuenca de Aquitania y los Países Bajos.</v>
    <v>131</v>
    <v>XTSE</v>
    <v>46314.769502314812</v>
    <v>Toronto Stock Exchange</v>
    <v>178</v>
    <v>40.200000000000003</v>
    <v>40.200000000000003</v>
    <v>39.299999999999997</v>
    <v>20.74</v>
    <v>CAD</v>
    <v>INTERNATIONAL PETROLEUM CORPORATION</v>
    <v>INTERNATIONAL PETROLEUM CORPORATION</v>
    <v>152.96369999999999</v>
    <v>40</v>
    <v>Oil &amp; Gas</v>
    <v>Suite 2800, 1055 Dunsmuir Street, VANCOUVER, BC, V7X 1L2 CA</v>
    <v>IPCO</v>
    <v>Acciones</v>
    <v>INTERNATIONAL PETROLEUM CORPORATION (XTSE:IPCO)</v>
    <v>53984</v>
    <v>183260</v>
  </rv>
  <rv s="2">
    <v>179</v>
  </rv>
  <rv s="0">
    <v>https://www.bing.com/financeapi/forcetrigger?t=c1w41h&amp;q=XNAS%3aOTLY&amp;form=skydnc</v>
    <v>Learn more on Bing</v>
  </rv>
  <rv s="1">
    <v>es-ES</v>
    <v>c1w41h</v>
    <v>268435456</v>
    <v>1</v>
    <v>Con tecnología de Refinitiv</v>
    <v>0</v>
    <v>1</v>
    <v>Oatly Group (XNAS:OTLY)</v>
    <v>3</v>
    <v>4</v>
    <v>Finance</v>
    <v>5</v>
    <v>XNAS</v>
    <v>31912260</v>
    <v>2016</v>
    <v>11.18</v>
    <v>1.919</v>
    <v>0.56000000000000005</v>
    <v>4.9778000000000003E-2</v>
    <v>376883790</v>
    <v>11.25</v>
    <v>Oatly Group AB (publ) is a Sweden-based company that is primarily focused on manufacture, distribution and sale oat-based products. The Company's scope of activity concentrates on developing the know-how around oats, and what follows - the alternatives to milk, ice cream, yogurt, cooking creams, spreads and on-the-go drinks. Moreover, the Company distributes their oat-based dairy substitute products primarily under its own brand, Oatly. Apart from oatmilk production, Oatly Group AB (publ) also handles the administration of Oatly Group and its financing. The major operations in the Group take place in underlying companies, primarily in Oatly AB. Oatly Group AB (publ) products are available in over 20 countries.</v>
    <v>1404</v>
    <v>XNAS</v>
    <v>46314.784212279686</v>
    <v>Nasdaq Stock Market</v>
    <v>181</v>
    <v>11.85</v>
    <v>16.424199999999999</v>
    <v>10.99</v>
    <v>8.01</v>
    <v>USD</v>
    <v>Oatly Group</v>
    <v>Oatly Group</v>
    <v>0</v>
    <v>11.81</v>
    <v>Food &amp; Tobacco</v>
    <v>Angfarjekajen 8, MALMO, SKANE, 211 36 SE</v>
    <v>OTLY</v>
    <v>Acciones</v>
    <v>Oatly Group (XNAS:OTLY)</v>
    <v>81442</v>
    <v>61676</v>
  </rv>
  <rv s="2">
    <v>182</v>
  </rv>
  <rv s="0">
    <v>https://www.bing.com/financeapi/forcetrigger?t=aaxn6h&amp;q=XTSE%3aCSU&amp;form=skydnc</v>
    <v>Learn more on Bing</v>
  </rv>
  <rv s="1">
    <v>es-ES</v>
    <v>aaxn6h</v>
    <v>268435456</v>
    <v>1</v>
    <v>Con tecnología de Refinitiv</v>
    <v>0</v>
    <v>1</v>
    <v>Constellation Software Inc. (XTSE:CSU)</v>
    <v>3</v>
    <v>37</v>
    <v>Finance</v>
    <v>38</v>
    <v>XTSE</v>
    <v>21191530</v>
    <v>2002</v>
    <v>3184.2</v>
    <v>0.73429999999999995</v>
    <v>-15</v>
    <v>-4.7080000000000004E-3</v>
    <v>67194103324</v>
    <v>3185.8</v>
    <v>Constellation Software Inc. Es un proveedor de software y servicios con sede en Canadá para varias industrias. La Compañía adquiere, administra y construye negocios de software de mercado vertical (VMS) que proporcionan soluciones de software de misión crítica. Se dedica principalmente al desarrollo, instalación y personalización de software, así como en el suministro de servicios profesionales relacionados y soporte para clientes de todo el mundo. Sus servicios profesionales incluyen la instalación, implementación, capacitación y personalización de software y otros servicios. La Compañía vende licencias de software en las instalaciones tanto a perpetuo como a plazo especificado. Cuenta con seis grupos operativos, que dan servicio a clientes en más de 100 mercados diferentes en todo el mundo. Los seis grupos operativos incluyen Volaris, Harris, Topicus.com, Vela, Jonas, y Grupo Perseus. Opera oficinas en América del Norte, Europa Continental, Reino Unido, América del Sur, África, y Australia.</v>
    <v>64000</v>
    <v>XTSE</v>
    <v>46314.775555555556</v>
    <v>Toronto Stock Exchange</v>
    <v>184</v>
    <v>3184.2</v>
    <v>3898.03</v>
    <v>3104.68</v>
    <v>2196</v>
    <v>CAD</v>
    <v>Constellation Software Inc.</v>
    <v>Constellation Software Inc.</v>
    <v>49.2575</v>
    <v>3170.8</v>
    <v>Software &amp; IT Services</v>
    <v>#66 Wellington Street West, Suite 5300, TD Bank Tower, TORONTO, ON, M5K 1E6 CA</v>
    <v>CSU</v>
    <v>Acciones</v>
    <v>Constellation Software Inc. (XTSE:CSU)</v>
    <v>20874</v>
    <v>61740</v>
  </rv>
  <rv s="2">
    <v>185</v>
  </rv>
  <rv s="0">
    <v>https://www.bing.com/financeapi/forcetrigger?t=bptw77&amp;q=XNYS%3aUBER&amp;form=skydnc</v>
    <v>Learn more on Bing</v>
  </rv>
  <rv s="1">
    <v>es-ES</v>
    <v>bptw77</v>
    <v>268435456</v>
    <v>1</v>
    <v>Con tecnología de Refinitiv</v>
    <v>0</v>
    <v>1</v>
    <v>UBER TECHNOLOGIES, INC. (XNYS:UBER)</v>
    <v>3</v>
    <v>4</v>
    <v>Finance</v>
    <v>5</v>
    <v>XNYS</v>
    <v>2042560000</v>
    <v>2010</v>
    <v>70.16</v>
    <v>1.3187</v>
    <v>-0.01</v>
    <v>-1.4210000000000001E-4</v>
    <v>143673670400</v>
    <v>70.349999999999994</v>
    <v>Uber Technologies, Inc. Opera una plataforma tecnológica que utiliza redes y tecnología para impulsar el movimiento desde el punto A al punto B. Desarrolla y opera aplicaciones tecnológicas que soportan una variedad de ofertas en su plataforma (plataforma(s)). Sus segmentos incluyen Movilidad, Entrega y Carga. Los productos de movilidad conectan a los consumidores con conductores que ofrecen viajes en una variedad de vehículos, como automóviles, rickshaws de automóviles, motos, minibuses, etc. o taxis. Las ofertas de entrega permiten a los consumidores buscar y descubrir restaurantes locales, pedir una comida y recoger en el restaurante o hacer que se les entregue la comida. En ciertos mercados, el segmento de Entrega ofrece ofertas para la entrega de comestibles, alcohol y tiendas de conveniencia, así como otros productos seleccionados. El segmento de carga conecta a los transportistas con los transportistas en su plataforma, y ofrece a los transportistas por adelantado, precios y la capacidad de reservar un envío. El segmento de carga también incluye la gestión del transporte y otras ofertas de servicios logísticos.</v>
    <v>34000</v>
    <v>XNYS</v>
    <v>46314.786256735941</v>
    <v>New York Stock Exchange</v>
    <v>187</v>
    <v>70.760000000000005</v>
    <v>100.35</v>
    <v>69.775000000000006</v>
    <v>65.41</v>
    <v>USD</v>
    <v>UBER TECHNOLOGIES, INC.</v>
    <v>UBER TECHNOLOGIES, INC.</v>
    <v>15.440300000000001</v>
    <v>70.34</v>
    <v>Software &amp; IT Services</v>
    <v>1725 3Rd Street, SAN FRANCISCO, CA, 94158 US</v>
    <v>UBER</v>
    <v>Acciones</v>
    <v>UBER TECHNOLOGIES, INC. (XNYS:UBER)</v>
    <v>8356582</v>
    <v>16188034</v>
  </rv>
  <rv s="2">
    <v>188</v>
  </rv>
  <rv s="0">
    <v>https://www.bing.com/financeapi/forcetrigger?t=aodtkr&amp;q=XLON%3aSOM&amp;form=skydnc</v>
    <v>Learn more on Bing</v>
  </rv>
  <rv s="1">
    <v>es-ES</v>
    <v>aodtkr</v>
    <v>268435456</v>
    <v>1</v>
    <v>Con tecnología de Refinitiv</v>
    <v>0</v>
    <v>1</v>
    <v>Somero (XLON:SOM)</v>
    <v>3</v>
    <v>20</v>
    <v>Finance</v>
    <v>21</v>
    <v>XLON</v>
    <v>51591630</v>
    <v>2002</v>
    <v>272.5</v>
    <v>0.89710000000000001</v>
    <v>9</v>
    <v>3.2966999999999996E-2</v>
    <v>140263800</v>
    <v>273</v>
    <v>Somero Enterprises, Inc. provides concrete-levelling equipment, training, education and support to customers in over 90 countries. The Company's technology allows its customers to install horizontal concrete floors. Its equipment that incorporates laser-technology and wide-placement methods is used to place and screed the concrete slab in all building types and has been specified for use in a range of commercial construction projects for numerous global blue-chip companies. The Company's product categories include lightweight screeds, ride-on laser concrete screeds, boom screeds, stationary screeds, materials placement, software packaging, factory certified remanufactured, and parts and accessories. Its lightweight screeds include Mini Screed C and CH XD 3.0. The Company's ride-on laser concrete screeds include S-485 Laser Screed, S-940 Laser Screed and S-940e Laser Screed-Electric. Its software packages include 3D Concrete Profiler System, SiteShape System and Floor Levelness System.</v>
    <v>179</v>
    <v>XLON</v>
    <v>46314.657548575778</v>
    <v>London Stock Exchange</v>
    <v>190</v>
    <v>282</v>
    <v>282</v>
    <v>279</v>
    <v>170</v>
    <v>GBp</v>
    <v>Somero</v>
    <v>Somero</v>
    <v>13.907299999999999</v>
    <v>282</v>
    <v>Machinery, Equipment &amp; Components</v>
    <v>14530 Global Pkwy, FORT MYERS, FL, 33913 US</v>
    <v>SOM</v>
    <v>Acciones</v>
    <v>Somero (XLON:SOM)</v>
    <v>118547</v>
    <v>70700</v>
  </rv>
  <rv s="2">
    <v>191</v>
  </rv>
  <rv s="0">
    <v>https://www.bing.com/financeapi/forcetrigger?t=ajflbh&amp;q=XMIL%3aIP&amp;form=skydnc</v>
    <v>Learn more on Bing</v>
  </rv>
  <rv s="9">
    <v>es-ES</v>
    <v>ajflbh</v>
    <v>268435456</v>
    <v>1</v>
    <v>Con tecnología de Refinitiv</v>
    <v>33</v>
    <v>34</v>
    <v>Interpump Group S.p.A. (XMIL:IP)</v>
    <v>3</v>
    <v>35</v>
    <v>Finance</v>
    <v>36</v>
    <v>XMIL</v>
    <v>108879300</v>
    <v>36.979999999999997</v>
    <v>1.1971000000000001</v>
    <v>-0.32</v>
    <v>-8.6160000000000004E-3</v>
    <v>4043777000</v>
    <v>37.14</v>
    <v>Interpump Group SpA es una empresa con sede en Italia que fabrica y comercializa bombas de émbolo de alta y muy alta presión, sistemas de muy alta presión, tomas de fuerza, bombas de engranajes, cilindros hidráulicos, controles direccionales, válvulas, mangueras y accesorios hidráulicos, y otros productos hidráulicos. Opera a través de dos segmentos: el Sector Hidráulico y el Sector de Chorro de Agua. El Sector Hidráulico incluye la producción y venta de tomas de fuerza para vehículos industriales, cilindros, bombas, válvulas, mangueras y otros accesorios hidráulicos bajo marcas como Hydrocar, PZB, Muncie, Penta entre otras. El Sector de Chorro de Agua está formado por bombas y sistemas de bombeo de alta y muy alta presión utilizados en diversos sectores industriales para el transporte de fluidos. Este sector además fabrica componentes y sistemas para la industria alimentaria, cosmética y farmacéutica bajo las marcas Bertoli, Inoxpa y Mariotti &amp; Pecini. La Empresa opera a través del sistema de fluido 80.</v>
    <v>9712</v>
    <v>XMIL</v>
    <v>46314.666666666664</v>
    <v>Borsa Italiana</v>
    <v>193</v>
    <v>37.159999999999997</v>
    <v>51.3</v>
    <v>36.4</v>
    <v>30.1</v>
    <v>EUR</v>
    <v>Interpump Group S.p.A.</v>
    <v>Interpump Group S.p.A.</v>
    <v>18.511700000000001</v>
    <v>36.82</v>
    <v>Machinery, Equipment &amp; Components</v>
    <v>Via E. Fermi, 25, SANT'ILARIO D'ENZA, REGGIO EMILIA, 42049 IT</v>
    <v>IP</v>
    <v>Acciones</v>
    <v>Interpump Group S.p.A. (XMIL:IP)</v>
    <v>112268</v>
    <v>154290</v>
  </rv>
  <rv s="2">
    <v>194</v>
  </rv>
  <rv s="0">
    <v>https://www.bing.com/financeapi/forcetrigger?t=ae9vtc&amp;q=XPAR%3aRBT&amp;form=skydnc</v>
    <v>Learn more on Bing</v>
  </rv>
  <rv s="1">
    <v>es-ES</v>
    <v>ae9vtc</v>
    <v>268435456</v>
    <v>1</v>
    <v>Con tecnología de Refinitiv</v>
    <v>0</v>
    <v>1</v>
    <v>Robertet (XPAR:RBT)</v>
    <v>3</v>
    <v>12</v>
    <v>Finance</v>
    <v>13</v>
    <v>XPAR</v>
    <v>2169300</v>
    <v>1957</v>
    <v>769</v>
    <v>0.4577</v>
    <v>1</v>
    <v>1.2889999999999998E-3</v>
    <v>1664221000</v>
    <v>776</v>
    <v>Robertet SA is a France-based holding company engaged in the production and distribution of flavor and perfume additives and ingredients. The Company's operations are conducted through three divisions: Raw Materials, which supplies ingredients to the cosmetics industry for products such as soaps, shampoos, and other beauty products, as well as air fresheners; Fragrance, providing ingredients that go into the creations of a number of perfumes and scents, and flavours, including products for food and beverage industries. The Company operates globally through a network of subsidiaries, including Bionov, Robertet GmbH, Robertet Argentina, Robertet Do Brasil, Robertet Hiyoki, Robertet Turkey, Robertet de Mexico, Robertet USA, Robertet Italia, Robertet Savoury, and Aroma Esencial Sl, among others.</v>
    <v>2750</v>
    <v>XPAR</v>
    <v>46314.666666666664</v>
    <v>Euronext Paris</v>
    <v>196</v>
    <v>777</v>
    <v>922</v>
    <v>767</v>
    <v>710</v>
    <v>EUR</v>
    <v>Robertet</v>
    <v>Robertet</v>
    <v>17.1936</v>
    <v>777</v>
    <v>Chemicals</v>
    <v>37 Avenue Sidi Brahim, Bp 52100, GRASSE, PACA, 06130 FR</v>
    <v>RBT</v>
    <v>Acciones</v>
    <v>Robertet (XPAR:RBT)</v>
    <v>797</v>
    <v>700</v>
  </rv>
  <rv s="2">
    <v>197</v>
  </rv>
  <rv s="12">
    <v>es-ES</v>
    <v>cg32pr</v>
    <v>268435456</v>
    <v>1</v>
    <v>Con tecnología de Refinitiv</v>
    <v>47</v>
    <v>48</v>
    <v>Roko (XSTO:ROKO B)</v>
    <v>28</v>
    <v>41</v>
    <v>Finance</v>
    <v>23</v>
    <v>XSTO</v>
    <v>12136500</v>
    <v>2019</v>
    <v>1900</v>
    <v>0.76300000000000001</v>
    <v>-20</v>
    <v>-1.0417000000000001E-2</v>
    <v>23302080000</v>
    <v>1920</v>
    <v>Roko AB (publ) is a Sweden-based company primarily engaged in the investment and risk capital industry. The Company focuses on acquiring and managing small- and medium-sized profitable businesses across Europe. Their key product is equity capital investment, which is a financial service.</v>
    <v>1829</v>
    <v>XSTO</v>
    <v>46314.666666666664</v>
    <v>NASDAQ Stockholm</v>
    <v>1908</v>
    <v>1888</v>
    <v>SEK</v>
    <v>Roko</v>
    <v>Roko</v>
    <v>35.83</v>
    <v>1900</v>
    <v>Investment Banking &amp; Investment Services</v>
    <v>Ostermalmsgatan 33, STOCKSUND, STOCKHOLM, 114 26 SE</v>
    <v>ROKO B</v>
    <v>Acciones</v>
    <v>Roko (XSTO:ROKO B)</v>
    <v>7008</v>
    <v>9520</v>
  </rv>
  <rv s="2">
    <v>199</v>
  </rv>
  <rv s="0">
    <v>https://www.bing.com/financeapi/forcetrigger?t=a253tc&amp;q=XNYS%3aUSPH&amp;form=skydnc</v>
    <v>Learn more on Bing</v>
  </rv>
  <rv s="1">
    <v>es-ES</v>
    <v>a253tc</v>
    <v>268435456</v>
    <v>1</v>
    <v>Con tecnología de Refinitiv</v>
    <v>0</v>
    <v>1</v>
    <v>U. S. PHYSICAL THERAPY, INC. (XNYS:USPH)</v>
    <v>3</v>
    <v>4</v>
    <v>Finance</v>
    <v>5</v>
    <v>XNYS</v>
    <v>14922700</v>
    <v>1992</v>
    <v>85.32</v>
    <v>1.1601999999999999</v>
    <v>-1.2749999999999999</v>
    <v>-1.4876E-2</v>
    <v>1259998174</v>
    <v>85.71</v>
    <v>U.S. Physical Therapy, Inc. Es un operador de clínicas de terapia física ambulatoria y proveedor de servicios de prevención de lesiones industriales. Posee y/o administra 795 clínicas de fisioterapia ambulatoria en 45 estados. Sus segmentos reportables incluyen el segmento de Operaciones de Terapia Física y el segmento de Servicios de Prevención de Lesiones Industriales (IIP). El segmento de Operaciones de Terapia Física consiste en fisioterapia, terapia del habla y clínicas de terapia ocupacional y prácticas de terapia física y del habla en el hogar que proporcionan atención y tratamiento pre y post-operatorios para una variedad de trastornos relacionados con la ortopedia, lesiones relacionadas con el deporte y rehabilitación de trabajadores lesionados. El segmento IIP incluye servicios in situ para los empleados de los clientes, incluyendo prevención y rehabilitación de lesiones, optimización del rendimiento, pruebas de empleo post-oferta, evaluaciones de capacidad funcional y evaluaciones ergonómicas. La mayoría de estos servicios son contratados y pagados directamente por los empleadores.</v>
    <v>4200</v>
    <v>XNYS</v>
    <v>46314.786152846878</v>
    <v>New York Stock Exchange</v>
    <v>201</v>
    <v>86.35</v>
    <v>93.5</v>
    <v>84.09</v>
    <v>58.19</v>
    <v>USD</v>
    <v>U. S. PHYSICAL THERAPY, INC.</v>
    <v>U. S. PHYSICAL THERAPY, INC.</v>
    <v>480.56349999999998</v>
    <v>84.435000000000002</v>
    <v>Healthcare Providers &amp; Services</v>
    <v>1300 West Sam Houston Parkway South, Suite 300, HOUSTON, TX, 77043 US</v>
    <v>USPH</v>
    <v>Acciones</v>
    <v>U. S. PHYSICAL THERAPY, INC. (XNYS:USPH)</v>
    <v>67305</v>
    <v>192826</v>
  </rv>
  <rv s="2">
    <v>202</v>
  </rv>
  <rv s="0">
    <v>https://www.bing.com/financeapi/forcetrigger?t=aftlr7&amp;q=XETR%3aSAP&amp;form=skydnc</v>
    <v>Learn more on Bing</v>
  </rv>
  <rv s="1">
    <v>es-ES</v>
    <v>aftlr7</v>
    <v>268435456</v>
    <v>1</v>
    <v>Con tecnología de Refinitiv</v>
    <v>0</v>
    <v>1</v>
    <v>SAP SE (XETR:SAP)</v>
    <v>3</v>
    <v>12</v>
    <v>Finance</v>
    <v>13</v>
    <v>XETR</v>
    <v>1228504000</v>
    <v>2014</v>
    <v>199.56</v>
    <v>1.1409</v>
    <v>0.62</v>
    <v>3.1119999999999997E-3</v>
    <v>244742600000</v>
    <v>199.22</v>
    <v>SAP SE (SAP) es una empresa alemana de software de aplicaciones. La compañía opera a través de dos segmentos: el segmento de Aplicaciones, Tecnología y Soporte (ATS) y su segmento de Servicios Centrales. El segmento ATS abarca el portafolio integrado de productos de la compañía e incluye ofertas de suscripción en la nube, servicios de soporte y soluciones de capacitación. También comprende actividades relacionadas con la operación de tecnologías en la nube y la prestación de soporte al cliente asociado con sus productos de software. El segmento de Servicios Centrales complementa el portafolio de productos de la compañía mediante la entrega de servicios de consultoría y soporte premium para ayudar a los clientes a adoptar sus innovaciones. Los ingresos de este segmento provienen principalmente de servicios profesionales y ofertas de soporte mejoradas, mientras que los costos surgen de la ejecución de estas actividades de servicio.</v>
    <v>112019</v>
    <v>XETR</v>
    <v>46314.775833333333</v>
    <v>Xetra</v>
    <v>204</v>
    <v>200.8</v>
    <v>244.3</v>
    <v>197.32</v>
    <v>127.5</v>
    <v>EUR</v>
    <v>SAP SE</v>
    <v>SAP SE</v>
    <v>29.691299999999998</v>
    <v>199.84</v>
    <v>Software &amp; IT Services</v>
    <v>Dietmar-Hopp-Allee 16, WALLDORF, BADEN-WUERTTEMBERG, 69190 DE</v>
    <v>SAP</v>
    <v>Acciones</v>
    <v>SAP SE (XETR:SAP)</v>
    <v>1749869</v>
    <v>1936110</v>
  </rv>
  <rv s="2">
    <v>205</v>
  </rv>
  <rv s="13">
    <v>es-ES</v>
    <v>dacqpr</v>
    <v>268435456</v>
    <v>1</v>
    <v>Con tecnología de Refinitiv</v>
    <v>49</v>
    <v>50</v>
    <v>VYLOR INC. (XNYS:VYLR)</v>
    <v>28</v>
    <v>51</v>
    <v>Finance</v>
    <v>5</v>
    <v>XNYS</v>
    <v>667196000</v>
    <v>2025</v>
    <v>71.89</v>
    <v>-0.52</v>
    <v>-7.2040000000000003E-3</v>
    <v>47811265360</v>
    <v>72.180000000000007</v>
    <v>Vylor Inc. Está enfocada en el negocio de semillas, incluyendo sus plataformas de crecimiento global en licencias, edición de genes, trigo híbrido y biocombustibles. La Compañía es un productor global de semillas que utiliza tecnología de vanguardia, incluyendo genética avanzada y rasgos patentados que aumentan el rendimiento, la sostenibilidad y la curación de los cultivos.</v>
    <v>XNYS</v>
    <v>46314.786252291407</v>
    <v>New York Stock Exchange</v>
    <v>73</v>
    <v>77.39</v>
    <v>70.75</v>
    <v>65.000100000000003</v>
    <v>USD</v>
    <v>VYLOR INC.</v>
    <v>VYLOR INC.</v>
    <v>87.571799999999996</v>
    <v>71.66</v>
    <v>Food &amp; Tobacco</v>
    <v>7100 NW 62nd Avenue, JOHNSTON, IA, 50131 US</v>
    <v>VYLR</v>
    <v>Acciones</v>
    <v>VYLOR INC. (XNYS:VYLR)</v>
    <v>2386784</v>
    <v>6880370</v>
  </rv>
  <rv s="2">
    <v>207</v>
  </rv>
  <rv s="0">
    <v>https://www.bing.com/financeapi/forcetrigger?t=a21rw7&amp;q=XNYS%3aRCL&amp;form=skydnc</v>
    <v>Learn more on Bing</v>
  </rv>
  <rv s="1">
    <v>es-ES</v>
    <v>a21rw7</v>
    <v>268435456</v>
    <v>1</v>
    <v>Con tecnología de Refinitiv</v>
    <v>0</v>
    <v>1</v>
    <v>ROYAL CARIBBEAN CRUISES LTD. (XNYS:RCL)</v>
    <v>3</v>
    <v>4</v>
    <v>Finance</v>
    <v>5</v>
    <v>XNYS</v>
    <v>267452100</v>
    <v>1985</v>
    <v>278.005</v>
    <v>1.915</v>
    <v>3.54</v>
    <v>1.2747999999999999E-2</v>
    <v>75212879562</v>
    <v>277.68</v>
    <v>Royal Caribbean Cruises Ltd. Es una compañía de cruceros, que posee y opera tres marcas de cruceros globales: Royal Caribbean International, Celebrity Cruises y Silversea Cruises. También tiene interés en TUI Cruises GmbH, que opera las marcas alemanas TUI Cruises y Hapag-Lloyd Cruises. Sus barcos ofrecen una selección de itinerarios mundiales que hacen escala en aproximadamente 1.000 destinos en los siete continentes. Royal Caribbean International ofrece cruceros y destinos terrestres que generalmente ofrecen un ambiente informal, así como una variedad de actividades y lugares de entretenimiento. Celebrity Cruises ofrece una amplia gama de itinerarios a destinos, incluyendo Alaska, Asia, Australia, Bermudas, Canadá, el Caribe, Europa, las Islas Galápagos, Hawái, nueva Zelanda, el Canal de Panamá y América del Sur, con cruceros de tres a 14 noches. También ofrece una variedad de destinos privados de tierra a través de Perfect Day at CocoCay, incluye parque acuático completo, tirolesa y otros.</v>
    <v>107950</v>
    <v>XNYS</v>
    <v>46314.786226180469</v>
    <v>New York Stock Exchange</v>
    <v>209</v>
    <v>282.5</v>
    <v>356.39</v>
    <v>275.77999999999997</v>
    <v>222.22</v>
    <v>USD</v>
    <v>ROYAL CARIBBEAN CRUISES LTD.</v>
    <v>ROYAL CARIBBEAN CRUISES LTD.</v>
    <v>17.346599999999999</v>
    <v>281.22000000000003</v>
    <v>Hotels &amp; Entertainment Services</v>
    <v>1050 Caribbean Way, MIAMI, FL, 33132 US</v>
    <v>RCL</v>
    <v>Acciones</v>
    <v>ROYAL CARIBBEAN CRUISES LTD. (XNYS:RCL)</v>
    <v>939595</v>
    <v>3014092</v>
  </rv>
  <rv s="2">
    <v>210</v>
  </rv>
  <rv s="14">
    <v>es-ES</v>
    <v>av8wim</v>
    <v>268435456</v>
    <v>1</v>
    <v>Con tecnología de Refinitiv</v>
    <v>52</v>
    <v>53</v>
    <v>EUR/JPY</v>
    <v>54</v>
    <v>55</v>
    <v>Finance</v>
    <v>56</v>
    <v>177.01</v>
    <v>0.18</v>
    <v>1.0140000000000001E-3</v>
    <v>177.54</v>
    <v>EUR</v>
    <v>46314.786261574074</v>
    <v>177.78</v>
    <v>187.93</v>
    <v>176.76</v>
    <v>174.77</v>
    <v>JPY</v>
    <v>Euro/Japanese Yen FX Cross Rate</v>
    <v>177.72</v>
    <v>EURJPY</v>
    <v>Par de divisa</v>
    <v>EUR/JPY</v>
  </rv>
  <rv s="2">
    <v>212</v>
  </rv>
  <rv s="14">
    <v>es-ES</v>
    <v>avv7r7</v>
    <v>268435456</v>
    <v>1</v>
    <v>Con tecnología de Refinitiv</v>
    <v>52</v>
    <v>53</v>
    <v>CHF/USD</v>
    <v>54</v>
    <v>57</v>
    <v>Finance</v>
    <v>56</v>
    <v>1.2117</v>
    <v>-3.8E-3</v>
    <v>-3.1310000000000001E-3</v>
    <v>1.2136</v>
    <v>CHF</v>
    <v>46314.786238425928</v>
    <v>1.2144999999999999</v>
    <v>1.3149</v>
    <v>1.2092000000000001</v>
    <v>1.1908000000000001</v>
    <v>USD</v>
    <v>Swiss Franc/US Dollar FX Cross Rate</v>
    <v>1.2098</v>
    <v>CHFUSD</v>
    <v>Par de divisa</v>
    <v>CHF/USD</v>
  </rv>
  <rv s="2">
    <v>214</v>
  </rv>
  <rv s="14">
    <v>es-ES</v>
    <v>avyosm</v>
    <v>268435456</v>
    <v>1</v>
    <v>Con tecnología de Refinitiv</v>
    <v>52</v>
    <v>53</v>
    <v>USD/KZT</v>
    <v>54</v>
    <v>58</v>
    <v>Finance</v>
    <v>56</v>
    <v>451.98</v>
    <v>-0.18</v>
    <v>-3.9820000000000003E-4</v>
    <v>452.07</v>
    <v>USD</v>
    <v>46314.771215277775</v>
    <v>453.58</v>
    <v>540.4</v>
    <v>451.93</v>
    <v>439.14</v>
    <v>KZT</v>
    <v>US Dollar/Kazakhstan Tenge FX Spot Rate</v>
    <v>451.89</v>
    <v>USDKZT</v>
    <v>Par de divisa</v>
    <v>USD/KZT</v>
  </rv>
  <rv s="2">
    <v>216</v>
  </rv>
  <rv s="14">
    <v>es-ES</v>
    <v>av3wnm</v>
    <v>268435456</v>
    <v>1</v>
    <v>Con tecnología de Refinitiv</v>
    <v>52</v>
    <v>53</v>
    <v>CAD/USD</v>
    <v>54</v>
    <v>57</v>
    <v>Finance</v>
    <v>56</v>
    <v>0.70689999999999997</v>
    <v>1.8E-3</v>
    <v>2.5460000000000001E-3</v>
    <v>0.70709999999999995</v>
    <v>CAD</v>
    <v>46314.786226851851</v>
    <v>0.7107</v>
    <v>0.74170000000000003</v>
    <v>0.70679999999999998</v>
    <v>0.69920000000000004</v>
    <v>USD</v>
    <v>Canadian Dollar/US Dollar FX Cross Rate</v>
    <v>0.70889999999999997</v>
    <v>CADUSD</v>
    <v>Par de divisa</v>
    <v>CAD/USD</v>
  </rv>
  <rv s="2">
    <v>218</v>
  </rv>
  <rv s="14">
    <v>es-ES</v>
    <v>avyn9c</v>
    <v>268435456</v>
    <v>1</v>
    <v>Con tecnología de Refinitiv</v>
    <v>52</v>
    <v>53</v>
    <v>USD/EUR</v>
    <v>54</v>
    <v>59</v>
    <v>Finance</v>
    <v>56</v>
    <v>0.89239999999999997</v>
    <v>2E-3</v>
    <v>2.248E-3</v>
    <v>0.88970000000000005</v>
    <v>USD</v>
    <v>46314.786215277774</v>
    <v>0.89410000000000001</v>
    <v>0.89980000000000004</v>
    <v>0.89019999999999999</v>
    <v>0.82779999999999998</v>
    <v>EUR</v>
    <v>US Dollar/Euro FX Cross Rate</v>
    <v>0.89170000000000005</v>
    <v>USDEUR</v>
    <v>Par de divisa</v>
    <v>USD/EUR</v>
  </rv>
  <rv s="2">
    <v>220</v>
  </rv>
</rvData>
</file>

<file path=xl/richData/rdrichvaluestructure.xml><?xml version="1.0" encoding="utf-8"?>
<rvStructures xmlns="http://schemas.microsoft.com/office/spreadsheetml/2017/richdata" count="15">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ntercambio" t="s"/>
    <k n="LearnMoreOnLink" t="r"/>
    <k n="Máximo"/>
    <k n="Máximo en 52 semanas"/>
    <k n="Mínimo"/>
    <k n="Mínimo en 52 semanas"/>
    <k n="Moneda" t="s"/>
    <k n="Nombre" t="s"/>
    <k n="Nombre oficial" t="s"/>
    <k n="P/I"/>
    <k n="Precio"/>
    <k n="Sector" t="s"/>
    <k n="Sede central" t="s"/>
    <k n="Símbolo bursátil" t="s"/>
    <k n="Tipo de instrumento" t="s"/>
    <k n="UniqueName" t="s"/>
    <k n="Volumen"/>
    <k n="Volumen promedio"/>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magen" t="r"/>
    <k n="Intercambio" t="s"/>
    <k n="LearnMoreOnLink" t="r"/>
    <k n="Máximo"/>
    <k n="Máximo en 52 semanas"/>
    <k n="Mínimo"/>
    <k n="Mínimo en 52 semanas"/>
    <k n="Moneda" t="s"/>
    <k n="Nombre" t="s"/>
    <k n="Nombre oficial" t="s"/>
    <k n="P/I"/>
    <k n="Preci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horario ampliado)"/>
    <k n="Cambio (%)"/>
    <k n="Cambio (horario ampliado)"/>
    <k n="Capitalización de mercado"/>
    <k n="Cierre anterior"/>
    <k n="Descripción" t="s"/>
    <k n="Empleados"/>
    <k n="ExchangeID" t="s"/>
    <k n="Hora de la última operación"/>
    <k n="Intercambio" t="s"/>
    <k n="LearnMoreOnLink" t="r"/>
    <k n="Máximo"/>
    <k n="Máximo en 52 semanas"/>
    <k n="Mínimo"/>
    <k n="Mínimo en 52 semanas"/>
    <k n="Moneda" t="s"/>
    <k n="Nombre" t="s"/>
    <k n="Nombre oficial" t="s"/>
    <k n="P/I"/>
    <k n="Precio"/>
    <k n="Precio (horario ampliad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ntercambio" t="s"/>
    <k n="Máximo"/>
    <k n="Máximo en 52 semanas"/>
    <k n="Mínimo"/>
    <k n="Mínimo en 52 semanas"/>
    <k n="Moneda" t="s"/>
    <k n="Nombre" t="s"/>
    <k n="Nombre oficial" t="s"/>
    <k n="P/I"/>
    <k n="Preci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ntercambio" t="s"/>
    <k n="Máximo"/>
    <k n="Mínimo"/>
    <k n="Moneda" t="s"/>
    <k n="Nombre" t="s"/>
    <k n="Nombre oficial" t="s"/>
    <k n="Preci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pertura"/>
    <k n="Beta"/>
    <k n="Cambio"/>
    <k n="Cambio (%)"/>
    <k n="Capitalización de mercado"/>
    <k n="Cierre anterior"/>
    <k n="Descripción" t="s"/>
    <k n="Empleados"/>
    <k n="ExchangeID" t="s"/>
    <k n="Hora de la última operación"/>
    <k n="Intercambio" t="s"/>
    <k n="LearnMoreOnLink" t="r"/>
    <k n="Máximo"/>
    <k n="Máximo en 52 semanas"/>
    <k n="Mínimo"/>
    <k n="Mínimo en 52 semanas"/>
    <k n="Moneda" t="s"/>
    <k n="Nombre" t="s"/>
    <k n="Nombre oficial" t="s"/>
    <k n="P/I"/>
    <k n="Preci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ntercambio" t="s"/>
    <k n="LearnMoreOnLink" t="r"/>
    <k n="Máximo"/>
    <k n="Mínimo"/>
    <k n="Moneda" t="s"/>
    <k n="Nombre" t="s"/>
    <k n="Nombre oficial" t="s"/>
    <k n="P/I"/>
    <k n="Preci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ntercambio" t="s"/>
    <k n="LearnMoreOnLink" t="r"/>
    <k n="Máximo"/>
    <k n="Máximo en 52 semanas"/>
    <k n="Mínimo"/>
    <k n="Mínimo en 52 semanas"/>
    <k n="Moneda" t="s"/>
    <k n="Nombre" t="s"/>
    <k n="Nombre oficial" t="s"/>
    <k n="Preci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ntercambio" t="s"/>
    <k n="Máximo"/>
    <k n="Mínimo"/>
    <k n="Moneda" t="s"/>
    <k n="Nombre" t="s"/>
    <k n="Nombre oficial" t="s"/>
    <k n="P/I"/>
    <k n="Preci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Cambio"/>
    <k n="Cambio (%)"/>
    <k n="Capitalización de mercado"/>
    <k n="Cierre anterior"/>
    <k n="Descripción" t="s"/>
    <k n="ExchangeID" t="s"/>
    <k n="Hora de la última operación"/>
    <k n="Intercambio" t="s"/>
    <k n="Máximo"/>
    <k n="Máximo en 52 semanas"/>
    <k n="Mínimo"/>
    <k n="Mínimo en 52 semanas"/>
    <k n="Moneda" t="s"/>
    <k n="Nombre" t="s"/>
    <k n="Nombre oficial" t="s"/>
    <k n="P/I"/>
    <k n="Preci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pertura"/>
    <k n="Cambio"/>
    <k n="Cambio (%)"/>
    <k n="Cierre anterior"/>
    <k n="De la moneda" t="s"/>
    <k n="Hora de la última operación"/>
    <k n="Máximo"/>
    <k n="Máximo en 52 semanas"/>
    <k n="Mínimo"/>
    <k n="Mínimo en 52 semanas"/>
    <k n="Moneda" t="s"/>
    <k n="Nombre" t="s"/>
    <k n="Precio"/>
    <k n="Símbolo bursátil" t="s"/>
    <k n="Tipo de instrumento" t="s"/>
    <k n="UniqueName" t="s"/>
  </s>
</rvStructures>
</file>

<file path=xl/richData/rdsupportingpropertybag.xml><?xml version="1.0" encoding="utf-8"?>
<supportingPropertyBags xmlns="http://schemas.microsoft.com/office/spreadsheetml/2017/richdata2">
  <spbArrays count="11">
    <a count="43">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P/I</v>
      <v t="s">Acciones en circulación</v>
      <v t="s">Descripción</v>
      <v t="s">Empleados</v>
      <v t="s">Sede central</v>
      <v t="s">Sector</v>
      <v t="s">Tipo de instrumento</v>
      <v t="s">Año de constitución</v>
      <v t="s">_Flags</v>
      <v t="s">UniqueName</v>
      <v t="s">_DisplayString</v>
      <v t="s">LearnMoreOnLink</v>
      <v t="s">ExchangeID</v>
      <v t="s">%ProviderInfo</v>
    </a>
    <a count="44">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P/I</v>
      <v t="s">Acciones en circulación</v>
      <v t="s">Descripción</v>
      <v t="s">Empleados</v>
      <v t="s">Sede central</v>
      <v t="s">Sector</v>
      <v t="s">Tipo de instrumento</v>
      <v t="s">Año de constitución</v>
      <v t="s">_Flags</v>
      <v t="s">UniqueName</v>
      <v t="s">_DisplayString</v>
      <v t="s">LearnMoreOnLink</v>
      <v t="s">Imagen</v>
      <v t="s">ExchangeID</v>
      <v t="s">%ProviderInfo</v>
    </a>
    <a count="46">
      <v t="s">%EntityServiceId</v>
      <v t="s">_Format</v>
      <v t="s">%IsRefreshable</v>
      <v t="s">_CanonicalPropertyNames</v>
      <v t="s">%EntityCulture</v>
      <v t="s">%EntityId</v>
      <v t="s">_Icon</v>
      <v t="s">_Display</v>
      <v t="s">Nombre</v>
      <v t="s">_SubLabel</v>
      <v t="s">Precio</v>
      <v t="s">Precio (horario ampliado)</v>
      <v t="s">Intercambio</v>
      <v t="s">Nombre oficial</v>
      <v t="s">Hora de la última operación</v>
      <v t="s">Símbolo bursátil</v>
      <v t="s">Abreviatura de intercambio</v>
      <v t="s">Cambio</v>
      <v t="s">Cambio (horario ampliado)</v>
      <v t="s">Cambio (%)</v>
      <v t="s">Cambio % (horario ampliado)</v>
      <v t="s">Moneda</v>
      <v t="s">Cierre anterior</v>
      <v t="s">Apertura</v>
      <v t="s">Máximo</v>
      <v t="s">Mínimo</v>
      <v t="s">Máximo en 52 semanas</v>
      <v t="s">Mínimo en 52 semanas</v>
      <v t="s">Volumen</v>
      <v t="s">Volumen promedio</v>
      <v t="s">Capitalización de mercado</v>
      <v t="s">Beta</v>
      <v t="s">P/I</v>
      <v t="s">Acciones en circulación</v>
      <v t="s">Descripción</v>
      <v t="s">Empleados</v>
      <v t="s">Sede central</v>
      <v t="s">Sector</v>
      <v t="s">Tipo de instrumento</v>
      <v t="s">Año de constitución</v>
      <v t="s">_Flags</v>
      <v t="s">UniqueName</v>
      <v t="s">_DisplayString</v>
      <v t="s">LearnMoreOnLink</v>
      <v t="s">ExchangeID</v>
      <v t="s">%ProviderInfo</v>
    </a>
    <a count="42">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P/I</v>
      <v t="s">Acciones en circulación</v>
      <v t="s">Descripción</v>
      <v t="s">Empleados</v>
      <v t="s">Sede central</v>
      <v t="s">Sector</v>
      <v t="s">Tipo de instrumento</v>
      <v t="s">Año de constitución</v>
      <v t="s">_Flags</v>
      <v t="s">UniqueName</v>
      <v t="s">_DisplayString</v>
      <v t="s">ExchangeID</v>
      <v t="s">%ProviderInfo</v>
    </a>
    <a count="39">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Volumen</v>
      <v t="s">Volumen promedio</v>
      <v t="s">Capitalización de mercado</v>
      <v t="s">Beta</v>
      <v t="s">Acciones en circulación</v>
      <v t="s">Descripción</v>
      <v t="s">Empleados</v>
      <v t="s">Sede central</v>
      <v t="s">Sector</v>
      <v t="s">Tipo de instrumento</v>
      <v t="s">Año de constitución</v>
      <v t="s">_Flags</v>
      <v t="s">UniqueName</v>
      <v t="s">_DisplayString</v>
      <v t="s">ExchangeID</v>
      <v t="s">%ProviderInfo</v>
    </a>
    <a count="42">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P/I</v>
      <v t="s">Acciones en circulación</v>
      <v t="s">Descripción</v>
      <v t="s">Empleados</v>
      <v t="s">Sede central</v>
      <v t="s">Sector</v>
      <v t="s">Tipo de instrumento</v>
      <v t="s">_Flags</v>
      <v t="s">UniqueName</v>
      <v t="s">_DisplayString</v>
      <v t="s">LearnMoreOnLink</v>
      <v t="s">ExchangeID</v>
      <v t="s">%ProviderInfo</v>
    </a>
    <a count="41">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Volumen</v>
      <v t="s">Volumen promedio</v>
      <v t="s">Capitalización de mercado</v>
      <v t="s">Beta</v>
      <v t="s">P/I</v>
      <v t="s">Acciones en circulación</v>
      <v t="s">Descripción</v>
      <v t="s">Empleados</v>
      <v t="s">Sede central</v>
      <v t="s">Sector</v>
      <v t="s">Tipo de instrumento</v>
      <v t="s">Año de constitución</v>
      <v t="s">_Flags</v>
      <v t="s">UniqueName</v>
      <v t="s">_DisplayString</v>
      <v t="s">LearnMoreOnLink</v>
      <v t="s">ExchangeID</v>
      <v t="s">%ProviderInfo</v>
    </a>
    <a count="42">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Acciones en circulación</v>
      <v t="s">Descripción</v>
      <v t="s">Empleados</v>
      <v t="s">Sede central</v>
      <v t="s">Sector</v>
      <v t="s">Tipo de instrumento</v>
      <v t="s">Año de constitución</v>
      <v t="s">_Flags</v>
      <v t="s">UniqueName</v>
      <v t="s">_DisplayString</v>
      <v t="s">LearnMoreOnLink</v>
      <v t="s">ExchangeID</v>
      <v t="s">%ProviderInfo</v>
    </a>
    <a count="40">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Volumen</v>
      <v t="s">Volumen promedio</v>
      <v t="s">Capitalización de mercado</v>
      <v t="s">Beta</v>
      <v t="s">P/I</v>
      <v t="s">Acciones en circulación</v>
      <v t="s">Descripción</v>
      <v t="s">Empleados</v>
      <v t="s">Sede central</v>
      <v t="s">Sector</v>
      <v t="s">Tipo de instrumento</v>
      <v t="s">Año de constitución</v>
      <v t="s">_Flags</v>
      <v t="s">UniqueName</v>
      <v t="s">_DisplayString</v>
      <v t="s">ExchangeID</v>
      <v t="s">%ProviderInfo</v>
    </a>
    <a count="40">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P/I</v>
      <v t="s">Acciones en circulación</v>
      <v t="s">Descripción</v>
      <v t="s">Sede central</v>
      <v t="s">Sector</v>
      <v t="s">Tipo de instrumento</v>
      <v t="s">Año de constitución</v>
      <v t="s">_Flags</v>
      <v t="s">UniqueName</v>
      <v t="s">_DisplayString</v>
      <v t="s">ExchangeID</v>
      <v t="s">%ProviderInfo</v>
    </a>
    <a count="28">
      <v t="s">%EntityServiceId</v>
      <v t="s">_Format</v>
      <v t="s">%IsRefreshable</v>
      <v t="s">_CanonicalPropertyNames</v>
      <v t="s">%EntityCulture</v>
      <v t="s">%EntityId</v>
      <v t="s">_Icon</v>
      <v t="s">_Display</v>
      <v t="s">Nombre</v>
      <v t="s">Precio</v>
      <v t="s">_SubLabel</v>
      <v t="s">Hora de la última operación</v>
      <v t="s">Símbolo bursátil</v>
      <v t="s">Cambio</v>
      <v t="s">Cambio (%)</v>
      <v t="s">Moneda</v>
      <v t="s">De la moneda</v>
      <v t="s">Cierre anterior</v>
      <v t="s">Apertura</v>
      <v t="s">Máximo</v>
      <v t="s">Mínimo</v>
      <v t="s">Máximo en 52 semanas</v>
      <v t="s">Mínimo en 52 semanas</v>
      <v t="s">Tipo de instrumento</v>
      <v t="s">_Flags</v>
      <v t="s">UniqueName</v>
      <v t="s">_DisplayString</v>
      <v t="s">%ProviderInfo</v>
    </a>
  </spbArrays>
  <spbData count="60">
    <spb s="0">
      <v>P/E</v>
      <v>Beta</v>
      <v>Change</v>
      <v>Currency</v>
      <v>High</v>
      <v>Low</v>
      <v>Name</v>
      <v>Price</v>
      <v>Industry</v>
      <v>Volume</v>
      <v>Open</v>
      <v>Employees</v>
      <v>Change (%)</v>
      <v>ExchangeID</v>
      <v>UniqueName</v>
      <v>Description</v>
      <v>Exchange</v>
      <v>Headquarters</v>
      <v>%ProviderInfo</v>
      <v>Official name</v>
      <v>Previous close</v>
      <v>LearnMoreOnLink</v>
      <v>Ticker symbol</v>
      <v>Volume average</v>
      <v>Year incorporated</v>
      <v>Instrument type</v>
      <v>52 week high</v>
      <v>52 week low</v>
      <v>Shares outstanding</v>
      <v>Market cap</v>
      <v>Exchange abbreviation</v>
      <v>Last trade time</v>
    </spb>
    <spb s="1">
      <v>0</v>
      <v>Name</v>
      <v>LearnMoreOnLink</v>
    </spb>
    <spb s="2">
      <v>0</v>
      <v>0</v>
      <v>0</v>
    </spb>
    <spb s="3">
      <v>2</v>
      <v>2</v>
      <v>2</v>
      <v>2</v>
    </spb>
    <spb s="4">
      <v>1</v>
      <v>1</v>
      <v>2</v>
      <v>2</v>
      <v>2</v>
      <v>3</v>
      <v>2</v>
      <v>4</v>
      <v>2</v>
      <v>4</v>
      <v>5</v>
      <v>2</v>
      <v>4</v>
      <v>6</v>
      <v>7</v>
      <v>2</v>
      <v>2</v>
      <v>4</v>
      <v>8</v>
      <v>9</v>
    </spb>
    <spb s="5">
      <v xml:space="preserve">desde el cierre anterior </v>
      <v>Tiempo real Nasdaq Última venta</v>
      <v xml:space="preserve">desde el cierre anterior </v>
      <v>Origen: Nasdaq Última venta</v>
      <v>GMT</v>
    </spb>
    <spb s="6">
      <v>P/E</v>
      <v>Beta</v>
      <v>Change</v>
      <v>Image</v>
      <v>Currency</v>
      <v>High</v>
      <v>Low</v>
      <v>Name</v>
      <v>Price</v>
      <v>Industry</v>
      <v>Volume</v>
      <v>Open</v>
      <v>Employees</v>
      <v>Change (%)</v>
      <v>ExchangeID</v>
      <v>UniqueName</v>
      <v>Description</v>
      <v>Exchange</v>
      <v>Headquarters</v>
      <v>%ProviderInfo</v>
      <v>Official name</v>
      <v>Previous close</v>
      <v>LearnMoreOnLink</v>
      <v>Ticker symbol</v>
      <v>Volume average</v>
      <v>Year incorporated</v>
      <v>Instrument type</v>
      <v>52 week high</v>
      <v>52 week low</v>
      <v>Shares outstanding</v>
      <v>Market cap</v>
      <v>Exchange abbreviation</v>
      <v>Last trade time</v>
    </spb>
    <spb s="1">
      <v>1</v>
      <v>Name</v>
      <v>LearnMoreOnLink</v>
    </spb>
    <spb s="7">
      <v>0</v>
      <v>0</v>
    </spb>
    <spb s="8">
      <v>8</v>
      <v>2</v>
      <v>2</v>
      <v>2</v>
      <v>2</v>
    </spb>
    <spb s="9">
      <v>1</v>
      <v>1</v>
      <v>2</v>
      <v>10</v>
      <v>2</v>
      <v>2</v>
      <v>3</v>
      <v>2</v>
      <v>4</v>
      <v>2</v>
      <v>4</v>
      <v>5</v>
      <v>2</v>
      <v>4</v>
      <v>6</v>
      <v>7</v>
      <v>2</v>
      <v>2</v>
      <v>4</v>
      <v>8</v>
      <v>9</v>
    </spb>
    <spb s="10">
      <v>Con tecnología de Refinitiv</v>
    </spb>
    <spb s="4">
      <v>1</v>
      <v>1</v>
      <v>11</v>
      <v>11</v>
      <v>11</v>
      <v>3</v>
      <v>11</v>
      <v>4</v>
      <v>11</v>
      <v>4</v>
      <v>5</v>
      <v>11</v>
      <v>4</v>
      <v>6</v>
      <v>7</v>
      <v>11</v>
      <v>11</v>
      <v>4</v>
      <v>12</v>
      <v>9</v>
    </spb>
    <spb s="11">
      <v xml:space="preserve">desde el cierre anterior </v>
      <v>Retrasado 15 minutos</v>
      <v xml:space="preserve">desde el cierre anterior </v>
      <v>GMT</v>
    </spb>
    <spb s="4">
      <v>1</v>
      <v>1</v>
      <v>2</v>
      <v>2</v>
      <v>2</v>
      <v>3</v>
      <v>2</v>
      <v>4</v>
      <v>2</v>
      <v>4</v>
      <v>5</v>
      <v>2</v>
      <v>4</v>
      <v>6</v>
      <v>7</v>
      <v>2</v>
      <v>2</v>
      <v>4</v>
      <v>13</v>
      <v>9</v>
    </spb>
    <spb s="4">
      <v>1</v>
      <v>1</v>
      <v>11</v>
      <v>11</v>
      <v>11</v>
      <v>3</v>
      <v>11</v>
      <v>4</v>
      <v>11</v>
      <v>4</v>
      <v>5</v>
      <v>11</v>
      <v>4</v>
      <v>6</v>
      <v>7</v>
      <v>11</v>
      <v>11</v>
      <v>4</v>
      <v>14</v>
      <v>9</v>
    </spb>
    <spb s="12">
      <v>P/E</v>
      <v>Beta</v>
      <v>Change</v>
      <v>Currency</v>
      <v>High</v>
      <v>Low</v>
      <v>Name</v>
      <v>Price</v>
      <v>Industry</v>
      <v>Volume</v>
      <v>Open</v>
      <v>Employees</v>
      <v>Change (%)</v>
      <v>ExchangeID</v>
      <v>UniqueName</v>
      <v>Description</v>
      <v>Exchange</v>
      <v>Headquarters</v>
      <v>%ProviderInfo</v>
      <v>Official name</v>
      <v>Previous close</v>
      <v>LearnMoreOnLink</v>
      <v>Ticker symbol</v>
      <v>Volume average</v>
      <v>Year incorporated</v>
      <v>Instrument type</v>
      <v>52 week high</v>
      <v>52 week low</v>
      <v>Shares outstanding</v>
      <v>Change (Extended hours)</v>
      <v>Market cap</v>
      <v>Price (Extended hours)</v>
      <v>Exchange abbreviation</v>
      <v>Change % (Extended hours)</v>
      <v>Last trade time</v>
    </spb>
    <spb s="1">
      <v>2</v>
      <v>Name</v>
      <v>LearnMoreOnLink</v>
    </spb>
    <spb s="13">
      <v>1</v>
      <v>1</v>
      <v>11</v>
      <v>11</v>
      <v>11</v>
      <v>3</v>
      <v>11</v>
      <v>4</v>
      <v>11</v>
      <v>4</v>
      <v>5</v>
      <v>11</v>
      <v>4</v>
      <v>6</v>
      <v>7</v>
      <v>11</v>
      <v>11</v>
      <v>4</v>
      <v>11</v>
      <v>12</v>
      <v>11</v>
      <v>5</v>
      <v>9</v>
    </spb>
    <spb s="14">
      <v xml:space="preserve">desde el cierre anterior </v>
      <v xml:space="preserve">al cierre </v>
      <v xml:space="preserve">desde el cierre anterior </v>
      <v xml:space="preserve">desde el cierre </v>
      <v>Retrasado 15 minutos</v>
      <v xml:space="preserve">desde el cierre </v>
      <v>GMT</v>
    </spb>
    <spb s="4">
      <v>1</v>
      <v>1</v>
      <v>15</v>
      <v>15</v>
      <v>15</v>
      <v>3</v>
      <v>15</v>
      <v>4</v>
      <v>15</v>
      <v>4</v>
      <v>5</v>
      <v>15</v>
      <v>4</v>
      <v>6</v>
      <v>7</v>
      <v>15</v>
      <v>15</v>
      <v>4</v>
      <v>16</v>
      <v>9</v>
    </spb>
    <spb s="5">
      <v xml:space="preserve">desde el cierre anterior </v>
      <v>Retrasado 15 minutos</v>
      <v xml:space="preserve">desde el cierre anterior </v>
      <v>LSE</v>
      <v>GMT</v>
    </spb>
    <spb s="4">
      <v>1</v>
      <v>1</v>
      <v>17</v>
      <v>17</v>
      <v>17</v>
      <v>3</v>
      <v>17</v>
      <v>4</v>
      <v>17</v>
      <v>4</v>
      <v>5</v>
      <v>17</v>
      <v>4</v>
      <v>6</v>
      <v>7</v>
      <v>17</v>
      <v>17</v>
      <v>4</v>
      <v>18</v>
      <v>9</v>
    </spb>
    <spb s="5">
      <v xml:space="preserve">desde el cierre anterior </v>
      <v>Retrasado 15 minutos</v>
      <v xml:space="preserve">desde el cierre anterior </v>
      <v>Origen: Nasdaq Nordic</v>
      <v>GMT</v>
    </spb>
    <spb s="4">
      <v>1</v>
      <v>1</v>
      <v>19</v>
      <v>19</v>
      <v>19</v>
      <v>3</v>
      <v>19</v>
      <v>4</v>
      <v>19</v>
      <v>4</v>
      <v>5</v>
      <v>19</v>
      <v>4</v>
      <v>6</v>
      <v>7</v>
      <v>19</v>
      <v>19</v>
      <v>4</v>
      <v>20</v>
      <v>9</v>
    </spb>
    <spb s="11">
      <v xml:space="preserve">desde el cierre anterior </v>
      <v>Final del día</v>
      <v xml:space="preserve">desde el cierre anterior </v>
      <v>GMT</v>
    </spb>
    <spb s="15">
      <v>P/E</v>
      <v>Beta</v>
      <v>Change</v>
      <v>Currency</v>
      <v>High</v>
      <v>Low</v>
      <v>Name</v>
      <v>Price</v>
      <v>Industry</v>
      <v>Volume</v>
      <v>Open</v>
      <v>Employees</v>
      <v>Change (%)</v>
      <v>ExchangeID</v>
      <v>UniqueName</v>
      <v>Description</v>
      <v>Exchange</v>
      <v>Headquarters</v>
      <v>%ProviderInfo</v>
      <v>Official name</v>
      <v>Previous close</v>
      <v>Ticker symbol</v>
      <v>Volume average</v>
      <v>Year incorporated</v>
      <v>Instrument type</v>
      <v>52 week high</v>
      <v>52 week low</v>
      <v>Shares outstanding</v>
      <v>Market cap</v>
      <v>Exchange abbreviation</v>
      <v>Last trade time</v>
    </spb>
    <spb s="16">
      <v>3</v>
      <v>Name</v>
    </spb>
    <spb s="17">
      <v>2</v>
      <v>2</v>
      <v>2</v>
    </spb>
    <spb s="4">
      <v>1</v>
      <v>1</v>
      <v>21</v>
      <v>21</v>
      <v>21</v>
      <v>3</v>
      <v>21</v>
      <v>4</v>
      <v>21</v>
      <v>4</v>
      <v>5</v>
      <v>21</v>
      <v>4</v>
      <v>6</v>
      <v>7</v>
      <v>21</v>
      <v>21</v>
      <v>4</v>
      <v>22</v>
      <v>9</v>
    </spb>
    <spb s="18">
      <v>Beta</v>
      <v>Change</v>
      <v>Currency</v>
      <v>High</v>
      <v>Low</v>
      <v>Name</v>
      <v>Price</v>
      <v>Industry</v>
      <v>Volume</v>
      <v>Open</v>
      <v>Employees</v>
      <v>Change (%)</v>
      <v>ExchangeID</v>
      <v>UniqueName</v>
      <v>Description</v>
      <v>Exchange</v>
      <v>Headquarters</v>
      <v>%ProviderInfo</v>
      <v>Official name</v>
      <v>Previous close</v>
      <v>Ticker symbol</v>
      <v>Volume average</v>
      <v>Year incorporated</v>
      <v>Instrument type</v>
      <v>Shares outstanding</v>
      <v>Market cap</v>
      <v>Exchange abbreviation</v>
      <v>Last trade time</v>
    </spb>
    <spb s="16">
      <v>4</v>
      <v>Name</v>
    </spb>
    <spb s="19">
      <v>1</v>
      <v>21</v>
      <v>21</v>
      <v>21</v>
      <v>3</v>
      <v>21</v>
      <v>4</v>
      <v>21</v>
      <v>4</v>
      <v>5</v>
      <v>21</v>
      <v>4</v>
      <v>6</v>
      <v>7</v>
      <v>4</v>
      <v>22</v>
      <v>9</v>
    </spb>
    <spb s="20">
      <v>P/E</v>
      <v>Beta</v>
      <v>Change</v>
      <v>Currency</v>
      <v>High</v>
      <v>Low</v>
      <v>Name</v>
      <v>Price</v>
      <v>Industry</v>
      <v>Volume</v>
      <v>Open</v>
      <v>Employees</v>
      <v>Change (%)</v>
      <v>ExchangeID</v>
      <v>UniqueName</v>
      <v>Description</v>
      <v>Exchange</v>
      <v>Headquarters</v>
      <v>%ProviderInfo</v>
      <v>Official name</v>
      <v>Previous close</v>
      <v>LearnMoreOnLink</v>
      <v>Ticker symbol</v>
      <v>Volume average</v>
      <v>Instrument type</v>
      <v>52 week high</v>
      <v>52 week low</v>
      <v>Shares outstanding</v>
      <v>Market cap</v>
      <v>Exchange abbreviation</v>
      <v>Last trade time</v>
    </spb>
    <spb s="1">
      <v>5</v>
      <v>Name</v>
      <v>LearnMoreOnLink</v>
    </spb>
    <spb s="21">
      <v>1</v>
      <v>1</v>
      <v>11</v>
      <v>11</v>
      <v>11</v>
      <v>3</v>
      <v>11</v>
      <v>4</v>
      <v>11</v>
      <v>4</v>
      <v>5</v>
      <v>11</v>
      <v>4</v>
      <v>6</v>
      <v>11</v>
      <v>11</v>
      <v>4</v>
      <v>12</v>
      <v>9</v>
    </spb>
    <spb s="5">
      <v xml:space="preserve">desde el cierre anterior </v>
      <v>Retrasado 15 minutos</v>
      <v xml:space="preserve">desde el cierre anterior </v>
      <v>Borsa Italia</v>
      <v>GMT</v>
    </spb>
    <spb s="4">
      <v>1</v>
      <v>1</v>
      <v>23</v>
      <v>23</v>
      <v>23</v>
      <v>3</v>
      <v>23</v>
      <v>4</v>
      <v>23</v>
      <v>4</v>
      <v>5</v>
      <v>23</v>
      <v>4</v>
      <v>6</v>
      <v>7</v>
      <v>23</v>
      <v>23</v>
      <v>4</v>
      <v>13</v>
      <v>9</v>
    </spb>
    <spb s="11">
      <v xml:space="preserve">desde el cierre anterior </v>
      <v>Retrasado 20 minutos</v>
      <v xml:space="preserve">desde el cierre anterior </v>
      <v>GMT</v>
    </spb>
    <spb s="22">
      <v>P/E</v>
      <v>Beta</v>
      <v>Change</v>
      <v>Currency</v>
      <v>High</v>
      <v>Low</v>
      <v>Name</v>
      <v>Price</v>
      <v>Industry</v>
      <v>Volume</v>
      <v>Open</v>
      <v>Employees</v>
      <v>Change (%)</v>
      <v>ExchangeID</v>
      <v>UniqueName</v>
      <v>Description</v>
      <v>Exchange</v>
      <v>Headquarters</v>
      <v>%ProviderInfo</v>
      <v>Official name</v>
      <v>Previous close</v>
      <v>LearnMoreOnLink</v>
      <v>Ticker symbol</v>
      <v>Volume average</v>
      <v>Year incorporated</v>
      <v>Instrument type</v>
      <v>Shares outstanding</v>
      <v>Market cap</v>
      <v>Exchange abbreviation</v>
      <v>Last trade time</v>
    </spb>
    <spb s="1">
      <v>6</v>
      <v>Name</v>
      <v>LearnMoreOnLink</v>
    </spb>
    <spb s="23">
      <v>1</v>
      <v>1</v>
      <v>17</v>
      <v>17</v>
      <v>17</v>
      <v>3</v>
      <v>17</v>
      <v>4</v>
      <v>17</v>
      <v>4</v>
      <v>5</v>
      <v>17</v>
      <v>4</v>
      <v>6</v>
      <v>7</v>
      <v>4</v>
      <v>18</v>
      <v>9</v>
    </spb>
    <spb s="24">
      <v>Beta</v>
      <v>Change</v>
      <v>Currency</v>
      <v>High</v>
      <v>Low</v>
      <v>Name</v>
      <v>Price</v>
      <v>Industry</v>
      <v>Volume</v>
      <v>Open</v>
      <v>Employees</v>
      <v>Change (%)</v>
      <v>ExchangeID</v>
      <v>UniqueName</v>
      <v>Description</v>
      <v>Exchange</v>
      <v>Headquarters</v>
      <v>%ProviderInfo</v>
      <v>Official name</v>
      <v>Previous close</v>
      <v>LearnMoreOnLink</v>
      <v>Ticker symbol</v>
      <v>Volume average</v>
      <v>Year incorporated</v>
      <v>Instrument type</v>
      <v>52 week high</v>
      <v>52 week low</v>
      <v>Shares outstanding</v>
      <v>Market cap</v>
      <v>Exchange abbreviation</v>
      <v>Last trade time</v>
    </spb>
    <spb s="1">
      <v>7</v>
      <v>Name</v>
      <v>LearnMoreOnLink</v>
    </spb>
    <spb s="25">
      <v>1</v>
      <v>2</v>
      <v>2</v>
      <v>2</v>
      <v>3</v>
      <v>2</v>
      <v>4</v>
      <v>2</v>
      <v>4</v>
      <v>5</v>
      <v>2</v>
      <v>4</v>
      <v>6</v>
      <v>7</v>
      <v>2</v>
      <v>2</v>
      <v>4</v>
      <v>8</v>
      <v>9</v>
    </spb>
    <spb s="23">
      <v>1</v>
      <v>1</v>
      <v>11</v>
      <v>11</v>
      <v>11</v>
      <v>3</v>
      <v>11</v>
      <v>4</v>
      <v>11</v>
      <v>4</v>
      <v>5</v>
      <v>11</v>
      <v>4</v>
      <v>6</v>
      <v>7</v>
      <v>4</v>
      <v>12</v>
      <v>24</v>
    </spb>
    <spb s="4">
      <v>1</v>
      <v>1</v>
      <v>23</v>
      <v>23</v>
      <v>23</v>
      <v>3</v>
      <v>23</v>
      <v>4</v>
      <v>23</v>
      <v>4</v>
      <v>5</v>
      <v>23</v>
      <v>4</v>
      <v>6</v>
      <v>7</v>
      <v>23</v>
      <v>23</v>
      <v>4</v>
      <v>18</v>
      <v>9</v>
    </spb>
    <spb s="26">
      <v>P/E</v>
      <v>Beta</v>
      <v>Change</v>
      <v>Currency</v>
      <v>High</v>
      <v>Low</v>
      <v>Name</v>
      <v>Price</v>
      <v>Industry</v>
      <v>Volume</v>
      <v>Open</v>
      <v>Employees</v>
      <v>Change (%)</v>
      <v>ExchangeID</v>
      <v>UniqueName</v>
      <v>Description</v>
      <v>Exchange</v>
      <v>Headquarters</v>
      <v>%ProviderInfo</v>
      <v>Official name</v>
      <v>Previous close</v>
      <v>Ticker symbol</v>
      <v>Volume average</v>
      <v>Year incorporated</v>
      <v>Instrument type</v>
      <v>Shares outstanding</v>
      <v>Market cap</v>
      <v>Exchange abbreviation</v>
      <v>Last trade time</v>
    </spb>
    <spb s="16">
      <v>8</v>
      <v>Name</v>
    </spb>
    <spb s="27">
      <v>P/E</v>
      <v>Change</v>
      <v>Currency</v>
      <v>High</v>
      <v>Low</v>
      <v>Name</v>
      <v>Price</v>
      <v>Industry</v>
      <v>Volume</v>
      <v>Open</v>
      <v>Change (%)</v>
      <v>ExchangeID</v>
      <v>UniqueName</v>
      <v>Description</v>
      <v>Exchange</v>
      <v>Headquarters</v>
      <v>%ProviderInfo</v>
      <v>Official name</v>
      <v>Previous close</v>
      <v>Ticker symbol</v>
      <v>Volume average</v>
      <v>Year incorporated</v>
      <v>Instrument type</v>
      <v>52 week high</v>
      <v>52 week low</v>
      <v>Shares outstanding</v>
      <v>Market cap</v>
      <v>Exchange abbreviation</v>
      <v>Last trade time</v>
    </spb>
    <spb s="16">
      <v>9</v>
      <v>Name</v>
    </spb>
    <spb s="28">
      <v>1</v>
      <v>2</v>
      <v>2</v>
      <v>2</v>
      <v>3</v>
      <v>2</v>
      <v>4</v>
      <v>2</v>
      <v>5</v>
      <v>2</v>
      <v>4</v>
      <v>6</v>
      <v>7</v>
      <v>2</v>
      <v>2</v>
      <v>4</v>
      <v>8</v>
      <v>9</v>
    </spb>
    <spb s="29">
      <v>Change</v>
      <v>Currency</v>
      <v>High</v>
      <v>Low</v>
      <v>Name</v>
      <v>Price</v>
      <v>Open</v>
      <v>Change (%)</v>
      <v>UniqueName</v>
      <v>From currency</v>
      <v>%ProviderInfo</v>
      <v>Previous close</v>
      <v>Ticker symbol</v>
      <v>Instrument type</v>
      <v>52 week high</v>
      <v>52 week low</v>
      <v>Last trade time</v>
    </spb>
    <spb s="16">
      <v>10</v>
      <v>Name</v>
    </spb>
    <spb s="30">
      <v>2</v>
      <v>2</v>
    </spb>
    <spb s="31">
      <v>25</v>
      <v>25</v>
      <v>25</v>
      <v>3</v>
      <v>25</v>
      <v>25</v>
      <v>5</v>
      <v>25</v>
      <v>6</v>
      <v>25</v>
      <v>25</v>
      <v>9</v>
    </spb>
    <spb s="32">
      <v>GMT</v>
    </spb>
    <spb s="31">
      <v>2</v>
      <v>2</v>
      <v>2</v>
      <v>3</v>
      <v>2</v>
      <v>2</v>
      <v>5</v>
      <v>2</v>
      <v>6</v>
      <v>2</v>
      <v>2</v>
      <v>9</v>
    </spb>
    <spb s="31">
      <v>26</v>
      <v>26</v>
      <v>26</v>
      <v>3</v>
      <v>26</v>
      <v>26</v>
      <v>5</v>
      <v>26</v>
      <v>6</v>
      <v>26</v>
      <v>26</v>
      <v>9</v>
    </spb>
    <spb s="31">
      <v>11</v>
      <v>11</v>
      <v>11</v>
      <v>3</v>
      <v>11</v>
      <v>11</v>
      <v>5</v>
      <v>11</v>
      <v>6</v>
      <v>11</v>
      <v>11</v>
      <v>9</v>
    </spb>
  </spbData>
</supportingPropertyBags>
</file>

<file path=xl/richData/rdsupportingpropertybagstructure.xml><?xml version="1.0" encoding="utf-8"?>
<spbStructures xmlns="http://schemas.microsoft.com/office/spreadsheetml/2017/richdata2" count="33">
  <s>
    <k n="P/I" t="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Order" t="spba"/>
    <k n="TitleProperty" t="s"/>
    <k n="SubTitleProperty" t="s"/>
  </s>
  <s>
    <k n="ShowInCardView" t="b"/>
    <k n="ShowInDotNotation" t="b"/>
    <k n="ShowInAutoComplete" t="b"/>
  </s>
  <s>
    <k n="ExchangeID" t="spb"/>
    <k n="UniqueName" t="spb"/>
    <k n="`%ProviderInfo" t="spb"/>
    <k n="LearnMoreOnLink" t="spb"/>
  </s>
  <s>
    <k n="P/I" t="i"/>
    <k n="Beta" t="i"/>
    <k n="Cambio" t="i"/>
    <k n="Máximo" t="i"/>
    <k n="Mínimo" t="i"/>
    <k n="Nombre" t="i"/>
    <k n="Precio" t="i"/>
    <k n="Volumen" t="i"/>
    <k n="Apertura" t="i"/>
    <k n="Empleados" t="i"/>
    <k n="Cambio (%)" t="i"/>
    <k n="Cierre anterior" t="i"/>
    <k n="Volumen promedio" t="i"/>
    <k n="`%EntityServiceId" t="i"/>
    <k n="Año de constitución" t="i"/>
    <k n="Máximo en 52 semanas" t="i"/>
    <k n="Mínimo en 52 semanas" t="i"/>
    <k n="Acciones en circulación" t="i"/>
    <k n="Capitalización de mercado" t="i"/>
    <k n="Hora de la última operación" t="i"/>
  </s>
  <s>
    <k n="Cambio" t="s"/>
    <k n="Precio" t="s"/>
    <k n="Cambio (%)" t="s"/>
    <k n="ExchangeID" t="s"/>
    <k n="Hora de la última operación" t="s"/>
  </s>
  <s>
    <k n="P/I" t="s"/>
    <k n="Beta" t="s"/>
    <k n="Cambio" t="s"/>
    <k n="Imagen"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ShowInDotNotation" t="b"/>
    <k n="ShowInAutoComplete" t="b"/>
  </s>
  <s>
    <k n="Imagen" t="spb"/>
    <k n="ExchangeID" t="spb"/>
    <k n="UniqueName" t="spb"/>
    <k n="`%ProviderInfo" t="spb"/>
    <k n="LearnMoreOnLink" t="spb"/>
  </s>
  <s>
    <k n="P/I" t="i"/>
    <k n="Beta" t="i"/>
    <k n="Cambio" t="i"/>
    <k n="Imagen" t="i"/>
    <k n="Máximo" t="i"/>
    <k n="Mínimo" t="i"/>
    <k n="Nombre" t="i"/>
    <k n="Precio" t="i"/>
    <k n="Volumen" t="i"/>
    <k n="Apertura" t="i"/>
    <k n="Empleados" t="i"/>
    <k n="Cambio (%)" t="i"/>
    <k n="Cierre anterior" t="i"/>
    <k n="Volumen promedio" t="i"/>
    <k n="`%EntityServiceId" t="i"/>
    <k n="Año de constitución" t="i"/>
    <k n="Máximo en 52 semanas" t="i"/>
    <k n="Mínimo en 52 semanas" t="i"/>
    <k n="Acciones en circulación" t="i"/>
    <k n="Capitalización de mercado" t="i"/>
    <k n="Hora de la última operación" t="i"/>
  </s>
  <s>
    <k n="name" t="s"/>
  </s>
  <s>
    <k n="Cambio" t="s"/>
    <k n="Precio" t="s"/>
    <k n="Cambio (%)" t="s"/>
    <k n="Hora de la última operación" t="s"/>
  </s>
  <s>
    <k n="P/I" t="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mbio (horario ampliado)" t="s"/>
    <k n="Capitalización de mercado" t="s"/>
    <k n="Precio (horario ampliado)" t="s"/>
    <k n="Abreviatura de intercambio" t="s"/>
    <k n="Cambio % (horario ampliado)" t="s"/>
    <k n="Hora de la última operación" t="s"/>
  </s>
  <s>
    <k n="P/I" t="i"/>
    <k n="Beta" t="i"/>
    <k n="Cambio" t="i"/>
    <k n="Máximo" t="i"/>
    <k n="Mínimo" t="i"/>
    <k n="Nombre" t="i"/>
    <k n="Precio" t="i"/>
    <k n="Volumen" t="i"/>
    <k n="Apertura" t="i"/>
    <k n="Empleados" t="i"/>
    <k n="Cambio (%)" t="i"/>
    <k n="Cierre anterior" t="i"/>
    <k n="Volumen promedio" t="i"/>
    <k n="`%EntityServiceId" t="i"/>
    <k n="Año de constitución" t="i"/>
    <k n="Máximo en 52 semanas" t="i"/>
    <k n="Mínimo en 52 semanas" t="i"/>
    <k n="Acciones en circulación" t="i"/>
    <k n="Cambio (horario ampliado)" t="i"/>
    <k n="Capitalización de mercado" t="i"/>
    <k n="Precio (horario ampliado)" t="i"/>
    <k n="Cambio % (horario ampliado)" t="i"/>
    <k n="Hora de la última operación" t="i"/>
  </s>
  <s>
    <k n="Cambio" t="s"/>
    <k n="Precio" t="s"/>
    <k n="Cambio (%)" t="s"/>
    <k n="Cambio (horario ampliado)" t="s"/>
    <k n="Precio (horario ampliado)" t="s"/>
    <k n="Cambio % (horario ampliado)" t="s"/>
    <k n="Hora de la última operación" t="s"/>
  </s>
  <s>
    <k n="P/I" t="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Order" t="spba"/>
    <k n="TitleProperty" t="s"/>
  </s>
  <s>
    <k n="ExchangeID" t="spb"/>
    <k n="UniqueName" t="spb"/>
    <k n="`%ProviderInfo" t="spb"/>
  </s>
  <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Símbolo bursátil" t="s"/>
    <k n="Volumen promedio" t="s"/>
    <k n="Año de constitución" t="s"/>
    <k n="Tipo de instrumento" t="s"/>
    <k n="Acciones en circulación" t="s"/>
    <k n="Capitalización de mercado" t="s"/>
    <k n="Abreviatura de intercambio" t="s"/>
    <k n="Hora de la última operación" t="s"/>
  </s>
  <s>
    <k n="Beta" t="i"/>
    <k n="Cambio" t="i"/>
    <k n="Máximo" t="i"/>
    <k n="Mínimo" t="i"/>
    <k n="Nombre" t="i"/>
    <k n="Precio" t="i"/>
    <k n="Volumen" t="i"/>
    <k n="Apertura" t="i"/>
    <k n="Empleados" t="i"/>
    <k n="Cambio (%)" t="i"/>
    <k n="Cierre anterior" t="i"/>
    <k n="Volumen promedio" t="i"/>
    <k n="`%EntityServiceId" t="i"/>
    <k n="Año de constitución" t="i"/>
    <k n="Acciones en circulación" t="i"/>
    <k n="Capitalización de mercado" t="i"/>
    <k n="Hora de la última operación" t="i"/>
  </s>
  <s>
    <k n="P/I" t="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Tipo de instrumento" t="s"/>
    <k n="Máximo en 52 semanas" t="s"/>
    <k n="Mínimo en 52 semanas" t="s"/>
    <k n="Acciones en circulación" t="s"/>
    <k n="Capitalización de mercado" t="s"/>
    <k n="Abreviatura de intercambio" t="s"/>
    <k n="Hora de la última operación" t="s"/>
  </s>
  <s>
    <k n="P/I" t="i"/>
    <k n="Beta" t="i"/>
    <k n="Cambio" t="i"/>
    <k n="Máximo" t="i"/>
    <k n="Mínimo" t="i"/>
    <k n="Nombre" t="i"/>
    <k n="Precio" t="i"/>
    <k n="Volumen" t="i"/>
    <k n="Apertura" t="i"/>
    <k n="Empleados" t="i"/>
    <k n="Cambio (%)" t="i"/>
    <k n="Cierre anterior" t="i"/>
    <k n="Volumen promedio" t="i"/>
    <k n="`%EntityServiceId" t="i"/>
    <k n="Máximo en 52 semanas" t="i"/>
    <k n="Mínimo en 52 semanas" t="i"/>
    <k n="Acciones en circulación" t="i"/>
    <k n="Capitalización de mercado" t="i"/>
    <k n="Hora de la última operación" t="i"/>
  </s>
  <s>
    <k n="P/I" t="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Acciones en circulación" t="s"/>
    <k n="Capitalización de mercado" t="s"/>
    <k n="Abreviatura de intercambio" t="s"/>
    <k n="Hora de la última operación" t="s"/>
  </s>
  <s>
    <k n="P/I" t="i"/>
    <k n="Beta" t="i"/>
    <k n="Cambio" t="i"/>
    <k n="Máximo" t="i"/>
    <k n="Mínimo" t="i"/>
    <k n="Nombre" t="i"/>
    <k n="Precio" t="i"/>
    <k n="Volumen" t="i"/>
    <k n="Apertura" t="i"/>
    <k n="Empleados" t="i"/>
    <k n="Cambio (%)" t="i"/>
    <k n="Cierre anterior" t="i"/>
    <k n="Volumen promedio" t="i"/>
    <k n="`%EntityServiceId" t="i"/>
    <k n="Año de constitución" t="i"/>
    <k n="Acciones en circulación" t="i"/>
    <k n="Capitalización de mercado" t="i"/>
    <k n="Hora de la última operación" t="i"/>
  </s>
  <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Beta" t="i"/>
    <k n="Cambio" t="i"/>
    <k n="Máximo" t="i"/>
    <k n="Mínimo" t="i"/>
    <k n="Nombre" t="i"/>
    <k n="Precio" t="i"/>
    <k n="Volumen" t="i"/>
    <k n="Apertura" t="i"/>
    <k n="Empleados" t="i"/>
    <k n="Cambio (%)" t="i"/>
    <k n="Cierre anterior" t="i"/>
    <k n="Volumen promedio" t="i"/>
    <k n="`%EntityServiceId" t="i"/>
    <k n="Año de constitución" t="i"/>
    <k n="Máximo en 52 semanas" t="i"/>
    <k n="Mínimo en 52 semanas" t="i"/>
    <k n="Acciones en circulación" t="i"/>
    <k n="Capitalización de mercado" t="i"/>
    <k n="Hora de la última operación" t="i"/>
  </s>
  <s>
    <k n="P/I" t="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Símbolo bursátil" t="s"/>
    <k n="Volumen promedio" t="s"/>
    <k n="Año de constitución" t="s"/>
    <k n="Tipo de instrumento" t="s"/>
    <k n="Acciones en circulación" t="s"/>
    <k n="Capitalización de mercado" t="s"/>
    <k n="Abreviatura de intercambio" t="s"/>
    <k n="Hora de la última operación" t="s"/>
  </s>
  <s>
    <k n="P/I" t="s"/>
    <k n="Cambio" t="s"/>
    <k n="Moneda" t="s"/>
    <k n="Máximo" t="s"/>
    <k n="Mínimo" t="s"/>
    <k n="Nombre" t="s"/>
    <k n="Precio" t="s"/>
    <k n="Sector" t="s"/>
    <k n="Volumen" t="s"/>
    <k n="Apertura" t="s"/>
    <k n="Cambio (%)" t="s"/>
    <k n="ExchangeID" t="s"/>
    <k n="UniqueName" t="s"/>
    <k n="Descripción" t="s"/>
    <k n="Intercambio" t="s"/>
    <k n="Sede central" t="s"/>
    <k n="%ProviderInfo" t="s"/>
    <k n="Nombre oficial" t="s"/>
    <k n="Cierre anterior"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P/I" t="i"/>
    <k n="Cambio" t="i"/>
    <k n="Máximo" t="i"/>
    <k n="Mínimo" t="i"/>
    <k n="Nombre" t="i"/>
    <k n="Precio" t="i"/>
    <k n="Volumen" t="i"/>
    <k n="Apertura" t="i"/>
    <k n="Cambio (%)" t="i"/>
    <k n="Cierre anterior" t="i"/>
    <k n="Volumen promedio" t="i"/>
    <k n="`%EntityServiceId" t="i"/>
    <k n="Año de constitución" t="i"/>
    <k n="Máximo en 52 semanas" t="i"/>
    <k n="Mínimo en 52 semanas" t="i"/>
    <k n="Acciones en circulación" t="i"/>
    <k n="Capitalización de mercado" t="i"/>
    <k n="Hora de la última operación" t="i"/>
  </s>
  <s>
    <k n="Cambio" t="s"/>
    <k n="Moneda" t="s"/>
    <k n="Máximo" t="s"/>
    <k n="Mínimo" t="s"/>
    <k n="Nombre" t="s"/>
    <k n="Precio" t="s"/>
    <k n="Apertura" t="s"/>
    <k n="Cambio (%)" t="s"/>
    <k n="UniqueName" t="s"/>
    <k n="De la moneda" t="s"/>
    <k n="%ProviderInfo" t="s"/>
    <k n="Cierre anterior" t="s"/>
    <k n="Símbolo bursátil" t="s"/>
    <k n="Tipo de instrumento" t="s"/>
    <k n="Máximo en 52 semanas" t="s"/>
    <k n="Mínimo en 52 semanas" t="s"/>
    <k n="Hora de la última operación" t="s"/>
  </s>
  <s>
    <k n="UniqueName" t="spb"/>
    <k n="`%ProviderInfo" t="spb"/>
  </s>
  <s>
    <k n="Cambio" t="i"/>
    <k n="Máximo" t="i"/>
    <k n="Mínimo" t="i"/>
    <k n="Nombre" t="i"/>
    <k n="Precio" t="i"/>
    <k n="Apertura" t="i"/>
    <k n="Cambio (%)" t="i"/>
    <k n="Cierre anterior" t="i"/>
    <k n="`%EntityServiceId" t="i"/>
    <k n="Máximo en 52 semanas" t="i"/>
    <k n="Mínimo en 52 semanas" t="i"/>
    <k n="Hora de la última operación" t="i"/>
  </s>
  <s>
    <k n="Hora de la última operación"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9">
    <x:dxf>
      <x:numFmt numFmtId="4" formatCode="#,##0.00"/>
    </x:dxf>
    <x:dxf>
      <x:numFmt numFmtId="0" formatCode="General"/>
    </x:dxf>
    <x:dxf>
      <x:numFmt numFmtId="3" formatCode="#,##0"/>
    </x:dxf>
    <x:dxf>
      <x:numFmt numFmtId="14" formatCode="0.00%"/>
    </x:dxf>
    <x:dxf>
      <x:numFmt numFmtId="2" formatCode="0.00"/>
    </x:dxf>
    <x:dxf>
      <x:numFmt numFmtId="1" formatCode="0"/>
    </x:dxf>
    <x:dxf>
      <x:numFmt numFmtId="27" formatCode="dd/mm/yyyy\ h:mm"/>
    </x:dxf>
    <x:dxf>
      <x:numFmt numFmtId="35" formatCode="_-* #,##0.00_-;\-* #,##0.00_-;_-* &quot;-&quot;??_-;_-@_-"/>
    </x:dxf>
    <x:dxf>
      <x:numFmt numFmtId="19" formatCode="dd/mm/yyyy"/>
    </x:dxf>
  </dxfs>
  <richProperties>
    <rPr n="NumberFormat" t="s"/>
    <rPr n="IsTitleField" t="b"/>
    <rPr n="IsHeroField" t="b"/>
  </richProperties>
  <richStyles>
    <rSty dxfid="0">
      <rpv i="0">#,##0.00</rpv>
    </rSty>
    <rSty dxfid="1">
      <rpv i="0">_([$$-en-US]* #,##0.00_);_([$$-en-US]* (#,##0.00);_([$$-en-US]* "-"??_);_(@_)</rpv>
    </rSty>
    <rSty>
      <rpv i="1">1</rpv>
    </rSty>
    <rSty dxfid="2">
      <rpv i="0">#,##0</rpv>
    </rSty>
    <rSty dxfid="3"/>
    <rSty dxfid="4">
      <rpv i="0">0.00</rpv>
    </rSty>
    <rSty dxfid="5">
      <rpv i="0">0</rpv>
    </rSty>
    <rSty dxfid="1">
      <rpv i="0">_([$$-en-US]* #,##0_);_([$$-en-US]* (#,##0);_([$$-en-US]* "-"_);_(@_)</rpv>
    </rSty>
    <rSty dxfid="6"/>
    <rSty>
      <rpv i="2">1</rpv>
    </rSty>
    <rSty dxfid="1">
      <rpv i="0">_([$€-x-euro2] * #,##0.00_);_([$€-x-euro2] * (#,##0.00);_([$€-x-euro2] * "-"??_);_(@_)</rpv>
    </rSty>
    <rSty dxfid="1">
      <rpv i="0">_([$€-x-euro2] * #,##0_);_([$€-x-euro2] * (#,##0);_([$€-x-euro2] * "-"_);_(@_)</rpv>
    </rSty>
    <rSty dxfid="1">
      <rpv i="0">_-[$$-en-CA]* #,##0_-;-[$$-en-CA]* #,##0_-;_-[$$-en-CA]* "-"_-;_-@_-</rpv>
    </rSty>
    <rSty dxfid="1">
      <rpv i="0">_-[$¥-ja-JP]* #,##0_-;-[$¥-ja-JP]* #,##0_-;_-[$¥-ja-JP]* "-"_-;_-@_-</rpv>
    </rSty>
    <rSty dxfid="7">
      <rpv i="0">_(* #,##0.00_);_(* (#,##0.00);_(* "-"??_);_(@_)</rpv>
    </rSty>
    <rSty dxfid="1">
      <rpv i="0">_-[$£-en-GB]* #,##0_-;-[$£-en-GB]* #,##0_-;_-[$£-en-GB]* "-"_-;_-@_-</rpv>
    </rSty>
    <rSty dxfid="1">
      <rpv i="0">_-* #,##0.00 [$kr-smj-SE]_-;-* #,##0.00 [$kr-smj-SE]_-;_-* "-"?? [$kr-smj-SE]_-;_-@_-</rpv>
    </rSty>
    <rSty dxfid="1">
      <rpv i="0">_-* #,##0 [$kr-smj-SE]_-;-* #,##0 [$kr-smj-SE]_-;_-* "-" [$kr-smj-SE]_-;_-@_-</rpv>
    </rSty>
    <rSty dxfid="1">
      <rpv i="0">_-* #,##0.00 [$zł-pl-PL]_-;-* #,##0.00 [$zł-pl-PL]_-;_-* "-"?? [$zł-pl-PL]_-;_-@_-</rpv>
    </rSty>
    <rSty dxfid="1">
      <rpv i="0">_-* #,##0 [$zł-pl-PL]_-;-* #,##0 [$zł-pl-PL]_-;_-* "-" [$zł-pl-PL]_-;_-@_-</rpv>
    </rSty>
    <rSty dxfid="1">
      <rpv i="0">_-* #,##0.00 [$CHF-fr-CH]_-;-* #,##0.00 [$CHF-fr-CH]_-;_-* "-"?? [$CHF-fr-CH]_-;_-@_-</rpv>
    </rSty>
    <rSty dxfid="1">
      <rpv i="0">_-* #,##0 [$CHF-fr-CH]_-;-* #,##0 [$CHF-fr-CH]_-;_-* "-" [$CHF-fr-CH]_-;_-@_-</rpv>
    </rSty>
    <rSty dxfid="1">
      <rpv i="0">_-[$$-en-CA]* #,##0.00_-;-[$$-en-CA]* #,##0.00_-;_-[$$-en-CA]* "-"??_-;_-@_-</rpv>
    </rSty>
    <rSty dxfid="8"/>
    <rSty dxfid="1">
      <rpv i="0">_-[$¥-ja-JP]* #,##0.00_-;-[$¥-ja-JP]* #,##0.00_-;_-[$¥-ja-JP]* "-"??_-;_-@_-</rpv>
    </rSty>
    <rSty dxfid="1">
      <rpv i="0">_-* #,##0.00 [$₸-kk-KZ]_-;-* #,##0.00 [$₸-kk-KZ]_-;_-* "-"?? [$₸-kk-KZ]_-;_-@_-</rpv>
    </rSty>
  </richStyles>
</richStyleShee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74"/>
  <sheetViews>
    <sheetView tabSelected="1" zoomScaleNormal="100" workbookViewId="0">
      <pane xSplit="2" ySplit="3" topLeftCell="C40" activePane="bottomRight" state="frozen"/>
      <selection pane="topRight" activeCell="C1" sqref="C1"/>
      <selection pane="bottomLeft" activeCell="A4" sqref="A4"/>
      <selection pane="bottomRight" activeCell="I62" sqref="I62"/>
    </sheetView>
  </sheetViews>
  <sheetFormatPr baseColWidth="10" defaultColWidth="8.5703125" defaultRowHeight="15" x14ac:dyDescent="0.25"/>
  <cols>
    <col min="1" max="1" width="27" customWidth="1"/>
    <col min="2" max="2" width="10" customWidth="1"/>
    <col min="3" max="3" width="12.140625" bestFit="1" customWidth="1"/>
    <col min="4" max="4" width="14.7109375" bestFit="1" customWidth="1"/>
    <col min="5" max="5" width="22" customWidth="1"/>
    <col min="6" max="6" width="9.7109375" bestFit="1" customWidth="1"/>
    <col min="7" max="7" width="11" customWidth="1"/>
    <col min="8" max="9" width="14" customWidth="1"/>
    <col min="10" max="10" width="9" customWidth="1"/>
    <col min="11" max="11" width="7" customWidth="1"/>
    <col min="12" max="13" width="10" customWidth="1"/>
    <col min="14" max="14" width="12" customWidth="1"/>
    <col min="15" max="17" width="10" customWidth="1"/>
    <col min="18" max="18" width="8" customWidth="1"/>
    <col min="19" max="20" width="10" customWidth="1"/>
    <col min="21" max="21" width="7" customWidth="1"/>
    <col min="22" max="23" width="10" customWidth="1"/>
    <col min="24" max="26" width="12" customWidth="1"/>
    <col min="27" max="28" width="8" customWidth="1"/>
    <col min="29" max="30" width="10" customWidth="1"/>
    <col min="31" max="31" width="12" customWidth="1"/>
    <col min="32" max="32" width="11" customWidth="1"/>
    <col min="33" max="33" width="12" customWidth="1"/>
    <col min="34" max="34" width="11" customWidth="1"/>
    <col min="35" max="35" width="10" customWidth="1"/>
    <col min="36" max="37" width="11" customWidth="1"/>
    <col min="38" max="38" width="8" customWidth="1"/>
    <col min="39" max="39" width="10" customWidth="1"/>
    <col min="40" max="40" width="11" customWidth="1"/>
    <col min="41" max="41" width="7.85546875" customWidth="1"/>
    <col min="42" max="42" width="9.140625" customWidth="1"/>
    <col min="43" max="43" width="7.5703125" customWidth="1"/>
    <col min="44" max="44" width="10.28515625" customWidth="1"/>
    <col min="46" max="47" width="7.5703125" customWidth="1"/>
    <col min="48" max="48" width="9.140625" customWidth="1"/>
    <col min="49" max="49" width="10.140625" bestFit="1" customWidth="1"/>
    <col min="50" max="50" width="11.85546875" customWidth="1"/>
    <col min="52" max="52" width="9.140625" customWidth="1"/>
    <col min="56" max="56" width="10" customWidth="1"/>
    <col min="57" max="57" width="8.85546875" bestFit="1" customWidth="1"/>
    <col min="58" max="58" width="9.140625" customWidth="1"/>
    <col min="59" max="59" width="8.85546875" bestFit="1" customWidth="1"/>
    <col min="60" max="61" width="11.28515625" customWidth="1"/>
    <col min="62" max="62" width="9.5703125" customWidth="1"/>
    <col min="63" max="63" width="10.5703125" customWidth="1"/>
    <col min="64" max="65" width="10.140625" bestFit="1" customWidth="1"/>
    <col min="66" max="66" width="9.5703125" customWidth="1"/>
    <col min="67" max="67" width="11.85546875" customWidth="1"/>
  </cols>
  <sheetData>
    <row r="1" spans="1:72" ht="27.75" customHeight="1" x14ac:dyDescent="0.25">
      <c r="A1" s="110" t="s">
        <v>0</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row>
    <row r="2" spans="1:72" ht="21.75" customHeight="1" x14ac:dyDescent="0.25">
      <c r="A2" s="113" t="s">
        <v>1</v>
      </c>
      <c r="B2" s="106"/>
      <c r="C2" s="106"/>
      <c r="D2" s="106"/>
      <c r="E2" s="106"/>
      <c r="F2" s="106"/>
      <c r="G2" s="106"/>
      <c r="H2" s="106"/>
      <c r="I2" s="106"/>
      <c r="J2" s="108" t="s">
        <v>2</v>
      </c>
      <c r="K2" s="106"/>
      <c r="L2" s="106"/>
      <c r="M2" s="106"/>
      <c r="N2" s="106"/>
      <c r="O2" s="106"/>
      <c r="P2" s="106"/>
      <c r="Q2" s="106"/>
      <c r="R2" s="106"/>
      <c r="S2" s="106"/>
      <c r="T2" s="107" t="s">
        <v>3</v>
      </c>
      <c r="U2" s="106"/>
      <c r="V2" s="106"/>
      <c r="W2" s="106"/>
      <c r="X2" s="106"/>
      <c r="Y2" s="106"/>
      <c r="Z2" s="106"/>
      <c r="AA2" s="106"/>
      <c r="AB2" s="106"/>
      <c r="AC2" s="106"/>
      <c r="AD2" s="111" t="s">
        <v>4</v>
      </c>
      <c r="AE2" s="106"/>
      <c r="AF2" s="106"/>
      <c r="AG2" s="106"/>
      <c r="AH2" s="106"/>
      <c r="AI2" s="106"/>
      <c r="AJ2" s="106"/>
      <c r="AK2" s="106"/>
      <c r="AL2" s="106"/>
      <c r="AM2" s="106"/>
      <c r="AN2" s="109" t="s">
        <v>5</v>
      </c>
      <c r="AO2" s="114" t="s">
        <v>6</v>
      </c>
      <c r="AP2" s="106"/>
      <c r="AQ2" s="106"/>
      <c r="AR2" s="106"/>
      <c r="AS2" s="106"/>
      <c r="AT2" s="106"/>
      <c r="AU2" s="106"/>
      <c r="AV2" s="106"/>
      <c r="AW2" s="106"/>
      <c r="AX2" s="106"/>
      <c r="AY2" s="106"/>
      <c r="AZ2" s="106"/>
      <c r="BA2" s="106"/>
      <c r="BB2" s="106"/>
      <c r="BC2" s="106"/>
      <c r="BD2" s="106"/>
      <c r="BE2" s="106"/>
      <c r="BF2" s="106"/>
      <c r="BG2" s="1"/>
      <c r="BH2" s="1"/>
      <c r="BI2" s="1"/>
      <c r="BJ2" s="112" t="s">
        <v>7</v>
      </c>
      <c r="BK2" s="106"/>
      <c r="BL2" s="106"/>
      <c r="BM2" s="106"/>
      <c r="BN2" s="105" t="s">
        <v>8</v>
      </c>
      <c r="BO2" s="106"/>
      <c r="BP2" s="106"/>
    </row>
    <row r="3" spans="1:72" ht="45" customHeight="1" x14ac:dyDescent="0.25">
      <c r="A3" s="3" t="s">
        <v>9</v>
      </c>
      <c r="B3" s="3" t="s">
        <v>10</v>
      </c>
      <c r="C3" s="3" t="s">
        <v>11</v>
      </c>
      <c r="D3" s="89" t="s">
        <v>12</v>
      </c>
      <c r="E3" s="3" t="s">
        <v>13</v>
      </c>
      <c r="F3" s="3" t="s">
        <v>14</v>
      </c>
      <c r="G3" s="3" t="s">
        <v>15</v>
      </c>
      <c r="H3" s="3" t="s">
        <v>16</v>
      </c>
      <c r="I3" s="3" t="s">
        <v>17</v>
      </c>
      <c r="J3" s="4" t="s">
        <v>18</v>
      </c>
      <c r="K3" s="4" t="s">
        <v>19</v>
      </c>
      <c r="L3" s="4" t="s">
        <v>20</v>
      </c>
      <c r="M3" s="4" t="s">
        <v>21</v>
      </c>
      <c r="N3" s="4" t="s">
        <v>22</v>
      </c>
      <c r="O3" s="4" t="s">
        <v>23</v>
      </c>
      <c r="P3" s="4" t="s">
        <v>24</v>
      </c>
      <c r="Q3" s="4" t="s">
        <v>25</v>
      </c>
      <c r="R3" s="4" t="s">
        <v>26</v>
      </c>
      <c r="S3" s="4" t="s">
        <v>27</v>
      </c>
      <c r="T3" s="5" t="s">
        <v>28</v>
      </c>
      <c r="U3" s="5" t="s">
        <v>29</v>
      </c>
      <c r="V3" s="5" t="s">
        <v>30</v>
      </c>
      <c r="W3" s="5" t="s">
        <v>31</v>
      </c>
      <c r="X3" s="5" t="s">
        <v>32</v>
      </c>
      <c r="Y3" s="5" t="s">
        <v>33</v>
      </c>
      <c r="Z3" s="5" t="s">
        <v>34</v>
      </c>
      <c r="AA3" s="5" t="s">
        <v>35</v>
      </c>
      <c r="AB3" s="5" t="s">
        <v>36</v>
      </c>
      <c r="AC3" s="5" t="s">
        <v>37</v>
      </c>
      <c r="AD3" s="6" t="s">
        <v>38</v>
      </c>
      <c r="AE3" s="6" t="s">
        <v>39</v>
      </c>
      <c r="AF3" s="6" t="s">
        <v>40</v>
      </c>
      <c r="AG3" s="6" t="s">
        <v>41</v>
      </c>
      <c r="AH3" s="6" t="s">
        <v>42</v>
      </c>
      <c r="AI3" s="6" t="s">
        <v>43</v>
      </c>
      <c r="AJ3" s="6" t="s">
        <v>44</v>
      </c>
      <c r="AK3" s="6" t="s">
        <v>45</v>
      </c>
      <c r="AL3" s="6" t="s">
        <v>46</v>
      </c>
      <c r="AM3" s="6" t="s">
        <v>47</v>
      </c>
      <c r="AN3" s="106"/>
      <c r="AO3" s="7" t="s">
        <v>48</v>
      </c>
      <c r="AP3" s="7" t="s">
        <v>49</v>
      </c>
      <c r="AQ3" s="7" t="s">
        <v>50</v>
      </c>
      <c r="AR3" s="7" t="s">
        <v>51</v>
      </c>
      <c r="AS3" s="8" t="s">
        <v>52</v>
      </c>
      <c r="AT3" s="8" t="s">
        <v>53</v>
      </c>
      <c r="AU3" s="8" t="s">
        <v>54</v>
      </c>
      <c r="AV3" s="8" t="s">
        <v>55</v>
      </c>
      <c r="AW3" s="7" t="s">
        <v>56</v>
      </c>
      <c r="AX3" s="7" t="s">
        <v>57</v>
      </c>
      <c r="AY3" s="7" t="s">
        <v>58</v>
      </c>
      <c r="AZ3" s="7" t="s">
        <v>59</v>
      </c>
      <c r="BA3" s="8" t="s">
        <v>60</v>
      </c>
      <c r="BB3" s="8" t="s">
        <v>61</v>
      </c>
      <c r="BC3" s="7" t="s">
        <v>62</v>
      </c>
      <c r="BD3" s="7" t="s">
        <v>63</v>
      </c>
      <c r="BE3" s="8" t="s">
        <v>64</v>
      </c>
      <c r="BF3" s="7" t="s">
        <v>65</v>
      </c>
      <c r="BG3" s="8" t="s">
        <v>66</v>
      </c>
      <c r="BH3" s="7" t="s">
        <v>67</v>
      </c>
      <c r="BI3" s="7" t="s">
        <v>68</v>
      </c>
      <c r="BJ3" s="9" t="s">
        <v>69</v>
      </c>
      <c r="BK3" s="9" t="s">
        <v>70</v>
      </c>
      <c r="BL3" s="9" t="s">
        <v>71</v>
      </c>
      <c r="BM3" s="2" t="s">
        <v>72</v>
      </c>
      <c r="BN3" s="92" t="s">
        <v>73</v>
      </c>
      <c r="BO3" s="92" t="s">
        <v>74</v>
      </c>
      <c r="BP3" s="92" t="s">
        <v>75</v>
      </c>
      <c r="BQ3" t="s">
        <v>861</v>
      </c>
      <c r="BR3" t="s">
        <v>862</v>
      </c>
      <c r="BS3" t="s">
        <v>863</v>
      </c>
      <c r="BT3" t="s">
        <v>864</v>
      </c>
    </row>
    <row r="4" spans="1:72" ht="15" customHeight="1" x14ac:dyDescent="0.25">
      <c r="A4" s="86" t="e" vm="1">
        <v>#VALUE!</v>
      </c>
      <c r="B4" s="10" t="str">
        <f t="array" aca="1" ref="B4" ca="1">_FV(A4,"Símbolo bursátil",TRUE())</f>
        <v>VEEV</v>
      </c>
      <c r="C4" s="88" t="s">
        <v>76</v>
      </c>
      <c r="D4" s="88" t="s">
        <v>77</v>
      </c>
      <c r="E4" s="11" t="str">
        <f t="array" aca="1" ref="E4" ca="1">_FV(A4,"Abreviatura de intercambio",TRUE())</f>
        <v>XNYS</v>
      </c>
      <c r="F4" s="11" t="str">
        <f t="array" aca="1" ref="F4" ca="1">_FV(A4,"Moneda")</f>
        <v>USD</v>
      </c>
      <c r="G4" s="12">
        <f t="array" aca="1" ref="G4" ca="1">_FV(A4,"Precio")</f>
        <v>316.55</v>
      </c>
      <c r="H4" s="13" cm="1">
        <f t="array" aca="1" ref="H4" ca="1">_FV(A4,"Acciones en circulación",TRUE)/1000000</f>
        <v>161.90880000000001</v>
      </c>
      <c r="I4" s="14">
        <f t="shared" ref="I4:I16" ca="1" si="0">G4*H4</f>
        <v>51252.230640000009</v>
      </c>
      <c r="J4" s="90">
        <v>1.5</v>
      </c>
      <c r="K4" s="90">
        <v>8</v>
      </c>
      <c r="L4" s="90">
        <v>2</v>
      </c>
      <c r="M4" s="90">
        <v>1</v>
      </c>
      <c r="N4" s="90">
        <v>-1.5</v>
      </c>
      <c r="O4" s="90">
        <v>0.72</v>
      </c>
      <c r="P4" s="90">
        <v>1</v>
      </c>
      <c r="Q4" s="90">
        <v>1</v>
      </c>
      <c r="R4" s="15">
        <f t="shared" ref="R4:R35" si="1">SUM(J4:N4)+SUM(P4:Q4)</f>
        <v>13</v>
      </c>
      <c r="S4" s="16">
        <f t="shared" ref="S4:S35" si="2">ROUND(R4/16*10,2)</f>
        <v>8.1300000000000008</v>
      </c>
      <c r="T4" s="90">
        <v>17</v>
      </c>
      <c r="U4" s="90">
        <v>18</v>
      </c>
      <c r="V4" s="90">
        <v>16</v>
      </c>
      <c r="W4" s="90">
        <v>8</v>
      </c>
      <c r="X4" s="90">
        <v>9</v>
      </c>
      <c r="Y4" s="90">
        <v>12</v>
      </c>
      <c r="Z4" s="90">
        <v>10</v>
      </c>
      <c r="AA4" s="90">
        <v>-8</v>
      </c>
      <c r="AB4" s="15">
        <f t="shared" ref="AB4:AB35" si="3">SUM(T4:AA4)</f>
        <v>82</v>
      </c>
      <c r="AC4" s="16">
        <f t="shared" ref="AC4:AC35" si="4">ROUND(AB4/10,2)</f>
        <v>8.1999999999999993</v>
      </c>
      <c r="AD4" s="90">
        <v>14</v>
      </c>
      <c r="AE4" s="90">
        <v>0</v>
      </c>
      <c r="AF4" s="90">
        <v>10</v>
      </c>
      <c r="AG4" s="90">
        <v>14</v>
      </c>
      <c r="AH4" s="90">
        <v>5</v>
      </c>
      <c r="AI4" s="90">
        <v>8</v>
      </c>
      <c r="AJ4" s="90">
        <v>14</v>
      </c>
      <c r="AK4" s="90">
        <v>-5</v>
      </c>
      <c r="AL4" s="15">
        <f t="shared" ref="AL4:AL35" si="5">SUM(AD4:AK4)</f>
        <v>60</v>
      </c>
      <c r="AM4" s="16">
        <f t="shared" ref="AM4:AM35" si="6">ROUND(AL4/70*10,2)</f>
        <v>8.57</v>
      </c>
      <c r="AN4" s="17">
        <f t="shared" ref="AN4:AN35" si="7">ROUND(S4*0.2+AC4*0.4+AM4*0.4,2)</f>
        <v>8.33</v>
      </c>
      <c r="AO4" s="18" t="s">
        <v>78</v>
      </c>
      <c r="AP4" s="19">
        <v>7242.9</v>
      </c>
      <c r="AQ4" s="19">
        <v>0</v>
      </c>
      <c r="AR4" s="19">
        <f t="shared" ref="AR4:AR11" ca="1" si="8">I4-AP4+AQ4</f>
        <v>44009.330640000007</v>
      </c>
      <c r="AS4" s="103">
        <v>1144.2</v>
      </c>
      <c r="AT4" s="19">
        <v>791</v>
      </c>
      <c r="AU4" s="104" t="s">
        <v>879</v>
      </c>
      <c r="AV4" s="19">
        <v>3458.1</v>
      </c>
      <c r="AW4" s="20">
        <f t="shared" ref="AW4:AW35" ca="1" si="9">AR4/AS4</f>
        <v>38.462970319874152</v>
      </c>
      <c r="AX4" s="20" t="e">
        <f t="shared" ref="AX4:AX35" ca="1" si="10">AR4/AU4</f>
        <v>#VALUE!</v>
      </c>
      <c r="AY4" s="20">
        <f t="shared" ref="AY4:AY35" ca="1" si="11">AR4/AV4</f>
        <v>12.726448234579685</v>
      </c>
      <c r="AZ4" s="21">
        <v>1500</v>
      </c>
      <c r="BA4" s="22">
        <f t="shared" ref="BA4:BA35" si="12">AT4/AV4</f>
        <v>0.22873832451346116</v>
      </c>
      <c r="BB4" s="22">
        <f t="shared" ref="BB4:BB35" si="13">AV4/AZ4</f>
        <v>2.3054000000000001</v>
      </c>
      <c r="BC4" s="23">
        <f t="shared" ref="BC4:BC35" si="14">BA4*BB4</f>
        <v>0.52733333333333332</v>
      </c>
      <c r="BD4" s="98">
        <v>1068.8</v>
      </c>
      <c r="BE4" s="23">
        <f t="shared" ref="BE4:BE35" si="15">(BD4/AS4)^(1/5)-1</f>
        <v>-1.3541316014804017E-2</v>
      </c>
      <c r="BF4">
        <v>2347.5</v>
      </c>
      <c r="BG4" s="23">
        <f t="shared" ref="BG4:BG35" si="16">(BF4/AS4)^(1/5)-1</f>
        <v>0.15457123027222019</v>
      </c>
      <c r="BH4" s="24">
        <v>18</v>
      </c>
      <c r="BI4" s="24">
        <v>30</v>
      </c>
      <c r="BJ4" s="25">
        <f ca="1">(BD4*BH4+$AP4-$AQ4)/$H4</f>
        <v>163.55689128694669</v>
      </c>
      <c r="BK4" s="25">
        <f t="shared" ref="BK4:BK11" ca="1" si="17">(BF4*BI4+$AP4-$AQ4)/$H4</f>
        <v>479.70153567934534</v>
      </c>
      <c r="BL4" s="23">
        <f t="shared" ref="BL4:BL35" ca="1" si="18">IF($BJ4&lt;=0,-0.99,MAX(-0.99,($BJ4/G4)^(1/5)-1))</f>
        <v>-0.12371514472249545</v>
      </c>
      <c r="BM4" s="23">
        <f t="shared" ref="BM4:BM35" ca="1" si="19">IF(BK4&lt;=0,-0.99,MAX(-0.99,(BK4/G4)^(1/5)-1))</f>
        <v>8.669021918158748E-2</v>
      </c>
      <c r="BN4" s="96" t="s">
        <v>880</v>
      </c>
      <c r="BO4" s="96" t="s">
        <v>80</v>
      </c>
      <c r="BP4" s="96" t="s">
        <v>110</v>
      </c>
      <c r="BQ4" s="98">
        <v>494.6</v>
      </c>
      <c r="BR4" s="98">
        <v>0</v>
      </c>
      <c r="BS4" s="98">
        <v>1144.2</v>
      </c>
      <c r="BT4" s="96" t="s">
        <v>881</v>
      </c>
    </row>
    <row r="5" spans="1:72" ht="15" customHeight="1" x14ac:dyDescent="0.25">
      <c r="A5" s="86" t="e" vm="2">
        <v>#VALUE!</v>
      </c>
      <c r="B5" s="10" t="str">
        <f t="array" aca="1" ref="B5" ca="1">_FV(A5,"Símbolo bursátil",TRUE())</f>
        <v>MSFT</v>
      </c>
      <c r="C5" s="88" t="s">
        <v>81</v>
      </c>
      <c r="D5" s="88" t="s">
        <v>77</v>
      </c>
      <c r="E5" s="11" t="str">
        <f t="array" aca="1" ref="E5" ca="1">_FV(A5,"Abreviatura de intercambio",TRUE())</f>
        <v>XNAS</v>
      </c>
      <c r="F5" s="11" t="str">
        <f t="array" aca="1" ref="F5" ca="1">_FV(A5,"Moneda")</f>
        <v>USD</v>
      </c>
      <c r="G5" s="12">
        <f t="array" aca="1" ref="G5" ca="1">_FV(A5,"Precio")</f>
        <v>534.27</v>
      </c>
      <c r="H5" s="13">
        <f t="array" aca="1" ref="H5" ca="1">_FV(A5,"Acciones en circulación",TRUE())/1000000</f>
        <v>7425.5450000000001</v>
      </c>
      <c r="I5" s="14">
        <f t="shared" ca="1" si="0"/>
        <v>3967245.9271499999</v>
      </c>
      <c r="J5" s="91">
        <v>1</v>
      </c>
      <c r="K5" s="91">
        <v>8</v>
      </c>
      <c r="L5" s="91">
        <v>3</v>
      </c>
      <c r="M5" s="91">
        <v>1</v>
      </c>
      <c r="N5" s="91">
        <v>0</v>
      </c>
      <c r="O5" s="91">
        <v>0.8</v>
      </c>
      <c r="P5" s="91">
        <v>1</v>
      </c>
      <c r="Q5" s="91">
        <v>0</v>
      </c>
      <c r="R5" s="26">
        <f t="shared" si="1"/>
        <v>14</v>
      </c>
      <c r="S5" s="16">
        <f t="shared" si="2"/>
        <v>8.75</v>
      </c>
      <c r="T5" s="91">
        <v>16</v>
      </c>
      <c r="U5" s="91">
        <v>19</v>
      </c>
      <c r="V5" s="91">
        <v>15</v>
      </c>
      <c r="W5" s="91">
        <v>10</v>
      </c>
      <c r="X5" s="91">
        <v>9</v>
      </c>
      <c r="Y5" s="91">
        <v>13</v>
      </c>
      <c r="Z5" s="91">
        <v>7</v>
      </c>
      <c r="AA5" s="91">
        <v>-12</v>
      </c>
      <c r="AB5" s="26">
        <f t="shared" si="3"/>
        <v>77</v>
      </c>
      <c r="AC5" s="16">
        <f t="shared" si="4"/>
        <v>7.7</v>
      </c>
      <c r="AD5" s="91">
        <v>14</v>
      </c>
      <c r="AE5" s="91">
        <v>0</v>
      </c>
      <c r="AF5" s="91">
        <v>4</v>
      </c>
      <c r="AG5" s="91">
        <v>14</v>
      </c>
      <c r="AH5" s="91">
        <v>5</v>
      </c>
      <c r="AI5" s="91">
        <v>9</v>
      </c>
      <c r="AJ5" s="91">
        <v>13</v>
      </c>
      <c r="AK5" s="91">
        <v>-6</v>
      </c>
      <c r="AL5" s="26">
        <f t="shared" si="5"/>
        <v>53</v>
      </c>
      <c r="AM5" s="16">
        <f t="shared" si="6"/>
        <v>7.57</v>
      </c>
      <c r="AN5" s="17">
        <f t="shared" si="7"/>
        <v>7.86</v>
      </c>
      <c r="AO5" s="18" t="s">
        <v>78</v>
      </c>
      <c r="AP5" s="19">
        <v>76843</v>
      </c>
      <c r="AQ5" s="19">
        <v>40294</v>
      </c>
      <c r="AR5" s="19">
        <f t="shared" ca="1" si="8"/>
        <v>3930696.9271499999</v>
      </c>
      <c r="AS5" s="103">
        <v>54582</v>
      </c>
      <c r="AT5" s="19">
        <v>125127</v>
      </c>
      <c r="AU5" s="19">
        <v>193771</v>
      </c>
      <c r="AV5" s="19">
        <v>331839</v>
      </c>
      <c r="AW5" s="20">
        <f t="shared" ca="1" si="9"/>
        <v>72.014527264482794</v>
      </c>
      <c r="AX5" s="20">
        <f t="shared" ca="1" si="10"/>
        <v>20.285269349644683</v>
      </c>
      <c r="AY5" s="20">
        <f t="shared" ca="1" si="11"/>
        <v>11.845192780685814</v>
      </c>
      <c r="AZ5" s="21">
        <v>589551</v>
      </c>
      <c r="BA5" s="22">
        <f t="shared" si="12"/>
        <v>0.37707141113612325</v>
      </c>
      <c r="BB5" s="22">
        <f t="shared" si="13"/>
        <v>0.56286733463262717</v>
      </c>
      <c r="BC5" s="23">
        <f t="shared" si="14"/>
        <v>0.21224118015235321</v>
      </c>
      <c r="BD5" s="98">
        <v>147461.20000000001</v>
      </c>
      <c r="BE5" s="23">
        <f>(BD5/BS5)^(1/5)-1</f>
        <v>3.0193355681941592E-2</v>
      </c>
      <c r="BF5">
        <v>223734.1</v>
      </c>
      <c r="BG5" s="23">
        <f>(BF5/BS5)^(1/5)-1</f>
        <v>0.11977206270891183</v>
      </c>
      <c r="BH5" s="24">
        <v>20</v>
      </c>
      <c r="BI5" s="24">
        <v>30</v>
      </c>
      <c r="BJ5" s="25">
        <f t="shared" ref="BJ5:BJ11" ca="1" si="20">(BD5*BH5+$AP5-$AQ5)/$H5</f>
        <v>402.09479573553187</v>
      </c>
      <c r="BK5" s="25">
        <f t="shared" ca="1" si="17"/>
        <v>908.83187698680706</v>
      </c>
      <c r="BL5" s="23">
        <f t="shared" ca="1" si="18"/>
        <v>-5.5257326372892934E-2</v>
      </c>
      <c r="BM5" s="23">
        <f t="shared" ca="1" si="19"/>
        <v>0.11210182270941682</v>
      </c>
      <c r="BN5" s="99">
        <v>46256</v>
      </c>
      <c r="BO5" s="93" t="s">
        <v>83</v>
      </c>
      <c r="BP5" s="93" t="s">
        <v>84</v>
      </c>
      <c r="BQ5" s="98">
        <v>12405</v>
      </c>
      <c r="BR5" s="98">
        <v>72500</v>
      </c>
      <c r="BS5" s="98">
        <v>127082</v>
      </c>
      <c r="BT5" s="96" t="s">
        <v>914</v>
      </c>
    </row>
    <row r="6" spans="1:72" ht="15" customHeight="1" x14ac:dyDescent="0.25">
      <c r="A6" s="86" t="e" vm="3">
        <v>#VALUE!</v>
      </c>
      <c r="B6" s="10" t="str">
        <f t="array" aca="1" ref="B6" ca="1">_FV(A6,"Símbolo bursátil",TRUE())</f>
        <v>ADYEN</v>
      </c>
      <c r="C6" s="88" t="s">
        <v>85</v>
      </c>
      <c r="D6" s="88" t="s">
        <v>77</v>
      </c>
      <c r="E6" s="11" t="str">
        <f t="array" aca="1" ref="E6" ca="1">_FV(A6,"Abreviatura de intercambio",TRUE())</f>
        <v>XAMS</v>
      </c>
      <c r="F6" s="11" t="str">
        <f t="array" aca="1" ref="F6" ca="1">_FV(A6,"Moneda")</f>
        <v>EUR</v>
      </c>
      <c r="G6" s="12">
        <f t="array" aca="1" ref="G6" ca="1">_FV(A6,"Precio")</f>
        <v>930.4</v>
      </c>
      <c r="H6" s="13">
        <f t="array" aca="1" ref="H6" ca="1">_FV(A6,"Acciones en circulación",TRUE())/1000000</f>
        <v>31.694880000000001</v>
      </c>
      <c r="I6" s="14">
        <f t="shared" ca="1" si="0"/>
        <v>29488.916352</v>
      </c>
      <c r="J6" s="90">
        <v>1</v>
      </c>
      <c r="K6" s="90">
        <v>7</v>
      </c>
      <c r="L6" s="90">
        <v>2</v>
      </c>
      <c r="M6" s="90">
        <v>1</v>
      </c>
      <c r="N6" s="90">
        <v>-0.5</v>
      </c>
      <c r="O6" s="90">
        <v>0.74</v>
      </c>
      <c r="P6" s="90">
        <v>1</v>
      </c>
      <c r="Q6" s="90">
        <v>1</v>
      </c>
      <c r="R6" s="15">
        <f t="shared" si="1"/>
        <v>12.5</v>
      </c>
      <c r="S6" s="16">
        <f t="shared" si="2"/>
        <v>7.81</v>
      </c>
      <c r="T6" s="90">
        <v>15.5</v>
      </c>
      <c r="U6" s="90">
        <v>18</v>
      </c>
      <c r="V6" s="90">
        <v>13</v>
      </c>
      <c r="W6" s="90">
        <v>8</v>
      </c>
      <c r="X6" s="90">
        <v>7.5</v>
      </c>
      <c r="Y6" s="90">
        <v>11</v>
      </c>
      <c r="Z6" s="90">
        <v>10</v>
      </c>
      <c r="AA6" s="90">
        <v>-10</v>
      </c>
      <c r="AB6" s="15">
        <f t="shared" si="3"/>
        <v>73</v>
      </c>
      <c r="AC6" s="16">
        <f t="shared" si="4"/>
        <v>7.3</v>
      </c>
      <c r="AD6" s="90">
        <v>13</v>
      </c>
      <c r="AE6" s="90">
        <v>-1</v>
      </c>
      <c r="AF6" s="90">
        <v>9</v>
      </c>
      <c r="AG6" s="90">
        <v>14</v>
      </c>
      <c r="AH6" s="90">
        <v>5</v>
      </c>
      <c r="AI6" s="90">
        <v>10</v>
      </c>
      <c r="AJ6" s="90">
        <v>14</v>
      </c>
      <c r="AK6" s="90">
        <v>-6</v>
      </c>
      <c r="AL6" s="15">
        <f t="shared" si="5"/>
        <v>58</v>
      </c>
      <c r="AM6" s="16">
        <f t="shared" si="6"/>
        <v>8.2899999999999991</v>
      </c>
      <c r="AN6" s="17">
        <f t="shared" si="7"/>
        <v>7.8</v>
      </c>
      <c r="AO6" s="18" t="s">
        <v>86</v>
      </c>
      <c r="AP6" s="19">
        <v>2710</v>
      </c>
      <c r="AQ6" s="19">
        <v>0</v>
      </c>
      <c r="AR6" s="19">
        <f t="shared" ca="1" si="8"/>
        <v>26778.916352</v>
      </c>
      <c r="AS6" s="103">
        <v>1098</v>
      </c>
      <c r="AT6" s="19">
        <v>895</v>
      </c>
      <c r="AU6" s="19">
        <v>1344</v>
      </c>
      <c r="AV6" s="19">
        <v>2573.6</v>
      </c>
      <c r="AW6" s="20">
        <f t="shared" ca="1" si="9"/>
        <v>24.388812706739525</v>
      </c>
      <c r="AX6" s="20">
        <f t="shared" ca="1" si="10"/>
        <v>19.924788952380954</v>
      </c>
      <c r="AY6" s="20">
        <f t="shared" ca="1" si="11"/>
        <v>10.405236381722101</v>
      </c>
      <c r="AZ6" s="21">
        <v>2500</v>
      </c>
      <c r="BA6" s="22">
        <f t="shared" si="12"/>
        <v>0.34776188995958968</v>
      </c>
      <c r="BB6" s="22">
        <f t="shared" si="13"/>
        <v>1.0294399999999999</v>
      </c>
      <c r="BC6" s="23">
        <f t="shared" si="14"/>
        <v>0.35799999999999998</v>
      </c>
      <c r="BD6" s="98">
        <v>959.1</v>
      </c>
      <c r="BE6" s="23">
        <f t="shared" si="15"/>
        <v>-2.6687479307896278E-2</v>
      </c>
      <c r="BF6">
        <v>2581.1999999999998</v>
      </c>
      <c r="BG6" s="23">
        <f t="shared" si="16"/>
        <v>0.18643476316450891</v>
      </c>
      <c r="BH6" s="24">
        <v>17.5</v>
      </c>
      <c r="BI6" s="24">
        <v>28</v>
      </c>
      <c r="BJ6" s="25">
        <f t="shared" ca="1" si="20"/>
        <v>615.05990872973803</v>
      </c>
      <c r="BK6" s="25">
        <f t="shared" ca="1" si="17"/>
        <v>2365.7953587456391</v>
      </c>
      <c r="BL6" s="23">
        <f t="shared" ca="1" si="18"/>
        <v>-7.9445418996527462E-2</v>
      </c>
      <c r="BM6" s="23">
        <f t="shared" ca="1" si="19"/>
        <v>0.20520658178954276</v>
      </c>
      <c r="BN6" s="95" t="s">
        <v>871</v>
      </c>
      <c r="BO6" s="93" t="s">
        <v>87</v>
      </c>
      <c r="BP6" s="93" t="s">
        <v>84</v>
      </c>
      <c r="BQ6" s="98">
        <v>43</v>
      </c>
      <c r="BR6" s="98">
        <v>0</v>
      </c>
      <c r="BS6" s="98">
        <v>1098</v>
      </c>
      <c r="BT6" s="96" t="s">
        <v>872</v>
      </c>
    </row>
    <row r="7" spans="1:72" ht="15" customHeight="1" x14ac:dyDescent="0.25">
      <c r="A7" s="86" t="e" vm="4">
        <v>#VALUE!</v>
      </c>
      <c r="B7" s="10" t="str">
        <f t="array" aca="1" ref="B7" ca="1">_FV(A7,"Símbolo bursátil",TRUE())</f>
        <v>BN</v>
      </c>
      <c r="C7" s="88" t="s">
        <v>88</v>
      </c>
      <c r="D7" s="88" t="s">
        <v>77</v>
      </c>
      <c r="E7" s="11" t="str">
        <f t="array" aca="1" ref="E7" ca="1">_FV(A7,"Abreviatura de intercambio",TRUE())</f>
        <v>XNYS</v>
      </c>
      <c r="F7" s="11" t="str">
        <f t="array" aca="1" ref="F7" ca="1">_FV(A7,"Moneda")</f>
        <v>USD</v>
      </c>
      <c r="G7" s="12">
        <f t="array" aca="1" ref="G7" ca="1">_FV(A7,"Precio")</f>
        <v>36.395000000000003</v>
      </c>
      <c r="H7" s="13">
        <f t="array" aca="1" ref="H7" ca="1">_FV(A7,"Acciones en circulación",TRUE())/1000000</f>
        <v>2452.011</v>
      </c>
      <c r="I7" s="14">
        <f t="shared" ca="1" si="0"/>
        <v>89240.94034500001</v>
      </c>
      <c r="J7" s="91">
        <v>1</v>
      </c>
      <c r="K7" s="91">
        <v>7</v>
      </c>
      <c r="L7" s="91">
        <v>3</v>
      </c>
      <c r="M7" s="91">
        <v>0.5</v>
      </c>
      <c r="N7" s="91">
        <v>0</v>
      </c>
      <c r="O7" s="91">
        <v>0.66</v>
      </c>
      <c r="P7" s="91">
        <v>1</v>
      </c>
      <c r="Q7" s="91">
        <v>1</v>
      </c>
      <c r="R7" s="26">
        <f t="shared" si="1"/>
        <v>13.5</v>
      </c>
      <c r="S7" s="16">
        <f t="shared" si="2"/>
        <v>8.44</v>
      </c>
      <c r="T7" s="91">
        <v>13</v>
      </c>
      <c r="U7" s="91">
        <v>17</v>
      </c>
      <c r="V7" s="91">
        <v>15</v>
      </c>
      <c r="W7" s="91">
        <v>10</v>
      </c>
      <c r="X7" s="91">
        <v>9</v>
      </c>
      <c r="Y7" s="91">
        <v>14</v>
      </c>
      <c r="Z7" s="91">
        <v>10</v>
      </c>
      <c r="AA7" s="91">
        <v>-8</v>
      </c>
      <c r="AB7" s="26">
        <f t="shared" si="3"/>
        <v>80</v>
      </c>
      <c r="AC7" s="16">
        <f t="shared" si="4"/>
        <v>8</v>
      </c>
      <c r="AD7" s="91">
        <v>14</v>
      </c>
      <c r="AE7" s="91">
        <v>-1</v>
      </c>
      <c r="AF7" s="91">
        <v>5</v>
      </c>
      <c r="AG7" s="91">
        <v>15</v>
      </c>
      <c r="AH7" s="91">
        <v>2</v>
      </c>
      <c r="AI7" s="91">
        <v>10</v>
      </c>
      <c r="AJ7" s="91">
        <v>14</v>
      </c>
      <c r="AK7" s="91">
        <v>-5</v>
      </c>
      <c r="AL7" s="26">
        <f t="shared" si="5"/>
        <v>54</v>
      </c>
      <c r="AM7" s="16">
        <f t="shared" si="6"/>
        <v>7.71</v>
      </c>
      <c r="AN7" s="17">
        <f t="shared" si="7"/>
        <v>7.97</v>
      </c>
      <c r="AO7" s="18" t="s">
        <v>78</v>
      </c>
      <c r="AP7" s="19">
        <v>10000</v>
      </c>
      <c r="AQ7" s="19">
        <v>17815</v>
      </c>
      <c r="AR7" s="19">
        <f t="shared" ca="1" si="8"/>
        <v>97055.94034500001</v>
      </c>
      <c r="AS7" s="103">
        <v>6080</v>
      </c>
      <c r="AT7" s="19">
        <v>5700</v>
      </c>
      <c r="AU7" s="19">
        <v>5700</v>
      </c>
      <c r="AV7" s="19">
        <v>80690</v>
      </c>
      <c r="AW7" s="20">
        <f t="shared" ca="1" si="9"/>
        <v>15.963148083059211</v>
      </c>
      <c r="AX7" s="20">
        <f t="shared" ca="1" si="10"/>
        <v>17.02735795526316</v>
      </c>
      <c r="AY7" s="20">
        <f t="shared" ca="1" si="11"/>
        <v>1.2028248896393607</v>
      </c>
      <c r="AZ7" s="21">
        <v>42483</v>
      </c>
      <c r="BA7" s="22">
        <f t="shared" si="12"/>
        <v>7.0640723757590784E-2</v>
      </c>
      <c r="BB7" s="22">
        <f t="shared" si="13"/>
        <v>1.8993479744839112</v>
      </c>
      <c r="BC7" s="23">
        <f t="shared" si="14"/>
        <v>0.13417131558505757</v>
      </c>
      <c r="BD7" s="98">
        <v>6712.5</v>
      </c>
      <c r="BE7" s="23">
        <f t="shared" si="15"/>
        <v>1.9990540028574255E-2</v>
      </c>
      <c r="BF7">
        <v>11199</v>
      </c>
      <c r="BG7" s="23">
        <f t="shared" si="16"/>
        <v>0.12993934978196964</v>
      </c>
      <c r="BH7" s="24">
        <v>17.5</v>
      </c>
      <c r="BI7" s="24">
        <v>25</v>
      </c>
      <c r="BJ7" s="25">
        <f t="shared" ca="1" si="20"/>
        <v>44.719925807836916</v>
      </c>
      <c r="BK7" s="25">
        <f t="shared" ca="1" si="17"/>
        <v>110.99460809922957</v>
      </c>
      <c r="BL7" s="23">
        <f t="shared" ca="1" si="18"/>
        <v>4.2057947352448055E-2</v>
      </c>
      <c r="BM7" s="23">
        <f t="shared" ca="1" si="19"/>
        <v>0.24983312746672115</v>
      </c>
      <c r="BN7" s="96" t="s">
        <v>812</v>
      </c>
      <c r="BO7" t="s">
        <v>87</v>
      </c>
      <c r="BP7" s="96" t="s">
        <v>653</v>
      </c>
      <c r="BQ7" s="98">
        <v>120</v>
      </c>
      <c r="BR7" s="98">
        <v>0</v>
      </c>
      <c r="BS7" s="98">
        <v>6080</v>
      </c>
      <c r="BT7" s="96" t="s">
        <v>901</v>
      </c>
    </row>
    <row r="8" spans="1:72" ht="15" customHeight="1" x14ac:dyDescent="0.25">
      <c r="A8" s="86" t="e" vm="5">
        <v>#VALUE!</v>
      </c>
      <c r="B8" s="10" t="str">
        <f t="array" aca="1" ref="B8" ca="1">_FV(A8,"Símbolo bursátil",TRUE())</f>
        <v>COST</v>
      </c>
      <c r="C8" s="88" t="s">
        <v>89</v>
      </c>
      <c r="D8" s="88" t="s">
        <v>89</v>
      </c>
      <c r="E8" s="11" t="str">
        <f t="array" aca="1" ref="E8" ca="1">_FV(A8,"Abreviatura de intercambio",TRUE())</f>
        <v>XNAS</v>
      </c>
      <c r="F8" s="11" t="str">
        <f t="array" aca="1" ref="F8" ca="1">_FV(A8,"Moneda")</f>
        <v>USD</v>
      </c>
      <c r="G8" s="12">
        <f t="array" aca="1" ref="G8" ca="1">_FV(A8,"Precio")</f>
        <v>994.68</v>
      </c>
      <c r="H8" s="13">
        <f t="array" aca="1" ref="H8" ca="1">_FV(A8,"Acciones en circulación",TRUE())/1000000</f>
        <v>443.12939999999998</v>
      </c>
      <c r="I8" s="14">
        <f t="shared" ca="1" si="0"/>
        <v>440771.95159199997</v>
      </c>
      <c r="J8" s="90">
        <v>1.5</v>
      </c>
      <c r="K8" s="90">
        <v>8</v>
      </c>
      <c r="L8" s="90">
        <v>1</v>
      </c>
      <c r="M8" s="90">
        <v>1</v>
      </c>
      <c r="N8" s="90">
        <v>0</v>
      </c>
      <c r="O8" s="90">
        <v>0.78</v>
      </c>
      <c r="P8" s="90">
        <v>1</v>
      </c>
      <c r="Q8" s="90">
        <v>0</v>
      </c>
      <c r="R8" s="15">
        <f t="shared" si="1"/>
        <v>12.5</v>
      </c>
      <c r="S8" s="16">
        <f t="shared" si="2"/>
        <v>7.81</v>
      </c>
      <c r="T8" s="90">
        <v>15</v>
      </c>
      <c r="U8" s="90">
        <v>19</v>
      </c>
      <c r="V8" s="90">
        <v>13</v>
      </c>
      <c r="W8" s="90">
        <v>10</v>
      </c>
      <c r="X8" s="90">
        <v>10</v>
      </c>
      <c r="Y8" s="90">
        <v>13</v>
      </c>
      <c r="Z8" s="90">
        <v>7</v>
      </c>
      <c r="AA8" s="90">
        <v>-7</v>
      </c>
      <c r="AB8" s="15">
        <f t="shared" si="3"/>
        <v>80</v>
      </c>
      <c r="AC8" s="16">
        <f t="shared" si="4"/>
        <v>8</v>
      </c>
      <c r="AD8" s="90">
        <v>15</v>
      </c>
      <c r="AE8" s="90">
        <v>0</v>
      </c>
      <c r="AF8" s="90">
        <v>6</v>
      </c>
      <c r="AG8" s="90">
        <v>13</v>
      </c>
      <c r="AH8" s="90">
        <v>5</v>
      </c>
      <c r="AI8" s="90">
        <v>9</v>
      </c>
      <c r="AJ8" s="90">
        <v>14</v>
      </c>
      <c r="AK8" s="90">
        <v>-3</v>
      </c>
      <c r="AL8" s="15">
        <f t="shared" si="5"/>
        <v>59</v>
      </c>
      <c r="AM8" s="16">
        <f t="shared" si="6"/>
        <v>8.43</v>
      </c>
      <c r="AN8" s="17">
        <f t="shared" si="7"/>
        <v>8.1300000000000008</v>
      </c>
      <c r="AO8" s="18" t="s">
        <v>78</v>
      </c>
      <c r="AP8" s="19">
        <v>21301</v>
      </c>
      <c r="AQ8" s="19">
        <v>6162</v>
      </c>
      <c r="AR8" s="19">
        <f t="shared" ca="1" si="8"/>
        <v>425632.95159199997</v>
      </c>
      <c r="AS8" s="103">
        <v>8479</v>
      </c>
      <c r="AT8" s="19">
        <v>8799</v>
      </c>
      <c r="AU8" s="19">
        <v>14250</v>
      </c>
      <c r="AV8" s="19">
        <v>303154</v>
      </c>
      <c r="AW8" s="20">
        <f t="shared" ca="1" si="9"/>
        <v>50.198484678853632</v>
      </c>
      <c r="AX8" s="20">
        <f t="shared" ca="1" si="10"/>
        <v>29.868979059087717</v>
      </c>
      <c r="AY8" s="20">
        <f t="shared" ca="1" si="11"/>
        <v>1.4040156210770762</v>
      </c>
      <c r="AZ8" s="21">
        <v>44305</v>
      </c>
      <c r="BA8" s="22">
        <f t="shared" si="12"/>
        <v>2.9024852055390991E-2</v>
      </c>
      <c r="BB8" s="22">
        <f t="shared" si="13"/>
        <v>6.8424331339577922</v>
      </c>
      <c r="BC8" s="23">
        <f t="shared" si="14"/>
        <v>0.19860060941203025</v>
      </c>
      <c r="BD8" s="98">
        <v>10565.4</v>
      </c>
      <c r="BE8" s="23">
        <f t="shared" si="15"/>
        <v>4.4980681432214897E-2</v>
      </c>
      <c r="BF8">
        <v>13913.8</v>
      </c>
      <c r="BG8" s="23">
        <f t="shared" si="16"/>
        <v>0.10413003584803193</v>
      </c>
      <c r="BH8" s="24">
        <v>20</v>
      </c>
      <c r="BI8" s="24">
        <v>30</v>
      </c>
      <c r="BJ8" s="25">
        <f t="shared" ca="1" si="20"/>
        <v>511.01777494339126</v>
      </c>
      <c r="BK8" s="25">
        <f t="shared" ca="1" si="17"/>
        <v>976.13247958722673</v>
      </c>
      <c r="BL8" s="23">
        <f t="shared" ca="1" si="18"/>
        <v>-0.12471290741981333</v>
      </c>
      <c r="BM8" s="23">
        <f t="shared" ca="1" si="19"/>
        <v>-3.7574755369150781E-3</v>
      </c>
      <c r="BN8" s="96" t="s">
        <v>880</v>
      </c>
      <c r="BO8" s="96" t="s">
        <v>91</v>
      </c>
      <c r="BP8" s="96" t="s">
        <v>874</v>
      </c>
      <c r="BQ8" s="98">
        <v>911</v>
      </c>
      <c r="BR8" s="98">
        <v>3870</v>
      </c>
      <c r="BS8" s="98">
        <v>12349</v>
      </c>
      <c r="BT8" s="96" t="s">
        <v>882</v>
      </c>
    </row>
    <row r="9" spans="1:72" ht="15" customHeight="1" x14ac:dyDescent="0.25">
      <c r="A9" s="86" t="e" vm="6">
        <v>#VALUE!</v>
      </c>
      <c r="B9" s="10" t="str">
        <f t="array" aca="1" ref="B9" ca="1">_FV(A9,"Símbolo bursátil",TRUE())</f>
        <v>DSGX</v>
      </c>
      <c r="C9" s="88" t="s">
        <v>76</v>
      </c>
      <c r="D9" s="88" t="s">
        <v>77</v>
      </c>
      <c r="E9" s="11" t="str">
        <f t="array" aca="1" ref="E9" ca="1">_FV(A9,"Abreviatura de intercambio",TRUE())</f>
        <v>XNAS</v>
      </c>
      <c r="F9" s="11" t="str">
        <f t="array" aca="1" ref="F9" ca="1">_FV(A9,"Moneda")</f>
        <v>USD</v>
      </c>
      <c r="G9" s="12">
        <f t="array" aca="1" ref="G9" ca="1">_FV(A9,"Precio")</f>
        <v>87.415000000000006</v>
      </c>
      <c r="H9" s="13">
        <f t="array" aca="1" ref="H9" ca="1">_FV(A9,"Acciones en circulación",TRUE())/1000000</f>
        <v>85.548550000000006</v>
      </c>
      <c r="I9" s="14">
        <f t="shared" ca="1" si="0"/>
        <v>7478.226498250001</v>
      </c>
      <c r="J9" s="91">
        <v>1</v>
      </c>
      <c r="K9" s="91">
        <v>7</v>
      </c>
      <c r="L9" s="91">
        <v>2</v>
      </c>
      <c r="M9" s="91">
        <v>1</v>
      </c>
      <c r="N9" s="91">
        <v>0</v>
      </c>
      <c r="O9" s="91">
        <v>0.8</v>
      </c>
      <c r="P9" s="91">
        <v>0.5</v>
      </c>
      <c r="Q9" s="91">
        <v>0</v>
      </c>
      <c r="R9" s="26">
        <f t="shared" si="1"/>
        <v>11.5</v>
      </c>
      <c r="S9" s="16">
        <f t="shared" si="2"/>
        <v>7.19</v>
      </c>
      <c r="T9" s="91">
        <v>16</v>
      </c>
      <c r="U9" s="91">
        <v>17</v>
      </c>
      <c r="V9" s="91">
        <v>11</v>
      </c>
      <c r="W9" s="91">
        <v>10</v>
      </c>
      <c r="X9" s="91">
        <v>9</v>
      </c>
      <c r="Y9" s="91">
        <v>13</v>
      </c>
      <c r="Z9" s="91">
        <v>6</v>
      </c>
      <c r="AA9" s="91">
        <v>-7</v>
      </c>
      <c r="AB9" s="26">
        <f t="shared" si="3"/>
        <v>75</v>
      </c>
      <c r="AC9" s="16">
        <f t="shared" si="4"/>
        <v>7.5</v>
      </c>
      <c r="AD9" s="91">
        <v>14</v>
      </c>
      <c r="AE9" s="91">
        <v>0</v>
      </c>
      <c r="AF9" s="91">
        <v>10</v>
      </c>
      <c r="AG9" s="91">
        <v>13</v>
      </c>
      <c r="AH9" s="91">
        <v>5</v>
      </c>
      <c r="AI9" s="91">
        <v>8</v>
      </c>
      <c r="AJ9" s="91">
        <v>14</v>
      </c>
      <c r="AK9" s="91">
        <v>-3</v>
      </c>
      <c r="AL9" s="26">
        <f t="shared" si="5"/>
        <v>61</v>
      </c>
      <c r="AM9" s="16">
        <f t="shared" si="6"/>
        <v>8.7100000000000009</v>
      </c>
      <c r="AN9" s="17">
        <f t="shared" si="7"/>
        <v>7.92</v>
      </c>
      <c r="AO9" s="18" t="s">
        <v>78</v>
      </c>
      <c r="AP9" s="19">
        <v>182</v>
      </c>
      <c r="AQ9" s="19">
        <v>8.1</v>
      </c>
      <c r="AR9" s="19">
        <f t="shared" ca="1" si="8"/>
        <v>7304.3264982500014</v>
      </c>
      <c r="AS9" s="103">
        <v>271.39999999999998</v>
      </c>
      <c r="AT9" s="19">
        <v>178</v>
      </c>
      <c r="AU9" s="19">
        <v>357</v>
      </c>
      <c r="AV9" s="19">
        <v>775.1</v>
      </c>
      <c r="AW9" s="20">
        <f t="shared" ca="1" si="9"/>
        <v>26.913509573507746</v>
      </c>
      <c r="AX9" s="20">
        <f t="shared" ca="1" si="10"/>
        <v>20.460298314425774</v>
      </c>
      <c r="AY9" s="20">
        <f t="shared" ca="1" si="11"/>
        <v>9.4237214530383184</v>
      </c>
      <c r="AZ9" s="21">
        <v>1676</v>
      </c>
      <c r="BA9" s="22">
        <f t="shared" si="12"/>
        <v>0.22964778738227326</v>
      </c>
      <c r="BB9" s="22">
        <f t="shared" si="13"/>
        <v>0.46247016706443916</v>
      </c>
      <c r="BC9" s="23">
        <f t="shared" si="14"/>
        <v>0.10620525059665872</v>
      </c>
      <c r="BD9" s="98">
        <v>282.8</v>
      </c>
      <c r="BE9" s="23">
        <f t="shared" si="15"/>
        <v>8.2631905703345332E-3</v>
      </c>
      <c r="BF9">
        <v>570</v>
      </c>
      <c r="BG9" s="23">
        <f t="shared" si="16"/>
        <v>0.15998668045452935</v>
      </c>
      <c r="BH9" s="24">
        <v>17.5</v>
      </c>
      <c r="BI9" s="24">
        <v>27</v>
      </c>
      <c r="BJ9" s="25">
        <f t="shared" ca="1" si="20"/>
        <v>59.882955351084256</v>
      </c>
      <c r="BK9" s="25">
        <f t="shared" ca="1" si="17"/>
        <v>181.93061133122652</v>
      </c>
      <c r="BL9" s="23">
        <f t="shared" ca="1" si="18"/>
        <v>-7.2863982931990923E-2</v>
      </c>
      <c r="BM9" s="23">
        <f t="shared" ca="1" si="19"/>
        <v>0.15788109561386898</v>
      </c>
      <c r="BN9" s="96" t="s">
        <v>869</v>
      </c>
      <c r="BO9" s="96" t="s">
        <v>655</v>
      </c>
      <c r="BP9" s="96" t="s">
        <v>144</v>
      </c>
      <c r="BQ9" s="98">
        <v>27.1</v>
      </c>
      <c r="BR9" s="98">
        <v>0</v>
      </c>
      <c r="BS9" s="98">
        <v>271.39999999999998</v>
      </c>
      <c r="BT9" s="96" t="s">
        <v>870</v>
      </c>
    </row>
    <row r="10" spans="1:72" ht="15" customHeight="1" x14ac:dyDescent="0.25">
      <c r="A10" s="86" t="e" vm="7">
        <v>#VALUE!</v>
      </c>
      <c r="B10" s="10" t="str">
        <f t="array" aca="1" ref="B10" ca="1">_FV(A10,"Símbolo bursátil",TRUE())</f>
        <v>RAA</v>
      </c>
      <c r="C10" s="88" t="s">
        <v>93</v>
      </c>
      <c r="D10" s="88" t="s">
        <v>77</v>
      </c>
      <c r="E10" s="11" t="str">
        <f t="array" aca="1" ref="E10" ca="1">_FV(A10,"Abreviatura de intercambio",TRUE())</f>
        <v>XFRA</v>
      </c>
      <c r="F10" s="11" t="str">
        <f t="array" aca="1" ref="F10" ca="1">_FV(A10,"Moneda")</f>
        <v>EUR</v>
      </c>
      <c r="G10" s="12">
        <f t="array" aca="1" ref="G10" ca="1">_FV(A10,"Precio")</f>
        <v>612.5</v>
      </c>
      <c r="H10" s="13">
        <f t="array" aca="1" ref="H10" ca="1">_FV(A10,"Acciones en circulación",TRUE())/1000000</f>
        <v>11.37</v>
      </c>
      <c r="I10" s="14">
        <f t="shared" ca="1" si="0"/>
        <v>6964.1249999999991</v>
      </c>
      <c r="J10" s="90">
        <v>1</v>
      </c>
      <c r="K10" s="90">
        <v>7</v>
      </c>
      <c r="L10" s="90">
        <v>2</v>
      </c>
      <c r="M10" s="90">
        <v>1</v>
      </c>
      <c r="N10" s="90">
        <v>-1</v>
      </c>
      <c r="O10" s="90">
        <v>0.82</v>
      </c>
      <c r="P10" s="90">
        <v>1</v>
      </c>
      <c r="Q10" s="90">
        <v>1</v>
      </c>
      <c r="R10" s="15">
        <f t="shared" si="1"/>
        <v>12</v>
      </c>
      <c r="S10" s="16">
        <f t="shared" si="2"/>
        <v>7.5</v>
      </c>
      <c r="T10" s="90">
        <v>15</v>
      </c>
      <c r="U10" s="90">
        <v>17</v>
      </c>
      <c r="V10" s="90">
        <v>10</v>
      </c>
      <c r="W10" s="90">
        <v>9</v>
      </c>
      <c r="X10" s="90">
        <v>8</v>
      </c>
      <c r="Y10" s="90">
        <v>13</v>
      </c>
      <c r="Z10" s="90">
        <v>10</v>
      </c>
      <c r="AA10" s="90">
        <v>-8</v>
      </c>
      <c r="AB10" s="15">
        <f t="shared" si="3"/>
        <v>74</v>
      </c>
      <c r="AC10" s="16">
        <f t="shared" si="4"/>
        <v>7.4</v>
      </c>
      <c r="AD10" s="90">
        <v>14</v>
      </c>
      <c r="AE10" s="90">
        <v>-1</v>
      </c>
      <c r="AF10" s="90">
        <v>8</v>
      </c>
      <c r="AG10" s="90">
        <v>13</v>
      </c>
      <c r="AH10" s="90">
        <v>5</v>
      </c>
      <c r="AI10" s="90">
        <v>9</v>
      </c>
      <c r="AJ10" s="90">
        <v>13</v>
      </c>
      <c r="AK10" s="90">
        <v>-3</v>
      </c>
      <c r="AL10" s="15">
        <f t="shared" si="5"/>
        <v>58</v>
      </c>
      <c r="AM10" s="16">
        <f t="shared" si="6"/>
        <v>8.2899999999999991</v>
      </c>
      <c r="AN10" s="17">
        <f t="shared" si="7"/>
        <v>7.78</v>
      </c>
      <c r="AO10" s="18" t="s">
        <v>86</v>
      </c>
      <c r="AP10" s="19">
        <v>280</v>
      </c>
      <c r="AQ10" s="19">
        <v>20</v>
      </c>
      <c r="AR10" s="19">
        <f t="shared" ca="1" si="8"/>
        <v>6704.1249999999991</v>
      </c>
      <c r="AS10" s="103">
        <v>235.5</v>
      </c>
      <c r="AT10" s="19">
        <v>230</v>
      </c>
      <c r="AU10" s="19">
        <v>350</v>
      </c>
      <c r="AV10" s="19">
        <v>1296</v>
      </c>
      <c r="AW10" s="20">
        <f t="shared" ca="1" si="9"/>
        <v>28.467622080679401</v>
      </c>
      <c r="AX10" s="20">
        <f t="shared" ca="1" si="10"/>
        <v>19.154642857142854</v>
      </c>
      <c r="AY10" s="20">
        <f t="shared" ca="1" si="11"/>
        <v>5.1729359567901225</v>
      </c>
      <c r="AZ10" s="21">
        <v>600</v>
      </c>
      <c r="BA10" s="22">
        <f t="shared" si="12"/>
        <v>0.17746913580246915</v>
      </c>
      <c r="BB10" s="22">
        <f t="shared" si="13"/>
        <v>2.16</v>
      </c>
      <c r="BC10" s="23">
        <f t="shared" si="14"/>
        <v>0.38333333333333336</v>
      </c>
      <c r="BD10" s="98">
        <v>300.7</v>
      </c>
      <c r="BE10" s="23">
        <f t="shared" si="15"/>
        <v>5.0094788973368498E-2</v>
      </c>
      <c r="BF10">
        <v>433.9</v>
      </c>
      <c r="BG10" s="23">
        <f t="shared" si="16"/>
        <v>0.13000339355930413</v>
      </c>
      <c r="BH10" s="24">
        <v>15</v>
      </c>
      <c r="BI10" s="24">
        <v>27</v>
      </c>
      <c r="BJ10" s="25">
        <f t="shared" ca="1" si="20"/>
        <v>419.5690413368514</v>
      </c>
      <c r="BK10" s="25">
        <f t="shared" ca="1" si="17"/>
        <v>1053.2365875109938</v>
      </c>
      <c r="BL10" s="23">
        <f t="shared" ca="1" si="18"/>
        <v>-7.2872488482162323E-2</v>
      </c>
      <c r="BM10" s="23">
        <f t="shared" ca="1" si="19"/>
        <v>0.11450999817020913</v>
      </c>
      <c r="BN10" s="95" t="s">
        <v>654</v>
      </c>
      <c r="BO10" s="95" t="s">
        <v>117</v>
      </c>
      <c r="BP10" s="95" t="s">
        <v>133</v>
      </c>
      <c r="BQ10" s="98">
        <v>0</v>
      </c>
      <c r="BR10" s="98">
        <v>3.2</v>
      </c>
      <c r="BS10" s="98">
        <v>238.7</v>
      </c>
      <c r="BT10" t="s">
        <v>860</v>
      </c>
    </row>
    <row r="11" spans="1:72" ht="15" customHeight="1" x14ac:dyDescent="0.25">
      <c r="A11" s="86" t="e" vm="8">
        <v>#VALUE!</v>
      </c>
      <c r="B11" s="10" t="str">
        <f t="array" aca="1" ref="B11" ca="1">_FV(A11,"Símbolo bursátil",TRUE())</f>
        <v>ZS</v>
      </c>
      <c r="C11" s="88" t="s">
        <v>96</v>
      </c>
      <c r="D11" s="88" t="s">
        <v>97</v>
      </c>
      <c r="E11" s="11" t="str">
        <f t="array" aca="1" ref="E11" ca="1">_FV(A11,"Abreviatura de intercambio",TRUE())</f>
        <v>XNAS</v>
      </c>
      <c r="F11" s="11" t="str">
        <f t="array" aca="1" ref="F11" ca="1">_FV(A11,"Moneda")</f>
        <v>USD</v>
      </c>
      <c r="G11" s="12">
        <f t="array" aca="1" ref="G11" ca="1">_FV(A11,"Precio")</f>
        <v>213.11</v>
      </c>
      <c r="H11" s="13">
        <f t="array" aca="1" ref="H11" ca="1">_FV(A11,"Acciones en circulación",TRUE())/1000000</f>
        <v>163.0547</v>
      </c>
      <c r="I11" s="14">
        <f t="shared" ca="1" si="0"/>
        <v>34748.587117000003</v>
      </c>
      <c r="J11" s="91">
        <v>1</v>
      </c>
      <c r="K11" s="91">
        <v>6</v>
      </c>
      <c r="L11" s="91">
        <v>2</v>
      </c>
      <c r="M11" s="91">
        <v>1</v>
      </c>
      <c r="N11" s="91">
        <v>0</v>
      </c>
      <c r="O11" s="91">
        <v>0.72</v>
      </c>
      <c r="P11" s="91">
        <v>1</v>
      </c>
      <c r="Q11" s="91">
        <v>1</v>
      </c>
      <c r="R11" s="26">
        <f t="shared" si="1"/>
        <v>12</v>
      </c>
      <c r="S11" s="16">
        <f t="shared" si="2"/>
        <v>7.5</v>
      </c>
      <c r="T11" s="91">
        <v>13</v>
      </c>
      <c r="U11" s="91">
        <v>15</v>
      </c>
      <c r="V11" s="91">
        <v>14</v>
      </c>
      <c r="W11" s="91">
        <v>8</v>
      </c>
      <c r="X11" s="91">
        <v>9</v>
      </c>
      <c r="Y11" s="91">
        <v>12</v>
      </c>
      <c r="Z11" s="91">
        <v>10</v>
      </c>
      <c r="AA11" s="91">
        <v>-11</v>
      </c>
      <c r="AB11" s="26">
        <f t="shared" si="3"/>
        <v>70</v>
      </c>
      <c r="AC11" s="16">
        <f t="shared" si="4"/>
        <v>7</v>
      </c>
      <c r="AD11" s="91">
        <v>13</v>
      </c>
      <c r="AE11" s="91">
        <v>-2</v>
      </c>
      <c r="AF11" s="91">
        <v>9</v>
      </c>
      <c r="AG11" s="91">
        <v>11</v>
      </c>
      <c r="AH11" s="91">
        <v>4</v>
      </c>
      <c r="AI11" s="91">
        <v>9</v>
      </c>
      <c r="AJ11" s="91">
        <v>12</v>
      </c>
      <c r="AK11" s="91">
        <v>-5</v>
      </c>
      <c r="AL11" s="26">
        <f t="shared" si="5"/>
        <v>51</v>
      </c>
      <c r="AM11" s="16">
        <f t="shared" si="6"/>
        <v>7.29</v>
      </c>
      <c r="AN11" s="17">
        <f t="shared" si="7"/>
        <v>7.22</v>
      </c>
      <c r="AO11" s="18" t="s">
        <v>78</v>
      </c>
      <c r="AP11" s="19">
        <v>3474.2</v>
      </c>
      <c r="AQ11" s="19">
        <v>1696.4</v>
      </c>
      <c r="AR11" s="19">
        <f t="shared" ca="1" si="8"/>
        <v>32970.787117</v>
      </c>
      <c r="AS11" s="103">
        <v>-42.7</v>
      </c>
      <c r="AT11" s="19">
        <v>-133.30000000000001</v>
      </c>
      <c r="AU11" s="19">
        <v>15.2</v>
      </c>
      <c r="AV11" s="19">
        <v>3352.5</v>
      </c>
      <c r="AW11" s="20">
        <f t="shared" ca="1" si="9"/>
        <v>-772.14958119437938</v>
      </c>
      <c r="AX11" s="20">
        <f t="shared" ca="1" si="10"/>
        <v>2169.1307313815792</v>
      </c>
      <c r="AY11" s="20">
        <f t="shared" ca="1" si="11"/>
        <v>9.8346866866517519</v>
      </c>
      <c r="AZ11" s="21">
        <v>4597</v>
      </c>
      <c r="BA11" s="22">
        <f t="shared" si="12"/>
        <v>-3.9761372110365401E-2</v>
      </c>
      <c r="BB11" s="22">
        <f t="shared" si="13"/>
        <v>0.72927996519469218</v>
      </c>
      <c r="BC11" s="23">
        <f t="shared" si="14"/>
        <v>-2.8997172068740484E-2</v>
      </c>
      <c r="BD11" s="98">
        <v>125</v>
      </c>
      <c r="BE11" s="23">
        <f t="shared" si="15"/>
        <v>-2.2396424154768466</v>
      </c>
      <c r="BF11">
        <v>314.5</v>
      </c>
      <c r="BG11" s="23">
        <f t="shared" si="16"/>
        <v>-2.4908658091782718</v>
      </c>
      <c r="BH11" s="24">
        <v>20</v>
      </c>
      <c r="BI11" s="24">
        <v>30</v>
      </c>
      <c r="BJ11" s="25">
        <f t="shared" ca="1" si="20"/>
        <v>26.235367640429864</v>
      </c>
      <c r="BK11" s="25">
        <f t="shared" ca="1" si="17"/>
        <v>68.767106989249626</v>
      </c>
      <c r="BL11" s="23">
        <f t="shared" ca="1" si="18"/>
        <v>-0.34225634839118357</v>
      </c>
      <c r="BM11" s="23">
        <f t="shared" ca="1" si="19"/>
        <v>-0.20245465416639263</v>
      </c>
      <c r="BN11" s="96" t="s">
        <v>880</v>
      </c>
      <c r="BO11" s="96" t="s">
        <v>875</v>
      </c>
      <c r="BP11" s="96" t="s">
        <v>883</v>
      </c>
      <c r="BQ11" s="98">
        <v>821.9</v>
      </c>
      <c r="BR11" s="98">
        <v>202</v>
      </c>
      <c r="BS11" s="98">
        <v>159.30000000000001</v>
      </c>
      <c r="BT11" s="96" t="s">
        <v>884</v>
      </c>
    </row>
    <row r="12" spans="1:72" ht="15" customHeight="1" x14ac:dyDescent="0.25">
      <c r="A12" s="86" t="e" vm="9">
        <v>#VALUE!</v>
      </c>
      <c r="B12" s="10" t="str">
        <f t="array" aca="1" ref="B12" ca="1">_FV(A12,"Símbolo bursátil",TRUE())</f>
        <v>NTO</v>
      </c>
      <c r="C12" s="88" t="s">
        <v>98</v>
      </c>
      <c r="D12" s="88" t="s">
        <v>77</v>
      </c>
      <c r="E12" s="11" t="str">
        <f t="array" aca="1" ref="E12" ca="1">_FV(A12,"Abreviatura de intercambio",TRUE())</f>
        <v>XFRA</v>
      </c>
      <c r="F12" s="11" t="str">
        <f t="array" aca="1" ref="F12" ca="1">_FV(A12,"Moneda")</f>
        <v>EUR</v>
      </c>
      <c r="G12" s="12">
        <f t="array" aca="1" ref="G12" ca="1">_FV(A12,"Precio")</f>
        <v>47.98</v>
      </c>
      <c r="H12" s="13">
        <f t="array" aca="1" ref="H12" ca="1">_FV(A12,"Acciones en circulación",TRUE())/1000000</f>
        <v>1287.26</v>
      </c>
      <c r="I12" s="14">
        <f t="shared" ca="1" si="0"/>
        <v>61762.734799999998</v>
      </c>
      <c r="J12" s="90">
        <v>1</v>
      </c>
      <c r="K12" s="90">
        <v>7</v>
      </c>
      <c r="L12" s="90">
        <v>3</v>
      </c>
      <c r="M12" s="90">
        <v>1</v>
      </c>
      <c r="N12" s="90">
        <v>-1</v>
      </c>
      <c r="O12" s="90">
        <v>0.82</v>
      </c>
      <c r="P12" s="90">
        <v>1</v>
      </c>
      <c r="Q12" s="90">
        <v>0</v>
      </c>
      <c r="R12" s="15">
        <f t="shared" si="1"/>
        <v>12</v>
      </c>
      <c r="S12" s="16">
        <f t="shared" si="2"/>
        <v>7.5</v>
      </c>
      <c r="T12" s="90">
        <v>16</v>
      </c>
      <c r="U12" s="90">
        <v>17</v>
      </c>
      <c r="V12" s="90">
        <v>14</v>
      </c>
      <c r="W12" s="90">
        <v>10</v>
      </c>
      <c r="X12" s="90">
        <v>8</v>
      </c>
      <c r="Y12" s="90">
        <v>12</v>
      </c>
      <c r="Z12" s="90">
        <v>6</v>
      </c>
      <c r="AA12" s="90">
        <v>-8</v>
      </c>
      <c r="AB12" s="15">
        <f t="shared" si="3"/>
        <v>75</v>
      </c>
      <c r="AC12" s="16">
        <f t="shared" si="4"/>
        <v>7.5</v>
      </c>
      <c r="AD12" s="90">
        <v>14</v>
      </c>
      <c r="AE12" s="90">
        <v>-1</v>
      </c>
      <c r="AF12" s="90">
        <v>9</v>
      </c>
      <c r="AG12" s="90">
        <v>12</v>
      </c>
      <c r="AH12" s="90">
        <v>5</v>
      </c>
      <c r="AI12" s="90">
        <v>7</v>
      </c>
      <c r="AJ12" s="90">
        <v>14</v>
      </c>
      <c r="AK12" s="90">
        <v>-3</v>
      </c>
      <c r="AL12" s="15">
        <f t="shared" si="5"/>
        <v>57</v>
      </c>
      <c r="AM12" s="16">
        <f t="shared" si="6"/>
        <v>8.14</v>
      </c>
      <c r="AN12" s="17">
        <f t="shared" si="7"/>
        <v>7.76</v>
      </c>
      <c r="AO12" s="18" t="s">
        <v>99</v>
      </c>
      <c r="AP12" s="19">
        <v>1967908</v>
      </c>
      <c r="AQ12" s="19">
        <v>0</v>
      </c>
      <c r="AR12" s="19">
        <f ca="1">I12*'Framework Notes'!E4-AP12+AQ12</f>
        <v>9008565.2286559995</v>
      </c>
      <c r="AS12" s="103">
        <v>262620</v>
      </c>
      <c r="AT12" s="19">
        <v>325400</v>
      </c>
      <c r="AU12" s="19">
        <v>461600</v>
      </c>
      <c r="AV12" s="19">
        <v>2258501</v>
      </c>
      <c r="AW12" s="20">
        <f t="shared" ca="1" si="9"/>
        <v>34.302662511065414</v>
      </c>
      <c r="AX12" s="20">
        <f t="shared" ca="1" si="10"/>
        <v>19.51595586797227</v>
      </c>
      <c r="AY12" s="20">
        <f t="shared" ca="1" si="11"/>
        <v>3.9887364356517883</v>
      </c>
      <c r="AZ12" s="21">
        <v>1600000</v>
      </c>
      <c r="BA12" s="22">
        <f t="shared" si="12"/>
        <v>0.14407786403459641</v>
      </c>
      <c r="BB12" s="22">
        <f t="shared" si="13"/>
        <v>1.411563125</v>
      </c>
      <c r="BC12" s="23">
        <f t="shared" si="14"/>
        <v>0.20337500000000003</v>
      </c>
      <c r="BD12" s="98">
        <v>262620</v>
      </c>
      <c r="BE12" s="23">
        <f t="shared" si="15"/>
        <v>0</v>
      </c>
      <c r="BF12">
        <v>483861</v>
      </c>
      <c r="BG12" s="23">
        <f t="shared" si="16"/>
        <v>0.1300003144417341</v>
      </c>
      <c r="BH12" s="24">
        <v>15</v>
      </c>
      <c r="BI12" s="24">
        <v>22.5</v>
      </c>
      <c r="BJ12" s="25">
        <f ca="1">((BD12*BH12+$AP12-$AQ12)/$H12)/'Framework Notes'!E4</f>
        <v>25.821393988377078</v>
      </c>
      <c r="BK12" s="25">
        <f ca="1">((BF12*BI12+$AP12-$AQ12)/$H12)/'Framework Notes'!E4</f>
        <v>56.190395179009599</v>
      </c>
      <c r="BL12" s="23">
        <f t="shared" ca="1" si="18"/>
        <v>-0.11654610842023327</v>
      </c>
      <c r="BM12" s="23">
        <f t="shared" ca="1" si="19"/>
        <v>3.2096650354910716E-2</v>
      </c>
      <c r="BN12" s="95" t="s">
        <v>654</v>
      </c>
      <c r="BO12" s="100" t="s">
        <v>117</v>
      </c>
      <c r="BP12" s="95" t="s">
        <v>133</v>
      </c>
      <c r="BQ12" s="98">
        <v>0</v>
      </c>
      <c r="BR12" s="98">
        <v>11315</v>
      </c>
      <c r="BS12" s="98">
        <v>273935</v>
      </c>
      <c r="BT12" t="s">
        <v>860</v>
      </c>
    </row>
    <row r="13" spans="1:72" ht="15" customHeight="1" x14ac:dyDescent="0.25">
      <c r="A13" s="86" t="e" vm="10">
        <v>#VALUE!</v>
      </c>
      <c r="B13" s="10" t="str">
        <f t="array" aca="1" ref="B13" ca="1">_FV(A13,"Símbolo bursátil",TRUE())</f>
        <v>AMZN</v>
      </c>
      <c r="C13" s="88" t="s">
        <v>81</v>
      </c>
      <c r="D13" s="88" t="s">
        <v>77</v>
      </c>
      <c r="E13" s="11" t="str">
        <f t="array" aca="1" ref="E13" ca="1">_FV(A13,"Abreviatura de intercambio",TRUE())</f>
        <v>XNAS</v>
      </c>
      <c r="F13" s="11" t="str">
        <f t="array" aca="1" ref="F13" ca="1">_FV(A13,"Moneda")</f>
        <v>USD</v>
      </c>
      <c r="G13" s="12">
        <f t="array" aca="1" ref="G13" ca="1">_FV(A13,"Precio")</f>
        <v>262.27800000000002</v>
      </c>
      <c r="H13" s="13">
        <f t="array" aca="1" ref="H13" ca="1">_FV(A13,"Acciones en circulación",TRUE())/1000000</f>
        <v>10786.31</v>
      </c>
      <c r="I13" s="14">
        <f t="shared" ca="1" si="0"/>
        <v>2829011.8141800002</v>
      </c>
      <c r="J13" s="91">
        <v>1.5</v>
      </c>
      <c r="K13" s="91">
        <v>8</v>
      </c>
      <c r="L13" s="91">
        <v>3</v>
      </c>
      <c r="M13" s="91">
        <v>1</v>
      </c>
      <c r="N13" s="91">
        <v>0</v>
      </c>
      <c r="O13" s="91">
        <v>0.72</v>
      </c>
      <c r="P13" s="91">
        <v>1</v>
      </c>
      <c r="Q13" s="91">
        <v>0.5</v>
      </c>
      <c r="R13" s="26">
        <f t="shared" si="1"/>
        <v>15</v>
      </c>
      <c r="S13" s="16">
        <f t="shared" si="2"/>
        <v>9.3800000000000008</v>
      </c>
      <c r="T13" s="91">
        <v>14</v>
      </c>
      <c r="U13" s="91">
        <v>19</v>
      </c>
      <c r="V13" s="91">
        <v>15</v>
      </c>
      <c r="W13" s="91">
        <v>10</v>
      </c>
      <c r="X13" s="91">
        <v>9</v>
      </c>
      <c r="Y13" s="91">
        <v>12</v>
      </c>
      <c r="Z13" s="91">
        <v>6</v>
      </c>
      <c r="AA13" s="91">
        <v>-8</v>
      </c>
      <c r="AB13" s="26">
        <f t="shared" si="3"/>
        <v>77</v>
      </c>
      <c r="AC13" s="16">
        <f t="shared" si="4"/>
        <v>7.7</v>
      </c>
      <c r="AD13" s="91">
        <v>14</v>
      </c>
      <c r="AE13" s="91">
        <v>-1</v>
      </c>
      <c r="AF13" s="91">
        <v>3</v>
      </c>
      <c r="AG13" s="91">
        <v>13</v>
      </c>
      <c r="AH13" s="91">
        <v>4</v>
      </c>
      <c r="AI13" s="91">
        <v>8</v>
      </c>
      <c r="AJ13" s="91">
        <v>14</v>
      </c>
      <c r="AK13" s="91">
        <v>-5</v>
      </c>
      <c r="AL13" s="26">
        <f t="shared" si="5"/>
        <v>50</v>
      </c>
      <c r="AM13" s="16">
        <f t="shared" si="6"/>
        <v>7.14</v>
      </c>
      <c r="AN13" s="17">
        <f t="shared" si="7"/>
        <v>7.81</v>
      </c>
      <c r="AO13" s="18" t="s">
        <v>78</v>
      </c>
      <c r="AP13" s="19">
        <v>78213</v>
      </c>
      <c r="AQ13" s="19">
        <v>128894</v>
      </c>
      <c r="AR13" s="19">
        <f t="shared" ref="AR13:AR32" ca="1" si="21">I13-AP13+AQ13</f>
        <v>2879692.8141800002</v>
      </c>
      <c r="AS13" s="103">
        <v>58282</v>
      </c>
      <c r="AT13" s="19">
        <v>55000</v>
      </c>
      <c r="AU13" s="19">
        <v>138000</v>
      </c>
      <c r="AV13" s="19">
        <v>775656</v>
      </c>
      <c r="AW13" s="20">
        <f t="shared" ca="1" si="9"/>
        <v>49.4096430146529</v>
      </c>
      <c r="AX13" s="20">
        <f t="shared" ca="1" si="10"/>
        <v>20.867339233188407</v>
      </c>
      <c r="AY13" s="20">
        <f t="shared" ca="1" si="11"/>
        <v>3.7125901355497799</v>
      </c>
      <c r="AZ13" s="21">
        <v>300000</v>
      </c>
      <c r="BA13" s="22">
        <f t="shared" si="12"/>
        <v>7.0907721979846738E-2</v>
      </c>
      <c r="BB13" s="22">
        <f t="shared" si="13"/>
        <v>2.5855199999999998</v>
      </c>
      <c r="BC13" s="23">
        <f t="shared" si="14"/>
        <v>0.18333333333333332</v>
      </c>
      <c r="BD13" s="98">
        <v>70864</v>
      </c>
      <c r="BE13" s="23">
        <f t="shared" si="15"/>
        <v>3.9868070554636814E-2</v>
      </c>
      <c r="BF13">
        <v>122401.4</v>
      </c>
      <c r="BG13" s="23">
        <f t="shared" si="16"/>
        <v>0.15997969658211542</v>
      </c>
      <c r="BH13" s="24">
        <v>22.5</v>
      </c>
      <c r="BI13" s="24">
        <v>30</v>
      </c>
      <c r="BJ13" s="25">
        <f ca="1">(BD13*BH13+$AP13-$AQ13)/$H13</f>
        <v>143.12206862217013</v>
      </c>
      <c r="BK13" s="25">
        <f ca="1">(BF13*BI13+$AP13-$AQ13)/$H13</f>
        <v>335.73678116056374</v>
      </c>
      <c r="BL13" s="23">
        <f t="shared" ca="1" si="18"/>
        <v>-0.1140913374947139</v>
      </c>
      <c r="BM13" s="23">
        <f t="shared" ca="1" si="19"/>
        <v>5.0624228362174284E-2</v>
      </c>
      <c r="BN13" s="95" t="s">
        <v>654</v>
      </c>
      <c r="BO13" s="93" t="s">
        <v>102</v>
      </c>
      <c r="BP13" s="95" t="s">
        <v>104</v>
      </c>
      <c r="BQ13" s="98">
        <v>19810</v>
      </c>
      <c r="BR13" s="98">
        <v>80564</v>
      </c>
      <c r="BS13" s="98">
        <v>58282</v>
      </c>
      <c r="BT13" s="96" t="s">
        <v>865</v>
      </c>
    </row>
    <row r="14" spans="1:72" ht="15" customHeight="1" x14ac:dyDescent="0.25">
      <c r="A14" s="86" t="e" vm="11">
        <v>#VALUE!</v>
      </c>
      <c r="B14" s="10" t="str">
        <f t="array" aca="1" ref="B14" ca="1">_FV(A14,"Símbolo bursátil",TRUE())</f>
        <v>SU</v>
      </c>
      <c r="C14" s="88" t="s">
        <v>103</v>
      </c>
      <c r="D14" s="88" t="s">
        <v>77</v>
      </c>
      <c r="E14" s="11" t="str">
        <f t="array" aca="1" ref="E14" ca="1">_FV(A14,"Abreviatura de intercambio",TRUE())</f>
        <v>XPAR</v>
      </c>
      <c r="F14" s="11" t="str">
        <f t="array" aca="1" ref="F14" ca="1">_FV(A14,"Moneda")</f>
        <v>EUR</v>
      </c>
      <c r="G14" s="12">
        <f t="array" aca="1" ref="G14" ca="1">_FV(A14,"Precio")</f>
        <v>252.6</v>
      </c>
      <c r="H14" s="13">
        <f t="array" aca="1" ref="H14" ca="1">_FV(A14,"Acciones en circulación",TRUE())/1000000</f>
        <v>578.60530000000006</v>
      </c>
      <c r="I14" s="14">
        <f t="shared" ca="1" si="0"/>
        <v>146155.69878000001</v>
      </c>
      <c r="J14" s="90">
        <v>1</v>
      </c>
      <c r="K14" s="90">
        <v>7</v>
      </c>
      <c r="L14" s="90">
        <v>3</v>
      </c>
      <c r="M14" s="90">
        <v>1</v>
      </c>
      <c r="N14" s="90">
        <v>0</v>
      </c>
      <c r="O14" s="90">
        <v>0.84</v>
      </c>
      <c r="P14" s="90">
        <v>1</v>
      </c>
      <c r="Q14" s="90">
        <v>0</v>
      </c>
      <c r="R14" s="15">
        <f t="shared" si="1"/>
        <v>13</v>
      </c>
      <c r="S14" s="16">
        <f t="shared" si="2"/>
        <v>8.1300000000000008</v>
      </c>
      <c r="T14" s="90">
        <v>15</v>
      </c>
      <c r="U14" s="90">
        <v>17</v>
      </c>
      <c r="V14" s="90">
        <v>15</v>
      </c>
      <c r="W14" s="90">
        <v>10</v>
      </c>
      <c r="X14" s="90">
        <v>9</v>
      </c>
      <c r="Y14" s="90">
        <v>13</v>
      </c>
      <c r="Z14" s="90">
        <v>5</v>
      </c>
      <c r="AA14" s="90">
        <v>-7</v>
      </c>
      <c r="AB14" s="15">
        <f t="shared" si="3"/>
        <v>77</v>
      </c>
      <c r="AC14" s="16">
        <f t="shared" si="4"/>
        <v>7.7</v>
      </c>
      <c r="AD14" s="90">
        <v>14</v>
      </c>
      <c r="AE14" s="90">
        <v>-1</v>
      </c>
      <c r="AF14" s="90">
        <v>6</v>
      </c>
      <c r="AG14" s="90">
        <v>13</v>
      </c>
      <c r="AH14" s="90">
        <v>3</v>
      </c>
      <c r="AI14" s="90">
        <v>8</v>
      </c>
      <c r="AJ14" s="90">
        <v>13</v>
      </c>
      <c r="AK14" s="90">
        <v>-3</v>
      </c>
      <c r="AL14" s="15">
        <f t="shared" si="5"/>
        <v>53</v>
      </c>
      <c r="AM14" s="16">
        <f t="shared" si="6"/>
        <v>7.57</v>
      </c>
      <c r="AN14" s="17">
        <f t="shared" si="7"/>
        <v>7.73</v>
      </c>
      <c r="AO14" s="18" t="s">
        <v>86</v>
      </c>
      <c r="AP14" s="19">
        <v>4520</v>
      </c>
      <c r="AQ14" s="19">
        <v>20810</v>
      </c>
      <c r="AR14" s="19">
        <f t="shared" ca="1" si="21"/>
        <v>162445.69878000001</v>
      </c>
      <c r="AS14" s="103">
        <v>4588</v>
      </c>
      <c r="AT14" s="19">
        <v>5727</v>
      </c>
      <c r="AU14" s="19">
        <v>8520</v>
      </c>
      <c r="AV14" s="19">
        <v>42040</v>
      </c>
      <c r="AW14" s="20">
        <f t="shared" ca="1" si="9"/>
        <v>35.406647510897997</v>
      </c>
      <c r="AX14" s="20">
        <f t="shared" ca="1" si="10"/>
        <v>19.066396570422537</v>
      </c>
      <c r="AY14" s="20">
        <f t="shared" ca="1" si="11"/>
        <v>3.8640746617507138</v>
      </c>
      <c r="AZ14" s="21">
        <v>43259</v>
      </c>
      <c r="BA14" s="22">
        <f t="shared" si="12"/>
        <v>0.13622740247383444</v>
      </c>
      <c r="BB14" s="22">
        <f t="shared" si="13"/>
        <v>0.97182089276219974</v>
      </c>
      <c r="BC14" s="23">
        <f t="shared" si="14"/>
        <v>0.13238863589079727</v>
      </c>
      <c r="BD14" s="98">
        <v>5855.3</v>
      </c>
      <c r="BE14" s="23">
        <f t="shared" si="15"/>
        <v>4.9989964962892319E-2</v>
      </c>
      <c r="BF14">
        <v>8453.1</v>
      </c>
      <c r="BG14" s="23">
        <f t="shared" si="16"/>
        <v>0.13000019777440941</v>
      </c>
      <c r="BH14" s="24">
        <v>17.5</v>
      </c>
      <c r="BI14" s="24">
        <v>25</v>
      </c>
      <c r="BJ14" s="25">
        <f ca="1">(BD14*BH14+$AP14-$AQ14)/$H14</f>
        <v>148.94047807719699</v>
      </c>
      <c r="BK14" s="25">
        <f ca="1">(BF14*BI14+$AP14-$AQ14)/$H14</f>
        <v>337.08211798267314</v>
      </c>
      <c r="BL14" s="23">
        <f t="shared" ca="1" si="18"/>
        <v>-0.10026238041358659</v>
      </c>
      <c r="BM14" s="23">
        <f t="shared" ca="1" si="19"/>
        <v>5.9401231796886389E-2</v>
      </c>
      <c r="BN14" s="95" t="s">
        <v>812</v>
      </c>
      <c r="BO14" s="93" t="s">
        <v>102</v>
      </c>
      <c r="BP14" s="93" t="s">
        <v>104</v>
      </c>
      <c r="BQ14" s="98">
        <v>0</v>
      </c>
      <c r="BR14" s="98">
        <v>0</v>
      </c>
      <c r="BS14" s="98">
        <v>4588</v>
      </c>
      <c r="BT14" t="s">
        <v>860</v>
      </c>
    </row>
    <row r="15" spans="1:72" ht="15" customHeight="1" x14ac:dyDescent="0.25">
      <c r="A15" s="86" t="e" vm="12">
        <v>#VALUE!</v>
      </c>
      <c r="B15" s="10" t="str">
        <f t="array" aca="1" ref="B15" ca="1">_FV(A15,"Símbolo bursátil",TRUE())</f>
        <v>ITX</v>
      </c>
      <c r="C15" s="88" t="s">
        <v>105</v>
      </c>
      <c r="D15" s="88" t="s">
        <v>77</v>
      </c>
      <c r="E15" s="11" t="str">
        <f t="array" aca="1" ref="E15" ca="1">_FV(A15,"Abreviatura de intercambio",TRUE())</f>
        <v>BMEX</v>
      </c>
      <c r="F15" s="11" t="str">
        <f t="array" aca="1" ref="F15" ca="1">_FV(A15,"Moneda")</f>
        <v>EUR</v>
      </c>
      <c r="G15" s="12">
        <f t="array" aca="1" ref="G15" ca="1">_FV(A15,"Precio")</f>
        <v>55.42</v>
      </c>
      <c r="H15" s="13">
        <f t="array" aca="1" ref="H15" ca="1">_FV(A15,"Acciones en circulación",TRUE())/1000000</f>
        <v>3116.652</v>
      </c>
      <c r="I15" s="14">
        <f t="shared" ca="1" si="0"/>
        <v>172724.85384</v>
      </c>
      <c r="J15" s="91">
        <v>0</v>
      </c>
      <c r="K15" s="91">
        <v>6.5</v>
      </c>
      <c r="L15" s="91">
        <v>1.5</v>
      </c>
      <c r="M15" s="91">
        <v>1</v>
      </c>
      <c r="N15" s="91">
        <v>0</v>
      </c>
      <c r="O15" s="91">
        <v>0.74</v>
      </c>
      <c r="P15" s="91">
        <v>1</v>
      </c>
      <c r="Q15" s="91">
        <v>1</v>
      </c>
      <c r="R15" s="26">
        <f t="shared" si="1"/>
        <v>11</v>
      </c>
      <c r="S15" s="16">
        <f t="shared" si="2"/>
        <v>6.88</v>
      </c>
      <c r="T15" s="91">
        <v>16</v>
      </c>
      <c r="U15" s="91">
        <v>17</v>
      </c>
      <c r="V15" s="91">
        <v>10</v>
      </c>
      <c r="W15" s="91">
        <v>10</v>
      </c>
      <c r="X15" s="91">
        <v>9</v>
      </c>
      <c r="Y15" s="91">
        <v>13</v>
      </c>
      <c r="Z15" s="91">
        <v>10</v>
      </c>
      <c r="AA15" s="91">
        <v>-8</v>
      </c>
      <c r="AB15" s="26">
        <f t="shared" si="3"/>
        <v>77</v>
      </c>
      <c r="AC15" s="16">
        <f t="shared" si="4"/>
        <v>7.7</v>
      </c>
      <c r="AD15" s="91">
        <v>15</v>
      </c>
      <c r="AE15" s="91">
        <v>-1</v>
      </c>
      <c r="AF15" s="91">
        <v>8</v>
      </c>
      <c r="AG15" s="91">
        <v>13</v>
      </c>
      <c r="AH15" s="91">
        <v>5</v>
      </c>
      <c r="AI15" s="91">
        <v>9</v>
      </c>
      <c r="AJ15" s="91">
        <v>13</v>
      </c>
      <c r="AK15" s="91">
        <v>-4</v>
      </c>
      <c r="AL15" s="26">
        <f t="shared" si="5"/>
        <v>58</v>
      </c>
      <c r="AM15" s="16">
        <f t="shared" si="6"/>
        <v>8.2899999999999991</v>
      </c>
      <c r="AN15" s="17">
        <f t="shared" si="7"/>
        <v>7.77</v>
      </c>
      <c r="AO15" s="18" t="s">
        <v>86</v>
      </c>
      <c r="AP15" s="19">
        <v>10399</v>
      </c>
      <c r="AQ15" s="19">
        <v>1</v>
      </c>
      <c r="AR15" s="19">
        <f t="shared" ca="1" si="21"/>
        <v>162326.85384</v>
      </c>
      <c r="AS15" s="103">
        <v>5706</v>
      </c>
      <c r="AT15" s="19">
        <v>6241</v>
      </c>
      <c r="AU15" s="19">
        <v>9797</v>
      </c>
      <c r="AV15" s="19">
        <v>41262</v>
      </c>
      <c r="AW15" s="20">
        <f t="shared" ca="1" si="9"/>
        <v>28.448449674027341</v>
      </c>
      <c r="AX15" s="20">
        <f t="shared" ca="1" si="10"/>
        <v>16.569036831683167</v>
      </c>
      <c r="AY15" s="20">
        <f t="shared" ca="1" si="11"/>
        <v>3.9340520052348409</v>
      </c>
      <c r="AZ15" s="21">
        <v>24023</v>
      </c>
      <c r="BA15" s="22">
        <f t="shared" si="12"/>
        <v>0.1512529688333091</v>
      </c>
      <c r="BB15" s="22">
        <f t="shared" si="13"/>
        <v>1.7176039628689173</v>
      </c>
      <c r="BC15" s="23">
        <f t="shared" si="14"/>
        <v>0.25979269866378057</v>
      </c>
      <c r="BD15" s="98">
        <v>7080.8</v>
      </c>
      <c r="BE15" s="23">
        <f t="shared" si="15"/>
        <v>4.4119272449552493E-2</v>
      </c>
      <c r="BF15">
        <v>8954.9</v>
      </c>
      <c r="BG15" s="23">
        <f t="shared" si="16"/>
        <v>9.4323674014397563E-2</v>
      </c>
      <c r="BH15" s="24">
        <v>16</v>
      </c>
      <c r="BI15" s="24">
        <v>24</v>
      </c>
      <c r="BJ15" s="25">
        <f ca="1">(BD15*BH15+$AP15-$AQ15)/$H15</f>
        <v>39.687074463238119</v>
      </c>
      <c r="BK15" s="25">
        <f ca="1">(BF15*BI15+$AP15-$AQ15)/$H15</f>
        <v>72.294115608672371</v>
      </c>
      <c r="BL15" s="23">
        <f t="shared" ca="1" si="18"/>
        <v>-6.4601836482819031E-2</v>
      </c>
      <c r="BM15" s="23">
        <f t="shared" ca="1" si="19"/>
        <v>5.4598830936068099E-2</v>
      </c>
      <c r="BN15" s="96" t="s">
        <v>880</v>
      </c>
      <c r="BO15" s="96" t="s">
        <v>92</v>
      </c>
      <c r="BP15" s="96" t="s">
        <v>144</v>
      </c>
      <c r="BQ15" s="98">
        <v>113</v>
      </c>
      <c r="BR15" s="98">
        <v>0</v>
      </c>
      <c r="BS15" s="98">
        <v>5706</v>
      </c>
      <c r="BT15" s="96" t="s">
        <v>893</v>
      </c>
    </row>
    <row r="16" spans="1:72" ht="15" customHeight="1" x14ac:dyDescent="0.25">
      <c r="A16" s="86" t="e" vm="13">
        <v>#VALUE!</v>
      </c>
      <c r="B16" s="10" t="str">
        <f t="array" aca="1" ref="B16" ca="1">_FV(A16,"Símbolo bursátil",TRUE())</f>
        <v>LOTB</v>
      </c>
      <c r="C16" s="88" t="s">
        <v>105</v>
      </c>
      <c r="D16" s="88" t="s">
        <v>77</v>
      </c>
      <c r="E16" s="11" t="str">
        <f t="array" aca="1" ref="E16" ca="1">_FV(A16,"Abreviatura de intercambio",TRUE())</f>
        <v>XBRU</v>
      </c>
      <c r="F16" s="11" t="str">
        <f t="array" aca="1" ref="F16" ca="1">_FV(A16,"Moneda")</f>
        <v>EUR</v>
      </c>
      <c r="G16" s="12">
        <f t="array" aca="1" ref="G16" ca="1">_FV(A16,"Precio")</f>
        <v>13000</v>
      </c>
      <c r="H16" s="13">
        <f t="array" aca="1" ref="H16" ca="1">_FV(A16,"Acciones en circulación",TRUE())/1000000</f>
        <v>0.81601000000000001</v>
      </c>
      <c r="I16" s="14">
        <f t="shared" ca="1" si="0"/>
        <v>10608.130000000001</v>
      </c>
      <c r="J16" s="90">
        <v>0</v>
      </c>
      <c r="K16" s="90">
        <v>7</v>
      </c>
      <c r="L16" s="90">
        <v>3</v>
      </c>
      <c r="M16" s="90">
        <v>1</v>
      </c>
      <c r="N16" s="90">
        <v>-1</v>
      </c>
      <c r="O16" s="90">
        <v>0.76</v>
      </c>
      <c r="P16" s="90">
        <v>1</v>
      </c>
      <c r="Q16" s="90">
        <v>1</v>
      </c>
      <c r="R16" s="15">
        <f t="shared" si="1"/>
        <v>12</v>
      </c>
      <c r="S16" s="16">
        <f t="shared" si="2"/>
        <v>7.5</v>
      </c>
      <c r="T16" s="90">
        <v>16</v>
      </c>
      <c r="U16" s="90">
        <v>16</v>
      </c>
      <c r="V16" s="90">
        <v>14</v>
      </c>
      <c r="W16" s="90">
        <v>9</v>
      </c>
      <c r="X16" s="90">
        <v>9</v>
      </c>
      <c r="Y16" s="90">
        <v>13</v>
      </c>
      <c r="Z16" s="90">
        <v>10</v>
      </c>
      <c r="AA16" s="90">
        <v>-7</v>
      </c>
      <c r="AB16" s="15">
        <f t="shared" si="3"/>
        <v>80</v>
      </c>
      <c r="AC16" s="16">
        <f t="shared" si="4"/>
        <v>8</v>
      </c>
      <c r="AD16" s="90">
        <v>14</v>
      </c>
      <c r="AE16" s="90">
        <v>-1</v>
      </c>
      <c r="AF16" s="90">
        <v>6</v>
      </c>
      <c r="AG16" s="90">
        <v>13</v>
      </c>
      <c r="AH16" s="90">
        <v>4</v>
      </c>
      <c r="AI16" s="90">
        <v>9</v>
      </c>
      <c r="AJ16" s="90">
        <v>13</v>
      </c>
      <c r="AK16" s="90">
        <v>-3</v>
      </c>
      <c r="AL16" s="15">
        <f t="shared" si="5"/>
        <v>55</v>
      </c>
      <c r="AM16" s="16">
        <f t="shared" si="6"/>
        <v>7.86</v>
      </c>
      <c r="AN16" s="17">
        <f t="shared" si="7"/>
        <v>7.84</v>
      </c>
      <c r="AO16" s="18" t="s">
        <v>86</v>
      </c>
      <c r="AP16" s="19">
        <v>274</v>
      </c>
      <c r="AQ16" s="19">
        <v>409</v>
      </c>
      <c r="AR16" s="19">
        <f t="shared" ca="1" si="21"/>
        <v>10743.130000000001</v>
      </c>
      <c r="AS16" s="103">
        <v>90.8</v>
      </c>
      <c r="AT16" s="19">
        <v>190</v>
      </c>
      <c r="AU16" s="19">
        <v>291</v>
      </c>
      <c r="AV16" s="19">
        <v>1450</v>
      </c>
      <c r="AW16" s="20">
        <f t="shared" ca="1" si="9"/>
        <v>118.31640969162997</v>
      </c>
      <c r="AX16" s="20">
        <f t="shared" ca="1" si="10"/>
        <v>36.91797250859107</v>
      </c>
      <c r="AY16" s="20">
        <f t="shared" ca="1" si="11"/>
        <v>7.4090551724137939</v>
      </c>
      <c r="AZ16" s="21">
        <v>1309</v>
      </c>
      <c r="BA16" s="22">
        <f t="shared" si="12"/>
        <v>0.1310344827586207</v>
      </c>
      <c r="BB16" s="22">
        <f t="shared" si="13"/>
        <v>1.1077158135981666</v>
      </c>
      <c r="BC16" s="23">
        <f t="shared" si="14"/>
        <v>0.14514896867838048</v>
      </c>
      <c r="BD16" s="98">
        <v>127.5</v>
      </c>
      <c r="BE16" s="23">
        <f t="shared" si="15"/>
        <v>7.0249090026026861E-2</v>
      </c>
      <c r="BF16">
        <v>167.5</v>
      </c>
      <c r="BG16" s="23">
        <f t="shared" si="16"/>
        <v>0.13027934838357913</v>
      </c>
      <c r="BH16" s="24">
        <v>15</v>
      </c>
      <c r="BI16" s="24">
        <v>25</v>
      </c>
      <c r="BJ16" s="25">
        <f ca="1">(BD16*BH16+$AP16-$AQ16)/$H16</f>
        <v>2178.2821288954792</v>
      </c>
      <c r="BK16" s="25">
        <f ca="1">(BF16*BI16+$AP16-$AQ16)/$H16</f>
        <v>4966.2381588460921</v>
      </c>
      <c r="BL16" s="23">
        <f t="shared" ca="1" si="18"/>
        <v>-0.30042520283005036</v>
      </c>
      <c r="BM16" s="23">
        <f t="shared" ca="1" si="19"/>
        <v>-0.17507049330501923</v>
      </c>
      <c r="BN16" s="95" t="s">
        <v>654</v>
      </c>
      <c r="BO16" s="95" t="s">
        <v>100</v>
      </c>
      <c r="BP16" s="95" t="s">
        <v>656</v>
      </c>
      <c r="BQ16" s="98">
        <v>2.1</v>
      </c>
      <c r="BR16" s="98">
        <v>72.8</v>
      </c>
      <c r="BS16" s="98">
        <v>163.6</v>
      </c>
      <c r="BT16" t="s">
        <v>859</v>
      </c>
    </row>
    <row r="17" spans="1:72" ht="15" customHeight="1" x14ac:dyDescent="0.25">
      <c r="A17" s="86" t="e" vm="14">
        <v>#VALUE!</v>
      </c>
      <c r="B17" s="10" t="str">
        <f t="array" aca="1" ref="B17" ca="1">_FV(A17,"Símbolo bursátil",TRUE())</f>
        <v>HLMA</v>
      </c>
      <c r="C17" s="88" t="s">
        <v>107</v>
      </c>
      <c r="D17" s="88" t="s">
        <v>77</v>
      </c>
      <c r="E17" s="11" t="str">
        <f t="array" aca="1" ref="E17" ca="1">_FV(A17,"Abreviatura de intercambio",TRUE())</f>
        <v>XLON</v>
      </c>
      <c r="F17" s="11" t="str">
        <f t="array" aca="1" ref="F17" ca="1">_FV(A17,"Moneda")</f>
        <v>GBp</v>
      </c>
      <c r="G17" s="12">
        <f t="array" aca="1" ref="G17" ca="1">_FV(A17,"Precio")</f>
        <v>3412</v>
      </c>
      <c r="H17" s="13">
        <f t="array" aca="1" ref="H17" ca="1">_FV(A17,"Acciones en circulación",TRUE())/1000000</f>
        <v>379.64530000000002</v>
      </c>
      <c r="I17" s="14">
        <f ca="1">G17/100*H17</f>
        <v>12953.497636</v>
      </c>
      <c r="J17" s="91">
        <v>2</v>
      </c>
      <c r="K17" s="91">
        <v>6</v>
      </c>
      <c r="L17" s="91">
        <v>3</v>
      </c>
      <c r="M17" s="91">
        <v>1</v>
      </c>
      <c r="N17" s="91">
        <v>0</v>
      </c>
      <c r="O17" s="91">
        <v>0.86</v>
      </c>
      <c r="P17" s="91">
        <v>1</v>
      </c>
      <c r="Q17" s="91">
        <v>0</v>
      </c>
      <c r="R17" s="26">
        <f t="shared" si="1"/>
        <v>13</v>
      </c>
      <c r="S17" s="16">
        <f t="shared" si="2"/>
        <v>8.1300000000000008</v>
      </c>
      <c r="T17" s="91">
        <v>13</v>
      </c>
      <c r="U17" s="91">
        <v>15</v>
      </c>
      <c r="V17" s="91">
        <v>12</v>
      </c>
      <c r="W17" s="91">
        <v>10</v>
      </c>
      <c r="X17" s="91">
        <v>10</v>
      </c>
      <c r="Y17" s="91">
        <v>12</v>
      </c>
      <c r="Z17" s="91">
        <v>6</v>
      </c>
      <c r="AA17" s="91">
        <v>-7</v>
      </c>
      <c r="AB17" s="26">
        <f t="shared" si="3"/>
        <v>71</v>
      </c>
      <c r="AC17" s="16">
        <f t="shared" si="4"/>
        <v>7.1</v>
      </c>
      <c r="AD17" s="91">
        <v>15</v>
      </c>
      <c r="AE17" s="91">
        <v>-1</v>
      </c>
      <c r="AF17" s="91">
        <v>8</v>
      </c>
      <c r="AG17" s="91">
        <v>14</v>
      </c>
      <c r="AH17" s="91">
        <v>4</v>
      </c>
      <c r="AI17" s="91">
        <v>8</v>
      </c>
      <c r="AJ17" s="91">
        <v>13</v>
      </c>
      <c r="AK17" s="91">
        <v>-3</v>
      </c>
      <c r="AL17" s="26">
        <f t="shared" si="5"/>
        <v>58</v>
      </c>
      <c r="AM17" s="16">
        <f t="shared" si="6"/>
        <v>8.2899999999999991</v>
      </c>
      <c r="AN17" s="17">
        <f t="shared" si="7"/>
        <v>7.78</v>
      </c>
      <c r="AO17" s="18" t="s">
        <v>108</v>
      </c>
      <c r="AP17" s="19">
        <v>143.4</v>
      </c>
      <c r="AQ17" s="19">
        <v>913.4</v>
      </c>
      <c r="AR17" s="19">
        <f t="shared" ca="1" si="21"/>
        <v>13723.497636</v>
      </c>
      <c r="AS17" s="103">
        <v>392.4</v>
      </c>
      <c r="AT17" s="19">
        <v>403</v>
      </c>
      <c r="AU17" s="19">
        <v>622.79999999999995</v>
      </c>
      <c r="AV17" s="19">
        <v>2580</v>
      </c>
      <c r="AW17" s="20">
        <f t="shared" ca="1" si="9"/>
        <v>34.973235565749235</v>
      </c>
      <c r="AX17" s="20">
        <f t="shared" ca="1" si="10"/>
        <v>22.035159980732178</v>
      </c>
      <c r="AY17" s="20">
        <f t="shared" ca="1" si="11"/>
        <v>5.3191851302325581</v>
      </c>
      <c r="AZ17" s="21">
        <v>3191</v>
      </c>
      <c r="BA17" s="22">
        <f t="shared" si="12"/>
        <v>0.15620155038759689</v>
      </c>
      <c r="BB17" s="22">
        <f t="shared" si="13"/>
        <v>0.80852397367596363</v>
      </c>
      <c r="BC17" s="23">
        <f t="shared" si="14"/>
        <v>0.1262926982137261</v>
      </c>
      <c r="BD17" s="98">
        <v>500.8</v>
      </c>
      <c r="BE17" s="23">
        <f t="shared" si="15"/>
        <v>4.9994596975880601E-2</v>
      </c>
      <c r="BF17">
        <v>722.9</v>
      </c>
      <c r="BG17" s="23">
        <f t="shared" si="16"/>
        <v>0.12997762818626035</v>
      </c>
      <c r="BH17" s="24">
        <v>18</v>
      </c>
      <c r="BI17" s="24">
        <v>28</v>
      </c>
      <c r="BJ17" s="25">
        <f ca="1">(BD17*BH17+$AP17-$AQ17)/$H17*100</f>
        <v>2171.6059700989317</v>
      </c>
      <c r="BK17" s="25">
        <f ca="1">(BF17*BI17+$AP17-$AQ17)/$H17*100</f>
        <v>5128.7873180571441</v>
      </c>
      <c r="BL17" s="23">
        <f t="shared" ca="1" si="18"/>
        <v>-8.6403555178218516E-2</v>
      </c>
      <c r="BM17" s="23">
        <f t="shared" ca="1" si="19"/>
        <v>8.4928539133130032E-2</v>
      </c>
      <c r="BN17" s="95" t="s">
        <v>812</v>
      </c>
      <c r="BO17" s="94" t="s">
        <v>109</v>
      </c>
      <c r="BP17" s="93" t="s">
        <v>110</v>
      </c>
      <c r="BQ17" s="98">
        <v>17.2</v>
      </c>
      <c r="BR17" s="98">
        <v>0</v>
      </c>
      <c r="BS17" s="98">
        <v>392.4</v>
      </c>
      <c r="BT17" s="96" t="s">
        <v>898</v>
      </c>
    </row>
    <row r="18" spans="1:72" ht="15" customHeight="1" x14ac:dyDescent="0.25">
      <c r="A18" s="86" t="e" vm="15">
        <v>#VALUE!</v>
      </c>
      <c r="B18" s="10" t="str">
        <f t="array" aca="1" ref="B18" ca="1">_FV(A18,"Símbolo bursátil",TRUE())</f>
        <v>FICO</v>
      </c>
      <c r="C18" s="88" t="s">
        <v>76</v>
      </c>
      <c r="D18" s="88" t="s">
        <v>77</v>
      </c>
      <c r="E18" s="11" t="str">
        <f t="array" aca="1" ref="E18" ca="1">_FV(A18,"Abreviatura de intercambio",TRUE())</f>
        <v>XNYS</v>
      </c>
      <c r="F18" s="11" t="str">
        <f t="array" aca="1" ref="F18" ca="1">_FV(A18,"Moneda")</f>
        <v>USD</v>
      </c>
      <c r="G18" s="12">
        <f t="array" aca="1" ref="G18" ca="1">_FV(A18,"Precio")</f>
        <v>778.995</v>
      </c>
      <c r="H18" s="13">
        <f t="array" aca="1" ref="H18" ca="1">_FV(A18,"Acciones en circulación",TRUE())/1000000</f>
        <v>21.597639999999998</v>
      </c>
      <c r="I18" s="14">
        <f t="shared" ref="I18:I25" ca="1" si="22">G18*H18</f>
        <v>16824.453571800001</v>
      </c>
      <c r="J18" s="90">
        <v>0</v>
      </c>
      <c r="K18" s="90">
        <v>8</v>
      </c>
      <c r="L18" s="90">
        <v>2</v>
      </c>
      <c r="M18" s="90">
        <v>1</v>
      </c>
      <c r="N18" s="90">
        <v>-1</v>
      </c>
      <c r="O18" s="90">
        <v>0.78</v>
      </c>
      <c r="P18" s="90">
        <v>1</v>
      </c>
      <c r="Q18" s="90">
        <v>0</v>
      </c>
      <c r="R18" s="15">
        <f t="shared" si="1"/>
        <v>11</v>
      </c>
      <c r="S18" s="16">
        <f t="shared" si="2"/>
        <v>6.88</v>
      </c>
      <c r="T18" s="90">
        <v>16</v>
      </c>
      <c r="U18" s="90">
        <v>19</v>
      </c>
      <c r="V18" s="90">
        <v>10</v>
      </c>
      <c r="W18" s="90">
        <v>7</v>
      </c>
      <c r="X18" s="90">
        <v>10</v>
      </c>
      <c r="Y18" s="90">
        <v>12</v>
      </c>
      <c r="Z18" s="90">
        <v>5</v>
      </c>
      <c r="AA18" s="90">
        <v>-15</v>
      </c>
      <c r="AB18" s="15">
        <f t="shared" si="3"/>
        <v>64</v>
      </c>
      <c r="AC18" s="16">
        <f t="shared" si="4"/>
        <v>6.4</v>
      </c>
      <c r="AD18" s="90">
        <v>14</v>
      </c>
      <c r="AE18" s="90">
        <v>0</v>
      </c>
      <c r="AF18" s="90">
        <v>10</v>
      </c>
      <c r="AG18" s="90">
        <v>14</v>
      </c>
      <c r="AH18" s="90">
        <v>4</v>
      </c>
      <c r="AI18" s="90">
        <v>8</v>
      </c>
      <c r="AJ18" s="90">
        <v>13</v>
      </c>
      <c r="AK18" s="90">
        <v>-7</v>
      </c>
      <c r="AL18" s="15">
        <f t="shared" si="5"/>
        <v>56</v>
      </c>
      <c r="AM18" s="16">
        <f t="shared" si="6"/>
        <v>8</v>
      </c>
      <c r="AN18" s="17">
        <f t="shared" si="7"/>
        <v>7.14</v>
      </c>
      <c r="AO18" s="18" t="s">
        <v>78</v>
      </c>
      <c r="AP18" s="19">
        <v>248.4</v>
      </c>
      <c r="AQ18" s="19">
        <v>5582.4</v>
      </c>
      <c r="AR18" s="19">
        <f t="shared" ca="1" si="21"/>
        <v>22158.453571799997</v>
      </c>
      <c r="AS18" s="103">
        <v>786.6</v>
      </c>
      <c r="AT18" s="19">
        <v>946</v>
      </c>
      <c r="AU18" s="19">
        <v>1252</v>
      </c>
      <c r="AV18" s="19">
        <v>2393.6</v>
      </c>
      <c r="AW18" s="20">
        <f t="shared" ca="1" si="9"/>
        <v>28.169913007627759</v>
      </c>
      <c r="AX18" s="20">
        <f t="shared" ca="1" si="10"/>
        <v>17.698445344888178</v>
      </c>
      <c r="AY18" s="20">
        <f t="shared" ca="1" si="11"/>
        <v>9.2573753224431812</v>
      </c>
      <c r="AZ18" s="21">
        <v>2200</v>
      </c>
      <c r="BA18" s="22">
        <f t="shared" si="12"/>
        <v>0.39522058823529416</v>
      </c>
      <c r="BB18" s="22">
        <f t="shared" si="13"/>
        <v>1.0879999999999999</v>
      </c>
      <c r="BC18" s="23">
        <f t="shared" si="14"/>
        <v>0.43</v>
      </c>
      <c r="BD18" s="98">
        <v>730</v>
      </c>
      <c r="BE18" s="23">
        <f t="shared" si="15"/>
        <v>-1.4824090244724086E-2</v>
      </c>
      <c r="BF18" s="98">
        <v>1670</v>
      </c>
      <c r="BG18" s="23">
        <f t="shared" si="16"/>
        <v>0.16249878007691132</v>
      </c>
      <c r="BH18" s="24">
        <v>18</v>
      </c>
      <c r="BI18" s="24">
        <v>26</v>
      </c>
      <c r="BJ18" s="25">
        <f t="shared" ref="BJ18:BJ25" ca="1" si="23">(BD18*BH18+$AP18-$AQ18)/$H18</f>
        <v>361.42837828577569</v>
      </c>
      <c r="BK18" s="25">
        <f t="shared" ref="BK18:BK25" ca="1" si="24">(BF18*BI18+$AP18-$AQ18)/$H18</f>
        <v>1763.4334121691074</v>
      </c>
      <c r="BL18" s="23">
        <f t="shared" ca="1" si="18"/>
        <v>-0.14237483520400829</v>
      </c>
      <c r="BM18" s="23">
        <f t="shared" ca="1" si="19"/>
        <v>0.17751074547836376</v>
      </c>
      <c r="BN18" s="95" t="s">
        <v>812</v>
      </c>
      <c r="BO18" s="93" t="s">
        <v>83</v>
      </c>
      <c r="BP18" s="95" t="s">
        <v>133</v>
      </c>
      <c r="BQ18" s="98">
        <v>174.3</v>
      </c>
      <c r="BR18" s="98">
        <v>0</v>
      </c>
      <c r="BS18" s="98">
        <v>786.6</v>
      </c>
      <c r="BT18" s="96" t="s">
        <v>896</v>
      </c>
    </row>
    <row r="19" spans="1:72" ht="15" customHeight="1" x14ac:dyDescent="0.25">
      <c r="A19" s="86" t="e" vm="16">
        <v>#VALUE!</v>
      </c>
      <c r="B19" s="10" t="str">
        <f t="array" aca="1" ref="B19" ca="1">_FV(A19,"Símbolo bursátil",TRUE())</f>
        <v>LIFCO B</v>
      </c>
      <c r="C19" s="88" t="s">
        <v>112</v>
      </c>
      <c r="D19" s="88" t="s">
        <v>77</v>
      </c>
      <c r="E19" s="11" t="str">
        <f t="array" aca="1" ref="E19" ca="1">_FV(A19,"Abreviatura de intercambio",TRUE())</f>
        <v>XSTO</v>
      </c>
      <c r="F19" s="11" t="str">
        <f t="array" aca="1" ref="F19" ca="1">_FV(A19,"Moneda")</f>
        <v>SEK</v>
      </c>
      <c r="G19" s="12">
        <f t="array" aca="1" ref="G19" ca="1">_FV(A19,"Precio")</f>
        <v>327.60000000000002</v>
      </c>
      <c r="H19" s="13">
        <f t="array" aca="1" ref="H19" ca="1">_FV(A19,"Acciones en circulación",TRUE())/1000000</f>
        <v>423.8365</v>
      </c>
      <c r="I19" s="14">
        <f t="shared" ca="1" si="22"/>
        <v>138848.83740000002</v>
      </c>
      <c r="J19" s="91">
        <v>0</v>
      </c>
      <c r="K19" s="91">
        <v>7</v>
      </c>
      <c r="L19" s="91">
        <v>3</v>
      </c>
      <c r="M19" s="91">
        <v>1</v>
      </c>
      <c r="N19" s="91">
        <v>0</v>
      </c>
      <c r="O19" s="91">
        <v>0.7</v>
      </c>
      <c r="P19" s="91">
        <v>0.5</v>
      </c>
      <c r="Q19" s="91">
        <v>1</v>
      </c>
      <c r="R19" s="26">
        <f t="shared" si="1"/>
        <v>12.5</v>
      </c>
      <c r="S19" s="16">
        <f t="shared" si="2"/>
        <v>7.81</v>
      </c>
      <c r="T19" s="91">
        <v>15</v>
      </c>
      <c r="U19" s="91">
        <v>15</v>
      </c>
      <c r="V19" s="91">
        <v>12</v>
      </c>
      <c r="W19" s="91">
        <v>10</v>
      </c>
      <c r="X19" s="91">
        <v>9</v>
      </c>
      <c r="Y19" s="91">
        <v>13</v>
      </c>
      <c r="Z19" s="91">
        <v>10</v>
      </c>
      <c r="AA19" s="91">
        <v>-7</v>
      </c>
      <c r="AB19" s="26">
        <f t="shared" si="3"/>
        <v>77</v>
      </c>
      <c r="AC19" s="16">
        <f t="shared" si="4"/>
        <v>7.7</v>
      </c>
      <c r="AD19" s="91">
        <v>14</v>
      </c>
      <c r="AE19" s="91">
        <v>-1</v>
      </c>
      <c r="AF19" s="91">
        <v>7</v>
      </c>
      <c r="AG19" s="91">
        <v>14</v>
      </c>
      <c r="AH19" s="91">
        <v>4</v>
      </c>
      <c r="AI19" s="91">
        <v>9</v>
      </c>
      <c r="AJ19" s="91">
        <v>13</v>
      </c>
      <c r="AK19" s="91">
        <v>-3</v>
      </c>
      <c r="AL19" s="26">
        <f t="shared" si="5"/>
        <v>57</v>
      </c>
      <c r="AM19" s="16">
        <f t="shared" si="6"/>
        <v>8.14</v>
      </c>
      <c r="AN19" s="17">
        <f t="shared" si="7"/>
        <v>7.9</v>
      </c>
      <c r="AO19" s="18" t="s">
        <v>113</v>
      </c>
      <c r="AP19" s="19">
        <v>3000</v>
      </c>
      <c r="AQ19" s="19">
        <v>12500</v>
      </c>
      <c r="AR19" s="19">
        <f t="shared" ca="1" si="21"/>
        <v>148348.83740000002</v>
      </c>
      <c r="AS19" s="103">
        <v>4373</v>
      </c>
      <c r="AT19" s="19">
        <v>3400</v>
      </c>
      <c r="AU19" s="19">
        <v>6627</v>
      </c>
      <c r="AV19" s="19">
        <v>29251</v>
      </c>
      <c r="AW19" s="20">
        <f t="shared" ca="1" si="9"/>
        <v>33.923813720557973</v>
      </c>
      <c r="AX19" s="20">
        <f t="shared" ca="1" si="10"/>
        <v>22.385519450731856</v>
      </c>
      <c r="AY19" s="20">
        <f t="shared" ca="1" si="11"/>
        <v>5.0715817373765004</v>
      </c>
      <c r="AZ19" s="21">
        <v>22000</v>
      </c>
      <c r="BA19" s="22">
        <f t="shared" si="12"/>
        <v>0.11623534238145704</v>
      </c>
      <c r="BB19" s="22">
        <f t="shared" si="13"/>
        <v>1.329590909090909</v>
      </c>
      <c r="BC19" s="23">
        <f t="shared" si="14"/>
        <v>0.15454545454545454</v>
      </c>
      <c r="BD19" s="98">
        <v>5069.2</v>
      </c>
      <c r="BE19" s="23">
        <f t="shared" si="15"/>
        <v>2.9987584575804194E-2</v>
      </c>
      <c r="BF19" s="98">
        <v>8331</v>
      </c>
      <c r="BG19" s="23">
        <f t="shared" si="16"/>
        <v>0.13758414747876113</v>
      </c>
      <c r="BH19" s="24">
        <v>16</v>
      </c>
      <c r="BI19" s="24">
        <v>26</v>
      </c>
      <c r="BJ19" s="25">
        <f t="shared" ca="1" si="23"/>
        <v>168.95005503301391</v>
      </c>
      <c r="BK19" s="25">
        <f t="shared" ca="1" si="24"/>
        <v>488.64597551178343</v>
      </c>
      <c r="BL19" s="23">
        <f t="shared" ca="1" si="18"/>
        <v>-0.1240427955587089</v>
      </c>
      <c r="BM19" s="23">
        <f t="shared" ca="1" si="19"/>
        <v>8.3253464379973829E-2</v>
      </c>
      <c r="BN19" s="95" t="s">
        <v>812</v>
      </c>
      <c r="BO19" s="93" t="s">
        <v>114</v>
      </c>
      <c r="BP19" s="93" t="s">
        <v>115</v>
      </c>
      <c r="BQ19" s="98">
        <v>0</v>
      </c>
      <c r="BR19" s="98">
        <v>0</v>
      </c>
      <c r="BS19" s="98">
        <v>4373</v>
      </c>
      <c r="BT19" t="s">
        <v>860</v>
      </c>
    </row>
    <row r="20" spans="1:72" ht="15" customHeight="1" x14ac:dyDescent="0.25">
      <c r="A20" s="86" t="e" vm="17">
        <v>#VALUE!</v>
      </c>
      <c r="B20" s="10" t="str">
        <f t="array" aca="1" ref="B20" ca="1">_FV(A20,"Símbolo bursátil",TRUE())</f>
        <v>EVD</v>
      </c>
      <c r="C20" s="88" t="s">
        <v>105</v>
      </c>
      <c r="D20" s="88" t="s">
        <v>77</v>
      </c>
      <c r="E20" s="11" t="str">
        <f t="array" aca="1" ref="E20" ca="1">_FV(A20,"Abreviatura de intercambio",TRUE())</f>
        <v>XFRA</v>
      </c>
      <c r="F20" s="11" t="str">
        <f t="array" aca="1" ref="F20" ca="1">_FV(A20,"Moneda")</f>
        <v>EUR</v>
      </c>
      <c r="G20" s="12">
        <f t="array" aca="1" ref="G20" ca="1">_FV(A20,"Precio")</f>
        <v>61</v>
      </c>
      <c r="H20" s="13">
        <f t="array" aca="1" ref="H20" ca="1">_FV(A20,"Acciones en circulación",TRUE())/1000000</f>
        <v>96</v>
      </c>
      <c r="I20" s="14">
        <f t="shared" ca="1" si="22"/>
        <v>5856</v>
      </c>
      <c r="J20" s="90">
        <v>0.5</v>
      </c>
      <c r="K20" s="90">
        <v>7</v>
      </c>
      <c r="L20" s="90">
        <v>2</v>
      </c>
      <c r="M20" s="90">
        <v>0.5</v>
      </c>
      <c r="N20" s="90">
        <v>-0.5</v>
      </c>
      <c r="O20" s="90">
        <v>0.5</v>
      </c>
      <c r="P20" s="90">
        <v>0.5</v>
      </c>
      <c r="Q20" s="90">
        <v>0.5</v>
      </c>
      <c r="R20" s="15">
        <f t="shared" si="1"/>
        <v>10.5</v>
      </c>
      <c r="S20" s="16">
        <f t="shared" si="2"/>
        <v>6.56</v>
      </c>
      <c r="T20" s="90">
        <v>14</v>
      </c>
      <c r="U20" s="90">
        <v>15.5</v>
      </c>
      <c r="V20" s="90">
        <v>14</v>
      </c>
      <c r="W20" s="90">
        <v>8</v>
      </c>
      <c r="X20" s="90">
        <v>7</v>
      </c>
      <c r="Y20" s="90">
        <v>12</v>
      </c>
      <c r="Z20" s="90">
        <v>9</v>
      </c>
      <c r="AA20" s="90">
        <v>-12</v>
      </c>
      <c r="AB20" s="15">
        <f t="shared" si="3"/>
        <v>67.5</v>
      </c>
      <c r="AC20" s="16">
        <f t="shared" si="4"/>
        <v>6.75</v>
      </c>
      <c r="AD20" s="90">
        <v>13</v>
      </c>
      <c r="AE20" s="90">
        <v>-5</v>
      </c>
      <c r="AF20" s="90">
        <v>8.5</v>
      </c>
      <c r="AG20" s="90">
        <v>12</v>
      </c>
      <c r="AH20" s="90">
        <v>3</v>
      </c>
      <c r="AI20" s="90">
        <v>8</v>
      </c>
      <c r="AJ20" s="90">
        <v>12.5</v>
      </c>
      <c r="AK20" s="90">
        <v>-5</v>
      </c>
      <c r="AL20" s="15">
        <f t="shared" si="5"/>
        <v>47</v>
      </c>
      <c r="AM20" s="16">
        <f t="shared" si="6"/>
        <v>6.71</v>
      </c>
      <c r="AN20" s="17">
        <f t="shared" si="7"/>
        <v>6.7</v>
      </c>
      <c r="AO20" s="18" t="s">
        <v>86</v>
      </c>
      <c r="AP20" s="19">
        <v>1605</v>
      </c>
      <c r="AQ20" s="19">
        <v>1404.2</v>
      </c>
      <c r="AR20" s="19">
        <f t="shared" ca="1" si="21"/>
        <v>5655.2</v>
      </c>
      <c r="AS20" s="103">
        <v>60</v>
      </c>
      <c r="AT20" s="19">
        <v>331.4</v>
      </c>
      <c r="AU20" s="19">
        <v>603.1</v>
      </c>
      <c r="AV20" s="19">
        <v>3297.9</v>
      </c>
      <c r="AW20" s="20">
        <f t="shared" ca="1" si="9"/>
        <v>94.25333333333333</v>
      </c>
      <c r="AX20" s="20">
        <f t="shared" ca="1" si="10"/>
        <v>9.3768860885425305</v>
      </c>
      <c r="AY20" s="20">
        <f t="shared" ca="1" si="11"/>
        <v>1.7147881985505926</v>
      </c>
      <c r="AZ20" s="21">
        <v>1573</v>
      </c>
      <c r="BA20" s="22">
        <f t="shared" si="12"/>
        <v>0.1004881894538949</v>
      </c>
      <c r="BB20" s="22">
        <f t="shared" si="13"/>
        <v>2.0965670692943421</v>
      </c>
      <c r="BC20" s="23">
        <f t="shared" si="14"/>
        <v>0.21068022886204704</v>
      </c>
      <c r="BD20" s="98">
        <v>242.3</v>
      </c>
      <c r="BE20" s="23">
        <f t="shared" si="15"/>
        <v>0.32202732825740821</v>
      </c>
      <c r="BF20">
        <v>445.1</v>
      </c>
      <c r="BG20" s="23">
        <f t="shared" si="16"/>
        <v>0.49300502276336111</v>
      </c>
      <c r="BH20" s="24">
        <v>12</v>
      </c>
      <c r="BI20" s="24">
        <v>20</v>
      </c>
      <c r="BJ20" s="25">
        <f t="shared" ca="1" si="23"/>
        <v>32.37916666666667</v>
      </c>
      <c r="BK20" s="25">
        <f t="shared" ca="1" si="24"/>
        <v>94.820833333333326</v>
      </c>
      <c r="BL20" s="23">
        <f t="shared" ca="1" si="18"/>
        <v>-0.11897716190682928</v>
      </c>
      <c r="BM20" s="23">
        <f t="shared" ca="1" si="19"/>
        <v>9.2231724100938273E-2</v>
      </c>
      <c r="BN20" s="96" t="s">
        <v>880</v>
      </c>
      <c r="BO20" s="96" t="s">
        <v>885</v>
      </c>
      <c r="BP20" s="96" t="s">
        <v>653</v>
      </c>
      <c r="BQ20" s="98">
        <v>0</v>
      </c>
      <c r="BR20" s="98">
        <v>203.4</v>
      </c>
      <c r="BS20" s="98">
        <v>263.39999999999998</v>
      </c>
      <c r="BT20" s="96" t="s">
        <v>899</v>
      </c>
    </row>
    <row r="21" spans="1:72" ht="15" customHeight="1" x14ac:dyDescent="0.25">
      <c r="A21" s="86" t="e" vm="18">
        <v>#VALUE!</v>
      </c>
      <c r="B21" s="10" t="str">
        <f t="array" aca="1" ref="B21" ca="1">_FV(A21,"Símbolo bursátil",TRUE())</f>
        <v>MNST</v>
      </c>
      <c r="C21" s="88" t="s">
        <v>105</v>
      </c>
      <c r="D21" s="88" t="s">
        <v>77</v>
      </c>
      <c r="E21" s="11" t="str">
        <f t="array" aca="1" ref="E21" ca="1">_FV(A21,"Abreviatura de intercambio",TRUE())</f>
        <v>XNAS</v>
      </c>
      <c r="F21" s="11" t="str">
        <f t="array" aca="1" ref="F21" ca="1">_FV(A21,"Moneda")</f>
        <v>USD</v>
      </c>
      <c r="G21" s="12">
        <f t="array" aca="1" ref="G21" ca="1">_FV(A21,"Precio")</f>
        <v>47.1</v>
      </c>
      <c r="H21" s="13">
        <f t="array" aca="1" ref="H21" ca="1">_FV(A21,"Acciones en circulación",TRUE())/1000000</f>
        <v>1956.0160000000001</v>
      </c>
      <c r="I21" s="14">
        <f t="shared" ca="1" si="22"/>
        <v>92128.353600000002</v>
      </c>
      <c r="J21" s="91">
        <v>0</v>
      </c>
      <c r="K21" s="91">
        <v>7</v>
      </c>
      <c r="L21" s="91">
        <v>2</v>
      </c>
      <c r="M21" s="91">
        <v>1</v>
      </c>
      <c r="N21" s="91">
        <v>-1</v>
      </c>
      <c r="O21" s="91">
        <v>0.78</v>
      </c>
      <c r="P21" s="91">
        <v>1</v>
      </c>
      <c r="Q21" s="91">
        <v>1</v>
      </c>
      <c r="R21" s="26">
        <f t="shared" si="1"/>
        <v>11</v>
      </c>
      <c r="S21" s="16">
        <f t="shared" si="2"/>
        <v>6.88</v>
      </c>
      <c r="T21" s="91">
        <v>16</v>
      </c>
      <c r="U21" s="91">
        <v>17</v>
      </c>
      <c r="V21" s="91">
        <v>12</v>
      </c>
      <c r="W21" s="91">
        <v>9</v>
      </c>
      <c r="X21" s="91">
        <v>9</v>
      </c>
      <c r="Y21" s="91">
        <v>12</v>
      </c>
      <c r="Z21" s="91">
        <v>9</v>
      </c>
      <c r="AA21" s="91">
        <v>-9</v>
      </c>
      <c r="AB21" s="26">
        <f t="shared" si="3"/>
        <v>75</v>
      </c>
      <c r="AC21" s="16">
        <f t="shared" si="4"/>
        <v>7.5</v>
      </c>
      <c r="AD21" s="91">
        <v>13</v>
      </c>
      <c r="AE21" s="91">
        <v>-1</v>
      </c>
      <c r="AF21" s="91">
        <v>9</v>
      </c>
      <c r="AG21" s="91">
        <v>12</v>
      </c>
      <c r="AH21" s="91">
        <v>5</v>
      </c>
      <c r="AI21" s="91">
        <v>9</v>
      </c>
      <c r="AJ21" s="91">
        <v>13</v>
      </c>
      <c r="AK21" s="91">
        <v>-4</v>
      </c>
      <c r="AL21" s="26">
        <f t="shared" si="5"/>
        <v>56</v>
      </c>
      <c r="AM21" s="16">
        <f t="shared" si="6"/>
        <v>8</v>
      </c>
      <c r="AN21" s="17">
        <f t="shared" si="7"/>
        <v>7.58</v>
      </c>
      <c r="AO21" s="18" t="s">
        <v>78</v>
      </c>
      <c r="AP21" s="19">
        <v>3419</v>
      </c>
      <c r="AQ21" s="19">
        <v>93</v>
      </c>
      <c r="AR21" s="19">
        <f t="shared" ca="1" si="21"/>
        <v>88802.353600000002</v>
      </c>
      <c r="AS21" s="103">
        <v>1945.7</v>
      </c>
      <c r="AT21" s="19">
        <v>2154</v>
      </c>
      <c r="AU21" s="19">
        <v>2930</v>
      </c>
      <c r="AV21" s="19">
        <v>9220</v>
      </c>
      <c r="AW21" s="20">
        <f t="shared" ca="1" si="9"/>
        <v>45.640311250449713</v>
      </c>
      <c r="AX21" s="20">
        <f t="shared" ca="1" si="10"/>
        <v>30.307970511945392</v>
      </c>
      <c r="AY21" s="20">
        <f t="shared" ca="1" si="11"/>
        <v>9.6314917136659446</v>
      </c>
      <c r="AZ21" s="21">
        <v>9665</v>
      </c>
      <c r="BA21" s="22">
        <f t="shared" si="12"/>
        <v>0.23362255965292841</v>
      </c>
      <c r="BB21" s="22">
        <f t="shared" si="13"/>
        <v>0.95395757889291255</v>
      </c>
      <c r="BC21" s="23">
        <f t="shared" si="14"/>
        <v>0.22286601138127263</v>
      </c>
      <c r="BD21" s="98">
        <v>2367.3000000000002</v>
      </c>
      <c r="BE21" s="23">
        <f t="shared" si="15"/>
        <v>4.0005135522562796E-2</v>
      </c>
      <c r="BF21">
        <v>3745.9</v>
      </c>
      <c r="BG21" s="23">
        <f t="shared" si="16"/>
        <v>0.13997692366885128</v>
      </c>
      <c r="BH21" s="24">
        <v>18</v>
      </c>
      <c r="BI21" s="24">
        <v>24</v>
      </c>
      <c r="BJ21" s="25">
        <f t="shared" ca="1" si="23"/>
        <v>23.485186215245683</v>
      </c>
      <c r="BK21" s="25">
        <f t="shared" ca="1" si="24"/>
        <v>47.661982315073089</v>
      </c>
      <c r="BL21" s="23">
        <f t="shared" ca="1" si="18"/>
        <v>-0.12992914706303038</v>
      </c>
      <c r="BM21" s="23">
        <f t="shared" ca="1" si="19"/>
        <v>2.375028448339922E-3</v>
      </c>
      <c r="BN21" s="95" t="s">
        <v>654</v>
      </c>
      <c r="BO21" s="93" t="s">
        <v>117</v>
      </c>
      <c r="BP21" s="95" t="s">
        <v>133</v>
      </c>
      <c r="BQ21" s="98">
        <v>135.80000000000001</v>
      </c>
      <c r="BR21" s="98">
        <v>37.1</v>
      </c>
      <c r="BS21" s="98">
        <v>1982.8</v>
      </c>
      <c r="BT21" s="96" t="s">
        <v>905</v>
      </c>
    </row>
    <row r="22" spans="1:72" ht="15" customHeight="1" x14ac:dyDescent="0.25">
      <c r="A22" s="86" t="e" vm="19">
        <v>#VALUE!</v>
      </c>
      <c r="B22" s="10" t="str">
        <f t="array" aca="1" ref="B22" ca="1">_FV(A22,"Símbolo bursátil",TRUE())</f>
        <v>ABNB</v>
      </c>
      <c r="C22" s="88" t="s">
        <v>105</v>
      </c>
      <c r="D22" s="88" t="s">
        <v>97</v>
      </c>
      <c r="E22" s="11" t="str">
        <f t="array" aca="1" ref="E22" ca="1">_FV(A22,"Abreviatura de intercambio",TRUE())</f>
        <v>XNAS</v>
      </c>
      <c r="F22" s="11" t="str">
        <f t="array" aca="1" ref="F22" ca="1">_FV(A22,"Moneda")</f>
        <v>USD</v>
      </c>
      <c r="G22" s="12">
        <f t="array" aca="1" ref="G22" ca="1">_FV(A22,"Precio")</f>
        <v>175.02500000000001</v>
      </c>
      <c r="H22" s="13">
        <f t="array" aca="1" ref="H22" ca="1">_FV(A22,"Acciones en circulación",TRUE())/1000000</f>
        <v>589.58569999999997</v>
      </c>
      <c r="I22" s="14">
        <f t="shared" ca="1" si="22"/>
        <v>103192.2371425</v>
      </c>
      <c r="J22" s="90">
        <v>1.5</v>
      </c>
      <c r="K22" s="90">
        <v>6</v>
      </c>
      <c r="L22" s="90">
        <v>2</v>
      </c>
      <c r="M22" s="90">
        <v>1</v>
      </c>
      <c r="N22" s="90">
        <v>0</v>
      </c>
      <c r="O22" s="90">
        <v>0.82</v>
      </c>
      <c r="P22" s="90">
        <v>1</v>
      </c>
      <c r="Q22" s="90">
        <v>1</v>
      </c>
      <c r="R22" s="15">
        <f t="shared" si="1"/>
        <v>12.5</v>
      </c>
      <c r="S22" s="16">
        <f t="shared" si="2"/>
        <v>7.81</v>
      </c>
      <c r="T22" s="90">
        <v>14</v>
      </c>
      <c r="U22" s="90">
        <v>17</v>
      </c>
      <c r="V22" s="90">
        <v>14</v>
      </c>
      <c r="W22" s="90">
        <v>9</v>
      </c>
      <c r="X22" s="90">
        <v>7</v>
      </c>
      <c r="Y22" s="90">
        <v>12</v>
      </c>
      <c r="Z22" s="90">
        <v>9</v>
      </c>
      <c r="AA22" s="90">
        <v>-10</v>
      </c>
      <c r="AB22" s="15">
        <f t="shared" si="3"/>
        <v>72</v>
      </c>
      <c r="AC22" s="16">
        <f t="shared" si="4"/>
        <v>7.2</v>
      </c>
      <c r="AD22" s="90">
        <v>12</v>
      </c>
      <c r="AE22" s="90">
        <v>-2</v>
      </c>
      <c r="AF22" s="90">
        <v>10</v>
      </c>
      <c r="AG22" s="90">
        <v>11</v>
      </c>
      <c r="AH22" s="90">
        <v>4</v>
      </c>
      <c r="AI22" s="90">
        <v>8</v>
      </c>
      <c r="AJ22" s="90">
        <v>12</v>
      </c>
      <c r="AK22" s="90">
        <v>-5</v>
      </c>
      <c r="AL22" s="15">
        <f t="shared" si="5"/>
        <v>50</v>
      </c>
      <c r="AM22" s="16">
        <f t="shared" si="6"/>
        <v>7.14</v>
      </c>
      <c r="AN22" s="17">
        <f t="shared" si="7"/>
        <v>7.3</v>
      </c>
      <c r="AO22" s="18" t="s">
        <v>78</v>
      </c>
      <c r="AP22" s="19">
        <v>12069</v>
      </c>
      <c r="AQ22" s="19">
        <v>2496</v>
      </c>
      <c r="AR22" s="19">
        <f t="shared" ca="1" si="21"/>
        <v>93619.237142500002</v>
      </c>
      <c r="AS22" s="103">
        <v>3153</v>
      </c>
      <c r="AT22" s="19">
        <v>2081</v>
      </c>
      <c r="AU22" s="19">
        <v>2874</v>
      </c>
      <c r="AV22" s="19">
        <v>13159</v>
      </c>
      <c r="AW22" s="20">
        <f t="shared" ca="1" si="9"/>
        <v>29.692114539327626</v>
      </c>
      <c r="AX22" s="20">
        <f t="shared" ca="1" si="10"/>
        <v>32.574543195024354</v>
      </c>
      <c r="AY22" s="20">
        <f t="shared" ca="1" si="11"/>
        <v>7.1144644078197432</v>
      </c>
      <c r="AZ22" s="21">
        <v>10662</v>
      </c>
      <c r="BA22" s="22">
        <f t="shared" si="12"/>
        <v>0.15814271601185501</v>
      </c>
      <c r="BB22" s="22">
        <f t="shared" si="13"/>
        <v>1.2341962108422435</v>
      </c>
      <c r="BC22" s="23">
        <f t="shared" si="14"/>
        <v>0.19517914087413243</v>
      </c>
      <c r="BD22" s="98">
        <v>3350.1</v>
      </c>
      <c r="BE22" s="23">
        <f t="shared" si="15"/>
        <v>1.2200995314076701E-2</v>
      </c>
      <c r="BF22">
        <v>6342.1</v>
      </c>
      <c r="BG22" s="23">
        <f t="shared" si="16"/>
        <v>0.15001054588178286</v>
      </c>
      <c r="BH22" s="24">
        <v>16</v>
      </c>
      <c r="BI22" s="24">
        <v>24</v>
      </c>
      <c r="BJ22" s="25">
        <f t="shared" ca="1" si="23"/>
        <v>107.15083489982882</v>
      </c>
      <c r="BK22" s="25">
        <f t="shared" ca="1" si="24"/>
        <v>274.40183844350366</v>
      </c>
      <c r="BL22" s="23">
        <f t="shared" ca="1" si="18"/>
        <v>-9.347644214461226E-2</v>
      </c>
      <c r="BM22" s="23">
        <f t="shared" ca="1" si="19"/>
        <v>9.4100927212940055E-2</v>
      </c>
      <c r="BN22" s="95" t="s">
        <v>654</v>
      </c>
      <c r="BO22" s="95" t="s">
        <v>117</v>
      </c>
      <c r="BP22" s="95" t="s">
        <v>133</v>
      </c>
      <c r="BQ22" s="98">
        <v>1707</v>
      </c>
      <c r="BR22" s="98">
        <v>0</v>
      </c>
      <c r="BS22" s="98">
        <v>3153</v>
      </c>
      <c r="BT22" t="s">
        <v>858</v>
      </c>
    </row>
    <row r="23" spans="1:72" ht="15" customHeight="1" x14ac:dyDescent="0.25">
      <c r="A23" s="86" t="e" vm="20">
        <v>#VALUE!</v>
      </c>
      <c r="B23" s="10" t="str">
        <f t="array" aca="1" ref="B23" ca="1">_FV(A23,"Símbolo bursátil",TRUE())</f>
        <v>DNP</v>
      </c>
      <c r="C23" s="88" t="s">
        <v>89</v>
      </c>
      <c r="D23" s="88" t="s">
        <v>89</v>
      </c>
      <c r="E23" s="11" t="str">
        <f t="array" aca="1" ref="E23" ca="1">_FV(A23,"Abreviatura de intercambio",TRUE())</f>
        <v>XWAR</v>
      </c>
      <c r="F23" s="11" t="str">
        <f t="array" aca="1" ref="F23" ca="1">_FV(A23,"Moneda")</f>
        <v>PLN</v>
      </c>
      <c r="G23" s="12">
        <f t="array" aca="1" ref="G23" ca="1">_FV(A23,"Precio")</f>
        <v>38.700000000000003</v>
      </c>
      <c r="H23" s="13">
        <f t="array" aca="1" ref="H23" ca="1">_FV(A23,"Acciones en circulación",TRUE())/1000000</f>
        <v>980.4</v>
      </c>
      <c r="I23" s="14">
        <f t="shared" ca="1" si="22"/>
        <v>37941.480000000003</v>
      </c>
      <c r="J23" s="91">
        <v>0.5</v>
      </c>
      <c r="K23" s="91">
        <v>7</v>
      </c>
      <c r="L23" s="91">
        <v>2</v>
      </c>
      <c r="M23" s="91">
        <v>1</v>
      </c>
      <c r="N23" s="91">
        <v>0</v>
      </c>
      <c r="O23" s="91">
        <v>0.3</v>
      </c>
      <c r="P23" s="91">
        <v>1</v>
      </c>
      <c r="Q23" s="91">
        <v>1</v>
      </c>
      <c r="R23" s="26">
        <f t="shared" si="1"/>
        <v>12.5</v>
      </c>
      <c r="S23" s="16">
        <f t="shared" si="2"/>
        <v>7.81</v>
      </c>
      <c r="T23" s="91">
        <v>14</v>
      </c>
      <c r="U23" s="91">
        <v>16</v>
      </c>
      <c r="V23" s="91">
        <v>14</v>
      </c>
      <c r="W23" s="91">
        <v>10</v>
      </c>
      <c r="X23" s="91">
        <v>9</v>
      </c>
      <c r="Y23" s="91">
        <v>12</v>
      </c>
      <c r="Z23" s="91">
        <v>10</v>
      </c>
      <c r="AA23" s="91">
        <v>-7</v>
      </c>
      <c r="AB23" s="26">
        <f t="shared" si="3"/>
        <v>78</v>
      </c>
      <c r="AC23" s="16">
        <f t="shared" si="4"/>
        <v>7.8</v>
      </c>
      <c r="AD23" s="91">
        <v>13</v>
      </c>
      <c r="AE23" s="91">
        <v>-2</v>
      </c>
      <c r="AF23" s="91">
        <v>4</v>
      </c>
      <c r="AG23" s="91">
        <v>13</v>
      </c>
      <c r="AH23" s="91">
        <v>3</v>
      </c>
      <c r="AI23" s="91">
        <v>9</v>
      </c>
      <c r="AJ23" s="91">
        <v>13</v>
      </c>
      <c r="AK23" s="91">
        <v>-4</v>
      </c>
      <c r="AL23" s="26">
        <f t="shared" si="5"/>
        <v>49</v>
      </c>
      <c r="AM23" s="16">
        <f t="shared" si="6"/>
        <v>7</v>
      </c>
      <c r="AN23" s="17">
        <f t="shared" si="7"/>
        <v>7.48</v>
      </c>
      <c r="AO23" s="18" t="s">
        <v>118</v>
      </c>
      <c r="AP23" s="19">
        <v>771</v>
      </c>
      <c r="AQ23" s="19">
        <v>852</v>
      </c>
      <c r="AR23" s="19">
        <f t="shared" ca="1" si="21"/>
        <v>38022.480000000003</v>
      </c>
      <c r="AS23" s="103">
        <v>669.1</v>
      </c>
      <c r="AT23" s="19">
        <v>1656</v>
      </c>
      <c r="AU23" s="19">
        <v>2609</v>
      </c>
      <c r="AV23" s="19">
        <v>35628</v>
      </c>
      <c r="AW23" s="20">
        <f t="shared" ca="1" si="9"/>
        <v>56.826303990434916</v>
      </c>
      <c r="AX23" s="20">
        <f t="shared" ca="1" si="10"/>
        <v>14.573583748562669</v>
      </c>
      <c r="AY23" s="20">
        <f t="shared" ca="1" si="11"/>
        <v>1.0672078140788146</v>
      </c>
      <c r="AZ23" s="21">
        <v>9909</v>
      </c>
      <c r="BA23" s="22">
        <f t="shared" si="12"/>
        <v>4.6480296396092961E-2</v>
      </c>
      <c r="BB23" s="22">
        <f t="shared" si="13"/>
        <v>3.5955192249470178</v>
      </c>
      <c r="BC23" s="23">
        <f t="shared" si="14"/>
        <v>0.16712079927338783</v>
      </c>
      <c r="BD23" s="98">
        <v>756.3</v>
      </c>
      <c r="BE23" s="23">
        <f t="shared" si="15"/>
        <v>2.4803533326139604E-2</v>
      </c>
      <c r="BF23">
        <v>1345.8</v>
      </c>
      <c r="BG23" s="23">
        <f t="shared" si="16"/>
        <v>0.15000015481063067</v>
      </c>
      <c r="BH23" s="24">
        <v>15</v>
      </c>
      <c r="BI23" s="24">
        <v>20</v>
      </c>
      <c r="BJ23" s="25">
        <f t="shared" ca="1" si="23"/>
        <v>11.488678090575275</v>
      </c>
      <c r="BK23" s="25">
        <f t="shared" ca="1" si="24"/>
        <v>27.371481028151777</v>
      </c>
      <c r="BL23" s="23">
        <f t="shared" ca="1" si="18"/>
        <v>-0.21564653553129454</v>
      </c>
      <c r="BM23" s="23">
        <f t="shared" ca="1" si="19"/>
        <v>-6.6923038583108552E-2</v>
      </c>
      <c r="BN23" s="96" t="s">
        <v>654</v>
      </c>
      <c r="BO23" s="96" t="s">
        <v>87</v>
      </c>
      <c r="BP23" s="96" t="s">
        <v>653</v>
      </c>
      <c r="BQ23" s="98">
        <v>0</v>
      </c>
      <c r="BR23" s="98">
        <v>1460.2</v>
      </c>
      <c r="BS23" s="98">
        <v>2129.3000000000002</v>
      </c>
      <c r="BT23" t="s">
        <v>860</v>
      </c>
    </row>
    <row r="24" spans="1:72" ht="15" customHeight="1" x14ac:dyDescent="0.25">
      <c r="A24" s="86" t="e" vm="21">
        <v>#VALUE!</v>
      </c>
      <c r="B24" s="10" t="str">
        <f t="array" aca="1" ref="B24" ca="1">_FV(A24,"Símbolo bursátil",TRUE())</f>
        <v>VLTO</v>
      </c>
      <c r="C24" s="88" t="s">
        <v>112</v>
      </c>
      <c r="D24" s="88" t="s">
        <v>77</v>
      </c>
      <c r="E24" s="11" t="str">
        <f t="array" aca="1" ref="E24" ca="1">_FV(A24,"Abreviatura de intercambio",TRUE())</f>
        <v>XNYS</v>
      </c>
      <c r="F24" s="11" t="str">
        <f t="array" aca="1" ref="F24" ca="1">_FV(A24,"Moneda")</f>
        <v>USD</v>
      </c>
      <c r="G24" s="12">
        <f t="array" aca="1" ref="G24" ca="1">_FV(A24,"Precio")</f>
        <v>100.55</v>
      </c>
      <c r="H24" s="13">
        <f t="array" aca="1" ref="H24" ca="1">_FV(A24,"Acciones en circulación",TRUE())/1000000</f>
        <v>243.79329999999999</v>
      </c>
      <c r="I24" s="14">
        <f t="shared" ca="1" si="22"/>
        <v>24513.416314999999</v>
      </c>
      <c r="J24" s="90">
        <v>2</v>
      </c>
      <c r="K24" s="90">
        <v>6.5</v>
      </c>
      <c r="L24" s="90">
        <v>1</v>
      </c>
      <c r="M24" s="90">
        <v>1</v>
      </c>
      <c r="N24" s="90">
        <v>0</v>
      </c>
      <c r="O24" s="90">
        <v>0</v>
      </c>
      <c r="P24" s="90">
        <v>0</v>
      </c>
      <c r="Q24" s="90">
        <v>0</v>
      </c>
      <c r="R24" s="15">
        <f t="shared" si="1"/>
        <v>10.5</v>
      </c>
      <c r="S24" s="16">
        <f t="shared" si="2"/>
        <v>6.56</v>
      </c>
      <c r="T24" s="90">
        <v>14</v>
      </c>
      <c r="U24" s="90">
        <v>17</v>
      </c>
      <c r="V24" s="90">
        <v>11</v>
      </c>
      <c r="W24" s="90">
        <v>10</v>
      </c>
      <c r="X24" s="90">
        <v>10</v>
      </c>
      <c r="Y24" s="90">
        <v>12</v>
      </c>
      <c r="Z24" s="90">
        <v>5</v>
      </c>
      <c r="AA24" s="90">
        <v>-7</v>
      </c>
      <c r="AB24" s="15">
        <f t="shared" si="3"/>
        <v>72</v>
      </c>
      <c r="AC24" s="16">
        <f t="shared" si="4"/>
        <v>7.2</v>
      </c>
      <c r="AD24" s="90">
        <v>14</v>
      </c>
      <c r="AE24" s="90">
        <v>-1</v>
      </c>
      <c r="AF24" s="90">
        <v>7</v>
      </c>
      <c r="AG24" s="90">
        <v>13</v>
      </c>
      <c r="AH24" s="90">
        <v>4</v>
      </c>
      <c r="AI24" s="90">
        <v>8</v>
      </c>
      <c r="AJ24" s="90">
        <v>13</v>
      </c>
      <c r="AK24" s="90">
        <v>-3</v>
      </c>
      <c r="AL24" s="15">
        <f t="shared" si="5"/>
        <v>55</v>
      </c>
      <c r="AM24" s="16">
        <f t="shared" si="6"/>
        <v>7.86</v>
      </c>
      <c r="AN24" s="17">
        <f t="shared" si="7"/>
        <v>7.34</v>
      </c>
      <c r="AO24" s="18" t="s">
        <v>78</v>
      </c>
      <c r="AP24" s="19">
        <v>2120</v>
      </c>
      <c r="AQ24" s="19">
        <v>3590</v>
      </c>
      <c r="AR24" s="19">
        <f t="shared" ca="1" si="21"/>
        <v>25983.416314999999</v>
      </c>
      <c r="AS24" s="103">
        <v>973</v>
      </c>
      <c r="AT24" s="19">
        <v>1062</v>
      </c>
      <c r="AU24" s="19">
        <v>1390</v>
      </c>
      <c r="AV24" s="19">
        <v>5700</v>
      </c>
      <c r="AW24" s="20">
        <f t="shared" ca="1" si="9"/>
        <v>26.70443608941418</v>
      </c>
      <c r="AX24" s="20">
        <f t="shared" ca="1" si="10"/>
        <v>18.693105262589928</v>
      </c>
      <c r="AY24" s="20">
        <f t="shared" ca="1" si="11"/>
        <v>4.5584940903508766</v>
      </c>
      <c r="AZ24" s="21">
        <v>6501</v>
      </c>
      <c r="BA24" s="22">
        <f t="shared" si="12"/>
        <v>0.18631578947368421</v>
      </c>
      <c r="BB24" s="22">
        <f t="shared" si="13"/>
        <v>0.8767881864328565</v>
      </c>
      <c r="BC24" s="23">
        <f t="shared" si="14"/>
        <v>0.16335948315643747</v>
      </c>
      <c r="BD24" s="98">
        <v>1183.5</v>
      </c>
      <c r="BE24" s="23">
        <f t="shared" si="15"/>
        <v>3.9946707813797167E-2</v>
      </c>
      <c r="BF24">
        <v>1715.2</v>
      </c>
      <c r="BG24" s="23">
        <f t="shared" si="16"/>
        <v>0.12005767300767234</v>
      </c>
      <c r="BH24" s="24">
        <v>12.5</v>
      </c>
      <c r="BI24" s="24">
        <v>20</v>
      </c>
      <c r="BJ24" s="25">
        <f t="shared" ca="1" si="23"/>
        <v>54.651830054394445</v>
      </c>
      <c r="BK24" s="25">
        <f t="shared" ca="1" si="24"/>
        <v>134.67966510974665</v>
      </c>
      <c r="BL24" s="23">
        <f t="shared" ca="1" si="18"/>
        <v>-0.1147936373925893</v>
      </c>
      <c r="BM24" s="23">
        <f t="shared" ca="1" si="19"/>
        <v>6.0190700740469172E-2</v>
      </c>
      <c r="BN24" s="95" t="s">
        <v>812</v>
      </c>
      <c r="BO24" s="93" t="s">
        <v>120</v>
      </c>
      <c r="BP24" s="93" t="s">
        <v>121</v>
      </c>
      <c r="BQ24" s="98">
        <v>74</v>
      </c>
      <c r="BR24" s="98">
        <v>0</v>
      </c>
      <c r="BS24" s="98">
        <v>973</v>
      </c>
      <c r="BT24" t="s">
        <v>858</v>
      </c>
    </row>
    <row r="25" spans="1:72" ht="15" customHeight="1" x14ac:dyDescent="0.25">
      <c r="A25" s="86" t="e" vm="22">
        <v>#VALUE!</v>
      </c>
      <c r="B25" s="10" t="str">
        <f t="array" aca="1" ref="B25" ca="1">_FV(A25,"Símbolo bursátil",TRUE())</f>
        <v>LR</v>
      </c>
      <c r="C25" s="88" t="s">
        <v>103</v>
      </c>
      <c r="D25" s="88" t="s">
        <v>77</v>
      </c>
      <c r="E25" s="11" t="str">
        <f t="array" aca="1" ref="E25" ca="1">_FV(A25,"Abreviatura de intercambio",TRUE())</f>
        <v>XPAR</v>
      </c>
      <c r="F25" s="11" t="str">
        <f t="array" aca="1" ref="F25" ca="1">_FV(A25,"Moneda")</f>
        <v>EUR</v>
      </c>
      <c r="G25" s="12">
        <f t="array" aca="1" ref="G25" ca="1">_FV(A25,"Precio")</f>
        <v>131.30000000000001</v>
      </c>
      <c r="H25" s="13">
        <f t="array" aca="1" ref="H25" ca="1">_FV(A25,"Acciones en circulación",TRUE())/1000000</f>
        <v>262.2457</v>
      </c>
      <c r="I25" s="14">
        <f t="shared" ca="1" si="22"/>
        <v>34432.860410000001</v>
      </c>
      <c r="J25" s="91">
        <v>1</v>
      </c>
      <c r="K25" s="91">
        <v>6</v>
      </c>
      <c r="L25" s="91">
        <v>2</v>
      </c>
      <c r="M25" s="91">
        <v>1</v>
      </c>
      <c r="N25" s="91">
        <v>0</v>
      </c>
      <c r="O25" s="91">
        <v>1</v>
      </c>
      <c r="P25" s="91">
        <v>0</v>
      </c>
      <c r="Q25" s="91">
        <v>0</v>
      </c>
      <c r="R25" s="26">
        <f t="shared" si="1"/>
        <v>10</v>
      </c>
      <c r="S25" s="16">
        <f t="shared" si="2"/>
        <v>6.25</v>
      </c>
      <c r="T25" s="91">
        <v>14</v>
      </c>
      <c r="U25" s="91">
        <v>14</v>
      </c>
      <c r="V25" s="91">
        <v>15</v>
      </c>
      <c r="W25" s="91">
        <v>10</v>
      </c>
      <c r="X25" s="91">
        <v>9</v>
      </c>
      <c r="Y25" s="91">
        <v>11</v>
      </c>
      <c r="Z25" s="91">
        <v>5</v>
      </c>
      <c r="AA25" s="91">
        <v>-8</v>
      </c>
      <c r="AB25" s="26">
        <f t="shared" si="3"/>
        <v>70</v>
      </c>
      <c r="AC25" s="16">
        <f t="shared" si="4"/>
        <v>7</v>
      </c>
      <c r="AD25" s="91">
        <v>13</v>
      </c>
      <c r="AE25" s="91">
        <v>-1</v>
      </c>
      <c r="AF25" s="91">
        <v>6</v>
      </c>
      <c r="AG25" s="91">
        <v>13</v>
      </c>
      <c r="AH25" s="91">
        <v>4</v>
      </c>
      <c r="AI25" s="91">
        <v>8</v>
      </c>
      <c r="AJ25" s="91">
        <v>12</v>
      </c>
      <c r="AK25" s="91">
        <v>-3</v>
      </c>
      <c r="AL25" s="26">
        <f t="shared" si="5"/>
        <v>52</v>
      </c>
      <c r="AM25" s="16">
        <f t="shared" si="6"/>
        <v>7.43</v>
      </c>
      <c r="AN25" s="17">
        <f t="shared" si="7"/>
        <v>7.02</v>
      </c>
      <c r="AO25" s="18" t="s">
        <v>86</v>
      </c>
      <c r="AP25" s="19">
        <v>1971</v>
      </c>
      <c r="AQ25" s="19">
        <v>7724</v>
      </c>
      <c r="AR25" s="19">
        <f t="shared" ca="1" si="21"/>
        <v>40185.860410000001</v>
      </c>
      <c r="AS25" s="103">
        <v>1256.4000000000001</v>
      </c>
      <c r="AT25" s="19">
        <v>1409</v>
      </c>
      <c r="AU25" s="19">
        <v>2319</v>
      </c>
      <c r="AV25" s="19">
        <v>10107</v>
      </c>
      <c r="AW25" s="20">
        <f t="shared" ca="1" si="9"/>
        <v>31.98492550939191</v>
      </c>
      <c r="AX25" s="20">
        <f t="shared" ca="1" si="10"/>
        <v>17.328960935748167</v>
      </c>
      <c r="AY25" s="20">
        <f t="shared" ca="1" si="11"/>
        <v>3.9760423874542399</v>
      </c>
      <c r="AZ25" s="21">
        <v>15683</v>
      </c>
      <c r="BA25" s="22">
        <f t="shared" si="12"/>
        <v>0.13940833085980014</v>
      </c>
      <c r="BB25" s="22">
        <f t="shared" si="13"/>
        <v>0.64445578014410509</v>
      </c>
      <c r="BC25" s="23">
        <f t="shared" si="14"/>
        <v>8.9842504622840019E-2</v>
      </c>
      <c r="BD25" s="98">
        <v>1682.1</v>
      </c>
      <c r="BE25" s="23">
        <f t="shared" si="15"/>
        <v>6.0094976759572205E-2</v>
      </c>
      <c r="BF25">
        <v>2527.8000000000002</v>
      </c>
      <c r="BG25" s="23">
        <f t="shared" si="16"/>
        <v>0.15006650841786051</v>
      </c>
      <c r="BH25" s="24">
        <v>13</v>
      </c>
      <c r="BI25" s="24">
        <v>24</v>
      </c>
      <c r="BJ25" s="25">
        <f t="shared" ca="1" si="23"/>
        <v>61.44733736339623</v>
      </c>
      <c r="BK25" s="25">
        <f t="shared" ca="1" si="24"/>
        <v>209.39981094065604</v>
      </c>
      <c r="BL25" s="23">
        <f t="shared" ca="1" si="18"/>
        <v>-0.14089218725353081</v>
      </c>
      <c r="BM25" s="23">
        <f t="shared" ca="1" si="19"/>
        <v>9.7848244670784013E-2</v>
      </c>
      <c r="BN25" s="95" t="s">
        <v>812</v>
      </c>
      <c r="BO25" s="95" t="s">
        <v>117</v>
      </c>
      <c r="BP25" s="95" t="s">
        <v>133</v>
      </c>
      <c r="BQ25" s="98">
        <v>0</v>
      </c>
      <c r="BR25" s="98">
        <v>0</v>
      </c>
      <c r="BS25" s="98">
        <v>1256.4000000000001</v>
      </c>
      <c r="BT25" s="96" t="s">
        <v>900</v>
      </c>
    </row>
    <row r="26" spans="1:72" ht="15" customHeight="1" x14ac:dyDescent="0.25">
      <c r="A26" s="86" t="e" vm="23">
        <v>#VALUE!</v>
      </c>
      <c r="B26" s="10" t="str">
        <f t="array" aca="1" ref="B26" ca="1">_FV(A26,"Símbolo bursátil",TRUE())</f>
        <v>JDG</v>
      </c>
      <c r="C26" s="88" t="s">
        <v>107</v>
      </c>
      <c r="D26" s="88" t="s">
        <v>77</v>
      </c>
      <c r="E26" s="11" t="str">
        <f t="array" aca="1" ref="E26" ca="1">_FV(A26,"Abreviatura de intercambio",TRUE())</f>
        <v>XLON</v>
      </c>
      <c r="F26" s="11" t="str">
        <f t="array" aca="1" ref="F26" ca="1">_FV(A26,"Moneda")</f>
        <v>GBp</v>
      </c>
      <c r="G26" s="12">
        <f t="array" aca="1" ref="G26" ca="1">_FV(A26,"Precio")</f>
        <v>3430</v>
      </c>
      <c r="H26" s="13">
        <f t="array" aca="1" ref="H26" ca="1">_FV(A26,"Acciones en circulación",TRUE())/1000000</f>
        <v>6.6606899999999998</v>
      </c>
      <c r="I26" s="14">
        <f ca="1">G26/100*H26</f>
        <v>228.46166699999998</v>
      </c>
      <c r="J26" s="90">
        <v>1</v>
      </c>
      <c r="K26" s="90">
        <v>5</v>
      </c>
      <c r="L26" s="90">
        <v>2</v>
      </c>
      <c r="M26" s="90">
        <v>0</v>
      </c>
      <c r="N26" s="90">
        <v>0</v>
      </c>
      <c r="O26" s="90">
        <v>1</v>
      </c>
      <c r="P26" s="90">
        <v>1</v>
      </c>
      <c r="Q26" s="90">
        <v>1</v>
      </c>
      <c r="R26" s="15">
        <f t="shared" si="1"/>
        <v>10</v>
      </c>
      <c r="S26" s="16">
        <f t="shared" si="2"/>
        <v>6.25</v>
      </c>
      <c r="T26" s="90">
        <v>12</v>
      </c>
      <c r="U26" s="90">
        <v>13</v>
      </c>
      <c r="V26" s="90">
        <v>12</v>
      </c>
      <c r="W26" s="90">
        <v>10</v>
      </c>
      <c r="X26" s="90">
        <v>8</v>
      </c>
      <c r="Y26" s="90">
        <v>13</v>
      </c>
      <c r="Z26" s="90">
        <v>10</v>
      </c>
      <c r="AA26" s="90">
        <v>-9</v>
      </c>
      <c r="AB26" s="15">
        <f t="shared" si="3"/>
        <v>69</v>
      </c>
      <c r="AC26" s="16">
        <f t="shared" si="4"/>
        <v>6.9</v>
      </c>
      <c r="AD26" s="90">
        <v>13</v>
      </c>
      <c r="AE26" s="90">
        <v>-2</v>
      </c>
      <c r="AF26" s="90">
        <v>6</v>
      </c>
      <c r="AG26" s="90">
        <v>13</v>
      </c>
      <c r="AH26" s="90">
        <v>2</v>
      </c>
      <c r="AI26" s="90">
        <v>9</v>
      </c>
      <c r="AJ26" s="90">
        <v>11</v>
      </c>
      <c r="AK26" s="90">
        <v>-4</v>
      </c>
      <c r="AL26" s="15">
        <f t="shared" si="5"/>
        <v>48</v>
      </c>
      <c r="AM26" s="16">
        <f t="shared" si="6"/>
        <v>6.86</v>
      </c>
      <c r="AN26" s="17">
        <f t="shared" si="7"/>
        <v>6.75</v>
      </c>
      <c r="AO26" s="18" t="s">
        <v>108</v>
      </c>
      <c r="AP26" s="19">
        <v>15.6</v>
      </c>
      <c r="AQ26" s="19">
        <v>60.9</v>
      </c>
      <c r="AR26" s="19">
        <f t="shared" ca="1" si="21"/>
        <v>273.76166699999999</v>
      </c>
      <c r="AS26" s="103">
        <v>11.8</v>
      </c>
      <c r="AT26" s="19">
        <v>3</v>
      </c>
      <c r="AU26" s="19">
        <v>21.6</v>
      </c>
      <c r="AV26" s="19">
        <v>131.30000000000001</v>
      </c>
      <c r="AW26" s="20">
        <f t="shared" ca="1" si="9"/>
        <v>23.200141271186439</v>
      </c>
      <c r="AX26" s="20">
        <f t="shared" ca="1" si="10"/>
        <v>12.674151249999998</v>
      </c>
      <c r="AY26" s="20">
        <f t="shared" ca="1" si="11"/>
        <v>2.0850088880426503</v>
      </c>
      <c r="AZ26" s="21">
        <v>158</v>
      </c>
      <c r="BA26" s="22">
        <f t="shared" si="12"/>
        <v>2.2848438690022847E-2</v>
      </c>
      <c r="BB26" s="22">
        <f t="shared" si="13"/>
        <v>0.8310126582278482</v>
      </c>
      <c r="BC26" s="23">
        <f t="shared" si="14"/>
        <v>1.8987341772151899E-2</v>
      </c>
      <c r="BD26" s="98">
        <v>22.5</v>
      </c>
      <c r="BE26" s="23">
        <f t="shared" si="15"/>
        <v>0.13778473334476216</v>
      </c>
      <c r="BF26">
        <v>48.3</v>
      </c>
      <c r="BG26" s="23">
        <f t="shared" si="16"/>
        <v>0.32560161551920297</v>
      </c>
      <c r="BH26" s="24">
        <v>10</v>
      </c>
      <c r="BI26" s="24">
        <v>20</v>
      </c>
      <c r="BJ26" s="25">
        <f ca="1">(BD26*BH26+$AP26-$AQ26)/$H26*100</f>
        <v>2697.9186841002961</v>
      </c>
      <c r="BK26" s="25">
        <f ca="1">(BF26*BI26+$AP26-$AQ26)/$H26*100</f>
        <v>13822.892222877812</v>
      </c>
      <c r="BL26" s="23">
        <f t="shared" ca="1" si="18"/>
        <v>-4.6881394921171049E-2</v>
      </c>
      <c r="BM26" s="23">
        <f t="shared" ca="1" si="19"/>
        <v>0.32148111273404245</v>
      </c>
      <c r="BN26" s="95" t="s">
        <v>880</v>
      </c>
      <c r="BO26" s="95" t="s">
        <v>873</v>
      </c>
      <c r="BP26" s="95" t="s">
        <v>876</v>
      </c>
      <c r="BQ26" s="98">
        <v>1.2</v>
      </c>
      <c r="BR26" s="98">
        <v>0</v>
      </c>
      <c r="BS26" s="98">
        <v>11.8</v>
      </c>
      <c r="BT26" s="96" t="s">
        <v>886</v>
      </c>
    </row>
    <row r="27" spans="1:72" ht="15" customHeight="1" x14ac:dyDescent="0.25">
      <c r="A27" s="86" t="e" vm="24">
        <v>#VALUE!</v>
      </c>
      <c r="B27" s="10" t="str">
        <f t="array" aca="1" ref="B27" ca="1">_FV(A27,"Símbolo bursátil",TRUE())</f>
        <v>STMN</v>
      </c>
      <c r="C27" s="88" t="s">
        <v>107</v>
      </c>
      <c r="D27" s="88" t="s">
        <v>77</v>
      </c>
      <c r="E27" s="11" t="str">
        <f t="array" aca="1" ref="E27" ca="1">_FV(A27,"Abreviatura de intercambio",TRUE())</f>
        <v>XSWX</v>
      </c>
      <c r="F27" s="11" t="str">
        <f t="array" aca="1" ref="F27" ca="1">_FV(A27,"Moneda")</f>
        <v>CHF</v>
      </c>
      <c r="G27" s="12">
        <f t="array" aca="1" ref="G27" ca="1">_FV(A27,"Precio")</f>
        <v>92.96</v>
      </c>
      <c r="H27" s="13">
        <f t="array" aca="1" ref="H27" ca="1">_FV(A27,"Acciones en circulación",TRUE())/1000000</f>
        <v>159.45519999999999</v>
      </c>
      <c r="I27" s="14">
        <f t="shared" ref="I27:I60" ca="1" si="25">G27*H27</f>
        <v>14822.955391999998</v>
      </c>
      <c r="J27" s="91">
        <v>2</v>
      </c>
      <c r="K27" s="91">
        <v>6</v>
      </c>
      <c r="L27" s="91">
        <v>2</v>
      </c>
      <c r="M27" s="91">
        <v>0</v>
      </c>
      <c r="N27" s="91">
        <v>0</v>
      </c>
      <c r="O27" s="91">
        <v>1</v>
      </c>
      <c r="P27" s="91">
        <v>0</v>
      </c>
      <c r="Q27" s="91">
        <v>0</v>
      </c>
      <c r="R27" s="26">
        <f t="shared" si="1"/>
        <v>10</v>
      </c>
      <c r="S27" s="16">
        <f t="shared" si="2"/>
        <v>6.25</v>
      </c>
      <c r="T27" s="91">
        <v>12</v>
      </c>
      <c r="U27" s="91">
        <v>15</v>
      </c>
      <c r="V27" s="91">
        <v>12</v>
      </c>
      <c r="W27" s="91">
        <v>9</v>
      </c>
      <c r="X27" s="91">
        <v>9</v>
      </c>
      <c r="Y27" s="91">
        <v>11</v>
      </c>
      <c r="Z27" s="91">
        <v>5</v>
      </c>
      <c r="AA27" s="91">
        <v>-8</v>
      </c>
      <c r="AB27" s="26">
        <f t="shared" si="3"/>
        <v>65</v>
      </c>
      <c r="AC27" s="16">
        <f t="shared" si="4"/>
        <v>6.5</v>
      </c>
      <c r="AD27" s="91">
        <v>13</v>
      </c>
      <c r="AE27" s="91">
        <v>-1</v>
      </c>
      <c r="AF27" s="91">
        <v>7</v>
      </c>
      <c r="AG27" s="91">
        <v>12</v>
      </c>
      <c r="AH27" s="91">
        <v>3</v>
      </c>
      <c r="AI27" s="91">
        <v>7</v>
      </c>
      <c r="AJ27" s="91">
        <v>12</v>
      </c>
      <c r="AK27" s="91">
        <v>-3</v>
      </c>
      <c r="AL27" s="26">
        <f t="shared" si="5"/>
        <v>50</v>
      </c>
      <c r="AM27" s="16">
        <f t="shared" si="6"/>
        <v>7.14</v>
      </c>
      <c r="AN27" s="17">
        <f t="shared" si="7"/>
        <v>6.71</v>
      </c>
      <c r="AO27" s="18" t="s">
        <v>122</v>
      </c>
      <c r="AP27" s="19">
        <v>415</v>
      </c>
      <c r="AQ27" s="19">
        <v>475</v>
      </c>
      <c r="AR27" s="19">
        <f t="shared" ca="1" si="21"/>
        <v>14882.955391999998</v>
      </c>
      <c r="AS27" s="103">
        <v>261.60000000000002</v>
      </c>
      <c r="AT27" s="19">
        <v>528</v>
      </c>
      <c r="AU27" s="19">
        <v>779</v>
      </c>
      <c r="AV27" s="19">
        <v>2637</v>
      </c>
      <c r="AW27" s="20">
        <f t="shared" ca="1" si="9"/>
        <v>56.892031314984699</v>
      </c>
      <c r="AX27" s="20">
        <f t="shared" ca="1" si="10"/>
        <v>19.105205894736841</v>
      </c>
      <c r="AY27" s="20">
        <f t="shared" ca="1" si="11"/>
        <v>5.643896621918846</v>
      </c>
      <c r="AZ27" s="21">
        <v>3139</v>
      </c>
      <c r="BA27" s="22">
        <f t="shared" si="12"/>
        <v>0.20022753128555176</v>
      </c>
      <c r="BB27" s="22">
        <f t="shared" si="13"/>
        <v>0.84007645747053206</v>
      </c>
      <c r="BC27" s="23">
        <f t="shared" si="14"/>
        <v>0.16820643517043646</v>
      </c>
      <c r="BD27" s="98">
        <v>350.2</v>
      </c>
      <c r="BE27" s="23">
        <f t="shared" si="15"/>
        <v>6.0072773543545122E-2</v>
      </c>
      <c r="BF27">
        <v>549.79999999999995</v>
      </c>
      <c r="BG27" s="23">
        <f t="shared" si="16"/>
        <v>0.16014800933092932</v>
      </c>
      <c r="BH27" s="24">
        <v>18</v>
      </c>
      <c r="BI27" s="24">
        <v>25</v>
      </c>
      <c r="BJ27" s="25">
        <f t="shared" ref="BJ27:BJ32" ca="1" si="26">(BD27*BH27+$AP27-$AQ27)/$H27</f>
        <v>39.155825586120741</v>
      </c>
      <c r="BK27" s="25">
        <f t="shared" ref="BK27:BK32" ca="1" si="27">(BF27*BI27+$AP27-$AQ27)/$H27</f>
        <v>85.823478945810479</v>
      </c>
      <c r="BL27" s="23">
        <f t="shared" ca="1" si="18"/>
        <v>-0.1587984697346404</v>
      </c>
      <c r="BM27" s="23">
        <f t="shared" ca="1" si="19"/>
        <v>-1.5848406471204002E-2</v>
      </c>
      <c r="BN27" s="95" t="s">
        <v>654</v>
      </c>
      <c r="BO27" s="100" t="s">
        <v>123</v>
      </c>
      <c r="BP27" s="95" t="s">
        <v>104</v>
      </c>
      <c r="BQ27" s="98">
        <v>18.899999999999999</v>
      </c>
      <c r="BR27" s="98">
        <v>65.400000000000006</v>
      </c>
      <c r="BS27" s="98">
        <v>327</v>
      </c>
      <c r="BT27" t="s">
        <v>859</v>
      </c>
    </row>
    <row r="28" spans="1:72" ht="15" customHeight="1" x14ac:dyDescent="0.25">
      <c r="A28" s="86" t="e" vm="25">
        <v>#VALUE!</v>
      </c>
      <c r="B28" s="10" t="str">
        <f t="array" aca="1" ref="B28" ca="1">_FV(A28,"Símbolo bursátil",TRUE())</f>
        <v>META</v>
      </c>
      <c r="C28" s="88" t="s">
        <v>81</v>
      </c>
      <c r="D28" s="88" t="s">
        <v>77</v>
      </c>
      <c r="E28" s="11" t="str">
        <f t="array" aca="1" ref="E28" ca="1">_FV(A28,"Abreviatura de intercambio",TRUE())</f>
        <v>XNAS</v>
      </c>
      <c r="F28" s="11" t="str">
        <f t="array" aca="1" ref="F28" ca="1">_FV(A28,"Moneda")</f>
        <v>USD</v>
      </c>
      <c r="G28" s="12">
        <f t="array" aca="1" ref="G28" ca="1">_FV(A28,"Precio")</f>
        <v>704.29</v>
      </c>
      <c r="H28" s="13">
        <f t="array" aca="1" ref="H28" ca="1">_FV(A28,"Acciones en circulación",TRUE())/1000000</f>
        <v>2547.5059999999999</v>
      </c>
      <c r="I28" s="14">
        <f t="shared" ca="1" si="25"/>
        <v>1794183.0007399998</v>
      </c>
      <c r="J28" s="90">
        <v>-0.5</v>
      </c>
      <c r="K28" s="90">
        <v>7</v>
      </c>
      <c r="L28" s="90">
        <v>2</v>
      </c>
      <c r="M28" s="90">
        <v>1</v>
      </c>
      <c r="N28" s="90">
        <v>-1</v>
      </c>
      <c r="O28" s="90">
        <v>0</v>
      </c>
      <c r="P28" s="90">
        <v>1</v>
      </c>
      <c r="Q28" s="90">
        <v>1</v>
      </c>
      <c r="R28" s="15">
        <f t="shared" si="1"/>
        <v>10.5</v>
      </c>
      <c r="S28" s="16">
        <f t="shared" si="2"/>
        <v>6.56</v>
      </c>
      <c r="T28" s="90">
        <v>15</v>
      </c>
      <c r="U28" s="90">
        <v>18</v>
      </c>
      <c r="V28" s="90">
        <v>12</v>
      </c>
      <c r="W28" s="90">
        <v>8</v>
      </c>
      <c r="X28" s="90">
        <v>8</v>
      </c>
      <c r="Y28" s="90">
        <v>10</v>
      </c>
      <c r="Z28" s="90">
        <v>9</v>
      </c>
      <c r="AA28" s="90">
        <v>-15</v>
      </c>
      <c r="AB28" s="15">
        <f t="shared" si="3"/>
        <v>65</v>
      </c>
      <c r="AC28" s="16">
        <f t="shared" si="4"/>
        <v>6.5</v>
      </c>
      <c r="AD28" s="90">
        <v>12</v>
      </c>
      <c r="AE28" s="90">
        <v>-3</v>
      </c>
      <c r="AF28" s="90">
        <v>5</v>
      </c>
      <c r="AG28" s="90">
        <v>12</v>
      </c>
      <c r="AH28" s="90">
        <v>3</v>
      </c>
      <c r="AI28" s="90">
        <v>8</v>
      </c>
      <c r="AJ28" s="90">
        <v>13</v>
      </c>
      <c r="AK28" s="90">
        <v>-6</v>
      </c>
      <c r="AL28" s="15">
        <f t="shared" si="5"/>
        <v>44</v>
      </c>
      <c r="AM28" s="16">
        <f t="shared" si="6"/>
        <v>6.29</v>
      </c>
      <c r="AN28" s="17">
        <f t="shared" si="7"/>
        <v>6.43</v>
      </c>
      <c r="AO28" s="18" t="s">
        <v>78</v>
      </c>
      <c r="AP28" s="19">
        <v>90260</v>
      </c>
      <c r="AQ28" s="19">
        <v>112320</v>
      </c>
      <c r="AR28" s="19">
        <f t="shared" ca="1" si="21"/>
        <v>1816243.0007399998</v>
      </c>
      <c r="AS28" s="103">
        <v>15840</v>
      </c>
      <c r="AT28" s="19">
        <v>67631</v>
      </c>
      <c r="AU28" s="19">
        <v>109660</v>
      </c>
      <c r="AV28" s="19">
        <v>228250</v>
      </c>
      <c r="AW28" s="20">
        <f t="shared" ca="1" si="9"/>
        <v>114.66180560227272</v>
      </c>
      <c r="AX28" s="20">
        <f t="shared" ca="1" si="10"/>
        <v>16.562493167426588</v>
      </c>
      <c r="AY28" s="20">
        <f t="shared" ca="1" si="11"/>
        <v>7.9572530152902514</v>
      </c>
      <c r="AZ28" s="21">
        <v>393577</v>
      </c>
      <c r="BA28" s="22">
        <f t="shared" si="12"/>
        <v>0.29630230010952902</v>
      </c>
      <c r="BB28" s="22">
        <f t="shared" si="13"/>
        <v>0.57993734389966889</v>
      </c>
      <c r="BC28" s="23">
        <f t="shared" si="14"/>
        <v>0.17183676891688282</v>
      </c>
      <c r="BD28" s="98">
        <v>62609.7</v>
      </c>
      <c r="BE28" s="23">
        <f>(BD28/BS28)^(1/5)-1</f>
        <v>-5.3534163275676172E-2</v>
      </c>
      <c r="BF28">
        <v>173143.7</v>
      </c>
      <c r="BG28" s="23">
        <f>(BF28/BS28)^(1/5)-1</f>
        <v>0.15999991305760153</v>
      </c>
      <c r="BH28" s="24">
        <v>18</v>
      </c>
      <c r="BI28" s="24">
        <v>26</v>
      </c>
      <c r="BJ28" s="25">
        <f t="shared" ca="1" si="26"/>
        <v>433.72404225937049</v>
      </c>
      <c r="BK28" s="25">
        <f t="shared" ca="1" si="27"/>
        <v>1758.4556032448993</v>
      </c>
      <c r="BL28" s="23">
        <f t="shared" ca="1" si="18"/>
        <v>-9.2404372486471487E-2</v>
      </c>
      <c r="BM28" s="23">
        <f t="shared" ca="1" si="19"/>
        <v>0.20081464860239673</v>
      </c>
      <c r="BN28" s="95" t="s">
        <v>812</v>
      </c>
      <c r="BO28" s="93" t="s">
        <v>83</v>
      </c>
      <c r="BP28" s="93" t="s">
        <v>84</v>
      </c>
      <c r="BQ28" s="98">
        <v>25136</v>
      </c>
      <c r="BR28" s="98">
        <v>66596</v>
      </c>
      <c r="BS28" s="98">
        <v>82436</v>
      </c>
      <c r="BT28" s="96" t="s">
        <v>915</v>
      </c>
    </row>
    <row r="29" spans="1:72" ht="15" customHeight="1" x14ac:dyDescent="0.25">
      <c r="A29" s="86" t="e" vm="26">
        <v>#VALUE!</v>
      </c>
      <c r="B29" s="10" t="str">
        <f t="array" aca="1" ref="B29" ca="1">_FV(A29,"Símbolo bursátil",TRUE())</f>
        <v>KKR</v>
      </c>
      <c r="C29" s="88" t="s">
        <v>88</v>
      </c>
      <c r="D29" s="88" t="s">
        <v>77</v>
      </c>
      <c r="E29" s="11" t="str">
        <f t="array" aca="1" ref="E29" ca="1">_FV(A29,"Abreviatura de intercambio",TRUE())</f>
        <v>XNYS</v>
      </c>
      <c r="F29" s="11" t="str">
        <f t="array" aca="1" ref="F29" ca="1">_FV(A29,"Moneda")</f>
        <v>USD</v>
      </c>
      <c r="G29" s="12">
        <f t="array" aca="1" ref="G29" ca="1">_FV(A29,"Precio")</f>
        <v>86.855000000000004</v>
      </c>
      <c r="H29" s="13">
        <f t="array" aca="1" ref="H29" ca="1">_FV(A29,"Acciones en circulación",TRUE())/1000000</f>
        <v>897.63559999999995</v>
      </c>
      <c r="I29" s="14">
        <f t="shared" ca="1" si="25"/>
        <v>77964.140037999998</v>
      </c>
      <c r="J29" s="91">
        <v>0</v>
      </c>
      <c r="K29" s="91">
        <v>6</v>
      </c>
      <c r="L29" s="91">
        <v>2</v>
      </c>
      <c r="M29" s="91">
        <v>0</v>
      </c>
      <c r="N29" s="91">
        <v>0</v>
      </c>
      <c r="O29" s="91">
        <v>0</v>
      </c>
      <c r="P29" s="91">
        <v>1</v>
      </c>
      <c r="Q29" s="91">
        <v>1</v>
      </c>
      <c r="R29" s="26">
        <f t="shared" si="1"/>
        <v>10</v>
      </c>
      <c r="S29" s="16">
        <f t="shared" si="2"/>
        <v>6.25</v>
      </c>
      <c r="T29" s="91">
        <v>13</v>
      </c>
      <c r="U29" s="91">
        <v>15</v>
      </c>
      <c r="V29" s="91">
        <v>14</v>
      </c>
      <c r="W29" s="91">
        <v>9</v>
      </c>
      <c r="X29" s="91">
        <v>9</v>
      </c>
      <c r="Y29" s="91">
        <v>13</v>
      </c>
      <c r="Z29" s="91">
        <v>9</v>
      </c>
      <c r="AA29" s="91">
        <v>-10</v>
      </c>
      <c r="AB29" s="26">
        <f t="shared" si="3"/>
        <v>72</v>
      </c>
      <c r="AC29" s="16">
        <f t="shared" si="4"/>
        <v>7.2</v>
      </c>
      <c r="AD29" s="91">
        <v>13</v>
      </c>
      <c r="AE29" s="91">
        <v>-3</v>
      </c>
      <c r="AF29" s="91">
        <v>7</v>
      </c>
      <c r="AG29" s="91">
        <v>13</v>
      </c>
      <c r="AH29" s="91">
        <v>2</v>
      </c>
      <c r="AI29" s="91">
        <v>9</v>
      </c>
      <c r="AJ29" s="91">
        <v>12</v>
      </c>
      <c r="AK29" s="91">
        <v>-5</v>
      </c>
      <c r="AL29" s="26">
        <f t="shared" si="5"/>
        <v>48</v>
      </c>
      <c r="AM29" s="16">
        <f t="shared" si="6"/>
        <v>6.86</v>
      </c>
      <c r="AN29" s="17">
        <f t="shared" si="7"/>
        <v>6.87</v>
      </c>
      <c r="AO29" s="18" t="s">
        <v>78</v>
      </c>
      <c r="AP29" s="19">
        <v>21080</v>
      </c>
      <c r="AQ29" s="19">
        <v>56164</v>
      </c>
      <c r="AR29" s="19">
        <f t="shared" ca="1" si="21"/>
        <v>113048.140038</v>
      </c>
      <c r="AS29" s="103">
        <v>5000</v>
      </c>
      <c r="AT29" s="19">
        <v>5176</v>
      </c>
      <c r="AU29" s="19">
        <v>6752</v>
      </c>
      <c r="AV29" s="19">
        <v>25833</v>
      </c>
      <c r="AW29" s="20">
        <f t="shared" ca="1" si="9"/>
        <v>22.609628007599998</v>
      </c>
      <c r="AX29" s="20">
        <f t="shared" ca="1" si="10"/>
        <v>16.74291173548578</v>
      </c>
      <c r="AY29" s="20">
        <f t="shared" ca="1" si="11"/>
        <v>4.3761134997096738</v>
      </c>
      <c r="AZ29" s="21">
        <v>34500</v>
      </c>
      <c r="BA29" s="22">
        <f t="shared" si="12"/>
        <v>0.20036387566291178</v>
      </c>
      <c r="BB29" s="22">
        <f t="shared" si="13"/>
        <v>0.74878260869565216</v>
      </c>
      <c r="BC29" s="23">
        <f t="shared" si="14"/>
        <v>0.15002898550724636</v>
      </c>
      <c r="BD29" s="98">
        <v>7013</v>
      </c>
      <c r="BE29" s="23">
        <f t="shared" si="15"/>
        <v>7.0007364782187942E-2</v>
      </c>
      <c r="BF29">
        <v>12442</v>
      </c>
      <c r="BG29" s="23">
        <f t="shared" si="16"/>
        <v>0.20000771595015565</v>
      </c>
      <c r="BH29" s="24">
        <v>15</v>
      </c>
      <c r="BI29" s="24">
        <v>25</v>
      </c>
      <c r="BJ29" s="25">
        <f t="shared" ca="1" si="26"/>
        <v>78.106305052963592</v>
      </c>
      <c r="BK29" s="25">
        <f t="shared" ca="1" si="27"/>
        <v>307.43655888870717</v>
      </c>
      <c r="BL29" s="23">
        <f t="shared" ca="1" si="18"/>
        <v>-2.1010004388444692E-2</v>
      </c>
      <c r="BM29" s="23">
        <f t="shared" ca="1" si="19"/>
        <v>0.28763311482931919</v>
      </c>
      <c r="BN29" s="95" t="s">
        <v>812</v>
      </c>
      <c r="BO29" s="95" t="s">
        <v>102</v>
      </c>
      <c r="BP29" s="95" t="s">
        <v>145</v>
      </c>
      <c r="BQ29" s="98"/>
      <c r="BR29" s="98"/>
      <c r="BS29" s="98"/>
    </row>
    <row r="30" spans="1:72" ht="15" customHeight="1" x14ac:dyDescent="0.25">
      <c r="A30" s="86" t="e" vm="27">
        <v>#VALUE!</v>
      </c>
      <c r="B30" s="10" t="str">
        <f t="array" aca="1" ref="B30" ca="1">_FV(A30,"Símbolo bursátil",TRUE())</f>
        <v>NET</v>
      </c>
      <c r="C30" s="88" t="s">
        <v>96</v>
      </c>
      <c r="D30" s="88" t="s">
        <v>97</v>
      </c>
      <c r="E30" s="11" t="str">
        <f t="array" aca="1" ref="E30" ca="1">_FV(A30,"Abreviatura de intercambio",TRUE())</f>
        <v>XNYS</v>
      </c>
      <c r="F30" s="11" t="str">
        <f t="array" aca="1" ref="F30" ca="1">_FV(A30,"Moneda")</f>
        <v>USD</v>
      </c>
      <c r="G30" s="12">
        <f t="array" aca="1" ref="G30" ca="1">_FV(A30,"Precio")</f>
        <v>299.19499999999999</v>
      </c>
      <c r="H30" s="13">
        <f t="array" aca="1" ref="H30" ca="1">_FV(A30,"Acciones en circulación",TRUE())/1000000</f>
        <v>356.0797</v>
      </c>
      <c r="I30" s="14">
        <f t="shared" ca="1" si="25"/>
        <v>106537.2658415</v>
      </c>
      <c r="J30" s="90">
        <v>1</v>
      </c>
      <c r="K30" s="90">
        <v>5</v>
      </c>
      <c r="L30" s="90">
        <v>3</v>
      </c>
      <c r="M30" s="90">
        <v>0</v>
      </c>
      <c r="N30" s="90">
        <v>0</v>
      </c>
      <c r="O30" s="90">
        <v>1</v>
      </c>
      <c r="P30" s="90">
        <v>1</v>
      </c>
      <c r="Q30" s="90">
        <v>0</v>
      </c>
      <c r="R30" s="15">
        <f t="shared" si="1"/>
        <v>10</v>
      </c>
      <c r="S30" s="16">
        <f t="shared" si="2"/>
        <v>6.25</v>
      </c>
      <c r="T30" s="90">
        <v>7</v>
      </c>
      <c r="U30" s="90">
        <v>13</v>
      </c>
      <c r="V30" s="90">
        <v>16</v>
      </c>
      <c r="W30" s="90">
        <v>9</v>
      </c>
      <c r="X30" s="90">
        <v>7</v>
      </c>
      <c r="Y30" s="90">
        <v>12</v>
      </c>
      <c r="Z30" s="90">
        <v>6</v>
      </c>
      <c r="AA30" s="90">
        <v>-12</v>
      </c>
      <c r="AB30" s="15">
        <f t="shared" si="3"/>
        <v>58</v>
      </c>
      <c r="AC30" s="16">
        <f t="shared" si="4"/>
        <v>5.8</v>
      </c>
      <c r="AD30" s="90">
        <v>13</v>
      </c>
      <c r="AE30" s="90">
        <v>-1</v>
      </c>
      <c r="AF30" s="90">
        <v>6</v>
      </c>
      <c r="AG30" s="90">
        <v>10</v>
      </c>
      <c r="AH30" s="90">
        <v>3</v>
      </c>
      <c r="AI30" s="90">
        <v>8</v>
      </c>
      <c r="AJ30" s="90">
        <v>11</v>
      </c>
      <c r="AK30" s="90">
        <v>-4</v>
      </c>
      <c r="AL30" s="15">
        <f t="shared" si="5"/>
        <v>46</v>
      </c>
      <c r="AM30" s="16">
        <f t="shared" si="6"/>
        <v>6.57</v>
      </c>
      <c r="AN30" s="17">
        <f t="shared" si="7"/>
        <v>6.2</v>
      </c>
      <c r="AO30" s="18" t="s">
        <v>78</v>
      </c>
      <c r="AP30" s="19">
        <v>4163</v>
      </c>
      <c r="AQ30" s="19">
        <v>3529</v>
      </c>
      <c r="AR30" s="19">
        <f t="shared" ca="1" si="21"/>
        <v>105903.2658415</v>
      </c>
      <c r="AS30" s="103">
        <v>-192.8</v>
      </c>
      <c r="AT30" s="19">
        <v>-195</v>
      </c>
      <c r="AU30" s="19">
        <v>-2</v>
      </c>
      <c r="AV30" s="19">
        <v>2512</v>
      </c>
      <c r="AW30" s="20">
        <f t="shared" ca="1" si="9"/>
        <v>-549.29079793309131</v>
      </c>
      <c r="AX30" s="20">
        <f t="shared" ca="1" si="10"/>
        <v>-52951.632920750002</v>
      </c>
      <c r="AY30" s="20">
        <f t="shared" ca="1" si="11"/>
        <v>42.158943408240447</v>
      </c>
      <c r="AZ30" s="21">
        <v>3846</v>
      </c>
      <c r="BA30" s="22">
        <f t="shared" si="12"/>
        <v>-7.7627388535031844E-2</v>
      </c>
      <c r="BB30" s="22">
        <f t="shared" si="13"/>
        <v>0.65314612584503384</v>
      </c>
      <c r="BC30" s="23">
        <f t="shared" si="14"/>
        <v>-5.0702028081123243E-2</v>
      </c>
      <c r="BD30" s="98">
        <v>-109</v>
      </c>
      <c r="BE30" s="23">
        <f t="shared" si="15"/>
        <v>-0.10779655940383326</v>
      </c>
      <c r="BF30">
        <v>408</v>
      </c>
      <c r="BG30" s="23">
        <f t="shared" si="16"/>
        <v>-2.1617445043111658</v>
      </c>
      <c r="BH30" s="24">
        <v>20</v>
      </c>
      <c r="BI30" s="24">
        <v>30</v>
      </c>
      <c r="BJ30" s="25">
        <f t="shared" ca="1" si="26"/>
        <v>-4.341724619516361</v>
      </c>
      <c r="BK30" s="25">
        <f t="shared" ca="1" si="27"/>
        <v>36.154827135610368</v>
      </c>
      <c r="BL30" s="23">
        <f t="shared" ca="1" si="18"/>
        <v>-0.99</v>
      </c>
      <c r="BM30" s="23">
        <f t="shared" ca="1" si="19"/>
        <v>-0.34469664480753348</v>
      </c>
      <c r="BN30" s="95" t="s">
        <v>654</v>
      </c>
      <c r="BO30" s="95" t="s">
        <v>117</v>
      </c>
      <c r="BP30" s="95" t="s">
        <v>133</v>
      </c>
      <c r="BQ30" s="98">
        <v>507.7</v>
      </c>
      <c r="BR30" s="98">
        <v>93.4</v>
      </c>
      <c r="BS30" s="98">
        <v>-99.4</v>
      </c>
      <c r="BT30" s="96" t="s">
        <v>867</v>
      </c>
    </row>
    <row r="31" spans="1:72" ht="15" customHeight="1" x14ac:dyDescent="0.25">
      <c r="A31" s="86" t="e" vm="28">
        <v>#VALUE!</v>
      </c>
      <c r="B31" s="10" t="str">
        <f t="array" aca="1" ref="B31" ca="1">_FV(A31,"Símbolo bursátil",TRUE())</f>
        <v>CRWD</v>
      </c>
      <c r="C31" s="88" t="s">
        <v>96</v>
      </c>
      <c r="D31" s="88" t="s">
        <v>97</v>
      </c>
      <c r="E31" s="11" t="str">
        <f t="array" aca="1" ref="E31" ca="1">_FV(A31,"Abreviatura de intercambio",TRUE())</f>
        <v>XNAS</v>
      </c>
      <c r="F31" s="11" t="str">
        <f t="array" aca="1" ref="F31" ca="1">_FV(A31,"Moneda")</f>
        <v>USD</v>
      </c>
      <c r="G31" s="12">
        <f t="array" aca="1" ref="G31" ca="1">_FV(A31,"Precio")</f>
        <v>228.59</v>
      </c>
      <c r="H31" s="13">
        <f t="array" aca="1" ref="H31" ca="1">_FV(A31,"Acciones en circulación",TRUE())/1000000</f>
        <v>1023.9349999999999</v>
      </c>
      <c r="I31" s="14">
        <f t="shared" ca="1" si="25"/>
        <v>234061.30164999998</v>
      </c>
      <c r="J31" s="91">
        <v>1</v>
      </c>
      <c r="K31" s="91">
        <v>6</v>
      </c>
      <c r="L31" s="91">
        <v>2</v>
      </c>
      <c r="M31" s="91">
        <v>0</v>
      </c>
      <c r="N31" s="91">
        <v>0</v>
      </c>
      <c r="O31" s="91">
        <v>0</v>
      </c>
      <c r="P31" s="91">
        <v>1</v>
      </c>
      <c r="Q31" s="91">
        <v>0</v>
      </c>
      <c r="R31" s="26">
        <f t="shared" si="1"/>
        <v>10</v>
      </c>
      <c r="S31" s="16">
        <f t="shared" si="2"/>
        <v>6.25</v>
      </c>
      <c r="T31" s="91">
        <v>12</v>
      </c>
      <c r="U31" s="91">
        <v>16</v>
      </c>
      <c r="V31" s="91">
        <v>16</v>
      </c>
      <c r="W31" s="91">
        <v>8</v>
      </c>
      <c r="X31" s="91">
        <v>9</v>
      </c>
      <c r="Y31" s="91">
        <v>10</v>
      </c>
      <c r="Z31" s="91">
        <v>5</v>
      </c>
      <c r="AA31" s="91">
        <v>-10</v>
      </c>
      <c r="AB31" s="26">
        <f t="shared" si="3"/>
        <v>66</v>
      </c>
      <c r="AC31" s="16">
        <f t="shared" si="4"/>
        <v>6.6</v>
      </c>
      <c r="AD31" s="91">
        <v>12</v>
      </c>
      <c r="AE31" s="91">
        <v>-2</v>
      </c>
      <c r="AF31" s="91">
        <v>9</v>
      </c>
      <c r="AG31" s="91">
        <v>11</v>
      </c>
      <c r="AH31" s="91">
        <v>3</v>
      </c>
      <c r="AI31" s="91">
        <v>7</v>
      </c>
      <c r="AJ31" s="91">
        <v>12</v>
      </c>
      <c r="AK31" s="91">
        <v>-5</v>
      </c>
      <c r="AL31" s="26">
        <f t="shared" si="5"/>
        <v>47</v>
      </c>
      <c r="AM31" s="16">
        <f t="shared" si="6"/>
        <v>6.71</v>
      </c>
      <c r="AN31" s="17">
        <f t="shared" si="7"/>
        <v>6.57</v>
      </c>
      <c r="AO31" s="18" t="s">
        <v>78</v>
      </c>
      <c r="AP31" s="19">
        <v>5013.8</v>
      </c>
      <c r="AQ31" s="19">
        <v>746.2</v>
      </c>
      <c r="AR31" s="19">
        <f t="shared" ca="1" si="21"/>
        <v>229793.70165</v>
      </c>
      <c r="AS31" s="103">
        <v>281.60000000000002</v>
      </c>
      <c r="AT31" s="19">
        <v>-133</v>
      </c>
      <c r="AU31" s="104" t="s">
        <v>879</v>
      </c>
      <c r="AV31" s="19">
        <v>5396.1</v>
      </c>
      <c r="AW31" s="20">
        <f t="shared" ca="1" si="9"/>
        <v>816.02877006392043</v>
      </c>
      <c r="AX31" s="20" t="e">
        <f t="shared" ca="1" si="10"/>
        <v>#VALUE!</v>
      </c>
      <c r="AY31" s="20">
        <f t="shared" ca="1" si="11"/>
        <v>42.585145132595763</v>
      </c>
      <c r="AZ31" s="21">
        <v>7154</v>
      </c>
      <c r="BA31" s="22">
        <f t="shared" si="12"/>
        <v>-2.464743055169474E-2</v>
      </c>
      <c r="BB31" s="22">
        <f t="shared" si="13"/>
        <v>0.75427732736930397</v>
      </c>
      <c r="BC31" s="23">
        <f t="shared" si="14"/>
        <v>-1.8590998043052837E-2</v>
      </c>
      <c r="BD31" s="98">
        <v>491</v>
      </c>
      <c r="BE31" s="23">
        <f t="shared" si="15"/>
        <v>0.11760868573206507</v>
      </c>
      <c r="BF31">
        <v>884.8</v>
      </c>
      <c r="BG31" s="23">
        <f t="shared" si="16"/>
        <v>0.25731035602021013</v>
      </c>
      <c r="BH31" s="24">
        <v>20</v>
      </c>
      <c r="BI31" s="24">
        <v>30</v>
      </c>
      <c r="BJ31" s="25">
        <f t="shared" ca="1" si="26"/>
        <v>13.758295204285428</v>
      </c>
      <c r="BK31" s="25">
        <f t="shared" ca="1" si="27"/>
        <v>30.091363221298227</v>
      </c>
      <c r="BL31" s="23">
        <f t="shared" ca="1" si="18"/>
        <v>-0.4299650562545102</v>
      </c>
      <c r="BM31" s="23">
        <f t="shared" ca="1" si="19"/>
        <v>-0.33338216766729967</v>
      </c>
      <c r="BN31" s="96" t="s">
        <v>880</v>
      </c>
      <c r="BO31" s="96" t="s">
        <v>80</v>
      </c>
      <c r="BP31" s="96" t="s">
        <v>877</v>
      </c>
      <c r="BQ31" s="98">
        <v>1244</v>
      </c>
      <c r="BR31" s="98">
        <v>0</v>
      </c>
      <c r="BS31" s="98">
        <v>281.60000000000002</v>
      </c>
      <c r="BT31" s="96" t="s">
        <v>887</v>
      </c>
    </row>
    <row r="32" spans="1:72" ht="15" customHeight="1" x14ac:dyDescent="0.25">
      <c r="A32" s="86" t="e" vm="29">
        <v>#VALUE!</v>
      </c>
      <c r="B32" s="10" t="str">
        <f t="array" aca="1" ref="B32" ca="1">_FV(A32,"Símbolo bursátil",TRUE())</f>
        <v>GOOG</v>
      </c>
      <c r="C32" s="88" t="s">
        <v>81</v>
      </c>
      <c r="D32" s="88" t="s">
        <v>77</v>
      </c>
      <c r="E32" s="11" t="str">
        <f t="array" aca="1" ref="E32" ca="1">_FV(A32,"Abreviatura de intercambio",TRUE())</f>
        <v>XNAS</v>
      </c>
      <c r="F32" s="11" t="str">
        <f t="array" aca="1" ref="F32" ca="1">_FV(A32,"Moneda")</f>
        <v>USD</v>
      </c>
      <c r="G32" s="12">
        <f t="array" aca="1" ref="G32" ca="1">_FV(A32,"Precio")</f>
        <v>340.38</v>
      </c>
      <c r="H32" s="13">
        <f t="array" aca="1" ref="H32" ca="1">_FV(A32,"Acciones en circulación",TRUE())/1000000</f>
        <v>12230</v>
      </c>
      <c r="I32" s="14">
        <f t="shared" ca="1" si="25"/>
        <v>4162847.4</v>
      </c>
      <c r="J32" s="90">
        <v>1</v>
      </c>
      <c r="K32" s="90">
        <v>7</v>
      </c>
      <c r="L32" s="90">
        <v>3</v>
      </c>
      <c r="M32" s="90">
        <v>1</v>
      </c>
      <c r="N32" s="90">
        <v>-1</v>
      </c>
      <c r="O32" s="90">
        <v>1</v>
      </c>
      <c r="P32" s="90">
        <v>1</v>
      </c>
      <c r="Q32" s="90">
        <v>0</v>
      </c>
      <c r="R32" s="15">
        <f t="shared" si="1"/>
        <v>12</v>
      </c>
      <c r="S32" s="16">
        <f t="shared" si="2"/>
        <v>7.5</v>
      </c>
      <c r="T32" s="90">
        <v>16</v>
      </c>
      <c r="U32" s="90">
        <v>18</v>
      </c>
      <c r="V32" s="90">
        <v>13</v>
      </c>
      <c r="W32" s="90">
        <v>8</v>
      </c>
      <c r="X32" s="90">
        <v>8</v>
      </c>
      <c r="Y32" s="90">
        <v>11</v>
      </c>
      <c r="Z32" s="90">
        <v>6</v>
      </c>
      <c r="AA32" s="90">
        <v>-14</v>
      </c>
      <c r="AB32" s="15">
        <f t="shared" si="3"/>
        <v>66</v>
      </c>
      <c r="AC32" s="16">
        <f t="shared" si="4"/>
        <v>6.6</v>
      </c>
      <c r="AD32" s="90">
        <v>12</v>
      </c>
      <c r="AE32" s="90">
        <v>-4</v>
      </c>
      <c r="AF32" s="90">
        <v>5</v>
      </c>
      <c r="AG32" s="90">
        <v>11</v>
      </c>
      <c r="AH32" s="90">
        <v>4</v>
      </c>
      <c r="AI32" s="90">
        <v>7</v>
      </c>
      <c r="AJ32" s="90">
        <v>13</v>
      </c>
      <c r="AK32" s="90">
        <v>-6</v>
      </c>
      <c r="AL32" s="15">
        <f t="shared" si="5"/>
        <v>42</v>
      </c>
      <c r="AM32" s="16">
        <f t="shared" si="6"/>
        <v>6</v>
      </c>
      <c r="AN32" s="17">
        <f t="shared" si="7"/>
        <v>6.54</v>
      </c>
      <c r="AO32" s="18" t="s">
        <v>78</v>
      </c>
      <c r="AP32" s="19">
        <v>242470</v>
      </c>
      <c r="AQ32" s="19">
        <v>120790</v>
      </c>
      <c r="AR32" s="19">
        <f t="shared" ca="1" si="21"/>
        <v>4041167.4</v>
      </c>
      <c r="AS32" s="103">
        <v>25126</v>
      </c>
      <c r="AT32" s="19">
        <v>120466</v>
      </c>
      <c r="AU32" s="19">
        <v>173160</v>
      </c>
      <c r="AV32" s="19">
        <v>445870</v>
      </c>
      <c r="AW32" s="20">
        <f t="shared" ca="1" si="9"/>
        <v>160.83608214598425</v>
      </c>
      <c r="AX32" s="20">
        <f t="shared" ca="1" si="10"/>
        <v>23.337765072765073</v>
      </c>
      <c r="AY32" s="20">
        <f t="shared" ca="1" si="11"/>
        <v>9.0635552963868395</v>
      </c>
      <c r="AZ32" s="21">
        <v>795872</v>
      </c>
      <c r="BA32" s="22">
        <f t="shared" si="12"/>
        <v>0.27018189158274836</v>
      </c>
      <c r="BB32" s="22">
        <f t="shared" si="13"/>
        <v>0.5602282779140364</v>
      </c>
      <c r="BC32" s="23">
        <f t="shared" si="14"/>
        <v>0.15136353584495998</v>
      </c>
      <c r="BD32" s="98">
        <v>168840.3</v>
      </c>
      <c r="BE32" s="23">
        <f>(BD32/BS32)^(1/5)-1</f>
        <v>4.9999671412972457E-2</v>
      </c>
      <c r="BF32">
        <v>266084.7</v>
      </c>
      <c r="BG32" s="23">
        <f>(BF32/BS32)^(1/5)-1</f>
        <v>0.15000021290578558</v>
      </c>
      <c r="BH32" s="24">
        <v>20</v>
      </c>
      <c r="BI32" s="24">
        <v>30</v>
      </c>
      <c r="BJ32" s="25">
        <f t="shared" ca="1" si="26"/>
        <v>286.05772690106295</v>
      </c>
      <c r="BK32" s="25">
        <f t="shared" ca="1" si="27"/>
        <v>662.65094031071135</v>
      </c>
      <c r="BL32" s="23">
        <f t="shared" ca="1" si="18"/>
        <v>-3.4176140599321947E-2</v>
      </c>
      <c r="BM32" s="23">
        <f t="shared" ca="1" si="19"/>
        <v>0.14252090950511498</v>
      </c>
      <c r="BN32" s="95" t="s">
        <v>654</v>
      </c>
      <c r="BO32" s="93" t="s">
        <v>125</v>
      </c>
      <c r="BP32" s="93" t="s">
        <v>121</v>
      </c>
      <c r="BQ32" s="98">
        <v>28147</v>
      </c>
      <c r="BR32" s="98">
        <v>107165</v>
      </c>
      <c r="BS32" s="98">
        <v>132291</v>
      </c>
      <c r="BT32" s="96" t="s">
        <v>916</v>
      </c>
    </row>
    <row r="33" spans="1:72" ht="15" customHeight="1" x14ac:dyDescent="0.25">
      <c r="A33" s="86" t="e" vm="30">
        <v>#VALUE!</v>
      </c>
      <c r="B33" s="10" t="str">
        <f t="array" aca="1" ref="B33" ca="1">_FV(A33,"Símbolo bursátil",TRUE())</f>
        <v>ABBNE</v>
      </c>
      <c r="C33" s="88" t="s">
        <v>103</v>
      </c>
      <c r="D33" s="88" t="s">
        <v>77</v>
      </c>
      <c r="E33" s="11" t="str">
        <f t="array" aca="1" ref="E33" ca="1">_FV(A33,"Abreviatura de intercambio",TRUE())</f>
        <v>XSWX</v>
      </c>
      <c r="F33" s="11" t="str">
        <f t="array" aca="1" ref="F33" ca="1">_FV(A33,"Moneda")</f>
        <v>CHF</v>
      </c>
      <c r="G33" s="12">
        <f t="array" aca="1" ref="G33" ca="1">_FV(A33,"Precio")</f>
        <v>74.62</v>
      </c>
      <c r="H33" s="13">
        <f t="array" aca="1" ref="H33" ca="1">_FV(A33,"Acciones en circulación",TRUE())/1000000</f>
        <v>1823.154</v>
      </c>
      <c r="I33" s="14">
        <f t="shared" ca="1" si="25"/>
        <v>136043.75148000001</v>
      </c>
      <c r="J33" s="91">
        <v>1</v>
      </c>
      <c r="K33" s="91">
        <v>6</v>
      </c>
      <c r="L33" s="91">
        <v>2</v>
      </c>
      <c r="M33" s="91">
        <v>1</v>
      </c>
      <c r="N33" s="91">
        <v>0</v>
      </c>
      <c r="O33" s="91">
        <v>0</v>
      </c>
      <c r="P33" s="91">
        <v>0</v>
      </c>
      <c r="Q33" s="91">
        <v>0</v>
      </c>
      <c r="R33" s="26">
        <f t="shared" si="1"/>
        <v>10</v>
      </c>
      <c r="S33" s="16">
        <f t="shared" si="2"/>
        <v>6.25</v>
      </c>
      <c r="T33" s="91">
        <v>13</v>
      </c>
      <c r="U33" s="91">
        <v>14</v>
      </c>
      <c r="V33" s="91">
        <v>13</v>
      </c>
      <c r="W33" s="91">
        <v>9</v>
      </c>
      <c r="X33" s="91">
        <v>8</v>
      </c>
      <c r="Y33" s="91">
        <v>11</v>
      </c>
      <c r="Z33" s="91">
        <v>4</v>
      </c>
      <c r="AA33" s="91">
        <v>-8</v>
      </c>
      <c r="AB33" s="26">
        <f t="shared" si="3"/>
        <v>64</v>
      </c>
      <c r="AC33" s="16">
        <f t="shared" si="4"/>
        <v>6.4</v>
      </c>
      <c r="AD33" s="91">
        <v>12</v>
      </c>
      <c r="AE33" s="91">
        <v>-2</v>
      </c>
      <c r="AF33" s="91">
        <v>5</v>
      </c>
      <c r="AG33" s="91">
        <v>12</v>
      </c>
      <c r="AH33" s="91">
        <v>4</v>
      </c>
      <c r="AI33" s="91">
        <v>7</v>
      </c>
      <c r="AJ33" s="91">
        <v>11</v>
      </c>
      <c r="AK33" s="91">
        <v>-4</v>
      </c>
      <c r="AL33" s="26">
        <f t="shared" si="5"/>
        <v>45</v>
      </c>
      <c r="AM33" s="16">
        <f t="shared" si="6"/>
        <v>6.43</v>
      </c>
      <c r="AN33" s="17">
        <f t="shared" si="7"/>
        <v>6.38</v>
      </c>
      <c r="AO33" s="18" t="s">
        <v>78</v>
      </c>
      <c r="AP33" s="19">
        <v>5860</v>
      </c>
      <c r="AQ33" s="19">
        <v>9150</v>
      </c>
      <c r="AR33" s="19">
        <f ca="1">I33*'Framework Notes'!E5-AP33+AQ33</f>
        <v>167875.73054050401</v>
      </c>
      <c r="AS33" s="103">
        <v>4159</v>
      </c>
      <c r="AT33" s="19">
        <v>4811</v>
      </c>
      <c r="AU33" s="19">
        <v>7150</v>
      </c>
      <c r="AV33" s="19">
        <v>35750</v>
      </c>
      <c r="AW33" s="20">
        <f t="shared" ca="1" si="9"/>
        <v>40.36444591019572</v>
      </c>
      <c r="AX33" s="20">
        <f t="shared" ca="1" si="10"/>
        <v>23.479123152518042</v>
      </c>
      <c r="AY33" s="20">
        <f t="shared" ca="1" si="11"/>
        <v>4.6958246305036084</v>
      </c>
      <c r="AZ33" s="21">
        <v>27296</v>
      </c>
      <c r="BA33" s="22">
        <f t="shared" si="12"/>
        <v>0.13457342657342658</v>
      </c>
      <c r="BB33" s="22">
        <f t="shared" si="13"/>
        <v>1.3097157092614302</v>
      </c>
      <c r="BC33" s="23">
        <f t="shared" si="14"/>
        <v>0.17625293083235638</v>
      </c>
      <c r="BD33" s="98">
        <v>5060.1000000000004</v>
      </c>
      <c r="BE33" s="23">
        <f t="shared" si="15"/>
        <v>4.000166804127181E-2</v>
      </c>
      <c r="BF33">
        <v>7329.7</v>
      </c>
      <c r="BG33" s="23">
        <f t="shared" si="16"/>
        <v>0.12000369602195815</v>
      </c>
      <c r="BH33" s="24">
        <v>14</v>
      </c>
      <c r="BI33" s="24">
        <v>25</v>
      </c>
      <c r="BJ33" s="25">
        <f ca="1">((BD33*BH33+$AP33-$AQ33)/$H33)/'Framework Notes'!E5</f>
        <v>30.62650359448692</v>
      </c>
      <c r="BK33" s="25">
        <f ca="1">((BF33*BI33+$AP33-$AQ33)/$H33)/'Framework Notes'!E5</f>
        <v>81.586997280395465</v>
      </c>
      <c r="BL33" s="23">
        <f t="shared" ca="1" si="18"/>
        <v>-0.16314843057975403</v>
      </c>
      <c r="BM33" s="23">
        <f t="shared" ca="1" si="19"/>
        <v>1.8012571112107523E-2</v>
      </c>
      <c r="BN33" s="95" t="s">
        <v>654</v>
      </c>
      <c r="BO33" s="93" t="s">
        <v>126</v>
      </c>
      <c r="BP33" s="93" t="s">
        <v>115</v>
      </c>
      <c r="BQ33" s="98">
        <v>0</v>
      </c>
      <c r="BR33" s="98">
        <v>175</v>
      </c>
      <c r="BS33" s="98">
        <v>4334</v>
      </c>
      <c r="BT33" t="s">
        <v>860</v>
      </c>
    </row>
    <row r="34" spans="1:72" ht="15" customHeight="1" x14ac:dyDescent="0.25">
      <c r="A34" s="86" t="e" vm="31">
        <v>#VALUE!</v>
      </c>
      <c r="B34" s="10" t="str">
        <f t="array" aca="1" ref="B34" ca="1">_FV(A34,"Símbolo bursátil",TRUE())</f>
        <v>GRMN</v>
      </c>
      <c r="C34" s="88" t="s">
        <v>127</v>
      </c>
      <c r="D34" s="88" t="s">
        <v>77</v>
      </c>
      <c r="E34" s="11" t="str">
        <f t="array" aca="1" ref="E34" ca="1">_FV(A34,"Abreviatura de intercambio",TRUE())</f>
        <v>XNYS</v>
      </c>
      <c r="F34" s="11" t="str">
        <f t="array" aca="1" ref="F34" ca="1">_FV(A34,"Moneda")</f>
        <v>USD</v>
      </c>
      <c r="G34" s="12">
        <f t="array" aca="1" ref="G34" ca="1">_FV(A34,"Precio")</f>
        <v>285.14999999999998</v>
      </c>
      <c r="H34" s="13">
        <f t="array" aca="1" ref="H34" ca="1">_FV(A34,"Acciones en circulación",TRUE())/1000000</f>
        <v>192.85249999999999</v>
      </c>
      <c r="I34" s="14">
        <f t="shared" ca="1" si="25"/>
        <v>54991.890374999995</v>
      </c>
      <c r="J34" s="90">
        <v>0</v>
      </c>
      <c r="K34" s="90">
        <v>5</v>
      </c>
      <c r="L34" s="90">
        <v>2</v>
      </c>
      <c r="M34" s="90">
        <v>1</v>
      </c>
      <c r="N34" s="90">
        <v>0</v>
      </c>
      <c r="O34" s="90">
        <v>1</v>
      </c>
      <c r="P34" s="90">
        <v>0</v>
      </c>
      <c r="Q34" s="90">
        <v>0</v>
      </c>
      <c r="R34" s="15">
        <f t="shared" si="1"/>
        <v>8</v>
      </c>
      <c r="S34" s="16">
        <f t="shared" si="2"/>
        <v>5</v>
      </c>
      <c r="T34" s="90">
        <v>14</v>
      </c>
      <c r="U34" s="90">
        <v>13</v>
      </c>
      <c r="V34" s="90">
        <v>10</v>
      </c>
      <c r="W34" s="90">
        <v>8</v>
      </c>
      <c r="X34" s="90">
        <v>8</v>
      </c>
      <c r="Y34" s="90">
        <v>10</v>
      </c>
      <c r="Z34" s="90">
        <v>6</v>
      </c>
      <c r="AA34" s="90">
        <v>-7</v>
      </c>
      <c r="AB34" s="15">
        <f t="shared" si="3"/>
        <v>62</v>
      </c>
      <c r="AC34" s="16">
        <f t="shared" si="4"/>
        <v>6.2</v>
      </c>
      <c r="AD34" s="90">
        <v>12</v>
      </c>
      <c r="AE34" s="90">
        <v>-2</v>
      </c>
      <c r="AF34" s="90">
        <v>8</v>
      </c>
      <c r="AG34" s="90">
        <v>10</v>
      </c>
      <c r="AH34" s="90">
        <v>5</v>
      </c>
      <c r="AI34" s="90">
        <v>7</v>
      </c>
      <c r="AJ34" s="90">
        <v>10</v>
      </c>
      <c r="AK34" s="90">
        <v>-3</v>
      </c>
      <c r="AL34" s="15">
        <f t="shared" si="5"/>
        <v>47</v>
      </c>
      <c r="AM34" s="16">
        <f t="shared" si="6"/>
        <v>6.71</v>
      </c>
      <c r="AN34" s="17">
        <f t="shared" si="7"/>
        <v>6.16</v>
      </c>
      <c r="AO34" s="18" t="s">
        <v>78</v>
      </c>
      <c r="AP34" s="19">
        <v>2670</v>
      </c>
      <c r="AQ34" s="19">
        <v>227</v>
      </c>
      <c r="AR34" s="19">
        <f ca="1">I34-AP34+AQ34</f>
        <v>52548.890374999995</v>
      </c>
      <c r="AS34" s="103">
        <v>1427.3</v>
      </c>
      <c r="AT34" s="19">
        <v>1754</v>
      </c>
      <c r="AU34" s="19">
        <v>2310</v>
      </c>
      <c r="AV34" s="19">
        <v>7670</v>
      </c>
      <c r="AW34" s="20">
        <f t="shared" ca="1" si="9"/>
        <v>36.816990383941707</v>
      </c>
      <c r="AX34" s="20">
        <f t="shared" ca="1" si="10"/>
        <v>22.748437391774889</v>
      </c>
      <c r="AY34" s="20">
        <f t="shared" ca="1" si="11"/>
        <v>6.8512242992177308</v>
      </c>
      <c r="AZ34" s="21">
        <v>9341</v>
      </c>
      <c r="BA34" s="22">
        <f t="shared" si="12"/>
        <v>0.22868318122555412</v>
      </c>
      <c r="BB34" s="22">
        <f t="shared" si="13"/>
        <v>0.82111123006102127</v>
      </c>
      <c r="BC34" s="23">
        <f t="shared" si="14"/>
        <v>0.18777432823038218</v>
      </c>
      <c r="BD34" s="98">
        <v>1736.9</v>
      </c>
      <c r="BE34" s="23">
        <f t="shared" si="15"/>
        <v>4.0044471695635631E-2</v>
      </c>
      <c r="BF34">
        <v>2629.5</v>
      </c>
      <c r="BG34" s="23">
        <f t="shared" si="16"/>
        <v>0.12998214676760522</v>
      </c>
      <c r="BH34" s="24">
        <v>18</v>
      </c>
      <c r="BI34" s="24">
        <v>26</v>
      </c>
      <c r="BJ34" s="25">
        <f ca="1">(BD34*BH34+$AP34-$AQ34)/$H34</f>
        <v>174.78228179567284</v>
      </c>
      <c r="BK34" s="25">
        <f ca="1">(BF34*BI34+$AP34-$AQ34)/$H34</f>
        <v>367.17180228412906</v>
      </c>
      <c r="BL34" s="23">
        <f t="shared" ca="1" si="18"/>
        <v>-9.3255759321852483E-2</v>
      </c>
      <c r="BM34" s="23">
        <f t="shared" ca="1" si="19"/>
        <v>5.1863024937334634E-2</v>
      </c>
      <c r="BN34" s="95" t="s">
        <v>654</v>
      </c>
      <c r="BO34" s="93" t="s">
        <v>83</v>
      </c>
      <c r="BP34" s="93" t="s">
        <v>104</v>
      </c>
      <c r="BQ34" s="98">
        <v>172.5</v>
      </c>
      <c r="BR34" s="98">
        <v>185.8</v>
      </c>
      <c r="BS34" s="98">
        <v>1613.1</v>
      </c>
      <c r="BT34" t="s">
        <v>858</v>
      </c>
    </row>
    <row r="35" spans="1:72" ht="15" customHeight="1" x14ac:dyDescent="0.25">
      <c r="A35" s="86" t="e" vm="32">
        <v>#VALUE!</v>
      </c>
      <c r="B35" s="10" t="str">
        <f t="array" aca="1" ref="B35" ca="1">_FV(A35,"Símbolo bursátil",TRUE())</f>
        <v>KRX</v>
      </c>
      <c r="C35" s="88" t="s">
        <v>128</v>
      </c>
      <c r="D35" s="88" t="s">
        <v>77</v>
      </c>
      <c r="E35" s="11" t="s">
        <v>579</v>
      </c>
      <c r="F35" s="11" t="str">
        <f t="array" aca="1" ref="F35" ca="1">_FV(A35,"Moneda")</f>
        <v>EUR</v>
      </c>
      <c r="G35" s="12">
        <f t="array" aca="1" ref="G35" ca="1">_FV(A35,"Precio")</f>
        <v>95.65</v>
      </c>
      <c r="H35" s="13">
        <f t="array" aca="1" ref="H35" ca="1">_FV(A35,"Acciones en circulación",TRUE())/1000000</f>
        <v>182.9161</v>
      </c>
      <c r="I35" s="14">
        <f t="shared" ca="1" si="25"/>
        <v>17495.924965000002</v>
      </c>
      <c r="J35" s="91">
        <v>1</v>
      </c>
      <c r="K35" s="91">
        <v>5</v>
      </c>
      <c r="L35" s="91">
        <v>2</v>
      </c>
      <c r="M35" s="91">
        <v>0</v>
      </c>
      <c r="N35" s="91">
        <v>0</v>
      </c>
      <c r="O35" s="91">
        <v>0</v>
      </c>
      <c r="P35" s="91">
        <v>1</v>
      </c>
      <c r="Q35" s="91">
        <v>1</v>
      </c>
      <c r="R35" s="26">
        <f t="shared" si="1"/>
        <v>10</v>
      </c>
      <c r="S35" s="16">
        <f t="shared" si="2"/>
        <v>6.25</v>
      </c>
      <c r="T35" s="91">
        <v>12</v>
      </c>
      <c r="U35" s="91">
        <v>13</v>
      </c>
      <c r="V35" s="91">
        <v>14</v>
      </c>
      <c r="W35" s="91">
        <v>9</v>
      </c>
      <c r="X35" s="91">
        <v>7</v>
      </c>
      <c r="Y35" s="91">
        <v>9</v>
      </c>
      <c r="Z35" s="91">
        <v>8</v>
      </c>
      <c r="AA35" s="91">
        <v>-9</v>
      </c>
      <c r="AB35" s="26">
        <f t="shared" si="3"/>
        <v>63</v>
      </c>
      <c r="AC35" s="16">
        <f t="shared" si="4"/>
        <v>6.3</v>
      </c>
      <c r="AD35" s="91">
        <v>12</v>
      </c>
      <c r="AE35" s="91">
        <v>-2</v>
      </c>
      <c r="AF35" s="91">
        <v>4</v>
      </c>
      <c r="AG35" s="91">
        <v>11</v>
      </c>
      <c r="AH35" s="91">
        <v>2</v>
      </c>
      <c r="AI35" s="91">
        <v>8</v>
      </c>
      <c r="AJ35" s="91">
        <v>10</v>
      </c>
      <c r="AK35" s="91">
        <v>-5</v>
      </c>
      <c r="AL35" s="26">
        <f t="shared" si="5"/>
        <v>40</v>
      </c>
      <c r="AM35" s="16">
        <f t="shared" si="6"/>
        <v>5.71</v>
      </c>
      <c r="AN35" s="17">
        <f t="shared" si="7"/>
        <v>6.05</v>
      </c>
      <c r="AO35" s="18" t="s">
        <v>86</v>
      </c>
      <c r="AP35" s="19">
        <v>590</v>
      </c>
      <c r="AQ35" s="19">
        <v>2450</v>
      </c>
      <c r="AR35" s="19">
        <f ca="1">I35-AP35+AQ35</f>
        <v>19355.924965000002</v>
      </c>
      <c r="AS35" s="103">
        <v>433.5</v>
      </c>
      <c r="AT35" s="19">
        <v>780</v>
      </c>
      <c r="AU35" s="19">
        <v>1277</v>
      </c>
      <c r="AV35" s="19">
        <v>9561</v>
      </c>
      <c r="AW35" s="20">
        <f t="shared" ca="1" si="9"/>
        <v>44.650345940023072</v>
      </c>
      <c r="AX35" s="20">
        <f t="shared" ca="1" si="10"/>
        <v>15.157341397807363</v>
      </c>
      <c r="AY35" s="20">
        <f t="shared" ca="1" si="11"/>
        <v>2.0244665793327061</v>
      </c>
      <c r="AZ35" s="21">
        <v>6500</v>
      </c>
      <c r="BA35" s="22">
        <f t="shared" si="12"/>
        <v>8.1581424537182298E-2</v>
      </c>
      <c r="BB35" s="22">
        <f t="shared" si="13"/>
        <v>1.470923076923077</v>
      </c>
      <c r="BC35" s="23">
        <f t="shared" si="14"/>
        <v>0.12</v>
      </c>
      <c r="BD35" s="98">
        <v>527.6</v>
      </c>
      <c r="BE35" s="23">
        <f t="shared" si="15"/>
        <v>4.0071358690075609E-2</v>
      </c>
      <c r="BF35">
        <v>872.1</v>
      </c>
      <c r="BG35" s="23">
        <f t="shared" si="16"/>
        <v>0.15004659621538408</v>
      </c>
      <c r="BH35" s="24">
        <v>14</v>
      </c>
      <c r="BI35" s="24">
        <v>22</v>
      </c>
      <c r="BJ35" s="25">
        <f ca="1">(BD35*BH35+$AP35-$AQ35)/$H35</f>
        <v>30.2127587456763</v>
      </c>
      <c r="BK35" s="25">
        <f ca="1">(BF35*BI35+$AP35-$AQ35)/$H35</f>
        <v>94.722115767830175</v>
      </c>
      <c r="BL35" s="23">
        <f t="shared" ca="1" si="18"/>
        <v>-0.20585266709995231</v>
      </c>
      <c r="BM35" s="23">
        <f t="shared" ca="1" si="19"/>
        <v>-1.9477382759908179E-3</v>
      </c>
      <c r="BN35" s="95" t="s">
        <v>812</v>
      </c>
      <c r="BO35" s="95" t="s">
        <v>100</v>
      </c>
      <c r="BP35" s="95" t="s">
        <v>657</v>
      </c>
      <c r="BQ35" s="98">
        <v>21</v>
      </c>
      <c r="BR35" s="98">
        <v>50.5</v>
      </c>
      <c r="BS35" s="98">
        <v>484</v>
      </c>
      <c r="BT35" t="s">
        <v>859</v>
      </c>
    </row>
    <row r="36" spans="1:72" ht="15" customHeight="1" x14ac:dyDescent="0.25">
      <c r="A36" s="86" t="e" vm="33">
        <v>#VALUE!</v>
      </c>
      <c r="B36" s="10" t="str">
        <f t="array" aca="1" ref="B36" ca="1">_FV(A36,"Símbolo bursátil",TRUE())</f>
        <v>KSPI</v>
      </c>
      <c r="C36" s="88" t="s">
        <v>85</v>
      </c>
      <c r="D36" s="88" t="s">
        <v>97</v>
      </c>
      <c r="E36" s="11" t="str">
        <f t="array" aca="1" ref="E36" ca="1">_FV(A36,"Abreviatura de intercambio",TRUE())</f>
        <v>XNAS</v>
      </c>
      <c r="F36" s="11" t="str">
        <f t="array" aca="1" ref="F36" ca="1">_FV(A36,"Moneda")</f>
        <v>USD</v>
      </c>
      <c r="G36" s="12">
        <f t="array" aca="1" ref="G36" ca="1">_FV(A36,"Precio")</f>
        <v>92.125</v>
      </c>
      <c r="H36" s="13">
        <f t="array" aca="1" ref="H36" ca="1">_FV(A36,"Acciones en circulación",TRUE())/1000000</f>
        <v>189.33349999999999</v>
      </c>
      <c r="I36" s="14">
        <f t="shared" ca="1" si="25"/>
        <v>17442.348687499998</v>
      </c>
      <c r="J36" s="90">
        <v>1</v>
      </c>
      <c r="K36" s="90">
        <v>6</v>
      </c>
      <c r="L36" s="90">
        <v>2</v>
      </c>
      <c r="M36" s="90">
        <v>1</v>
      </c>
      <c r="N36" s="90">
        <v>-2</v>
      </c>
      <c r="O36" s="90">
        <v>0</v>
      </c>
      <c r="P36" s="90">
        <v>1</v>
      </c>
      <c r="Q36" s="90">
        <v>1</v>
      </c>
      <c r="R36" s="15">
        <f t="shared" ref="R36:R67" si="28">SUM(J36:N36)+SUM(P36:Q36)</f>
        <v>10</v>
      </c>
      <c r="S36" s="16">
        <f t="shared" ref="S36:S67" si="29">ROUND(R36/16*10,2)</f>
        <v>6.25</v>
      </c>
      <c r="T36" s="90">
        <v>15</v>
      </c>
      <c r="U36" s="90">
        <v>16</v>
      </c>
      <c r="V36" s="90">
        <v>10</v>
      </c>
      <c r="W36" s="90">
        <v>7</v>
      </c>
      <c r="X36" s="90">
        <v>8</v>
      </c>
      <c r="Y36" s="90">
        <v>11</v>
      </c>
      <c r="Z36" s="90">
        <v>10</v>
      </c>
      <c r="AA36" s="90">
        <v>-16</v>
      </c>
      <c r="AB36" s="15">
        <f t="shared" ref="AB36:AB66" si="30">SUM(T36:AA36)</f>
        <v>61</v>
      </c>
      <c r="AC36" s="16">
        <f t="shared" ref="AC36:AC66" si="31">ROUND(AB36/10,2)</f>
        <v>6.1</v>
      </c>
      <c r="AD36" s="90">
        <v>10</v>
      </c>
      <c r="AE36" s="90">
        <v>-6</v>
      </c>
      <c r="AF36" s="90">
        <v>8</v>
      </c>
      <c r="AG36" s="90">
        <v>11</v>
      </c>
      <c r="AH36" s="90">
        <v>3</v>
      </c>
      <c r="AI36" s="90">
        <v>9</v>
      </c>
      <c r="AJ36" s="90">
        <v>11</v>
      </c>
      <c r="AK36" s="90">
        <v>-9</v>
      </c>
      <c r="AL36" s="15">
        <f t="shared" ref="AL36:AL66" si="32">SUM(AD36:AK36)</f>
        <v>37</v>
      </c>
      <c r="AM36" s="16">
        <f t="shared" ref="AM36:AM66" si="33">ROUND(AL36/70*10,2)</f>
        <v>5.29</v>
      </c>
      <c r="AN36" s="17">
        <f t="shared" ref="AN36:AN67" si="34">ROUND(S36*0.2+AC36*0.4+AM36*0.4,2)</f>
        <v>5.81</v>
      </c>
      <c r="AO36" s="18" t="s">
        <v>129</v>
      </c>
      <c r="AP36" s="19">
        <v>900000</v>
      </c>
      <c r="AQ36" s="19">
        <v>100000</v>
      </c>
      <c r="AR36" s="19">
        <f ca="1">I36*'Framework Notes'!E6-AP36+AQ36</f>
        <v>7082022.948394374</v>
      </c>
      <c r="AS36" s="103">
        <v>1054825</v>
      </c>
      <c r="AT36" s="19">
        <v>1065825</v>
      </c>
      <c r="AU36" s="19">
        <v>1606052</v>
      </c>
      <c r="AV36" s="19">
        <v>4449504</v>
      </c>
      <c r="AW36" s="20">
        <f t="shared" ref="AW36:AW66" ca="1" si="35">AR36/AS36</f>
        <v>6.7139316459074951</v>
      </c>
      <c r="AX36" s="20">
        <f t="shared" ref="AX36:AX66" ca="1" si="36">AR36/AU36</f>
        <v>4.4095850871543227</v>
      </c>
      <c r="AY36" s="20">
        <f t="shared" ref="AY36:AY66" ca="1" si="37">AR36/AV36</f>
        <v>1.5916432367280429</v>
      </c>
      <c r="AZ36" s="21">
        <v>2601577</v>
      </c>
      <c r="BA36" s="22">
        <f t="shared" ref="BA36:BA66" si="38">AT36/AV36</f>
        <v>0.23953793501477919</v>
      </c>
      <c r="BB36" s="22">
        <f t="shared" ref="BB36:BB66" si="39">AV36/AZ36</f>
        <v>1.7103103233154353</v>
      </c>
      <c r="BC36" s="23">
        <f t="shared" ref="BC36:BC67" si="40">BA36*BB36</f>
        <v>0.40968420308143871</v>
      </c>
      <c r="BD36" s="98">
        <v>795760.2</v>
      </c>
      <c r="BE36" s="23">
        <f t="shared" ref="BE36:BE67" si="41">(BD36/AS36)^(1/5)-1</f>
        <v>-5.480729745473234E-2</v>
      </c>
      <c r="BF36">
        <v>2772489.4</v>
      </c>
      <c r="BG36" s="23">
        <f t="shared" ref="BG36:BG67" si="42">(BF36/AS36)^(1/5)-1</f>
        <v>0.21321534863428648</v>
      </c>
      <c r="BH36" s="24">
        <v>8</v>
      </c>
      <c r="BI36" s="24">
        <v>15</v>
      </c>
      <c r="BJ36" s="25">
        <f ca="1">((BD36*BH36+$AP36-$AQ36)/$H36)/'Framework Notes'!E6</f>
        <v>83.757085169928686</v>
      </c>
      <c r="BK36" s="25">
        <f ca="1">((BF36*BI36+$AP36-$AQ36)/$H36)/'Framework Notes'!E6</f>
        <v>495.42278869163454</v>
      </c>
      <c r="BL36" s="23">
        <f t="shared" ref="BL36:BL71" ca="1" si="43">IF($BJ36&lt;=0,-0.99,MAX(-0.99,($BJ36/G36)^(1/5)-1))</f>
        <v>-1.8864904498113177E-2</v>
      </c>
      <c r="BM36" s="23">
        <f t="shared" ref="BM36:BM71" ca="1" si="44">IF(BK36&lt;=0,-0.99,MAX(-0.99,(BK36/G36)^(1/5)-1))</f>
        <v>0.3999731154898456</v>
      </c>
      <c r="BN36" s="96" t="s">
        <v>880</v>
      </c>
      <c r="BO36" t="s">
        <v>130</v>
      </c>
      <c r="BP36" s="96" t="s">
        <v>658</v>
      </c>
      <c r="BQ36" s="98">
        <v>11000</v>
      </c>
      <c r="BR36" s="98">
        <v>0</v>
      </c>
      <c r="BS36" s="98">
        <v>941971</v>
      </c>
      <c r="BT36" s="96" t="s">
        <v>903</v>
      </c>
    </row>
    <row r="37" spans="1:72" ht="15" customHeight="1" x14ac:dyDescent="0.25">
      <c r="A37" s="86" t="e" vm="34">
        <v>#VALUE!</v>
      </c>
      <c r="B37" s="10" t="str">
        <f t="array" aca="1" ref="B37" ca="1">_FV(A37,"Símbolo bursátil",TRUE())</f>
        <v>CBAV</v>
      </c>
      <c r="C37" s="88" t="s">
        <v>107</v>
      </c>
      <c r="D37" s="88" t="s">
        <v>77</v>
      </c>
      <c r="E37" s="11" t="str">
        <f t="array" aca="1" ref="E37" ca="1">_FV(A37,"Abreviatura de intercambio",TRUE())</f>
        <v>BMEX</v>
      </c>
      <c r="F37" s="11" t="str">
        <f t="array" aca="1" ref="F37" ca="1">_FV(A37,"Moneda")</f>
        <v>EUR</v>
      </c>
      <c r="G37" s="12">
        <f t="array" aca="1" ref="G37" ca="1">_FV(A37,"Precio")</f>
        <v>54.2</v>
      </c>
      <c r="H37" s="13">
        <f t="array" aca="1" ref="H37" ca="1">_FV(A37,"Acciones en circulación",TRUE())/1000000</f>
        <v>16.307580000000002</v>
      </c>
      <c r="I37" s="14">
        <f t="shared" ca="1" si="25"/>
        <v>883.87083600000017</v>
      </c>
      <c r="J37" s="91">
        <v>2</v>
      </c>
      <c r="K37" s="91">
        <v>5</v>
      </c>
      <c r="L37" s="91">
        <v>2</v>
      </c>
      <c r="M37" s="91">
        <v>0</v>
      </c>
      <c r="N37" s="91">
        <v>-1</v>
      </c>
      <c r="O37" s="91">
        <v>0</v>
      </c>
      <c r="P37" s="91">
        <v>0</v>
      </c>
      <c r="Q37" s="91">
        <v>1</v>
      </c>
      <c r="R37" s="26">
        <f t="shared" si="28"/>
        <v>9</v>
      </c>
      <c r="S37" s="16">
        <f t="shared" si="29"/>
        <v>5.63</v>
      </c>
      <c r="T37" s="91">
        <v>12</v>
      </c>
      <c r="U37" s="91">
        <v>12</v>
      </c>
      <c r="V37" s="91">
        <v>12</v>
      </c>
      <c r="W37" s="91">
        <v>8</v>
      </c>
      <c r="X37" s="91">
        <v>8</v>
      </c>
      <c r="Y37" s="91">
        <v>10</v>
      </c>
      <c r="Z37" s="91">
        <v>8</v>
      </c>
      <c r="AA37" s="91">
        <v>-9</v>
      </c>
      <c r="AB37" s="26">
        <f t="shared" si="30"/>
        <v>61</v>
      </c>
      <c r="AC37" s="16">
        <f t="shared" si="31"/>
        <v>6.1</v>
      </c>
      <c r="AD37" s="91">
        <v>12</v>
      </c>
      <c r="AE37" s="91">
        <v>-2</v>
      </c>
      <c r="AF37" s="91">
        <v>6</v>
      </c>
      <c r="AG37" s="91">
        <v>11</v>
      </c>
      <c r="AH37" s="91">
        <v>3</v>
      </c>
      <c r="AI37" s="91">
        <v>7</v>
      </c>
      <c r="AJ37" s="91">
        <v>10</v>
      </c>
      <c r="AK37" s="91">
        <v>-4</v>
      </c>
      <c r="AL37" s="26">
        <f t="shared" si="32"/>
        <v>43</v>
      </c>
      <c r="AM37" s="16">
        <f t="shared" si="33"/>
        <v>6.14</v>
      </c>
      <c r="AN37" s="17">
        <f t="shared" si="34"/>
        <v>6.02</v>
      </c>
      <c r="AO37" s="18" t="s">
        <v>86</v>
      </c>
      <c r="AP37" s="19">
        <v>51.6</v>
      </c>
      <c r="AQ37" s="19">
        <v>70</v>
      </c>
      <c r="AR37" s="19">
        <f ca="1">I37-AP37+AQ37</f>
        <v>902.27083600000014</v>
      </c>
      <c r="AS37" s="103">
        <v>46.3</v>
      </c>
      <c r="AT37" s="19">
        <v>50</v>
      </c>
      <c r="AU37" s="19">
        <v>95</v>
      </c>
      <c r="AV37" s="19">
        <v>320</v>
      </c>
      <c r="AW37" s="20">
        <f t="shared" ca="1" si="35"/>
        <v>19.487491058315339</v>
      </c>
      <c r="AX37" s="20">
        <f t="shared" ca="1" si="36"/>
        <v>9.4975877473684225</v>
      </c>
      <c r="AY37" s="20">
        <f t="shared" ca="1" si="37"/>
        <v>2.8195963625000005</v>
      </c>
      <c r="AZ37" s="21">
        <v>220</v>
      </c>
      <c r="BA37" s="22">
        <f t="shared" si="38"/>
        <v>0.15625</v>
      </c>
      <c r="BB37" s="22">
        <f t="shared" si="39"/>
        <v>1.4545454545454546</v>
      </c>
      <c r="BC37" s="23">
        <f t="shared" si="40"/>
        <v>0.22727272727272729</v>
      </c>
      <c r="BD37" s="98">
        <v>61.7</v>
      </c>
      <c r="BE37" s="23">
        <f t="shared" si="41"/>
        <v>5.9109429311313244E-2</v>
      </c>
      <c r="BF37">
        <v>101.4</v>
      </c>
      <c r="BG37" s="23">
        <f t="shared" si="42"/>
        <v>0.16974552600582848</v>
      </c>
      <c r="BH37" s="24">
        <v>12</v>
      </c>
      <c r="BI37" s="24">
        <v>16.5</v>
      </c>
      <c r="BJ37" s="25">
        <f ca="1">(BD37*BH37+$AP37-$AQ37)/$H37</f>
        <v>44.273889810750589</v>
      </c>
      <c r="BK37" s="25">
        <f ca="1">(BF37*BI37+$AP37-$AQ37)/$H37</f>
        <v>101.46815162028945</v>
      </c>
      <c r="BL37" s="23">
        <f t="shared" ca="1" si="43"/>
        <v>-3.9649694952591852E-2</v>
      </c>
      <c r="BM37" s="23">
        <f t="shared" ca="1" si="44"/>
        <v>0.13361632774068677</v>
      </c>
      <c r="BN37" s="95" t="s">
        <v>654</v>
      </c>
      <c r="BO37" s="100" t="s">
        <v>83</v>
      </c>
      <c r="BP37" s="95" t="s">
        <v>656</v>
      </c>
      <c r="BQ37" s="98">
        <v>0</v>
      </c>
      <c r="BR37" s="98">
        <v>4.8</v>
      </c>
      <c r="BS37" s="98">
        <v>51.1</v>
      </c>
      <c r="BT37" t="s">
        <v>860</v>
      </c>
    </row>
    <row r="38" spans="1:72" ht="15" customHeight="1" x14ac:dyDescent="0.25">
      <c r="A38" s="86" t="e" vm="35">
        <v>#VALUE!</v>
      </c>
      <c r="B38" s="10" t="str">
        <f t="array" aca="1" ref="B38" ca="1">_FV(A38,"Símbolo bursátil",TRUE())</f>
        <v>NVDA</v>
      </c>
      <c r="C38" s="88" t="s">
        <v>131</v>
      </c>
      <c r="D38" s="88" t="s">
        <v>97</v>
      </c>
      <c r="E38" s="11" t="str">
        <f t="array" aca="1" ref="E38" ca="1">_FV(A38,"Abreviatura de intercambio",TRUE())</f>
        <v>XNAS</v>
      </c>
      <c r="F38" s="11" t="str">
        <f t="array" aca="1" ref="F38" ca="1">_FV(A38,"Moneda")</f>
        <v>USD</v>
      </c>
      <c r="G38" s="12">
        <f t="array" aca="1" ref="G38" ca="1">_FV(A38,"Precio")</f>
        <v>217.3</v>
      </c>
      <c r="H38" s="13">
        <f t="array" aca="1" ref="H38" ca="1">_FV(A38,"Acciones en circulación",TRUE())/1000000</f>
        <v>24100</v>
      </c>
      <c r="I38" s="14">
        <f t="shared" ca="1" si="25"/>
        <v>5236930</v>
      </c>
      <c r="J38" s="90">
        <v>1</v>
      </c>
      <c r="K38" s="90">
        <v>7</v>
      </c>
      <c r="L38" s="90">
        <v>2</v>
      </c>
      <c r="M38" s="90">
        <v>1</v>
      </c>
      <c r="N38" s="90">
        <v>-2</v>
      </c>
      <c r="O38" s="90">
        <v>0</v>
      </c>
      <c r="P38" s="90">
        <v>1</v>
      </c>
      <c r="Q38" s="90">
        <v>0</v>
      </c>
      <c r="R38" s="15">
        <f t="shared" si="28"/>
        <v>10</v>
      </c>
      <c r="S38" s="16">
        <f t="shared" si="29"/>
        <v>6.25</v>
      </c>
      <c r="T38" s="90">
        <v>17</v>
      </c>
      <c r="U38" s="90">
        <v>17</v>
      </c>
      <c r="V38" s="90">
        <v>15</v>
      </c>
      <c r="W38" s="90">
        <v>6</v>
      </c>
      <c r="X38" s="90">
        <v>6</v>
      </c>
      <c r="Y38" s="90">
        <v>12</v>
      </c>
      <c r="Z38" s="90">
        <v>5</v>
      </c>
      <c r="AA38" s="90">
        <v>-20</v>
      </c>
      <c r="AB38" s="15">
        <f t="shared" si="30"/>
        <v>58</v>
      </c>
      <c r="AC38" s="16">
        <f t="shared" si="31"/>
        <v>5.8</v>
      </c>
      <c r="AD38" s="90">
        <v>11</v>
      </c>
      <c r="AE38" s="90">
        <v>-5</v>
      </c>
      <c r="AF38" s="90">
        <v>6</v>
      </c>
      <c r="AG38" s="90">
        <v>11</v>
      </c>
      <c r="AH38" s="90">
        <v>4</v>
      </c>
      <c r="AI38" s="90">
        <v>8</v>
      </c>
      <c r="AJ38" s="90">
        <v>12</v>
      </c>
      <c r="AK38" s="90">
        <v>-8</v>
      </c>
      <c r="AL38" s="15">
        <f t="shared" si="32"/>
        <v>39</v>
      </c>
      <c r="AM38" s="16">
        <f t="shared" si="33"/>
        <v>5.57</v>
      </c>
      <c r="AN38" s="17">
        <f t="shared" si="34"/>
        <v>5.8</v>
      </c>
      <c r="AO38" s="18" t="s">
        <v>78</v>
      </c>
      <c r="AP38" s="19">
        <v>56586</v>
      </c>
      <c r="AQ38" s="19">
        <v>33366</v>
      </c>
      <c r="AR38" s="19">
        <f ca="1">I38-AP38+AQ38</f>
        <v>5213710</v>
      </c>
      <c r="AS38" s="103">
        <v>119765</v>
      </c>
      <c r="AT38" s="19">
        <v>165966</v>
      </c>
      <c r="AU38" s="19">
        <v>201266</v>
      </c>
      <c r="AV38" s="19">
        <v>302970</v>
      </c>
      <c r="AW38" s="20">
        <f t="shared" ca="1" si="35"/>
        <v>43.532835135473633</v>
      </c>
      <c r="AX38" s="20">
        <f t="shared" ca="1" si="36"/>
        <v>25.904574046287003</v>
      </c>
      <c r="AY38" s="20">
        <f t="shared" ca="1" si="37"/>
        <v>17.208667524837441</v>
      </c>
      <c r="AZ38" s="21">
        <v>215590</v>
      </c>
      <c r="BA38" s="22">
        <f t="shared" si="38"/>
        <v>0.54779681156550153</v>
      </c>
      <c r="BB38" s="22">
        <f t="shared" si="39"/>
        <v>1.4053063685699707</v>
      </c>
      <c r="BC38" s="23">
        <f t="shared" si="40"/>
        <v>0.76982234797532345</v>
      </c>
      <c r="BD38" s="98">
        <v>179795</v>
      </c>
      <c r="BE38" s="23">
        <f t="shared" si="41"/>
        <v>8.4649794357541941E-2</v>
      </c>
      <c r="BF38">
        <v>279941.5</v>
      </c>
      <c r="BG38" s="23">
        <f t="shared" si="42"/>
        <v>0.18507946649557505</v>
      </c>
      <c r="BH38" s="24">
        <v>20</v>
      </c>
      <c r="BI38" s="24">
        <v>30</v>
      </c>
      <c r="BJ38" s="25">
        <f ca="1">(BD38*BH38+$AP38-$AQ38)/$H38</f>
        <v>150.17095435684647</v>
      </c>
      <c r="BK38" s="25">
        <f ca="1">(BF38*BI38+$AP38-$AQ38)/$H38</f>
        <v>349.43838174273861</v>
      </c>
      <c r="BL38" s="23">
        <f t="shared" ca="1" si="43"/>
        <v>-7.1236278855066226E-2</v>
      </c>
      <c r="BM38" s="23">
        <f t="shared" ca="1" si="44"/>
        <v>9.966948994347824E-2</v>
      </c>
      <c r="BN38" s="96" t="s">
        <v>880</v>
      </c>
      <c r="BO38" s="96" t="s">
        <v>80</v>
      </c>
      <c r="BP38" s="96" t="s">
        <v>111</v>
      </c>
      <c r="BQ38" s="98">
        <v>7241</v>
      </c>
      <c r="BR38" s="98">
        <v>3667</v>
      </c>
      <c r="BS38" s="98">
        <v>123432</v>
      </c>
      <c r="BT38" s="96" t="s">
        <v>888</v>
      </c>
    </row>
    <row r="39" spans="1:72" ht="15" customHeight="1" x14ac:dyDescent="0.25">
      <c r="A39" s="86" t="e" vm="36">
        <v>#VALUE!</v>
      </c>
      <c r="B39" s="10" t="str">
        <f t="array" aca="1" ref="B39" ca="1">_FV(A39,"Símbolo bursátil",TRUE())</f>
        <v>COR</v>
      </c>
      <c r="C39" s="88" t="s">
        <v>132</v>
      </c>
      <c r="D39" s="88" t="s">
        <v>89</v>
      </c>
      <c r="E39" s="11" t="str">
        <f t="array" aca="1" ref="E39" ca="1">_FV(A39,"Abreviatura de intercambio",TRUE())</f>
        <v>XLIS</v>
      </c>
      <c r="F39" s="11" t="str">
        <f t="array" aca="1" ref="F39" ca="1">_FV(A39,"Moneda")</f>
        <v>EUR</v>
      </c>
      <c r="G39" s="12">
        <f t="array" aca="1" ref="G39" ca="1">_FV(A39,"Precio")</f>
        <v>6.85</v>
      </c>
      <c r="H39" s="13">
        <f t="array" aca="1" ref="H39" ca="1">_FV(A39,"Acciones en circulación",TRUE())/1000000</f>
        <v>133</v>
      </c>
      <c r="I39" s="14">
        <f t="shared" ca="1" si="25"/>
        <v>911.05</v>
      </c>
      <c r="J39" s="91">
        <v>1</v>
      </c>
      <c r="K39" s="91">
        <v>6</v>
      </c>
      <c r="L39" s="91">
        <v>1</v>
      </c>
      <c r="M39" s="91">
        <v>0</v>
      </c>
      <c r="N39" s="91">
        <v>-1</v>
      </c>
      <c r="O39" s="91">
        <v>0</v>
      </c>
      <c r="P39" s="91">
        <v>0</v>
      </c>
      <c r="Q39" s="91">
        <v>1</v>
      </c>
      <c r="R39" s="26">
        <f t="shared" si="28"/>
        <v>8</v>
      </c>
      <c r="S39" s="16">
        <f t="shared" si="29"/>
        <v>5</v>
      </c>
      <c r="T39" s="91">
        <v>11</v>
      </c>
      <c r="U39" s="91">
        <v>14</v>
      </c>
      <c r="V39" s="91">
        <v>8</v>
      </c>
      <c r="W39" s="91">
        <v>8</v>
      </c>
      <c r="X39" s="91">
        <v>7</v>
      </c>
      <c r="Y39" s="91">
        <v>10</v>
      </c>
      <c r="Z39" s="91">
        <v>9</v>
      </c>
      <c r="AA39" s="91">
        <v>-9</v>
      </c>
      <c r="AB39" s="26">
        <f t="shared" si="30"/>
        <v>58</v>
      </c>
      <c r="AC39" s="16">
        <f t="shared" si="31"/>
        <v>5.8</v>
      </c>
      <c r="AD39" s="91">
        <v>12</v>
      </c>
      <c r="AE39" s="91">
        <v>-2</v>
      </c>
      <c r="AF39" s="91">
        <v>5</v>
      </c>
      <c r="AG39" s="91">
        <v>9</v>
      </c>
      <c r="AH39" s="91">
        <v>2</v>
      </c>
      <c r="AI39" s="91">
        <v>8</v>
      </c>
      <c r="AJ39" s="91">
        <v>12</v>
      </c>
      <c r="AK39" s="91">
        <v>-4</v>
      </c>
      <c r="AL39" s="26">
        <f t="shared" si="32"/>
        <v>42</v>
      </c>
      <c r="AM39" s="16">
        <f t="shared" si="33"/>
        <v>6</v>
      </c>
      <c r="AN39" s="17">
        <f t="shared" si="34"/>
        <v>5.72</v>
      </c>
      <c r="AO39" s="18" t="s">
        <v>86</v>
      </c>
      <c r="AP39" s="19">
        <v>40</v>
      </c>
      <c r="AQ39" s="19">
        <v>140</v>
      </c>
      <c r="AR39" s="19">
        <f ca="1">I39-AP39+AQ39</f>
        <v>1011.05</v>
      </c>
      <c r="AS39" s="103">
        <v>175.3</v>
      </c>
      <c r="AT39" s="19">
        <v>100</v>
      </c>
      <c r="AU39" s="19">
        <v>170</v>
      </c>
      <c r="AV39" s="19">
        <v>900</v>
      </c>
      <c r="AW39" s="20">
        <f t="shared" ca="1" si="35"/>
        <v>5.7675413576725605</v>
      </c>
      <c r="AX39" s="20">
        <f t="shared" ca="1" si="36"/>
        <v>5.9473529411764705</v>
      </c>
      <c r="AY39" s="20">
        <f t="shared" ca="1" si="37"/>
        <v>1.1233888888888888</v>
      </c>
      <c r="AZ39" s="21">
        <v>750</v>
      </c>
      <c r="BA39" s="22">
        <f t="shared" si="38"/>
        <v>0.1111111111111111</v>
      </c>
      <c r="BB39" s="22">
        <f t="shared" si="39"/>
        <v>1.2</v>
      </c>
      <c r="BC39" s="23">
        <f t="shared" si="40"/>
        <v>0.13333333333333333</v>
      </c>
      <c r="BD39" s="98">
        <v>175.3</v>
      </c>
      <c r="BE39" s="23">
        <f t="shared" si="41"/>
        <v>0</v>
      </c>
      <c r="BF39">
        <v>269.5</v>
      </c>
      <c r="BG39" s="23">
        <f t="shared" si="42"/>
        <v>8.9821498170825631E-2</v>
      </c>
      <c r="BH39" s="24">
        <v>8.5</v>
      </c>
      <c r="BI39" s="24">
        <v>12</v>
      </c>
      <c r="BJ39" s="25">
        <f ca="1">(BD39*BH39+$AP39-$AQ39)/$H39</f>
        <v>10.451503759398497</v>
      </c>
      <c r="BK39" s="25">
        <f ca="1">(BF39*BI39+$AP39-$AQ39)/$H39</f>
        <v>23.563909774436091</v>
      </c>
      <c r="BL39" s="23">
        <f t="shared" ca="1" si="43"/>
        <v>8.8172238382131285E-2</v>
      </c>
      <c r="BM39" s="23">
        <f t="shared" ca="1" si="44"/>
        <v>0.28029885158936407</v>
      </c>
      <c r="BN39" s="93" t="s">
        <v>119</v>
      </c>
      <c r="BO39" s="94" t="s">
        <v>83</v>
      </c>
      <c r="BP39" s="93" t="s">
        <v>133</v>
      </c>
      <c r="BQ39" s="98">
        <v>0</v>
      </c>
      <c r="BR39" s="98">
        <v>0</v>
      </c>
      <c r="BS39" s="98">
        <v>175.3</v>
      </c>
      <c r="BT39" t="s">
        <v>860</v>
      </c>
    </row>
    <row r="40" spans="1:72" ht="15" customHeight="1" x14ac:dyDescent="0.25">
      <c r="A40" s="86" t="e" vm="37">
        <v>#VALUE!</v>
      </c>
      <c r="B40" s="10" t="str">
        <f t="array" aca="1" ref="B40" ca="1">_FV(A40,"Símbolo bursátil",TRUE())</f>
        <v>TSM</v>
      </c>
      <c r="C40" s="88" t="s">
        <v>131</v>
      </c>
      <c r="D40" s="88" t="s">
        <v>77</v>
      </c>
      <c r="E40" s="11" t="str">
        <f t="array" aca="1" ref="E40" ca="1">_FV(A40,"Abreviatura de intercambio",TRUE())</f>
        <v>XNYS</v>
      </c>
      <c r="F40" s="11" t="str">
        <f t="array" aca="1" ref="F40" ca="1">_FV(A40,"Moneda")</f>
        <v>USD</v>
      </c>
      <c r="G40" s="12">
        <f t="array" aca="1" ref="G40" ca="1">_FV(A40,"Precio")</f>
        <v>421.685</v>
      </c>
      <c r="H40" s="13">
        <f t="array" aca="1" ref="H40" ca="1">_FV(A40,"Acciones en circulación",TRUE())/1000000</f>
        <v>5186.4740000000002</v>
      </c>
      <c r="I40" s="14">
        <f t="shared" ca="1" si="25"/>
        <v>2187058.2886900003</v>
      </c>
      <c r="J40" s="90">
        <v>2</v>
      </c>
      <c r="K40" s="90">
        <v>7</v>
      </c>
      <c r="L40" s="90">
        <v>1</v>
      </c>
      <c r="M40" s="90">
        <v>1</v>
      </c>
      <c r="N40" s="90">
        <v>-2</v>
      </c>
      <c r="O40" s="90">
        <v>0</v>
      </c>
      <c r="P40" s="90">
        <v>1</v>
      </c>
      <c r="Q40" s="90">
        <v>0</v>
      </c>
      <c r="R40" s="15">
        <f t="shared" si="28"/>
        <v>10</v>
      </c>
      <c r="S40" s="16">
        <f t="shared" si="29"/>
        <v>6.25</v>
      </c>
      <c r="T40" s="90">
        <v>15</v>
      </c>
      <c r="U40" s="90">
        <v>18</v>
      </c>
      <c r="V40" s="90">
        <v>13</v>
      </c>
      <c r="W40" s="90">
        <v>6</v>
      </c>
      <c r="X40" s="90">
        <v>7</v>
      </c>
      <c r="Y40" s="90">
        <v>12</v>
      </c>
      <c r="Z40" s="90">
        <v>6</v>
      </c>
      <c r="AA40" s="90">
        <v>-18</v>
      </c>
      <c r="AB40" s="15">
        <f t="shared" si="30"/>
        <v>59</v>
      </c>
      <c r="AC40" s="16">
        <f t="shared" si="31"/>
        <v>5.9</v>
      </c>
      <c r="AD40" s="90">
        <v>11</v>
      </c>
      <c r="AE40" s="90">
        <v>-8</v>
      </c>
      <c r="AF40" s="90">
        <v>2</v>
      </c>
      <c r="AG40" s="90">
        <v>11</v>
      </c>
      <c r="AH40" s="90">
        <v>4</v>
      </c>
      <c r="AI40" s="90">
        <v>7</v>
      </c>
      <c r="AJ40" s="90">
        <v>13</v>
      </c>
      <c r="AK40" s="90">
        <v>-10</v>
      </c>
      <c r="AL40" s="15">
        <f t="shared" si="32"/>
        <v>30</v>
      </c>
      <c r="AM40" s="16">
        <f t="shared" si="33"/>
        <v>4.29</v>
      </c>
      <c r="AN40" s="17">
        <f t="shared" si="34"/>
        <v>5.33</v>
      </c>
      <c r="AO40" s="18" t="s">
        <v>78</v>
      </c>
      <c r="AP40" s="19">
        <v>111330</v>
      </c>
      <c r="AQ40" s="19">
        <v>32648</v>
      </c>
      <c r="AR40" s="19">
        <f ca="1">I40-AP40+AQ40</f>
        <v>2108376.2886900003</v>
      </c>
      <c r="AS40" s="103">
        <v>35739</v>
      </c>
      <c r="AT40" s="19">
        <v>66093</v>
      </c>
      <c r="AU40" s="19">
        <v>100634</v>
      </c>
      <c r="AV40" s="19">
        <v>140522</v>
      </c>
      <c r="AW40" s="20">
        <f t="shared" ca="1" si="35"/>
        <v>58.993712434315462</v>
      </c>
      <c r="AX40" s="20">
        <f t="shared" ca="1" si="36"/>
        <v>20.950933965558363</v>
      </c>
      <c r="AY40" s="20">
        <f t="shared" ca="1" si="37"/>
        <v>15.003887567000188</v>
      </c>
      <c r="AZ40" s="21">
        <v>244100</v>
      </c>
      <c r="BA40" s="22">
        <f t="shared" si="38"/>
        <v>0.47033916397432429</v>
      </c>
      <c r="BB40" s="22">
        <f t="shared" si="39"/>
        <v>0.57567390413764852</v>
      </c>
      <c r="BC40" s="23">
        <f t="shared" si="40"/>
        <v>0.27076198279393693</v>
      </c>
      <c r="BD40" s="98">
        <v>87064.2</v>
      </c>
      <c r="BE40" s="23">
        <f t="shared" si="41"/>
        <v>0.19492168732081039</v>
      </c>
      <c r="BF40">
        <v>124455.7</v>
      </c>
      <c r="BG40" s="23">
        <f t="shared" si="42"/>
        <v>0.28343677459168459</v>
      </c>
      <c r="BH40" s="24">
        <v>14</v>
      </c>
      <c r="BI40" s="24">
        <v>22</v>
      </c>
      <c r="BJ40" s="25">
        <f ca="1">(BD40*BH40+$AP40-$AQ40)/$H40</f>
        <v>250.18554031120181</v>
      </c>
      <c r="BK40" s="25">
        <f ca="1">(BF40*BI40+$AP40-$AQ40)/$H40</f>
        <v>543.08715323744025</v>
      </c>
      <c r="BL40" s="23">
        <f t="shared" ca="1" si="43"/>
        <v>-9.9145171677084032E-2</v>
      </c>
      <c r="BM40" s="23">
        <f t="shared" ca="1" si="44"/>
        <v>5.1904408864994922E-2</v>
      </c>
      <c r="BN40" s="95" t="s">
        <v>654</v>
      </c>
      <c r="BO40" s="93" t="s">
        <v>126</v>
      </c>
      <c r="BP40" s="93" t="s">
        <v>134</v>
      </c>
      <c r="BQ40" s="98">
        <v>22</v>
      </c>
      <c r="BR40" s="98">
        <v>25685</v>
      </c>
      <c r="BS40" s="98">
        <v>61424</v>
      </c>
      <c r="BT40" s="96" t="s">
        <v>906</v>
      </c>
    </row>
    <row r="41" spans="1:72" ht="15" customHeight="1" x14ac:dyDescent="0.25">
      <c r="A41" s="86" t="e" vm="38">
        <v>#VALUE!</v>
      </c>
      <c r="B41" s="10" t="str">
        <f t="array" aca="1" ref="B41" ca="1">_FV(A41,"Símbolo bursátil",TRUE())</f>
        <v>SPOT</v>
      </c>
      <c r="C41" s="88" t="s">
        <v>105</v>
      </c>
      <c r="D41" s="88" t="s">
        <v>97</v>
      </c>
      <c r="E41" s="11" t="str">
        <f t="array" aca="1" ref="E41" ca="1">_FV(A41,"Abreviatura de intercambio",TRUE())</f>
        <v>XNYS</v>
      </c>
      <c r="F41" s="11" t="str">
        <f t="array" aca="1" ref="F41" ca="1">_FV(A41,"Moneda")</f>
        <v>USD</v>
      </c>
      <c r="G41" s="12">
        <f t="array" aca="1" ref="G41" ca="1">_FV(A41,"Precio")</f>
        <v>518.94000000000005</v>
      </c>
      <c r="H41" s="13">
        <f t="array" aca="1" ref="H41" ca="1">_FV(A41,"Acciones en circulación",TRUE())/1000000</f>
        <v>205.5342</v>
      </c>
      <c r="I41" s="14">
        <f t="shared" ca="1" si="25"/>
        <v>106659.91774800001</v>
      </c>
      <c r="J41" s="91">
        <v>1</v>
      </c>
      <c r="K41" s="91">
        <v>4</v>
      </c>
      <c r="L41" s="91">
        <v>2</v>
      </c>
      <c r="M41" s="91">
        <v>0</v>
      </c>
      <c r="N41" s="91">
        <v>-2</v>
      </c>
      <c r="O41" s="91">
        <v>0</v>
      </c>
      <c r="P41" s="91">
        <v>1</v>
      </c>
      <c r="Q41" s="91">
        <v>1</v>
      </c>
      <c r="R41" s="26">
        <f t="shared" si="28"/>
        <v>7</v>
      </c>
      <c r="S41" s="16">
        <f t="shared" si="29"/>
        <v>4.38</v>
      </c>
      <c r="T41" s="91">
        <v>15</v>
      </c>
      <c r="U41" s="91">
        <v>11</v>
      </c>
      <c r="V41" s="91">
        <v>12</v>
      </c>
      <c r="W41" s="91">
        <v>9</v>
      </c>
      <c r="X41" s="91">
        <v>7</v>
      </c>
      <c r="Y41" s="91">
        <v>11</v>
      </c>
      <c r="Z41" s="91">
        <v>8</v>
      </c>
      <c r="AA41" s="91">
        <v>-12</v>
      </c>
      <c r="AB41" s="26">
        <f t="shared" si="30"/>
        <v>61</v>
      </c>
      <c r="AC41" s="16">
        <f t="shared" si="31"/>
        <v>6.1</v>
      </c>
      <c r="AD41" s="91">
        <v>10</v>
      </c>
      <c r="AE41" s="91">
        <v>-3</v>
      </c>
      <c r="AF41" s="91">
        <v>7</v>
      </c>
      <c r="AG41" s="91">
        <v>9</v>
      </c>
      <c r="AH41" s="91">
        <v>4</v>
      </c>
      <c r="AI41" s="91">
        <v>8</v>
      </c>
      <c r="AJ41" s="91">
        <v>9</v>
      </c>
      <c r="AK41" s="91">
        <v>-5</v>
      </c>
      <c r="AL41" s="26">
        <f t="shared" si="32"/>
        <v>39</v>
      </c>
      <c r="AM41" s="16">
        <f t="shared" si="33"/>
        <v>5.57</v>
      </c>
      <c r="AN41" s="17">
        <f t="shared" si="34"/>
        <v>5.54</v>
      </c>
      <c r="AO41" s="18" t="s">
        <v>86</v>
      </c>
      <c r="AP41" s="19">
        <v>6985</v>
      </c>
      <c r="AQ41" s="19">
        <v>466</v>
      </c>
      <c r="AR41" s="19">
        <f ca="1">I41*'Framework Notes'!E8-AP41+AQ41</f>
        <v>88589.648655891608</v>
      </c>
      <c r="AS41" s="103">
        <v>2993</v>
      </c>
      <c r="AT41" s="19">
        <v>2122</v>
      </c>
      <c r="AU41" s="19">
        <v>2750</v>
      </c>
      <c r="AV41" s="19">
        <v>18113</v>
      </c>
      <c r="AW41" s="20">
        <f t="shared" ca="1" si="35"/>
        <v>29.59894709518597</v>
      </c>
      <c r="AX41" s="20">
        <f t="shared" ca="1" si="36"/>
        <v>32.214417693051494</v>
      </c>
      <c r="AY41" s="20">
        <f t="shared" ca="1" si="37"/>
        <v>4.8909428949313538</v>
      </c>
      <c r="AZ41" s="21">
        <v>8834</v>
      </c>
      <c r="BA41" s="22">
        <f t="shared" si="38"/>
        <v>0.11715342571633633</v>
      </c>
      <c r="BB41" s="22">
        <f t="shared" si="39"/>
        <v>2.0503735567127008</v>
      </c>
      <c r="BC41" s="23">
        <f t="shared" si="40"/>
        <v>0.2402082861670817</v>
      </c>
      <c r="BD41" s="98">
        <v>3469.4</v>
      </c>
      <c r="BE41" s="23">
        <f t="shared" si="41"/>
        <v>2.9981754384583947E-2</v>
      </c>
      <c r="BF41">
        <v>4820.7</v>
      </c>
      <c r="BG41" s="23">
        <f t="shared" si="42"/>
        <v>0.10002024411140997</v>
      </c>
      <c r="BH41" s="24">
        <v>18</v>
      </c>
      <c r="BI41" s="24">
        <v>25</v>
      </c>
      <c r="BJ41" s="25">
        <f ca="1">((BD41*BH41+$AP41-$AQ41)/$H41)/'Framework Notes'!E8</f>
        <v>376.3102327054558</v>
      </c>
      <c r="BK41" s="25">
        <f ca="1">((BF41*BI41+$AP41-$AQ41)/$H41)/'Framework Notes'!E8</f>
        <v>693.14749228030644</v>
      </c>
      <c r="BL41" s="23">
        <f t="shared" ca="1" si="43"/>
        <v>-6.2252799980489604E-2</v>
      </c>
      <c r="BM41" s="23">
        <f t="shared" ca="1" si="44"/>
        <v>5.95993952848477E-2</v>
      </c>
      <c r="BN41" s="95" t="s">
        <v>654</v>
      </c>
      <c r="BO41" s="95" t="s">
        <v>83</v>
      </c>
      <c r="BP41" s="95" t="s">
        <v>84</v>
      </c>
      <c r="BQ41" s="98">
        <v>274</v>
      </c>
      <c r="BR41" s="98">
        <v>0</v>
      </c>
      <c r="BS41" s="98">
        <v>2993</v>
      </c>
      <c r="BT41" t="s">
        <v>858</v>
      </c>
    </row>
    <row r="42" spans="1:72" ht="15" customHeight="1" x14ac:dyDescent="0.25">
      <c r="A42" s="86" t="e" vm="39">
        <v>#VALUE!</v>
      </c>
      <c r="B42" s="10" t="str">
        <f t="array" aca="1" ref="B42" ca="1">_FV(A42,"Símbolo bursátil",TRUE())</f>
        <v>PRY</v>
      </c>
      <c r="C42" s="88" t="s">
        <v>103</v>
      </c>
      <c r="D42" s="88" t="s">
        <v>77</v>
      </c>
      <c r="E42" s="11" t="str">
        <f t="array" aca="1" ref="E42" ca="1">_FV(A42,"Abreviatura de intercambio",TRUE())</f>
        <v>XMIL</v>
      </c>
      <c r="F42" s="11" t="str">
        <f t="array" aca="1" ref="F42" ca="1">_FV(A42,"Moneda")</f>
        <v>EUR</v>
      </c>
      <c r="G42" s="12">
        <f t="array" aca="1" ref="G42" ca="1">_FV(A42,"Precio")</f>
        <v>107.1</v>
      </c>
      <c r="H42" s="13">
        <f t="array" aca="1" ref="H42" ca="1">_FV(A42,"Acciones en circulación",TRUE())/1000000</f>
        <v>308.86160000000001</v>
      </c>
      <c r="I42" s="14">
        <f t="shared" ca="1" si="25"/>
        <v>33079.077359999996</v>
      </c>
      <c r="J42" s="90">
        <v>1</v>
      </c>
      <c r="K42" s="90">
        <v>5.5</v>
      </c>
      <c r="L42" s="90">
        <v>2</v>
      </c>
      <c r="M42" s="90">
        <v>1</v>
      </c>
      <c r="N42" s="90">
        <v>-1</v>
      </c>
      <c r="O42" s="90">
        <v>0.5</v>
      </c>
      <c r="P42" s="90">
        <v>1</v>
      </c>
      <c r="Q42" s="90">
        <v>0</v>
      </c>
      <c r="R42" s="15">
        <f t="shared" si="28"/>
        <v>9.5</v>
      </c>
      <c r="S42" s="16">
        <f t="shared" si="29"/>
        <v>5.94</v>
      </c>
      <c r="T42" s="90">
        <v>12</v>
      </c>
      <c r="U42" s="90">
        <v>13</v>
      </c>
      <c r="V42" s="90">
        <v>14</v>
      </c>
      <c r="W42" s="90">
        <v>9</v>
      </c>
      <c r="X42" s="90">
        <v>7</v>
      </c>
      <c r="Y42" s="90">
        <v>10</v>
      </c>
      <c r="Z42" s="90">
        <v>4</v>
      </c>
      <c r="AA42" s="90">
        <v>-11</v>
      </c>
      <c r="AB42" s="15">
        <f t="shared" si="30"/>
        <v>58</v>
      </c>
      <c r="AC42" s="16">
        <f t="shared" si="31"/>
        <v>5.8</v>
      </c>
      <c r="AD42" s="90">
        <v>12</v>
      </c>
      <c r="AE42" s="90">
        <v>-1</v>
      </c>
      <c r="AF42" s="90">
        <v>4</v>
      </c>
      <c r="AG42" s="90">
        <v>12</v>
      </c>
      <c r="AH42" s="90">
        <v>3</v>
      </c>
      <c r="AI42" s="90">
        <v>7</v>
      </c>
      <c r="AJ42" s="90">
        <v>10</v>
      </c>
      <c r="AK42" s="90">
        <v>-6</v>
      </c>
      <c r="AL42" s="15">
        <f t="shared" si="32"/>
        <v>41</v>
      </c>
      <c r="AM42" s="16">
        <f t="shared" si="33"/>
        <v>5.86</v>
      </c>
      <c r="AN42" s="17">
        <f t="shared" si="34"/>
        <v>5.85</v>
      </c>
      <c r="AO42" s="18" t="s">
        <v>86</v>
      </c>
      <c r="AP42" s="19">
        <v>2600</v>
      </c>
      <c r="AQ42" s="19">
        <v>4917</v>
      </c>
      <c r="AR42" s="19">
        <f t="shared" ref="AR42:AR48" ca="1" si="45">I42-AP42+AQ42</f>
        <v>35396.077359999996</v>
      </c>
      <c r="AS42" s="103">
        <v>1418</v>
      </c>
      <c r="AT42" s="19">
        <v>1419</v>
      </c>
      <c r="AU42" s="19">
        <v>2398</v>
      </c>
      <c r="AV42" s="19">
        <v>19650</v>
      </c>
      <c r="AW42" s="20">
        <f t="shared" ca="1" si="35"/>
        <v>24.961972750352608</v>
      </c>
      <c r="AX42" s="20">
        <f t="shared" ca="1" si="36"/>
        <v>14.760666121768139</v>
      </c>
      <c r="AY42" s="20">
        <f t="shared" ca="1" si="37"/>
        <v>1.8013270921119591</v>
      </c>
      <c r="AZ42" s="21">
        <v>13130</v>
      </c>
      <c r="BA42" s="22">
        <f t="shared" si="38"/>
        <v>7.2213740458015263E-2</v>
      </c>
      <c r="BB42" s="22">
        <f t="shared" si="39"/>
        <v>1.4965727341964965</v>
      </c>
      <c r="BC42" s="23">
        <f t="shared" si="40"/>
        <v>0.10807311500380806</v>
      </c>
      <c r="BD42" s="98">
        <v>2059.8000000000002</v>
      </c>
      <c r="BE42" s="23">
        <f t="shared" si="41"/>
        <v>7.7530978057582356E-2</v>
      </c>
      <c r="BF42">
        <v>4233.3999999999996</v>
      </c>
      <c r="BG42" s="23">
        <f t="shared" si="42"/>
        <v>0.24452210512141526</v>
      </c>
      <c r="BH42" s="24">
        <v>18</v>
      </c>
      <c r="BI42" s="24">
        <v>22.5</v>
      </c>
      <c r="BJ42" s="25">
        <f t="shared" ref="BJ42:BJ48" ca="1" si="46">(BD42*BH42+$AP42-$AQ42)/$H42</f>
        <v>112.54037407045745</v>
      </c>
      <c r="BK42" s="25">
        <f t="shared" ref="BK42:BK48" ca="1" si="47">(BF42*BI42+$AP42-$AQ42)/$H42</f>
        <v>300.893668879524</v>
      </c>
      <c r="BL42" s="23">
        <f t="shared" ca="1" si="43"/>
        <v>9.9590768752151337E-3</v>
      </c>
      <c r="BM42" s="23">
        <f t="shared" ca="1" si="44"/>
        <v>0.22948919322871375</v>
      </c>
      <c r="BN42" s="95" t="s">
        <v>503</v>
      </c>
      <c r="BO42" s="93" t="s">
        <v>102</v>
      </c>
      <c r="BP42" s="93" t="s">
        <v>133</v>
      </c>
      <c r="BQ42" s="98">
        <v>86</v>
      </c>
      <c r="BR42" s="98">
        <v>89</v>
      </c>
      <c r="BS42" s="98">
        <v>1507</v>
      </c>
      <c r="BT42" t="s">
        <v>858</v>
      </c>
    </row>
    <row r="43" spans="1:72" ht="15" customHeight="1" x14ac:dyDescent="0.25">
      <c r="A43" s="86" t="e" vm="40">
        <v>#VALUE!</v>
      </c>
      <c r="B43" s="10" t="str">
        <f t="array" aca="1" ref="B43" ca="1">_FV(A43,"Símbolo bursátil",TRUE())</f>
        <v>JFN</v>
      </c>
      <c r="C43" s="88" t="s">
        <v>127</v>
      </c>
      <c r="D43" s="88" t="s">
        <v>89</v>
      </c>
      <c r="E43" s="11" t="str">
        <f t="array" aca="1" ref="E43" ca="1">_FV(A43,"Abreviatura de intercambio",TRUE())</f>
        <v>XSWX</v>
      </c>
      <c r="F43" s="11" t="str">
        <f t="array" aca="1" ref="F43" ca="1">_FV(A43,"Moneda")</f>
        <v>CHF</v>
      </c>
      <c r="G43" s="12">
        <f t="array" aca="1" ref="G43" ca="1">_FV(A43,"Precio")</f>
        <v>233</v>
      </c>
      <c r="H43" s="13">
        <f t="array" aca="1" ref="H43" ca="1">_FV(A43,"Acciones en circulación",TRUE())/1000000</f>
        <v>5.835</v>
      </c>
      <c r="I43" s="14">
        <f t="shared" ca="1" si="25"/>
        <v>1359.5550000000001</v>
      </c>
      <c r="J43" s="91">
        <v>0</v>
      </c>
      <c r="K43" s="91">
        <v>7</v>
      </c>
      <c r="L43" s="91">
        <v>0</v>
      </c>
      <c r="M43" s="91">
        <v>1</v>
      </c>
      <c r="N43" s="91">
        <v>-1</v>
      </c>
      <c r="O43" s="91">
        <v>0</v>
      </c>
      <c r="P43" s="91">
        <v>0</v>
      </c>
      <c r="Q43" s="91">
        <v>0</v>
      </c>
      <c r="R43" s="26">
        <f t="shared" si="28"/>
        <v>7</v>
      </c>
      <c r="S43" s="16">
        <f t="shared" si="29"/>
        <v>4.38</v>
      </c>
      <c r="T43" s="91">
        <v>14</v>
      </c>
      <c r="U43" s="91">
        <v>17</v>
      </c>
      <c r="V43" s="91">
        <v>6</v>
      </c>
      <c r="W43" s="91">
        <v>7</v>
      </c>
      <c r="X43" s="91">
        <v>7</v>
      </c>
      <c r="Y43" s="91">
        <v>10</v>
      </c>
      <c r="Z43" s="91">
        <v>4</v>
      </c>
      <c r="AA43" s="91">
        <v>-9</v>
      </c>
      <c r="AB43" s="26">
        <f t="shared" si="30"/>
        <v>56</v>
      </c>
      <c r="AC43" s="16">
        <f t="shared" si="31"/>
        <v>5.6</v>
      </c>
      <c r="AD43" s="91">
        <v>13</v>
      </c>
      <c r="AE43" s="91">
        <v>-2</v>
      </c>
      <c r="AF43" s="91">
        <v>3</v>
      </c>
      <c r="AG43" s="91">
        <v>10</v>
      </c>
      <c r="AH43" s="91">
        <v>3</v>
      </c>
      <c r="AI43" s="91">
        <v>6</v>
      </c>
      <c r="AJ43" s="91">
        <v>13</v>
      </c>
      <c r="AK43" s="91">
        <v>-4</v>
      </c>
      <c r="AL43" s="26">
        <f t="shared" si="32"/>
        <v>42</v>
      </c>
      <c r="AM43" s="16">
        <f t="shared" si="33"/>
        <v>6</v>
      </c>
      <c r="AN43" s="17">
        <f t="shared" si="34"/>
        <v>5.52</v>
      </c>
      <c r="AO43" s="18" t="s">
        <v>122</v>
      </c>
      <c r="AP43" s="19">
        <v>75</v>
      </c>
      <c r="AQ43" s="19">
        <v>0</v>
      </c>
      <c r="AR43" s="19">
        <f t="shared" ca="1" si="45"/>
        <v>1284.5550000000001</v>
      </c>
      <c r="AS43" s="103">
        <v>76.5</v>
      </c>
      <c r="AT43" s="19">
        <v>70</v>
      </c>
      <c r="AU43" s="19">
        <v>129.30000000000001</v>
      </c>
      <c r="AV43" s="19">
        <v>293.10000000000002</v>
      </c>
      <c r="AW43" s="20">
        <f t="shared" ca="1" si="35"/>
        <v>16.791568627450982</v>
      </c>
      <c r="AX43" s="20">
        <f t="shared" ca="1" si="36"/>
        <v>9.9346867749419943</v>
      </c>
      <c r="AY43" s="20">
        <f t="shared" ca="1" si="37"/>
        <v>4.3826509723643809</v>
      </c>
      <c r="AZ43" s="21">
        <v>450</v>
      </c>
      <c r="BA43" s="22">
        <f t="shared" si="38"/>
        <v>0.23882633913340154</v>
      </c>
      <c r="BB43" s="22">
        <f t="shared" si="39"/>
        <v>0.65133333333333343</v>
      </c>
      <c r="BC43" s="23">
        <f t="shared" si="40"/>
        <v>0.15555555555555556</v>
      </c>
      <c r="BD43" s="98">
        <v>54.6</v>
      </c>
      <c r="BE43" s="23">
        <f t="shared" si="41"/>
        <v>-6.522682398054136E-2</v>
      </c>
      <c r="BF43">
        <v>76.400000000000006</v>
      </c>
      <c r="BG43" s="23">
        <f t="shared" si="42"/>
        <v>-2.6157471537024968E-4</v>
      </c>
      <c r="BH43" s="24">
        <v>15</v>
      </c>
      <c r="BI43" s="24">
        <v>22</v>
      </c>
      <c r="BJ43" s="25">
        <f t="shared" ca="1" si="46"/>
        <v>153.2133676092545</v>
      </c>
      <c r="BK43" s="25">
        <f t="shared" ca="1" si="47"/>
        <v>300.90831191088262</v>
      </c>
      <c r="BL43" s="23">
        <f t="shared" ca="1" si="43"/>
        <v>-8.0422900268154129E-2</v>
      </c>
      <c r="BM43" s="23">
        <f t="shared" ca="1" si="44"/>
        <v>5.248436424263736E-2</v>
      </c>
      <c r="BN43" s="95" t="s">
        <v>880</v>
      </c>
      <c r="BO43" s="95" t="s">
        <v>135</v>
      </c>
      <c r="BP43" s="95" t="s">
        <v>889</v>
      </c>
      <c r="BQ43" s="98">
        <v>0</v>
      </c>
      <c r="BR43" s="98">
        <v>0</v>
      </c>
      <c r="BS43" s="98">
        <v>74.400000000000006</v>
      </c>
      <c r="BT43" s="96" t="s">
        <v>890</v>
      </c>
    </row>
    <row r="44" spans="1:72" ht="15" customHeight="1" x14ac:dyDescent="0.25">
      <c r="A44" s="86" t="e" vm="41">
        <v>#VALUE!</v>
      </c>
      <c r="B44" s="10" t="str">
        <f t="array" aca="1" ref="B44" ca="1">_FV(A44,"Símbolo bursátil",TRUE())</f>
        <v>CPR</v>
      </c>
      <c r="C44" s="88" t="s">
        <v>132</v>
      </c>
      <c r="D44" s="88" t="s">
        <v>89</v>
      </c>
      <c r="E44" s="11" t="str">
        <f t="array" aca="1" ref="E44" ca="1">_FV(A44,"Abreviatura de intercambio",TRUE())</f>
        <v>XMIL</v>
      </c>
      <c r="F44" s="11" t="str">
        <f t="array" aca="1" ref="F44" ca="1">_FV(A44,"Moneda")</f>
        <v>EUR</v>
      </c>
      <c r="G44" s="12">
        <f t="array" aca="1" ref="G44" ca="1">_FV(A44,"Precio")</f>
        <v>6.61</v>
      </c>
      <c r="H44" s="13">
        <f t="array" aca="1" ref="H44" ca="1">_FV(A44,"Acciones en circulación",TRUE())/1000000</f>
        <v>1231.268</v>
      </c>
      <c r="I44" s="14">
        <f t="shared" ca="1" si="25"/>
        <v>8138.6814800000002</v>
      </c>
      <c r="J44" s="90">
        <v>0</v>
      </c>
      <c r="K44" s="90">
        <v>6</v>
      </c>
      <c r="L44" s="90">
        <v>1</v>
      </c>
      <c r="M44" s="90">
        <v>-1</v>
      </c>
      <c r="N44" s="90">
        <v>0</v>
      </c>
      <c r="O44" s="90">
        <v>0</v>
      </c>
      <c r="P44" s="90">
        <v>0</v>
      </c>
      <c r="Q44" s="90">
        <v>1</v>
      </c>
      <c r="R44" s="15">
        <f t="shared" si="28"/>
        <v>7</v>
      </c>
      <c r="S44" s="16">
        <f t="shared" si="29"/>
        <v>4.38</v>
      </c>
      <c r="T44" s="90">
        <v>9</v>
      </c>
      <c r="U44" s="90">
        <v>15</v>
      </c>
      <c r="V44" s="90">
        <v>9</v>
      </c>
      <c r="W44" s="90">
        <v>8</v>
      </c>
      <c r="X44" s="90">
        <v>8</v>
      </c>
      <c r="Y44" s="90">
        <v>10</v>
      </c>
      <c r="Z44" s="90">
        <v>9</v>
      </c>
      <c r="AA44" s="90">
        <v>-11</v>
      </c>
      <c r="AB44" s="15">
        <f t="shared" si="30"/>
        <v>57</v>
      </c>
      <c r="AC44" s="16">
        <f t="shared" si="31"/>
        <v>5.7</v>
      </c>
      <c r="AD44" s="90">
        <v>13</v>
      </c>
      <c r="AE44" s="90">
        <v>-2</v>
      </c>
      <c r="AF44" s="90">
        <v>6</v>
      </c>
      <c r="AG44" s="90">
        <v>8</v>
      </c>
      <c r="AH44" s="90">
        <v>0</v>
      </c>
      <c r="AI44" s="90">
        <v>8</v>
      </c>
      <c r="AJ44" s="90">
        <v>12</v>
      </c>
      <c r="AK44" s="90">
        <v>-5</v>
      </c>
      <c r="AL44" s="15">
        <f t="shared" si="32"/>
        <v>40</v>
      </c>
      <c r="AM44" s="16">
        <f t="shared" si="33"/>
        <v>5.71</v>
      </c>
      <c r="AN44" s="17">
        <f t="shared" si="34"/>
        <v>5.44</v>
      </c>
      <c r="AO44" s="18" t="s">
        <v>86</v>
      </c>
      <c r="AP44" s="19">
        <v>711</v>
      </c>
      <c r="AQ44" s="19">
        <v>2806</v>
      </c>
      <c r="AR44" s="19">
        <f t="shared" ca="1" si="45"/>
        <v>10233.681479999999</v>
      </c>
      <c r="AS44" s="103">
        <v>365.1</v>
      </c>
      <c r="AT44" s="19">
        <v>412</v>
      </c>
      <c r="AU44" s="19">
        <v>664</v>
      </c>
      <c r="AV44" s="19">
        <v>3035</v>
      </c>
      <c r="AW44" s="20">
        <f t="shared" ca="1" si="35"/>
        <v>28.029804108463431</v>
      </c>
      <c r="AX44" s="20">
        <f t="shared" ca="1" si="36"/>
        <v>15.412170903614458</v>
      </c>
      <c r="AY44" s="20">
        <f t="shared" ca="1" si="37"/>
        <v>3.3718884612850082</v>
      </c>
      <c r="AZ44" s="21">
        <v>7090</v>
      </c>
      <c r="BA44" s="22">
        <f t="shared" si="38"/>
        <v>0.1357495881383855</v>
      </c>
      <c r="BB44" s="22">
        <f t="shared" si="39"/>
        <v>0.42806770098730607</v>
      </c>
      <c r="BC44" s="23">
        <f t="shared" si="40"/>
        <v>5.8110014104372353E-2</v>
      </c>
      <c r="BD44" s="98">
        <v>423.1</v>
      </c>
      <c r="BE44" s="23">
        <f t="shared" si="41"/>
        <v>2.9926513740077709E-2</v>
      </c>
      <c r="BF44">
        <v>614.9</v>
      </c>
      <c r="BG44" s="23">
        <f t="shared" si="42"/>
        <v>0.10988640567707009</v>
      </c>
      <c r="BH44" s="24">
        <v>15</v>
      </c>
      <c r="BI44" s="24">
        <v>20</v>
      </c>
      <c r="BJ44" s="25">
        <f t="shared" ca="1" si="46"/>
        <v>3.4529444442639621</v>
      </c>
      <c r="BK44" s="25">
        <f t="shared" ca="1" si="47"/>
        <v>8.2865793637128551</v>
      </c>
      <c r="BL44" s="23">
        <f t="shared" ca="1" si="43"/>
        <v>-0.12179152013607442</v>
      </c>
      <c r="BM44" s="23">
        <f t="shared" ca="1" si="44"/>
        <v>4.6248303828238857E-2</v>
      </c>
      <c r="BN44" s="95" t="s">
        <v>812</v>
      </c>
      <c r="BO44" s="95" t="s">
        <v>83</v>
      </c>
      <c r="BP44" s="95" t="s">
        <v>84</v>
      </c>
      <c r="BQ44" s="98">
        <v>23.2</v>
      </c>
      <c r="BR44" s="98">
        <v>151</v>
      </c>
      <c r="BS44" s="98">
        <v>516.1</v>
      </c>
      <c r="BT44" t="s">
        <v>859</v>
      </c>
    </row>
    <row r="45" spans="1:72" ht="15" customHeight="1" x14ac:dyDescent="0.25">
      <c r="A45" s="86" t="e" vm="42">
        <v>#VALUE!</v>
      </c>
      <c r="B45" s="10" t="str">
        <f t="array" aca="1" ref="B45" ca="1">_FV(A45,"Símbolo bursátil",TRUE())</f>
        <v>SIKA</v>
      </c>
      <c r="C45" s="88" t="s">
        <v>128</v>
      </c>
      <c r="D45" s="88" t="s">
        <v>77</v>
      </c>
      <c r="E45" s="11" t="str">
        <f t="array" aca="1" ref="E45" ca="1">_FV(A45,"Abreviatura de intercambio",TRUE())</f>
        <v>XSWX</v>
      </c>
      <c r="F45" s="11" t="str">
        <f t="array" aca="1" ref="F45" ca="1">_FV(A45,"Moneda")</f>
        <v>CHF</v>
      </c>
      <c r="G45" s="12">
        <f t="array" aca="1" ref="G45" ca="1">_FV(A45,"Precio")</f>
        <v>183.3</v>
      </c>
      <c r="H45" s="13">
        <f t="array" aca="1" ref="H45" ca="1">_FV(A45,"Acciones en circulación",TRUE())/1000000</f>
        <v>160.47929999999999</v>
      </c>
      <c r="I45" s="14">
        <f t="shared" ca="1" si="25"/>
        <v>29415.85569</v>
      </c>
      <c r="J45" s="91">
        <v>1</v>
      </c>
      <c r="K45" s="91">
        <v>6</v>
      </c>
      <c r="L45" s="91">
        <v>1</v>
      </c>
      <c r="M45" s="91">
        <v>0</v>
      </c>
      <c r="N45" s="91">
        <v>0</v>
      </c>
      <c r="O45" s="91">
        <v>0</v>
      </c>
      <c r="P45" s="91">
        <v>0</v>
      </c>
      <c r="Q45" s="91">
        <v>0</v>
      </c>
      <c r="R45" s="26">
        <f t="shared" si="28"/>
        <v>8</v>
      </c>
      <c r="S45" s="16">
        <f t="shared" si="29"/>
        <v>5</v>
      </c>
      <c r="T45" s="91">
        <v>11</v>
      </c>
      <c r="U45" s="91">
        <v>13</v>
      </c>
      <c r="V45" s="91">
        <v>10</v>
      </c>
      <c r="W45" s="91">
        <v>9</v>
      </c>
      <c r="X45" s="91">
        <v>7</v>
      </c>
      <c r="Y45" s="91">
        <v>10</v>
      </c>
      <c r="Z45" s="91">
        <v>5</v>
      </c>
      <c r="AA45" s="91">
        <v>-9</v>
      </c>
      <c r="AB45" s="26">
        <f t="shared" si="30"/>
        <v>56</v>
      </c>
      <c r="AC45" s="16">
        <f t="shared" si="31"/>
        <v>5.6</v>
      </c>
      <c r="AD45" s="91">
        <v>12</v>
      </c>
      <c r="AE45" s="91">
        <v>-2</v>
      </c>
      <c r="AF45" s="91">
        <v>5</v>
      </c>
      <c r="AG45" s="91">
        <v>10</v>
      </c>
      <c r="AH45" s="91">
        <v>1</v>
      </c>
      <c r="AI45" s="91">
        <v>7</v>
      </c>
      <c r="AJ45" s="91">
        <v>11</v>
      </c>
      <c r="AK45" s="91">
        <v>-5</v>
      </c>
      <c r="AL45" s="26">
        <f t="shared" si="32"/>
        <v>39</v>
      </c>
      <c r="AM45" s="16">
        <f t="shared" si="33"/>
        <v>5.57</v>
      </c>
      <c r="AN45" s="17">
        <f t="shared" si="34"/>
        <v>5.47</v>
      </c>
      <c r="AO45" s="18" t="s">
        <v>122</v>
      </c>
      <c r="AP45" s="19">
        <v>625</v>
      </c>
      <c r="AQ45" s="19">
        <v>6080</v>
      </c>
      <c r="AR45" s="19">
        <f t="shared" ca="1" si="45"/>
        <v>34870.855689999997</v>
      </c>
      <c r="AS45" s="103">
        <v>1332.5</v>
      </c>
      <c r="AT45" s="19">
        <v>1173</v>
      </c>
      <c r="AU45" s="19">
        <v>1940</v>
      </c>
      <c r="AV45" s="19">
        <v>11110</v>
      </c>
      <c r="AW45" s="20">
        <f t="shared" ca="1" si="35"/>
        <v>26.169497703564726</v>
      </c>
      <c r="AX45" s="20">
        <f t="shared" ca="1" si="36"/>
        <v>17.974667881443299</v>
      </c>
      <c r="AY45" s="20">
        <f t="shared" ca="1" si="37"/>
        <v>3.1386908811881185</v>
      </c>
      <c r="AZ45" s="21">
        <v>12207</v>
      </c>
      <c r="BA45" s="22">
        <f t="shared" si="38"/>
        <v>0.10558055805580559</v>
      </c>
      <c r="BB45" s="22">
        <f t="shared" si="39"/>
        <v>0.91013352994183661</v>
      </c>
      <c r="BC45" s="23">
        <f t="shared" si="40"/>
        <v>9.6092405996559355E-2</v>
      </c>
      <c r="BD45" s="98">
        <v>1544.5</v>
      </c>
      <c r="BE45" s="23">
        <f t="shared" si="41"/>
        <v>2.9968965560399852E-2</v>
      </c>
      <c r="BF45">
        <v>2245.9</v>
      </c>
      <c r="BG45" s="23">
        <f t="shared" si="42"/>
        <v>0.11005536330738686</v>
      </c>
      <c r="BH45" s="24">
        <v>18</v>
      </c>
      <c r="BI45" s="24">
        <v>22.5</v>
      </c>
      <c r="BJ45" s="25">
        <f t="shared" ca="1" si="46"/>
        <v>139.24537307926943</v>
      </c>
      <c r="BK45" s="25">
        <f t="shared" ca="1" si="47"/>
        <v>280.89448296446955</v>
      </c>
      <c r="BL45" s="23">
        <f t="shared" ca="1" si="43"/>
        <v>-5.3493367352348109E-2</v>
      </c>
      <c r="BM45" s="23">
        <f t="shared" ca="1" si="44"/>
        <v>8.912104227008788E-2</v>
      </c>
      <c r="BN45" s="95" t="s">
        <v>654</v>
      </c>
      <c r="BO45" s="93" t="s">
        <v>120</v>
      </c>
      <c r="BP45" s="93" t="s">
        <v>115</v>
      </c>
      <c r="BQ45" s="98">
        <v>0</v>
      </c>
      <c r="BR45" s="98">
        <v>0</v>
      </c>
      <c r="BS45" s="98">
        <v>1332.5</v>
      </c>
      <c r="BT45" t="s">
        <v>860</v>
      </c>
    </row>
    <row r="46" spans="1:72" ht="15" customHeight="1" x14ac:dyDescent="0.25">
      <c r="A46" s="86" t="e" vm="43">
        <v>#VALUE!</v>
      </c>
      <c r="B46" s="10" t="str">
        <f t="array" aca="1" ref="B46" ca="1">_FV(A46,"Símbolo bursátil",TRUE())</f>
        <v>CHKP</v>
      </c>
      <c r="C46" s="88" t="s">
        <v>96</v>
      </c>
      <c r="D46" s="88" t="s">
        <v>136</v>
      </c>
      <c r="E46" s="11" t="str">
        <f t="array" aca="1" ref="E46" ca="1">_FV(A46,"Abreviatura de intercambio",TRUE())</f>
        <v>XNAS</v>
      </c>
      <c r="F46" s="11" t="str">
        <f t="array" aca="1" ref="F46" ca="1">_FV(A46,"Moneda")</f>
        <v>USD</v>
      </c>
      <c r="G46" s="12">
        <f t="array" aca="1" ref="G46" ca="1">_FV(A46,"Precio")</f>
        <v>139.94999999999999</v>
      </c>
      <c r="H46" s="13">
        <f t="array" aca="1" ref="H46" ca="1">_FV(A46,"Acciones en circulación",TRUE())/1000000</f>
        <v>102.1006</v>
      </c>
      <c r="I46" s="14">
        <f t="shared" ca="1" si="25"/>
        <v>14288.978969999998</v>
      </c>
      <c r="J46" s="90">
        <v>1</v>
      </c>
      <c r="K46" s="90">
        <v>5</v>
      </c>
      <c r="L46" s="90">
        <v>1</v>
      </c>
      <c r="M46" s="90">
        <v>1</v>
      </c>
      <c r="N46" s="90">
        <v>0</v>
      </c>
      <c r="O46" s="90">
        <v>0</v>
      </c>
      <c r="P46" s="90">
        <v>0</v>
      </c>
      <c r="Q46" s="90">
        <v>0</v>
      </c>
      <c r="R46" s="15">
        <f t="shared" si="28"/>
        <v>8</v>
      </c>
      <c r="S46" s="16">
        <f t="shared" si="29"/>
        <v>5</v>
      </c>
      <c r="T46" s="90">
        <v>15</v>
      </c>
      <c r="U46" s="90">
        <v>11</v>
      </c>
      <c r="V46" s="90">
        <v>9</v>
      </c>
      <c r="W46" s="90">
        <v>7</v>
      </c>
      <c r="X46" s="90">
        <v>8</v>
      </c>
      <c r="Y46" s="90">
        <v>9</v>
      </c>
      <c r="Z46" s="90">
        <v>6</v>
      </c>
      <c r="AA46" s="90">
        <v>-12</v>
      </c>
      <c r="AB46" s="15">
        <f t="shared" si="30"/>
        <v>53</v>
      </c>
      <c r="AC46" s="16">
        <f t="shared" si="31"/>
        <v>5.3</v>
      </c>
      <c r="AD46" s="90">
        <v>11</v>
      </c>
      <c r="AE46" s="90">
        <v>-5</v>
      </c>
      <c r="AF46" s="90">
        <v>10</v>
      </c>
      <c r="AG46" s="90">
        <v>11</v>
      </c>
      <c r="AH46" s="90">
        <v>4</v>
      </c>
      <c r="AI46" s="90">
        <v>6</v>
      </c>
      <c r="AJ46" s="90">
        <v>9</v>
      </c>
      <c r="AK46" s="90">
        <v>-8</v>
      </c>
      <c r="AL46" s="15">
        <f t="shared" si="32"/>
        <v>38</v>
      </c>
      <c r="AM46" s="16">
        <f t="shared" si="33"/>
        <v>5.43</v>
      </c>
      <c r="AN46" s="17">
        <f t="shared" si="34"/>
        <v>5.29</v>
      </c>
      <c r="AO46" s="18" t="s">
        <v>78</v>
      </c>
      <c r="AP46" s="19">
        <v>2280</v>
      </c>
      <c r="AQ46" s="19">
        <v>1970</v>
      </c>
      <c r="AR46" s="19">
        <f t="shared" ca="1" si="45"/>
        <v>13978.978969999998</v>
      </c>
      <c r="AS46" s="103">
        <v>865.5</v>
      </c>
      <c r="AT46" s="19">
        <v>682</v>
      </c>
      <c r="AU46" s="19">
        <v>846</v>
      </c>
      <c r="AV46" s="19">
        <v>2760</v>
      </c>
      <c r="AW46" s="20">
        <f t="shared" ca="1" si="35"/>
        <v>16.151333298671286</v>
      </c>
      <c r="AX46" s="20">
        <f t="shared" ca="1" si="36"/>
        <v>16.523615803782505</v>
      </c>
      <c r="AY46" s="20">
        <f t="shared" ca="1" si="37"/>
        <v>5.0648474528985501</v>
      </c>
      <c r="AZ46" s="21">
        <v>5759</v>
      </c>
      <c r="BA46" s="22">
        <f t="shared" si="38"/>
        <v>0.24710144927536232</v>
      </c>
      <c r="BB46" s="22">
        <f t="shared" si="39"/>
        <v>0.47924986976905715</v>
      </c>
      <c r="BC46" s="23">
        <f t="shared" si="40"/>
        <v>0.11842333738496268</v>
      </c>
      <c r="BD46" s="98">
        <v>955.4</v>
      </c>
      <c r="BE46" s="23">
        <f t="shared" si="41"/>
        <v>1.9961157070788049E-2</v>
      </c>
      <c r="BF46">
        <v>1394.1</v>
      </c>
      <c r="BG46" s="23">
        <f t="shared" si="42"/>
        <v>0.10003213171593894</v>
      </c>
      <c r="BH46" s="24">
        <v>6</v>
      </c>
      <c r="BI46" s="24">
        <v>15</v>
      </c>
      <c r="BJ46" s="25">
        <f t="shared" ca="1" si="46"/>
        <v>59.180847125286235</v>
      </c>
      <c r="BK46" s="25">
        <f t="shared" ca="1" si="47"/>
        <v>207.84892547154473</v>
      </c>
      <c r="BL46" s="23">
        <f t="shared" ca="1" si="43"/>
        <v>-0.15813654970822588</v>
      </c>
      <c r="BM46" s="23">
        <f t="shared" ca="1" si="44"/>
        <v>8.2318236562009872E-2</v>
      </c>
      <c r="BN46" s="95" t="s">
        <v>812</v>
      </c>
      <c r="BO46" s="93" t="s">
        <v>102</v>
      </c>
      <c r="BP46" s="93" t="s">
        <v>84</v>
      </c>
      <c r="BQ46" s="98">
        <v>234.2</v>
      </c>
      <c r="BR46" s="98">
        <v>0</v>
      </c>
      <c r="BS46" s="98">
        <v>865.5</v>
      </c>
      <c r="BT46" t="s">
        <v>858</v>
      </c>
    </row>
    <row r="47" spans="1:72" ht="15" customHeight="1" x14ac:dyDescent="0.25">
      <c r="A47" s="86" t="e" vm="44">
        <v>#VALUE!</v>
      </c>
      <c r="B47" s="10" t="str">
        <f t="array" aca="1" ref="B47" ca="1">_FV(A47,"Símbolo bursátil",TRUE())</f>
        <v>TGYM</v>
      </c>
      <c r="C47" s="88" t="s">
        <v>127</v>
      </c>
      <c r="D47" s="88" t="s">
        <v>77</v>
      </c>
      <c r="E47" s="11" t="str">
        <f t="array" aca="1" ref="E47" ca="1">_FV(A47,"Abreviatura de intercambio",TRUE())</f>
        <v>XMIL</v>
      </c>
      <c r="F47" s="11" t="str">
        <f t="array" aca="1" ref="F47" ca="1">_FV(A47,"Moneda")</f>
        <v>EUR</v>
      </c>
      <c r="G47" s="12">
        <f t="array" aca="1" ref="G47" ca="1">_FV(A47,"Precio")</f>
        <v>12.94</v>
      </c>
      <c r="H47" s="13">
        <f t="array" aca="1" ref="H47" ca="1">_FV(A47,"Acciones en circulación",TRUE())/1000000</f>
        <v>201.32749999999999</v>
      </c>
      <c r="I47" s="14">
        <f t="shared" ca="1" si="25"/>
        <v>2605.1778499999996</v>
      </c>
      <c r="J47" s="91">
        <v>0</v>
      </c>
      <c r="K47" s="91">
        <v>4</v>
      </c>
      <c r="L47" s="91">
        <v>2</v>
      </c>
      <c r="M47" s="91">
        <v>0</v>
      </c>
      <c r="N47" s="91">
        <v>0</v>
      </c>
      <c r="O47" s="91">
        <v>0</v>
      </c>
      <c r="P47" s="91">
        <v>0</v>
      </c>
      <c r="Q47" s="91">
        <v>1</v>
      </c>
      <c r="R47" s="26">
        <f t="shared" si="28"/>
        <v>7</v>
      </c>
      <c r="S47" s="16">
        <f t="shared" si="29"/>
        <v>4.38</v>
      </c>
      <c r="T47" s="91">
        <v>12</v>
      </c>
      <c r="U47" s="91">
        <v>10</v>
      </c>
      <c r="V47" s="91">
        <v>11</v>
      </c>
      <c r="W47" s="91">
        <v>7</v>
      </c>
      <c r="X47" s="91">
        <v>6</v>
      </c>
      <c r="Y47" s="91">
        <v>10</v>
      </c>
      <c r="Z47" s="91">
        <v>9</v>
      </c>
      <c r="AA47" s="91">
        <v>-10</v>
      </c>
      <c r="AB47" s="26">
        <f t="shared" si="30"/>
        <v>55</v>
      </c>
      <c r="AC47" s="16">
        <f t="shared" si="31"/>
        <v>5.5</v>
      </c>
      <c r="AD47" s="91">
        <v>10</v>
      </c>
      <c r="AE47" s="91">
        <v>-3</v>
      </c>
      <c r="AF47" s="91">
        <v>6</v>
      </c>
      <c r="AG47" s="91">
        <v>10</v>
      </c>
      <c r="AH47" s="91">
        <v>3</v>
      </c>
      <c r="AI47" s="91">
        <v>8</v>
      </c>
      <c r="AJ47" s="91">
        <v>9</v>
      </c>
      <c r="AK47" s="91">
        <v>-4</v>
      </c>
      <c r="AL47" s="26">
        <f t="shared" si="32"/>
        <v>39</v>
      </c>
      <c r="AM47" s="16">
        <f t="shared" si="33"/>
        <v>5.57</v>
      </c>
      <c r="AN47" s="17">
        <f t="shared" si="34"/>
        <v>5.3</v>
      </c>
      <c r="AO47" s="18" t="s">
        <v>86</v>
      </c>
      <c r="AP47" s="19">
        <v>100</v>
      </c>
      <c r="AQ47" s="19">
        <v>50</v>
      </c>
      <c r="AR47" s="19">
        <f t="shared" ca="1" si="45"/>
        <v>2555.1778499999996</v>
      </c>
      <c r="AS47" s="103">
        <v>95</v>
      </c>
      <c r="AT47" s="19">
        <v>90</v>
      </c>
      <c r="AU47" s="19">
        <v>140</v>
      </c>
      <c r="AV47" s="19">
        <v>840</v>
      </c>
      <c r="AW47" s="20">
        <f t="shared" ca="1" si="35"/>
        <v>26.896608947368417</v>
      </c>
      <c r="AX47" s="20">
        <f t="shared" ca="1" si="36"/>
        <v>18.251270357142854</v>
      </c>
      <c r="AY47" s="20">
        <f t="shared" ca="1" si="37"/>
        <v>3.0418783928571425</v>
      </c>
      <c r="AZ47" s="21">
        <v>450</v>
      </c>
      <c r="BA47" s="22">
        <f t="shared" si="38"/>
        <v>0.10714285714285714</v>
      </c>
      <c r="BB47" s="22">
        <f t="shared" si="39"/>
        <v>1.8666666666666667</v>
      </c>
      <c r="BC47" s="23">
        <f t="shared" si="40"/>
        <v>0.19999999999999998</v>
      </c>
      <c r="BD47" s="98">
        <v>116</v>
      </c>
      <c r="BE47" s="23">
        <f t="shared" si="41"/>
        <v>4.0751095710728658E-2</v>
      </c>
      <c r="BF47">
        <v>183</v>
      </c>
      <c r="BG47" s="23">
        <f t="shared" si="42"/>
        <v>0.1401066974124392</v>
      </c>
      <c r="BH47" s="24">
        <v>15</v>
      </c>
      <c r="BI47" s="24">
        <v>22.5</v>
      </c>
      <c r="BJ47" s="25">
        <f t="shared" ca="1" si="46"/>
        <v>8.8909860798946987</v>
      </c>
      <c r="BK47" s="25">
        <f t="shared" ca="1" si="47"/>
        <v>20.700103065900091</v>
      </c>
      <c r="BL47" s="23">
        <f t="shared" ca="1" si="43"/>
        <v>-7.2309453949646274E-2</v>
      </c>
      <c r="BM47" s="23">
        <f t="shared" ca="1" si="44"/>
        <v>9.8519185690295163E-2</v>
      </c>
      <c r="BN47" s="93" t="s">
        <v>82</v>
      </c>
      <c r="BO47" s="93" t="s">
        <v>102</v>
      </c>
      <c r="BP47" s="93" t="s">
        <v>133</v>
      </c>
      <c r="BQ47" s="98"/>
      <c r="BR47" s="98"/>
      <c r="BS47" s="98"/>
    </row>
    <row r="48" spans="1:72" ht="15" customHeight="1" x14ac:dyDescent="0.25">
      <c r="A48" s="86" t="e" vm="45">
        <v>#VALUE!</v>
      </c>
      <c r="B48" s="10" t="str">
        <f t="array" aca="1" ref="B48" ca="1">_FV(A48,"Símbolo bursátil",TRUE())</f>
        <v>VID</v>
      </c>
      <c r="C48" s="88" t="s">
        <v>132</v>
      </c>
      <c r="D48" s="88" t="s">
        <v>89</v>
      </c>
      <c r="E48" s="11" t="str">
        <f t="array" aca="1" ref="E48" ca="1">_FV(A48,"Abreviatura de intercambio",TRUE())</f>
        <v>BMEX</v>
      </c>
      <c r="F48" s="11" t="str">
        <f t="array" aca="1" ref="F48" ca="1">_FV(A48,"Moneda")</f>
        <v>EUR</v>
      </c>
      <c r="G48" s="12">
        <f t="array" aca="1" ref="G48" ca="1">_FV(A48,"Precio")</f>
        <v>90.8</v>
      </c>
      <c r="H48" s="13">
        <f t="array" aca="1" ref="H48" ca="1">_FV(A48,"Acciones en circulación",TRUE())/1000000</f>
        <v>35.20626</v>
      </c>
      <c r="I48" s="14">
        <f t="shared" ca="1" si="25"/>
        <v>3196.7284079999999</v>
      </c>
      <c r="J48" s="90">
        <v>0.75</v>
      </c>
      <c r="K48" s="90">
        <v>6</v>
      </c>
      <c r="L48" s="90">
        <v>1</v>
      </c>
      <c r="M48" s="90">
        <v>0.75</v>
      </c>
      <c r="N48" s="90">
        <v>-0.5</v>
      </c>
      <c r="O48" s="90">
        <v>0</v>
      </c>
      <c r="P48" s="90">
        <v>0</v>
      </c>
      <c r="Q48" s="90">
        <v>1</v>
      </c>
      <c r="R48" s="15">
        <f t="shared" si="28"/>
        <v>9</v>
      </c>
      <c r="S48" s="16">
        <f t="shared" si="29"/>
        <v>5.63</v>
      </c>
      <c r="T48" s="90">
        <v>13</v>
      </c>
      <c r="U48" s="90">
        <v>10</v>
      </c>
      <c r="V48" s="90">
        <v>7</v>
      </c>
      <c r="W48" s="90">
        <v>8</v>
      </c>
      <c r="X48" s="90">
        <v>7</v>
      </c>
      <c r="Y48" s="90">
        <v>11.5</v>
      </c>
      <c r="Z48" s="90">
        <v>9</v>
      </c>
      <c r="AA48" s="90">
        <v>-8</v>
      </c>
      <c r="AB48" s="15">
        <f t="shared" si="30"/>
        <v>57.5</v>
      </c>
      <c r="AC48" s="16">
        <f t="shared" si="31"/>
        <v>5.75</v>
      </c>
      <c r="AD48" s="90">
        <v>10</v>
      </c>
      <c r="AE48" s="90">
        <v>-2</v>
      </c>
      <c r="AF48" s="90">
        <v>3</v>
      </c>
      <c r="AG48" s="90">
        <v>10</v>
      </c>
      <c r="AH48" s="90">
        <v>3</v>
      </c>
      <c r="AI48" s="90">
        <v>8</v>
      </c>
      <c r="AJ48" s="90">
        <v>9</v>
      </c>
      <c r="AK48" s="90">
        <v>-4</v>
      </c>
      <c r="AL48" s="15">
        <f t="shared" si="32"/>
        <v>37</v>
      </c>
      <c r="AM48" s="16">
        <f t="shared" si="33"/>
        <v>5.29</v>
      </c>
      <c r="AN48" s="17">
        <f t="shared" si="34"/>
        <v>5.54</v>
      </c>
      <c r="AO48" s="18" t="s">
        <v>86</v>
      </c>
      <c r="AP48" s="19">
        <v>130</v>
      </c>
      <c r="AQ48" s="19">
        <v>235</v>
      </c>
      <c r="AR48" s="19">
        <f t="shared" ca="1" si="45"/>
        <v>3301.7284079999999</v>
      </c>
      <c r="AS48" s="103">
        <v>191.8</v>
      </c>
      <c r="AT48" s="19">
        <v>210</v>
      </c>
      <c r="AU48" s="19">
        <v>385</v>
      </c>
      <c r="AV48" s="19">
        <v>1465</v>
      </c>
      <c r="AW48" s="20">
        <f t="shared" ca="1" si="35"/>
        <v>17.214433826903022</v>
      </c>
      <c r="AX48" s="20">
        <f t="shared" ca="1" si="36"/>
        <v>8.5759179428571422</v>
      </c>
      <c r="AY48" s="20">
        <f t="shared" ca="1" si="37"/>
        <v>2.2537395276450511</v>
      </c>
      <c r="AZ48" s="21">
        <v>1200</v>
      </c>
      <c r="BA48" s="22">
        <f t="shared" si="38"/>
        <v>0.14334470989761092</v>
      </c>
      <c r="BB48" s="22">
        <f t="shared" si="39"/>
        <v>1.2208333333333334</v>
      </c>
      <c r="BC48" s="23">
        <f t="shared" si="40"/>
        <v>0.17500000000000002</v>
      </c>
      <c r="BD48" s="98">
        <v>201.4</v>
      </c>
      <c r="BE48" s="23">
        <f t="shared" si="41"/>
        <v>9.8158258351770389E-3</v>
      </c>
      <c r="BF48">
        <v>295.39999999999998</v>
      </c>
      <c r="BG48" s="23">
        <f t="shared" si="42"/>
        <v>9.0215563677152444E-2</v>
      </c>
      <c r="BH48" s="24">
        <v>10</v>
      </c>
      <c r="BI48" s="24">
        <v>18</v>
      </c>
      <c r="BJ48" s="25">
        <f t="shared" ca="1" si="46"/>
        <v>54.223311422457257</v>
      </c>
      <c r="BK48" s="25">
        <f t="shared" ca="1" si="47"/>
        <v>148.04753472819891</v>
      </c>
      <c r="BL48" s="23">
        <f t="shared" ca="1" si="43"/>
        <v>-9.7971960891544474E-2</v>
      </c>
      <c r="BM48" s="23">
        <f t="shared" ca="1" si="44"/>
        <v>0.10271445170000049</v>
      </c>
      <c r="BN48" s="93" t="s">
        <v>119</v>
      </c>
      <c r="BO48" s="94" t="s">
        <v>137</v>
      </c>
      <c r="BP48" s="93" t="s">
        <v>115</v>
      </c>
      <c r="BQ48" s="98">
        <v>0</v>
      </c>
      <c r="BR48" s="98">
        <v>55.6</v>
      </c>
      <c r="BS48" s="98">
        <v>247.4</v>
      </c>
      <c r="BT48" t="s">
        <v>860</v>
      </c>
    </row>
    <row r="49" spans="1:72" ht="15" customHeight="1" x14ac:dyDescent="0.25">
      <c r="A49" s="86" t="e" vm="46">
        <v>#VALUE!</v>
      </c>
      <c r="B49" s="10" t="str">
        <f t="array" aca="1" ref="B49" ca="1">_FV(A49,"Símbolo bursátil",TRUE())</f>
        <v>TFPM</v>
      </c>
      <c r="C49" s="88" t="s">
        <v>138</v>
      </c>
      <c r="D49" s="88" t="s">
        <v>139</v>
      </c>
      <c r="E49" s="11" t="str">
        <f t="array" aca="1" ref="E49" ca="1">_FV(A49,"Abreviatura de intercambio",TRUE())</f>
        <v>XTSE</v>
      </c>
      <c r="F49" s="11" t="str">
        <f t="array" aca="1" ref="F49" ca="1">_FV(A49,"Moneda")</f>
        <v>CAD</v>
      </c>
      <c r="G49" s="12">
        <f t="array" aca="1" ref="G49" ca="1">_FV(A49,"Precio")</f>
        <v>43.094999999999999</v>
      </c>
      <c r="H49" s="13">
        <f t="array" aca="1" ref="H49" ca="1">_FV(A49,"Acciones en circulación",TRUE())/1000000</f>
        <v>205.68549999999999</v>
      </c>
      <c r="I49" s="14">
        <f t="shared" ca="1" si="25"/>
        <v>8864.0166224999994</v>
      </c>
      <c r="J49" s="91">
        <v>0</v>
      </c>
      <c r="K49" s="91">
        <v>6</v>
      </c>
      <c r="L49" s="91">
        <v>1</v>
      </c>
      <c r="M49" s="91">
        <v>1</v>
      </c>
      <c r="N49" s="91">
        <v>-1</v>
      </c>
      <c r="O49" s="91">
        <v>0</v>
      </c>
      <c r="P49" s="91">
        <v>0</v>
      </c>
      <c r="Q49" s="91">
        <v>0</v>
      </c>
      <c r="R49" s="26">
        <f t="shared" si="28"/>
        <v>7</v>
      </c>
      <c r="S49" s="16">
        <f t="shared" si="29"/>
        <v>4.38</v>
      </c>
      <c r="T49" s="91">
        <v>14</v>
      </c>
      <c r="U49" s="91">
        <v>12</v>
      </c>
      <c r="V49" s="91">
        <v>12</v>
      </c>
      <c r="W49" s="91">
        <v>6</v>
      </c>
      <c r="X49" s="91">
        <v>8</v>
      </c>
      <c r="Y49" s="91">
        <v>10</v>
      </c>
      <c r="Z49" s="91">
        <v>5</v>
      </c>
      <c r="AA49" s="91">
        <v>-10</v>
      </c>
      <c r="AB49" s="26">
        <f t="shared" si="30"/>
        <v>57</v>
      </c>
      <c r="AC49" s="16">
        <f t="shared" si="31"/>
        <v>5.7</v>
      </c>
      <c r="AD49" s="91">
        <v>11</v>
      </c>
      <c r="AE49" s="91">
        <v>-4</v>
      </c>
      <c r="AF49" s="91">
        <v>10</v>
      </c>
      <c r="AG49" s="91">
        <v>11</v>
      </c>
      <c r="AH49" s="91">
        <v>4</v>
      </c>
      <c r="AI49" s="91">
        <v>7</v>
      </c>
      <c r="AJ49" s="91">
        <v>9</v>
      </c>
      <c r="AK49" s="91">
        <v>-6</v>
      </c>
      <c r="AL49" s="26">
        <f t="shared" si="32"/>
        <v>42</v>
      </c>
      <c r="AM49" s="16">
        <f t="shared" si="33"/>
        <v>6</v>
      </c>
      <c r="AN49" s="17">
        <f t="shared" si="34"/>
        <v>5.56</v>
      </c>
      <c r="AO49" s="18" t="s">
        <v>78</v>
      </c>
      <c r="AP49" s="19">
        <v>35</v>
      </c>
      <c r="AQ49" s="19">
        <v>236</v>
      </c>
      <c r="AR49" s="19">
        <f ca="1">I49*'Framework Notes'!E7-AP49+AQ49</f>
        <v>6484.7013836902497</v>
      </c>
      <c r="AS49" s="103">
        <v>209</v>
      </c>
      <c r="AT49" s="19">
        <v>257</v>
      </c>
      <c r="AU49" s="19">
        <v>377</v>
      </c>
      <c r="AV49" s="19">
        <v>489</v>
      </c>
      <c r="AW49" s="20">
        <f t="shared" ca="1" si="35"/>
        <v>31.027279347800238</v>
      </c>
      <c r="AX49" s="20">
        <f t="shared" ca="1" si="36"/>
        <v>17.200799426234084</v>
      </c>
      <c r="AY49" s="20">
        <f t="shared" ca="1" si="37"/>
        <v>13.261148023906442</v>
      </c>
      <c r="AZ49" s="21">
        <v>2539</v>
      </c>
      <c r="BA49" s="22">
        <f t="shared" si="38"/>
        <v>0.52556237218813906</v>
      </c>
      <c r="BB49" s="22">
        <f t="shared" si="39"/>
        <v>0.19259551004332415</v>
      </c>
      <c r="BC49" s="23">
        <f t="shared" si="40"/>
        <v>0.10122095313115401</v>
      </c>
      <c r="BD49" s="98">
        <v>174.6</v>
      </c>
      <c r="BE49" s="23">
        <f t="shared" si="41"/>
        <v>-3.5328183208355735E-2</v>
      </c>
      <c r="BF49">
        <v>321.7</v>
      </c>
      <c r="BG49" s="23">
        <f t="shared" si="42"/>
        <v>9.0086484265124778E-2</v>
      </c>
      <c r="BH49" s="24">
        <v>18</v>
      </c>
      <c r="BI49" s="24">
        <v>22</v>
      </c>
      <c r="BJ49" s="25">
        <f ca="1">((BD49*BH49+$AP49-$AQ49)/$H49)/'Framework Notes'!E7</f>
        <v>20.175508551227068</v>
      </c>
      <c r="BK49" s="25">
        <f ca="1">((BF49*BI49+$AP49-$AQ49)/$H49)/'Framework Notes'!E7</f>
        <v>47.159856890902788</v>
      </c>
      <c r="BL49" s="23">
        <f t="shared" ca="1" si="43"/>
        <v>-0.14082917520838856</v>
      </c>
      <c r="BM49" s="23">
        <f t="shared" ca="1" si="44"/>
        <v>1.819068302199045E-2</v>
      </c>
      <c r="BN49" s="95" t="s">
        <v>812</v>
      </c>
      <c r="BO49" s="95" t="s">
        <v>95</v>
      </c>
      <c r="BP49" s="95" t="s">
        <v>145</v>
      </c>
      <c r="BQ49" s="98">
        <v>5.6</v>
      </c>
      <c r="BR49" s="98">
        <v>244</v>
      </c>
      <c r="BS49" s="98">
        <v>453</v>
      </c>
      <c r="BT49" t="s">
        <v>858</v>
      </c>
    </row>
    <row r="50" spans="1:72" ht="15" customHeight="1" x14ac:dyDescent="0.25">
      <c r="A50" s="86" t="e" vm="47">
        <v>#VALUE!</v>
      </c>
      <c r="B50" s="10" t="str">
        <f t="array" aca="1" ref="B50" ca="1">_FV(A50,"Símbolo bursátil",TRUE())</f>
        <v>NFLX</v>
      </c>
      <c r="C50" s="88" t="s">
        <v>105</v>
      </c>
      <c r="D50" s="88" t="s">
        <v>97</v>
      </c>
      <c r="E50" s="11" t="str">
        <f t="array" aca="1" ref="E50" ca="1">_FV(A50,"Abreviatura de intercambio",TRUE())</f>
        <v>XNAS</v>
      </c>
      <c r="F50" s="11" t="str">
        <f t="array" aca="1" ref="F50" ca="1">_FV(A50,"Moneda")</f>
        <v>USD</v>
      </c>
      <c r="G50" s="12">
        <f t="array" aca="1" ref="G50" ca="1">_FV(A50,"Precio")</f>
        <v>69.680000000000007</v>
      </c>
      <c r="H50" s="13">
        <f t="array" aca="1" ref="H50" ca="1">_FV(A50,"Acciones en circulación",TRUE())/1000000</f>
        <v>4163.9390000000003</v>
      </c>
      <c r="I50" s="14">
        <f t="shared" ca="1" si="25"/>
        <v>290143.26952000003</v>
      </c>
      <c r="J50" s="90">
        <v>0.5</v>
      </c>
      <c r="K50" s="90">
        <v>6.5</v>
      </c>
      <c r="L50" s="90">
        <v>2</v>
      </c>
      <c r="M50" s="90">
        <v>0.5</v>
      </c>
      <c r="N50" s="90">
        <v>-0.5</v>
      </c>
      <c r="O50" s="90">
        <f>4.1/5</f>
        <v>0.82</v>
      </c>
      <c r="P50" s="90">
        <v>1</v>
      </c>
      <c r="Q50" s="90">
        <v>0</v>
      </c>
      <c r="R50" s="15">
        <f t="shared" si="28"/>
        <v>10</v>
      </c>
      <c r="S50" s="16">
        <f t="shared" si="29"/>
        <v>6.25</v>
      </c>
      <c r="T50" s="90">
        <v>14.5</v>
      </c>
      <c r="U50" s="90">
        <v>17</v>
      </c>
      <c r="V50" s="90">
        <v>14</v>
      </c>
      <c r="W50" s="90">
        <v>8</v>
      </c>
      <c r="X50" s="90">
        <v>6.5</v>
      </c>
      <c r="Y50" s="90">
        <v>12</v>
      </c>
      <c r="Z50" s="90">
        <v>7</v>
      </c>
      <c r="AA50" s="90">
        <v>-18</v>
      </c>
      <c r="AB50" s="15">
        <f t="shared" si="30"/>
        <v>61</v>
      </c>
      <c r="AC50" s="16">
        <f t="shared" si="31"/>
        <v>6.1</v>
      </c>
      <c r="AD50" s="90">
        <v>10</v>
      </c>
      <c r="AE50" s="90">
        <v>-3</v>
      </c>
      <c r="AF50" s="90">
        <v>6.5</v>
      </c>
      <c r="AG50" s="90">
        <v>13</v>
      </c>
      <c r="AH50" s="90">
        <v>2</v>
      </c>
      <c r="AI50" s="90">
        <v>6.5</v>
      </c>
      <c r="AJ50" s="90">
        <v>12.5</v>
      </c>
      <c r="AK50" s="90">
        <v>-6</v>
      </c>
      <c r="AL50" s="15">
        <f t="shared" si="32"/>
        <v>41.5</v>
      </c>
      <c r="AM50" s="16">
        <f t="shared" si="33"/>
        <v>5.93</v>
      </c>
      <c r="AN50" s="17">
        <f t="shared" si="34"/>
        <v>6.06</v>
      </c>
      <c r="AO50" s="18" t="s">
        <v>78</v>
      </c>
      <c r="AP50" s="19">
        <v>9130</v>
      </c>
      <c r="AQ50" s="19">
        <f>1000+13360</f>
        <v>14360</v>
      </c>
      <c r="AR50" s="19">
        <f t="shared" ref="AR50:AR62" ca="1" si="48">I50-AP50+AQ50</f>
        <v>295373.26952000003</v>
      </c>
      <c r="AS50" s="103">
        <v>10664.7</v>
      </c>
      <c r="AT50" s="19">
        <v>11876</v>
      </c>
      <c r="AU50" s="19">
        <v>14730</v>
      </c>
      <c r="AV50" s="19">
        <v>48370</v>
      </c>
      <c r="AW50" s="20">
        <f t="shared" ca="1" si="35"/>
        <v>27.696350532129362</v>
      </c>
      <c r="AX50" s="20">
        <f t="shared" ca="1" si="36"/>
        <v>20.052496233537003</v>
      </c>
      <c r="AY50" s="20">
        <f t="shared" ca="1" si="37"/>
        <v>6.1065385470332858</v>
      </c>
      <c r="AZ50" s="21">
        <v>46315</v>
      </c>
      <c r="BA50" s="22">
        <f t="shared" si="38"/>
        <v>0.24552408517676247</v>
      </c>
      <c r="BB50" s="22">
        <f t="shared" si="39"/>
        <v>1.044370074489906</v>
      </c>
      <c r="BC50" s="23">
        <f t="shared" si="40"/>
        <v>0.25641800712512147</v>
      </c>
      <c r="BD50" s="98">
        <v>12994.8</v>
      </c>
      <c r="BE50" s="23">
        <f t="shared" si="41"/>
        <v>4.0313397035162124E-2</v>
      </c>
      <c r="BF50">
        <v>17923.900000000001</v>
      </c>
      <c r="BG50" s="23">
        <f t="shared" si="42"/>
        <v>0.1094220001679771</v>
      </c>
      <c r="BH50" s="24">
        <v>17</v>
      </c>
      <c r="BI50" s="24">
        <v>25</v>
      </c>
      <c r="BJ50" s="25">
        <f t="shared" ref="BJ50:BJ60" ca="1" si="49">(BD50*BH50+$AP50-$AQ50)/$H50</f>
        <v>51.797492710628077</v>
      </c>
      <c r="BK50" s="25">
        <f t="shared" ref="BK50:BK60" ca="1" si="50">(BF50*BI50+$AP50-$AQ50)/$H50</f>
        <v>106.35782608726977</v>
      </c>
      <c r="BL50" s="23">
        <f t="shared" ca="1" si="43"/>
        <v>-5.7589493556573168E-2</v>
      </c>
      <c r="BM50" s="23">
        <f t="shared" ca="1" si="44"/>
        <v>8.8258986190916211E-2</v>
      </c>
      <c r="BN50" s="95" t="s">
        <v>654</v>
      </c>
      <c r="BO50" s="93" t="s">
        <v>126</v>
      </c>
      <c r="BP50" s="93" t="s">
        <v>140</v>
      </c>
      <c r="BQ50" s="98">
        <v>487.3</v>
      </c>
      <c r="BR50" s="98">
        <v>0</v>
      </c>
      <c r="BS50" s="98">
        <v>10664.7</v>
      </c>
      <c r="BT50" t="s">
        <v>858</v>
      </c>
    </row>
    <row r="51" spans="1:72" ht="15" customHeight="1" x14ac:dyDescent="0.25">
      <c r="A51" s="86" t="e" vm="48">
        <v>#VALUE!</v>
      </c>
      <c r="B51" s="10" t="str">
        <f t="array" aca="1" ref="B51" ca="1">_FV(A51,"Símbolo bursátil",TRUE())</f>
        <v>NKE</v>
      </c>
      <c r="C51" s="88" t="s">
        <v>105</v>
      </c>
      <c r="D51" s="88" t="s">
        <v>136</v>
      </c>
      <c r="E51" s="11" t="str">
        <f t="array" aca="1" ref="E51" ca="1">_FV(A51,"Abreviatura de intercambio",TRUE())</f>
        <v>XNYS</v>
      </c>
      <c r="F51" s="11" t="str">
        <f t="array" aca="1" ref="F51" ca="1">_FV(A51,"Moneda")</f>
        <v>USD</v>
      </c>
      <c r="G51" s="12">
        <f t="array" aca="1" ref="G51" ca="1">_FV(A51,"Precio")</f>
        <v>37.085000000000001</v>
      </c>
      <c r="H51" s="13">
        <f t="array" aca="1" ref="H51" ca="1">_FV(A51,"Acciones en circulación",TRUE())/1000000</f>
        <v>1485.309</v>
      </c>
      <c r="I51" s="14">
        <f t="shared" ca="1" si="25"/>
        <v>55082.684265000004</v>
      </c>
      <c r="J51" s="91">
        <v>0</v>
      </c>
      <c r="K51" s="91">
        <v>5</v>
      </c>
      <c r="L51" s="91">
        <v>1</v>
      </c>
      <c r="M51" s="91">
        <v>0</v>
      </c>
      <c r="N51" s="91">
        <v>0</v>
      </c>
      <c r="O51" s="91">
        <v>0</v>
      </c>
      <c r="P51" s="91">
        <v>1</v>
      </c>
      <c r="Q51" s="91">
        <v>0</v>
      </c>
      <c r="R51" s="26">
        <f t="shared" si="28"/>
        <v>7</v>
      </c>
      <c r="S51" s="16">
        <f t="shared" si="29"/>
        <v>4.38</v>
      </c>
      <c r="T51" s="91">
        <v>10</v>
      </c>
      <c r="U51" s="91">
        <v>13</v>
      </c>
      <c r="V51" s="91">
        <v>8</v>
      </c>
      <c r="W51" s="91">
        <v>7</v>
      </c>
      <c r="X51" s="91">
        <v>6</v>
      </c>
      <c r="Y51" s="91">
        <v>9</v>
      </c>
      <c r="Z51" s="91">
        <v>5</v>
      </c>
      <c r="AA51" s="91">
        <v>-10</v>
      </c>
      <c r="AB51" s="26">
        <f t="shared" si="30"/>
        <v>48</v>
      </c>
      <c r="AC51" s="16">
        <f t="shared" si="31"/>
        <v>4.8</v>
      </c>
      <c r="AD51" s="91">
        <v>11</v>
      </c>
      <c r="AE51" s="91">
        <v>-2</v>
      </c>
      <c r="AF51" s="91">
        <v>7</v>
      </c>
      <c r="AG51" s="91">
        <v>9</v>
      </c>
      <c r="AH51" s="91">
        <v>3</v>
      </c>
      <c r="AI51" s="91">
        <v>6</v>
      </c>
      <c r="AJ51" s="91">
        <v>10</v>
      </c>
      <c r="AK51" s="91">
        <v>-4</v>
      </c>
      <c r="AL51" s="26">
        <f t="shared" si="32"/>
        <v>40</v>
      </c>
      <c r="AM51" s="16">
        <f t="shared" si="33"/>
        <v>5.71</v>
      </c>
      <c r="AN51" s="17">
        <f t="shared" si="34"/>
        <v>5.08</v>
      </c>
      <c r="AO51" s="18" t="s">
        <v>78</v>
      </c>
      <c r="AP51" s="19">
        <v>8368</v>
      </c>
      <c r="AQ51" s="19">
        <v>7893</v>
      </c>
      <c r="AR51" s="19">
        <f t="shared" ca="1" si="48"/>
        <v>54607.684265000004</v>
      </c>
      <c r="AS51" s="103">
        <v>1469</v>
      </c>
      <c r="AT51" s="19">
        <v>3331</v>
      </c>
      <c r="AU51" s="19">
        <v>4930</v>
      </c>
      <c r="AV51" s="19">
        <v>45891</v>
      </c>
      <c r="AW51" s="20">
        <f t="shared" ca="1" si="35"/>
        <v>37.173372542545955</v>
      </c>
      <c r="AX51" s="20">
        <f t="shared" ca="1" si="36"/>
        <v>11.076609384381339</v>
      </c>
      <c r="AY51" s="20">
        <f t="shared" ca="1" si="37"/>
        <v>1.1899432190407706</v>
      </c>
      <c r="AZ51" s="21">
        <v>25863</v>
      </c>
      <c r="BA51" s="22">
        <f t="shared" si="38"/>
        <v>7.2585038460700357E-2</v>
      </c>
      <c r="BB51" s="22">
        <f t="shared" si="39"/>
        <v>1.774388122027607</v>
      </c>
      <c r="BC51" s="23">
        <f t="shared" si="40"/>
        <v>0.12879403008158374</v>
      </c>
      <c r="BD51" s="98">
        <v>2823</v>
      </c>
      <c r="BE51" s="23">
        <f t="shared" si="41"/>
        <v>0.13956162663808036</v>
      </c>
      <c r="BF51">
        <v>6005</v>
      </c>
      <c r="BG51" s="23">
        <f t="shared" si="42"/>
        <v>0.32525131303484445</v>
      </c>
      <c r="BH51" s="24">
        <v>14</v>
      </c>
      <c r="BI51" s="24">
        <v>21</v>
      </c>
      <c r="BJ51" s="25">
        <f t="shared" ca="1" si="49"/>
        <v>26.928403450056521</v>
      </c>
      <c r="BK51" s="25">
        <f t="shared" ca="1" si="50"/>
        <v>85.221324317027637</v>
      </c>
      <c r="BL51" s="23">
        <f t="shared" ca="1" si="43"/>
        <v>-6.2000807697306981E-2</v>
      </c>
      <c r="BM51" s="23">
        <f t="shared" ca="1" si="44"/>
        <v>0.18105466424347583</v>
      </c>
      <c r="BN51" s="95" t="s">
        <v>654</v>
      </c>
      <c r="BO51" s="95" t="s">
        <v>894</v>
      </c>
      <c r="BP51" s="95" t="s">
        <v>895</v>
      </c>
      <c r="BQ51" s="98">
        <v>715</v>
      </c>
      <c r="BR51" s="98">
        <v>0</v>
      </c>
      <c r="BS51" s="98">
        <v>1469</v>
      </c>
      <c r="BT51" s="96" t="s">
        <v>908</v>
      </c>
    </row>
    <row r="52" spans="1:72" ht="15" customHeight="1" x14ac:dyDescent="0.25">
      <c r="A52" s="86" t="e" vm="49">
        <v>#VALUE!</v>
      </c>
      <c r="B52" s="10" t="str">
        <f t="array" aca="1" ref="B52" ca="1">_FV(A52,"Símbolo bursátil",TRUE())</f>
        <v>MIPS</v>
      </c>
      <c r="C52" s="88" t="s">
        <v>98</v>
      </c>
      <c r="D52" s="88" t="s">
        <v>77</v>
      </c>
      <c r="E52" s="11" t="str">
        <f t="array" aca="1" ref="E52" ca="1">_FV(A52,"Abreviatura de intercambio",TRUE())</f>
        <v>XSTO</v>
      </c>
      <c r="F52" s="11" t="str">
        <f t="array" aca="1" ref="F52" ca="1">_FV(A52,"Moneda")</f>
        <v>SEK</v>
      </c>
      <c r="G52" s="12">
        <f t="array" aca="1" ref="G52" ca="1">_FV(A52,"Precio")</f>
        <v>409.8</v>
      </c>
      <c r="H52" s="13">
        <f t="array" aca="1" ref="H52" ca="1">_FV(A52,"Acciones en circulación",TRUE())/1000000</f>
        <v>26.497990000000001</v>
      </c>
      <c r="I52" s="14">
        <f t="shared" ca="1" si="25"/>
        <v>10858.876302000001</v>
      </c>
      <c r="J52" s="90">
        <v>2</v>
      </c>
      <c r="K52" s="90">
        <v>4</v>
      </c>
      <c r="L52" s="90">
        <v>2</v>
      </c>
      <c r="M52" s="90">
        <v>0</v>
      </c>
      <c r="N52" s="90">
        <v>-1</v>
      </c>
      <c r="O52" s="90">
        <v>0</v>
      </c>
      <c r="P52" s="90">
        <v>0</v>
      </c>
      <c r="Q52" s="90">
        <v>0</v>
      </c>
      <c r="R52" s="15">
        <f t="shared" si="28"/>
        <v>7</v>
      </c>
      <c r="S52" s="16">
        <f t="shared" si="29"/>
        <v>4.38</v>
      </c>
      <c r="T52" s="90">
        <v>11</v>
      </c>
      <c r="U52" s="90">
        <v>11</v>
      </c>
      <c r="V52" s="90">
        <v>12</v>
      </c>
      <c r="W52" s="90">
        <v>6</v>
      </c>
      <c r="X52" s="90">
        <v>6</v>
      </c>
      <c r="Y52" s="90">
        <v>9</v>
      </c>
      <c r="Z52" s="90">
        <v>4</v>
      </c>
      <c r="AA52" s="90">
        <v>-13</v>
      </c>
      <c r="AB52" s="15">
        <f t="shared" si="30"/>
        <v>46</v>
      </c>
      <c r="AC52" s="16">
        <f t="shared" si="31"/>
        <v>4.5999999999999996</v>
      </c>
      <c r="AD52" s="90">
        <v>10</v>
      </c>
      <c r="AE52" s="90">
        <v>-3</v>
      </c>
      <c r="AF52" s="90">
        <v>9</v>
      </c>
      <c r="AG52" s="90">
        <v>9</v>
      </c>
      <c r="AH52" s="90">
        <v>3</v>
      </c>
      <c r="AI52" s="90">
        <v>6</v>
      </c>
      <c r="AJ52" s="90">
        <v>9</v>
      </c>
      <c r="AK52" s="90">
        <v>-5</v>
      </c>
      <c r="AL52" s="15">
        <f t="shared" si="32"/>
        <v>38</v>
      </c>
      <c r="AM52" s="16">
        <f t="shared" si="33"/>
        <v>5.43</v>
      </c>
      <c r="AN52" s="17">
        <f t="shared" si="34"/>
        <v>4.8899999999999997</v>
      </c>
      <c r="AO52" s="18" t="s">
        <v>113</v>
      </c>
      <c r="AP52" s="19">
        <v>187</v>
      </c>
      <c r="AQ52" s="19">
        <v>331</v>
      </c>
      <c r="AR52" s="19">
        <f t="shared" ca="1" si="48"/>
        <v>11002.876302000001</v>
      </c>
      <c r="AS52" s="103">
        <v>133</v>
      </c>
      <c r="AT52" s="19">
        <v>191</v>
      </c>
      <c r="AU52" s="19">
        <v>259</v>
      </c>
      <c r="AV52" s="19">
        <v>664</v>
      </c>
      <c r="AW52" s="20">
        <f t="shared" ca="1" si="35"/>
        <v>82.728393248120298</v>
      </c>
      <c r="AX52" s="20">
        <f t="shared" ca="1" si="36"/>
        <v>42.482147884169883</v>
      </c>
      <c r="AY52" s="20">
        <f t="shared" ca="1" si="37"/>
        <v>16.570596840361446</v>
      </c>
      <c r="AZ52" s="21">
        <v>1185</v>
      </c>
      <c r="BA52" s="22">
        <f t="shared" si="38"/>
        <v>0.28765060240963858</v>
      </c>
      <c r="BB52" s="22">
        <f t="shared" si="39"/>
        <v>0.56033755274261599</v>
      </c>
      <c r="BC52" s="23">
        <f t="shared" si="40"/>
        <v>0.16118143459915613</v>
      </c>
      <c r="BD52" s="98">
        <v>71.2</v>
      </c>
      <c r="BE52" s="23">
        <f t="shared" si="41"/>
        <v>-0.11747773582037357</v>
      </c>
      <c r="BF52">
        <v>213.8</v>
      </c>
      <c r="BG52" s="23">
        <f t="shared" si="42"/>
        <v>9.9591089718768178E-2</v>
      </c>
      <c r="BH52" s="24">
        <v>17.5</v>
      </c>
      <c r="BI52" s="24">
        <v>22.5</v>
      </c>
      <c r="BJ52" s="25">
        <f t="shared" ca="1" si="49"/>
        <v>41.588060075500067</v>
      </c>
      <c r="BK52" s="25">
        <f t="shared" ca="1" si="50"/>
        <v>176.10769722533669</v>
      </c>
      <c r="BL52" s="23">
        <f t="shared" ca="1" si="43"/>
        <v>-0.36718124536613672</v>
      </c>
      <c r="BM52" s="23">
        <f t="shared" ca="1" si="44"/>
        <v>-0.15541905893504693</v>
      </c>
      <c r="BN52" s="95" t="s">
        <v>654</v>
      </c>
      <c r="BO52" s="93" t="s">
        <v>126</v>
      </c>
      <c r="BP52" s="93" t="s">
        <v>141</v>
      </c>
      <c r="BQ52" s="98">
        <v>0</v>
      </c>
      <c r="BR52" s="98">
        <v>0</v>
      </c>
      <c r="BS52" s="98">
        <v>133</v>
      </c>
      <c r="BT52" t="s">
        <v>860</v>
      </c>
    </row>
    <row r="53" spans="1:72" ht="15" customHeight="1" x14ac:dyDescent="0.25">
      <c r="A53" s="86" t="e" vm="50">
        <v>#VALUE!</v>
      </c>
      <c r="B53" s="10" t="str">
        <f t="array" aca="1" ref="B53" ca="1">_FV(A53,"Símbolo bursátil",TRUE())</f>
        <v>FERG</v>
      </c>
      <c r="C53" s="88" t="s">
        <v>128</v>
      </c>
      <c r="D53" s="88" t="s">
        <v>89</v>
      </c>
      <c r="E53" s="11" t="str">
        <f t="array" aca="1" ref="E53" ca="1">_FV(A53,"Abreviatura de intercambio",TRUE())</f>
        <v>XNYS</v>
      </c>
      <c r="F53" s="11" t="str">
        <f t="array" aca="1" ref="F53" ca="1">_FV(A53,"Moneda")</f>
        <v>USD</v>
      </c>
      <c r="G53" s="12">
        <f t="array" aca="1" ref="G53" ca="1">_FV(A53,"Precio")</f>
        <v>227.28</v>
      </c>
      <c r="H53" s="13">
        <f t="array" aca="1" ref="H53" ca="1">_FV(A53,"Acciones en circulación",TRUE())/1000000</f>
        <v>193.45269999999999</v>
      </c>
      <c r="I53" s="14">
        <f t="shared" ca="1" si="25"/>
        <v>43967.929656</v>
      </c>
      <c r="J53" s="91">
        <v>0</v>
      </c>
      <c r="K53" s="91">
        <v>5</v>
      </c>
      <c r="L53" s="91">
        <v>1</v>
      </c>
      <c r="M53" s="91">
        <v>1</v>
      </c>
      <c r="N53" s="91">
        <v>0</v>
      </c>
      <c r="O53" s="91">
        <v>0</v>
      </c>
      <c r="P53" s="91">
        <v>0</v>
      </c>
      <c r="Q53" s="91">
        <v>0</v>
      </c>
      <c r="R53" s="26">
        <f t="shared" si="28"/>
        <v>7</v>
      </c>
      <c r="S53" s="16">
        <f t="shared" si="29"/>
        <v>4.38</v>
      </c>
      <c r="T53" s="91">
        <v>12</v>
      </c>
      <c r="U53" s="91">
        <v>11</v>
      </c>
      <c r="V53" s="91">
        <v>10</v>
      </c>
      <c r="W53" s="91">
        <v>9</v>
      </c>
      <c r="X53" s="91">
        <v>7</v>
      </c>
      <c r="Y53" s="91">
        <v>10</v>
      </c>
      <c r="Z53" s="91">
        <v>4</v>
      </c>
      <c r="AA53" s="91">
        <v>-8</v>
      </c>
      <c r="AB53" s="26">
        <f t="shared" si="30"/>
        <v>55</v>
      </c>
      <c r="AC53" s="16">
        <f t="shared" si="31"/>
        <v>5.5</v>
      </c>
      <c r="AD53" s="91">
        <v>11</v>
      </c>
      <c r="AE53" s="91">
        <v>-2</v>
      </c>
      <c r="AF53" s="91">
        <v>5</v>
      </c>
      <c r="AG53" s="91">
        <v>10</v>
      </c>
      <c r="AH53" s="91">
        <v>3</v>
      </c>
      <c r="AI53" s="91">
        <v>7</v>
      </c>
      <c r="AJ53" s="91">
        <v>9</v>
      </c>
      <c r="AK53" s="91">
        <v>-4</v>
      </c>
      <c r="AL53" s="26">
        <f t="shared" si="32"/>
        <v>39</v>
      </c>
      <c r="AM53" s="16">
        <f t="shared" si="33"/>
        <v>5.57</v>
      </c>
      <c r="AN53" s="17">
        <f t="shared" si="34"/>
        <v>5.3</v>
      </c>
      <c r="AO53" s="18" t="s">
        <v>78</v>
      </c>
      <c r="AP53" s="19">
        <v>437</v>
      </c>
      <c r="AQ53" s="19">
        <v>6887</v>
      </c>
      <c r="AR53" s="19">
        <f t="shared" ca="1" si="48"/>
        <v>50417.929656</v>
      </c>
      <c r="AS53" s="103">
        <v>1160</v>
      </c>
      <c r="AT53" s="19">
        <v>2015</v>
      </c>
      <c r="AU53" s="19">
        <v>3071</v>
      </c>
      <c r="AV53" s="19">
        <v>31446</v>
      </c>
      <c r="AW53" s="20">
        <f t="shared" ca="1" si="35"/>
        <v>43.463732462068968</v>
      </c>
      <c r="AX53" s="20">
        <f t="shared" ca="1" si="36"/>
        <v>16.417430692282643</v>
      </c>
      <c r="AY53" s="20">
        <f t="shared" ca="1" si="37"/>
        <v>1.6033177401259302</v>
      </c>
      <c r="AZ53" s="21">
        <v>12926</v>
      </c>
      <c r="BA53" s="22">
        <f t="shared" si="38"/>
        <v>6.4078102143356866E-2</v>
      </c>
      <c r="BB53" s="22">
        <f t="shared" si="39"/>
        <v>2.4327711589045333</v>
      </c>
      <c r="BC53" s="23">
        <f t="shared" si="40"/>
        <v>0.15588735881169735</v>
      </c>
      <c r="BD53" s="98">
        <v>2616.6999999999998</v>
      </c>
      <c r="BE53" s="23">
        <f t="shared" si="41"/>
        <v>0.17668221415896257</v>
      </c>
      <c r="BF53" s="98">
        <v>4044</v>
      </c>
      <c r="BG53" s="23">
        <f t="shared" si="42"/>
        <v>0.28372095798468333</v>
      </c>
      <c r="BH53" s="24">
        <v>12</v>
      </c>
      <c r="BI53" s="24">
        <v>18</v>
      </c>
      <c r="BJ53" s="25">
        <f t="shared" ca="1" si="49"/>
        <v>128.97416267645787</v>
      </c>
      <c r="BK53" s="25">
        <f t="shared" ca="1" si="50"/>
        <v>342.93654211081054</v>
      </c>
      <c r="BL53" s="23">
        <f t="shared" ca="1" si="43"/>
        <v>-0.10712985991247537</v>
      </c>
      <c r="BM53" s="23">
        <f t="shared" ca="1" si="44"/>
        <v>8.5751676815478906E-2</v>
      </c>
      <c r="BN53" s="95" t="s">
        <v>654</v>
      </c>
      <c r="BO53" s="95" t="s">
        <v>124</v>
      </c>
      <c r="BP53" s="95" t="s">
        <v>659</v>
      </c>
      <c r="BQ53" s="98">
        <v>105</v>
      </c>
      <c r="BR53" s="98">
        <v>35</v>
      </c>
      <c r="BS53" s="98">
        <v>1195</v>
      </c>
      <c r="BT53" t="s">
        <v>858</v>
      </c>
    </row>
    <row r="54" spans="1:72" ht="15" customHeight="1" x14ac:dyDescent="0.25">
      <c r="A54" s="86" t="e" vm="51">
        <v>#VALUE!</v>
      </c>
      <c r="B54" s="10" t="str">
        <f t="array" aca="1" ref="B54" ca="1">_FV(A54,"Símbolo bursátil",TRUE())</f>
        <v>S</v>
      </c>
      <c r="C54" s="88" t="s">
        <v>96</v>
      </c>
      <c r="D54" s="88" t="s">
        <v>97</v>
      </c>
      <c r="E54" s="11" t="str">
        <f t="array" aca="1" ref="E54" ca="1">_FV(A54,"Abreviatura de intercambio",TRUE())</f>
        <v>XNYS</v>
      </c>
      <c r="F54" s="11" t="str">
        <f t="array" aca="1" ref="F54" ca="1">_FV(A54,"Moneda")</f>
        <v>USD</v>
      </c>
      <c r="G54" s="12">
        <f t="array" aca="1" ref="G54" ca="1">_FV(A54,"Precio")</f>
        <v>21.754999999999999</v>
      </c>
      <c r="H54" s="13">
        <f t="array" aca="1" ref="H54" ca="1">_FV(A54,"Acciones en circulación",TRUE())/1000000</f>
        <v>348.04910000000001</v>
      </c>
      <c r="I54" s="14">
        <f t="shared" ca="1" si="25"/>
        <v>7571.8081704999995</v>
      </c>
      <c r="J54" s="90">
        <v>1</v>
      </c>
      <c r="K54" s="90">
        <v>4</v>
      </c>
      <c r="L54" s="90">
        <v>2</v>
      </c>
      <c r="M54" s="90">
        <v>-1</v>
      </c>
      <c r="N54" s="90">
        <v>0</v>
      </c>
      <c r="O54" s="90">
        <v>0</v>
      </c>
      <c r="P54" s="90">
        <v>1</v>
      </c>
      <c r="Q54" s="90">
        <v>0</v>
      </c>
      <c r="R54" s="15">
        <f t="shared" si="28"/>
        <v>7</v>
      </c>
      <c r="S54" s="16">
        <f t="shared" si="29"/>
        <v>4.38</v>
      </c>
      <c r="T54" s="90">
        <v>7</v>
      </c>
      <c r="U54" s="90">
        <v>10</v>
      </c>
      <c r="V54" s="90">
        <v>15</v>
      </c>
      <c r="W54" s="90">
        <v>7</v>
      </c>
      <c r="X54" s="90">
        <v>7</v>
      </c>
      <c r="Y54" s="90">
        <v>9</v>
      </c>
      <c r="Z54" s="90">
        <v>5</v>
      </c>
      <c r="AA54" s="90">
        <v>-18</v>
      </c>
      <c r="AB54" s="15">
        <f t="shared" si="30"/>
        <v>42</v>
      </c>
      <c r="AC54" s="16">
        <f t="shared" si="31"/>
        <v>4.2</v>
      </c>
      <c r="AD54" s="90">
        <v>9</v>
      </c>
      <c r="AE54" s="90">
        <v>-5</v>
      </c>
      <c r="AF54" s="90">
        <v>7</v>
      </c>
      <c r="AG54" s="90">
        <v>7</v>
      </c>
      <c r="AH54" s="90">
        <v>1</v>
      </c>
      <c r="AI54" s="90">
        <v>6</v>
      </c>
      <c r="AJ54" s="90">
        <v>9</v>
      </c>
      <c r="AK54" s="90">
        <v>-8</v>
      </c>
      <c r="AL54" s="15">
        <f t="shared" si="32"/>
        <v>26</v>
      </c>
      <c r="AM54" s="16">
        <f t="shared" si="33"/>
        <v>3.71</v>
      </c>
      <c r="AN54" s="17">
        <f t="shared" si="34"/>
        <v>4.04</v>
      </c>
      <c r="AO54" s="18" t="s">
        <v>78</v>
      </c>
      <c r="AP54" s="19">
        <v>655.29999999999995</v>
      </c>
      <c r="AQ54" s="19">
        <v>0</v>
      </c>
      <c r="AR54" s="19">
        <f t="shared" ca="1" si="48"/>
        <v>6916.5081704999993</v>
      </c>
      <c r="AS54" s="103">
        <v>-291.10000000000002</v>
      </c>
      <c r="AT54" s="19">
        <v>-323.7</v>
      </c>
      <c r="AU54" s="19">
        <v>-256.10000000000002</v>
      </c>
      <c r="AV54" s="19">
        <v>1098.7</v>
      </c>
      <c r="AW54" s="20">
        <f t="shared" ca="1" si="35"/>
        <v>-23.759904398832013</v>
      </c>
      <c r="AX54" s="20">
        <f t="shared" ca="1" si="36"/>
        <v>-27.007060408043728</v>
      </c>
      <c r="AY54" s="20">
        <f t="shared" ca="1" si="37"/>
        <v>6.2951744520797295</v>
      </c>
      <c r="AZ54" s="21">
        <v>1684</v>
      </c>
      <c r="BA54" s="22">
        <f t="shared" si="38"/>
        <v>-0.29462091562755982</v>
      </c>
      <c r="BB54" s="22">
        <f t="shared" si="39"/>
        <v>0.65243467933491694</v>
      </c>
      <c r="BC54" s="23">
        <f t="shared" si="40"/>
        <v>-0.19222090261282662</v>
      </c>
      <c r="BD54" s="98">
        <v>-286.5</v>
      </c>
      <c r="BE54" s="23">
        <f t="shared" si="41"/>
        <v>-3.1805940792061227E-3</v>
      </c>
      <c r="BF54">
        <v>-146.4</v>
      </c>
      <c r="BG54" s="23">
        <f t="shared" si="42"/>
        <v>-0.12843501489683029</v>
      </c>
      <c r="BH54" s="24">
        <v>18</v>
      </c>
      <c r="BI54" s="24">
        <v>26</v>
      </c>
      <c r="BJ54" s="25">
        <f t="shared" ca="1" si="49"/>
        <v>-12.934094643543109</v>
      </c>
      <c r="BK54" s="25">
        <f t="shared" ca="1" si="50"/>
        <v>-9.0536076662746723</v>
      </c>
      <c r="BL54" s="23">
        <f t="shared" ca="1" si="43"/>
        <v>-0.99</v>
      </c>
      <c r="BM54" s="23">
        <f t="shared" ca="1" si="44"/>
        <v>-0.99</v>
      </c>
      <c r="BN54" s="96" t="s">
        <v>880</v>
      </c>
      <c r="BO54" s="96" t="s">
        <v>116</v>
      </c>
      <c r="BP54" s="96" t="s">
        <v>877</v>
      </c>
      <c r="BQ54" s="98">
        <v>322.10000000000002</v>
      </c>
      <c r="BR54" s="98">
        <v>0</v>
      </c>
      <c r="BS54" s="98">
        <v>-291.10000000000002</v>
      </c>
      <c r="BT54" s="96" t="s">
        <v>891</v>
      </c>
    </row>
    <row r="55" spans="1:72" ht="15" customHeight="1" x14ac:dyDescent="0.25">
      <c r="A55" s="86" t="e" vm="52">
        <v>#VALUE!</v>
      </c>
      <c r="B55" s="10" t="str">
        <f t="array" aca="1" ref="B55" ca="1">_FV(A55,"Símbolo bursátil",TRUE())</f>
        <v>TREX</v>
      </c>
      <c r="C55" s="88" t="s">
        <v>128</v>
      </c>
      <c r="D55" s="88" t="s">
        <v>77</v>
      </c>
      <c r="E55" s="11" t="str">
        <f t="array" aca="1" ref="E55" ca="1">_FV(A55,"Abreviatura de intercambio",TRUE())</f>
        <v>XNYS</v>
      </c>
      <c r="F55" s="11" t="str">
        <f t="array" aca="1" ref="F55" ca="1">_FV(A55,"Moneda")</f>
        <v>USD</v>
      </c>
      <c r="G55" s="12">
        <f t="array" aca="1" ref="G55" ca="1">_FV(A55,"Precio")</f>
        <v>46.615000000000002</v>
      </c>
      <c r="H55" s="13">
        <f t="array" aca="1" ref="H55" ca="1">_FV(A55,"Acciones en circulación",TRUE())/1000000</f>
        <v>101.8652</v>
      </c>
      <c r="I55" s="14">
        <f t="shared" ca="1" si="25"/>
        <v>4748.4462979999998</v>
      </c>
      <c r="J55" s="91">
        <v>1</v>
      </c>
      <c r="K55" s="91">
        <v>4</v>
      </c>
      <c r="L55" s="91">
        <v>1</v>
      </c>
      <c r="M55" s="91">
        <v>0</v>
      </c>
      <c r="N55" s="91">
        <v>-1</v>
      </c>
      <c r="O55" s="91">
        <v>0</v>
      </c>
      <c r="P55" s="91">
        <v>0</v>
      </c>
      <c r="Q55" s="91">
        <v>0</v>
      </c>
      <c r="R55" s="26">
        <f t="shared" si="28"/>
        <v>5</v>
      </c>
      <c r="S55" s="16">
        <f t="shared" si="29"/>
        <v>3.13</v>
      </c>
      <c r="T55" s="91">
        <v>10</v>
      </c>
      <c r="U55" s="91">
        <v>10</v>
      </c>
      <c r="V55" s="91">
        <v>9</v>
      </c>
      <c r="W55" s="91">
        <v>7</v>
      </c>
      <c r="X55" s="91">
        <v>6</v>
      </c>
      <c r="Y55" s="91">
        <v>9</v>
      </c>
      <c r="Z55" s="91">
        <v>4</v>
      </c>
      <c r="AA55" s="91">
        <v>-11</v>
      </c>
      <c r="AB55" s="26">
        <f t="shared" si="30"/>
        <v>44</v>
      </c>
      <c r="AC55" s="16">
        <f t="shared" si="31"/>
        <v>4.4000000000000004</v>
      </c>
      <c r="AD55" s="91">
        <v>10</v>
      </c>
      <c r="AE55" s="91">
        <v>-3</v>
      </c>
      <c r="AF55" s="91">
        <v>5</v>
      </c>
      <c r="AG55" s="91">
        <v>8</v>
      </c>
      <c r="AH55" s="91">
        <v>2</v>
      </c>
      <c r="AI55" s="91">
        <v>6</v>
      </c>
      <c r="AJ55" s="91">
        <v>8</v>
      </c>
      <c r="AK55" s="91">
        <v>-5</v>
      </c>
      <c r="AL55" s="26">
        <f t="shared" si="32"/>
        <v>31</v>
      </c>
      <c r="AM55" s="16">
        <f t="shared" si="33"/>
        <v>4.43</v>
      </c>
      <c r="AN55" s="17">
        <f t="shared" si="34"/>
        <v>4.16</v>
      </c>
      <c r="AO55" s="18" t="s">
        <v>78</v>
      </c>
      <c r="AP55" s="19">
        <v>6.5</v>
      </c>
      <c r="AQ55" s="19">
        <v>303</v>
      </c>
      <c r="AR55" s="19">
        <f t="shared" ca="1" si="48"/>
        <v>5044.9462979999998</v>
      </c>
      <c r="AS55" s="103">
        <v>189.1</v>
      </c>
      <c r="AT55" s="19">
        <v>183</v>
      </c>
      <c r="AU55" s="19">
        <v>313</v>
      </c>
      <c r="AV55" s="19">
        <v>1208</v>
      </c>
      <c r="AW55" s="20">
        <f t="shared" ca="1" si="35"/>
        <v>26.678721829719724</v>
      </c>
      <c r="AX55" s="20">
        <f t="shared" ca="1" si="36"/>
        <v>16.118039290734824</v>
      </c>
      <c r="AY55" s="20">
        <f t="shared" ca="1" si="37"/>
        <v>4.1762800480132451</v>
      </c>
      <c r="AZ55" s="21">
        <v>1176</v>
      </c>
      <c r="BA55" s="22">
        <f t="shared" si="38"/>
        <v>0.15149006622516556</v>
      </c>
      <c r="BB55" s="22">
        <f t="shared" si="39"/>
        <v>1.0272108843537415</v>
      </c>
      <c r="BC55" s="23">
        <f t="shared" si="40"/>
        <v>0.15561224489795919</v>
      </c>
      <c r="BD55" s="98">
        <v>189.1</v>
      </c>
      <c r="BE55" s="23">
        <f t="shared" si="41"/>
        <v>0</v>
      </c>
      <c r="BF55">
        <v>364.2</v>
      </c>
      <c r="BG55" s="23">
        <f t="shared" si="42"/>
        <v>0.14006518241154753</v>
      </c>
      <c r="BH55" s="24">
        <v>12</v>
      </c>
      <c r="BI55" s="24">
        <v>18</v>
      </c>
      <c r="BJ55" s="25">
        <f t="shared" ca="1" si="49"/>
        <v>19.36578929801345</v>
      </c>
      <c r="BK55" s="25">
        <f t="shared" ca="1" si="50"/>
        <v>61.444929180917519</v>
      </c>
      <c r="BL55" s="23">
        <f t="shared" ca="1" si="43"/>
        <v>-0.16111601628768657</v>
      </c>
      <c r="BM55" s="23">
        <f t="shared" ca="1" si="44"/>
        <v>5.6798217031276854E-2</v>
      </c>
      <c r="BN55" s="95" t="s">
        <v>654</v>
      </c>
      <c r="BO55" s="95" t="s">
        <v>124</v>
      </c>
      <c r="BP55" s="95" t="s">
        <v>659</v>
      </c>
      <c r="BQ55" s="98">
        <v>9.3000000000000007</v>
      </c>
      <c r="BR55" s="98">
        <v>89.1</v>
      </c>
      <c r="BS55" s="98">
        <v>278.2</v>
      </c>
      <c r="BT55" t="s">
        <v>858</v>
      </c>
    </row>
    <row r="56" spans="1:72" ht="15" customHeight="1" x14ac:dyDescent="0.25">
      <c r="A56" s="86" t="e" vm="53">
        <v>#VALUE!</v>
      </c>
      <c r="B56" s="10" t="str">
        <f t="array" aca="1" ref="B56" ca="1">_FV(A56,"Símbolo bursátil",TRUE())</f>
        <v>SGO</v>
      </c>
      <c r="C56" s="88" t="s">
        <v>128</v>
      </c>
      <c r="D56" s="88" t="s">
        <v>136</v>
      </c>
      <c r="E56" s="11" t="str">
        <f t="array" aca="1" ref="E56" ca="1">_FV(A56,"Abreviatura de intercambio",TRUE())</f>
        <v>XPAR</v>
      </c>
      <c r="F56" s="11" t="str">
        <f t="array" aca="1" ref="F56" ca="1">_FV(A56,"Moneda")</f>
        <v>EUR</v>
      </c>
      <c r="G56" s="12">
        <f t="array" aca="1" ref="G56" ca="1">_FV(A56,"Precio")</f>
        <v>66.42</v>
      </c>
      <c r="H56" s="13">
        <f t="array" aca="1" ref="H56" ca="1">_FV(A56,"Acciones en circulación",TRUE())/1000000</f>
        <v>494.834</v>
      </c>
      <c r="I56" s="14">
        <f t="shared" ca="1" si="25"/>
        <v>32866.874280000004</v>
      </c>
      <c r="J56" s="90">
        <v>0</v>
      </c>
      <c r="K56" s="90">
        <v>4</v>
      </c>
      <c r="L56" s="90">
        <v>1</v>
      </c>
      <c r="M56" s="90">
        <v>0</v>
      </c>
      <c r="N56" s="90">
        <v>0</v>
      </c>
      <c r="O56" s="90">
        <v>0</v>
      </c>
      <c r="P56" s="90">
        <v>0</v>
      </c>
      <c r="Q56" s="90">
        <v>0</v>
      </c>
      <c r="R56" s="15">
        <f t="shared" si="28"/>
        <v>5</v>
      </c>
      <c r="S56" s="16">
        <f t="shared" si="29"/>
        <v>3.13</v>
      </c>
      <c r="T56" s="90">
        <v>10</v>
      </c>
      <c r="U56" s="90">
        <v>10</v>
      </c>
      <c r="V56" s="90">
        <v>9</v>
      </c>
      <c r="W56" s="90">
        <v>8</v>
      </c>
      <c r="X56" s="90">
        <v>6</v>
      </c>
      <c r="Y56" s="90">
        <v>9</v>
      </c>
      <c r="Z56" s="90">
        <v>4</v>
      </c>
      <c r="AA56" s="90">
        <v>-11</v>
      </c>
      <c r="AB56" s="15">
        <f t="shared" si="30"/>
        <v>45</v>
      </c>
      <c r="AC56" s="16">
        <f t="shared" si="31"/>
        <v>4.5</v>
      </c>
      <c r="AD56" s="90">
        <v>10</v>
      </c>
      <c r="AE56" s="90">
        <v>-3</v>
      </c>
      <c r="AF56" s="90">
        <v>3</v>
      </c>
      <c r="AG56" s="90">
        <v>8</v>
      </c>
      <c r="AH56" s="90">
        <v>1</v>
      </c>
      <c r="AI56" s="90">
        <v>6</v>
      </c>
      <c r="AJ56" s="90">
        <v>8</v>
      </c>
      <c r="AK56" s="90">
        <v>-6</v>
      </c>
      <c r="AL56" s="15">
        <f t="shared" si="32"/>
        <v>27</v>
      </c>
      <c r="AM56" s="16">
        <f t="shared" si="33"/>
        <v>3.86</v>
      </c>
      <c r="AN56" s="17">
        <f t="shared" si="34"/>
        <v>3.97</v>
      </c>
      <c r="AO56" s="18" t="s">
        <v>86</v>
      </c>
      <c r="AP56" s="19">
        <v>5751</v>
      </c>
      <c r="AQ56" s="19">
        <v>17270</v>
      </c>
      <c r="AR56" s="19">
        <f t="shared" ca="1" si="48"/>
        <v>44385.874280000004</v>
      </c>
      <c r="AS56" s="103">
        <v>3312</v>
      </c>
      <c r="AT56" s="19">
        <v>3632</v>
      </c>
      <c r="AU56" s="19">
        <v>7337</v>
      </c>
      <c r="AV56" s="19">
        <v>46226</v>
      </c>
      <c r="AW56" s="20">
        <f t="shared" ca="1" si="35"/>
        <v>13.401532089371981</v>
      </c>
      <c r="AX56" s="20">
        <f t="shared" ca="1" si="36"/>
        <v>6.0495944227886058</v>
      </c>
      <c r="AY56" s="20">
        <f t="shared" ca="1" si="37"/>
        <v>0.96019284125816651</v>
      </c>
      <c r="AZ56" s="21">
        <v>43914</v>
      </c>
      <c r="BA56" s="22">
        <f t="shared" si="38"/>
        <v>7.8570501449400768E-2</v>
      </c>
      <c r="BB56" s="22">
        <f t="shared" si="39"/>
        <v>1.0526483581545749</v>
      </c>
      <c r="BC56" s="23">
        <f t="shared" si="40"/>
        <v>8.2707109350093372E-2</v>
      </c>
      <c r="BD56" s="98">
        <v>3480.6</v>
      </c>
      <c r="BE56" s="23">
        <f t="shared" si="41"/>
        <v>9.9799621884466561E-3</v>
      </c>
      <c r="BF56">
        <v>5096.3999999999996</v>
      </c>
      <c r="BG56" s="23">
        <f t="shared" si="42"/>
        <v>9.0020424697864643E-2</v>
      </c>
      <c r="BH56" s="24">
        <v>12</v>
      </c>
      <c r="BI56" s="24">
        <v>16</v>
      </c>
      <c r="BJ56" s="25">
        <f t="shared" ca="1" si="49"/>
        <v>61.127974229741682</v>
      </c>
      <c r="BK56" s="25">
        <f t="shared" ca="1" si="50"/>
        <v>141.50886964113218</v>
      </c>
      <c r="BL56" s="23">
        <f t="shared" ca="1" si="43"/>
        <v>-1.6468607244502276E-2</v>
      </c>
      <c r="BM56" s="23">
        <f t="shared" ca="1" si="44"/>
        <v>0.16331400922778294</v>
      </c>
      <c r="BN56" s="95" t="s">
        <v>654</v>
      </c>
      <c r="BO56" s="95" t="s">
        <v>102</v>
      </c>
      <c r="BP56" s="95" t="s">
        <v>104</v>
      </c>
      <c r="BQ56" s="98">
        <v>136</v>
      </c>
      <c r="BR56" s="98">
        <v>0</v>
      </c>
      <c r="BS56" s="98">
        <v>3312</v>
      </c>
      <c r="BT56" t="s">
        <v>859</v>
      </c>
    </row>
    <row r="57" spans="1:72" ht="15" customHeight="1" x14ac:dyDescent="0.25">
      <c r="A57" s="86" t="e" vm="54">
        <v>#VALUE!</v>
      </c>
      <c r="B57" s="10" t="str">
        <f t="array" aca="1" ref="B57" ca="1">_FV(A57,"Símbolo bursátil",TRUE())</f>
        <v>TFF</v>
      </c>
      <c r="C57" s="88" t="s">
        <v>132</v>
      </c>
      <c r="D57" s="88" t="s">
        <v>136</v>
      </c>
      <c r="E57" s="11" t="str">
        <f t="array" aca="1" ref="E57" ca="1">_FV(A57,"Abreviatura de intercambio",TRUE())</f>
        <v>XPAR</v>
      </c>
      <c r="F57" s="11" t="str">
        <f t="array" aca="1" ref="F57" ca="1">_FV(A57,"Moneda")</f>
        <v>EUR</v>
      </c>
      <c r="G57" s="12">
        <f t="array" aca="1" ref="G57" ca="1">_FV(A57,"Precio")</f>
        <v>13.8</v>
      </c>
      <c r="H57" s="13">
        <f t="array" aca="1" ref="H57" ca="1">_FV(A57,"Acciones en circulación",TRUE())/1000000</f>
        <v>21.68</v>
      </c>
      <c r="I57" s="14">
        <f t="shared" ca="1" si="25"/>
        <v>299.18400000000003</v>
      </c>
      <c r="J57" s="91">
        <v>0</v>
      </c>
      <c r="K57" s="91">
        <v>5</v>
      </c>
      <c r="L57" s="91">
        <v>1</v>
      </c>
      <c r="M57" s="91">
        <v>-1</v>
      </c>
      <c r="N57" s="91">
        <v>-2</v>
      </c>
      <c r="O57" s="91">
        <v>0</v>
      </c>
      <c r="P57" s="91">
        <v>0</v>
      </c>
      <c r="Q57" s="91">
        <v>1</v>
      </c>
      <c r="R57" s="26">
        <f t="shared" si="28"/>
        <v>4</v>
      </c>
      <c r="S57" s="16">
        <f t="shared" si="29"/>
        <v>2.5</v>
      </c>
      <c r="T57" s="91">
        <v>7</v>
      </c>
      <c r="U57" s="91">
        <v>11</v>
      </c>
      <c r="V57" s="91">
        <v>7</v>
      </c>
      <c r="W57" s="91">
        <v>6</v>
      </c>
      <c r="X57" s="91">
        <v>5</v>
      </c>
      <c r="Y57" s="91">
        <v>9</v>
      </c>
      <c r="Z57" s="91">
        <v>8</v>
      </c>
      <c r="AA57" s="91">
        <v>-14</v>
      </c>
      <c r="AB57" s="26">
        <f t="shared" si="30"/>
        <v>39</v>
      </c>
      <c r="AC57" s="16">
        <f t="shared" si="31"/>
        <v>3.9</v>
      </c>
      <c r="AD57" s="91">
        <v>9</v>
      </c>
      <c r="AE57" s="91">
        <v>-4</v>
      </c>
      <c r="AF57" s="91">
        <v>3</v>
      </c>
      <c r="AG57" s="91">
        <v>8</v>
      </c>
      <c r="AH57" s="91">
        <v>-1</v>
      </c>
      <c r="AI57" s="91">
        <v>7</v>
      </c>
      <c r="AJ57" s="91">
        <v>9</v>
      </c>
      <c r="AK57" s="91">
        <v>-6</v>
      </c>
      <c r="AL57" s="26">
        <f t="shared" si="32"/>
        <v>25</v>
      </c>
      <c r="AM57" s="16">
        <f t="shared" si="33"/>
        <v>3.57</v>
      </c>
      <c r="AN57" s="17">
        <f t="shared" si="34"/>
        <v>3.49</v>
      </c>
      <c r="AO57" s="18" t="s">
        <v>86</v>
      </c>
      <c r="AP57" s="19">
        <v>97</v>
      </c>
      <c r="AQ57" s="19">
        <v>382</v>
      </c>
      <c r="AR57" s="19">
        <f t="shared" ca="1" si="48"/>
        <v>584.18399999999997</v>
      </c>
      <c r="AS57" s="103">
        <v>59</v>
      </c>
      <c r="AT57" s="19">
        <v>21</v>
      </c>
      <c r="AU57" s="19">
        <v>48</v>
      </c>
      <c r="AV57" s="19">
        <v>313</v>
      </c>
      <c r="AW57" s="20">
        <f t="shared" ca="1" si="35"/>
        <v>9.9014237288135583</v>
      </c>
      <c r="AX57" s="20">
        <f t="shared" ca="1" si="36"/>
        <v>12.170499999999999</v>
      </c>
      <c r="AY57" s="20">
        <f t="shared" ca="1" si="37"/>
        <v>1.866402555910543</v>
      </c>
      <c r="AZ57" s="21">
        <v>624</v>
      </c>
      <c r="BA57" s="22">
        <f t="shared" si="38"/>
        <v>6.7092651757188496E-2</v>
      </c>
      <c r="BB57" s="22">
        <f t="shared" si="39"/>
        <v>0.5016025641025641</v>
      </c>
      <c r="BC57" s="23">
        <f t="shared" si="40"/>
        <v>3.3653846153846152E-2</v>
      </c>
      <c r="BD57" s="98">
        <v>12</v>
      </c>
      <c r="BE57" s="23">
        <f t="shared" si="41"/>
        <v>-0.27277994551431728</v>
      </c>
      <c r="BF57">
        <v>42</v>
      </c>
      <c r="BG57" s="23">
        <f t="shared" si="42"/>
        <v>-6.5714829037020306E-2</v>
      </c>
      <c r="BH57" s="24">
        <v>6.5</v>
      </c>
      <c r="BI57" s="24">
        <v>12.5</v>
      </c>
      <c r="BJ57" s="25">
        <f t="shared" ca="1" si="49"/>
        <v>-9.547970479704798</v>
      </c>
      <c r="BK57" s="25">
        <f t="shared" ca="1" si="50"/>
        <v>11.07011070110701</v>
      </c>
      <c r="BL57" s="23">
        <f t="shared" ca="1" si="43"/>
        <v>-0.99</v>
      </c>
      <c r="BM57" s="23">
        <f t="shared" ca="1" si="44"/>
        <v>-4.3126393695396947E-2</v>
      </c>
      <c r="BN57" s="95" t="s">
        <v>654</v>
      </c>
      <c r="BO57" s="93" t="s">
        <v>142</v>
      </c>
      <c r="BP57" s="93" t="s">
        <v>143</v>
      </c>
      <c r="BQ57" s="98"/>
      <c r="BR57" s="98"/>
      <c r="BS57" s="98"/>
    </row>
    <row r="58" spans="1:72" ht="15" customHeight="1" x14ac:dyDescent="0.25">
      <c r="A58" s="86" t="e" vm="55">
        <v>#VALUE!</v>
      </c>
      <c r="B58" s="10" t="str">
        <f t="array" aca="1" ref="B58" ca="1">_FV(A58,"Símbolo bursátil",TRUE)</f>
        <v>CELH</v>
      </c>
      <c r="C58" s="88" t="s">
        <v>105</v>
      </c>
      <c r="D58" s="88" t="s">
        <v>97</v>
      </c>
      <c r="E58" s="11" t="str">
        <f t="array" aca="1" ref="E58" ca="1">_FV(A58,"Abreviatura de intercambio",TRUE())</f>
        <v>XNAS</v>
      </c>
      <c r="F58" s="11" t="str">
        <f t="array" aca="1" ref="F58" ca="1">_FV(A58,"Moneda")</f>
        <v>USD</v>
      </c>
      <c r="G58" s="12">
        <f t="array" aca="1" ref="G58" ca="1">_FV(A58,"Precio")</f>
        <v>29.77</v>
      </c>
      <c r="H58" s="13">
        <f t="array" aca="1" ref="H58" ca="1">_FV(A58,"Acciones en circulación",TRUE())/1000000</f>
        <v>253.035</v>
      </c>
      <c r="I58" s="14">
        <f t="shared" ca="1" si="25"/>
        <v>7532.8519500000002</v>
      </c>
      <c r="J58" s="90">
        <v>0</v>
      </c>
      <c r="K58" s="90">
        <v>4</v>
      </c>
      <c r="L58" s="90">
        <v>2</v>
      </c>
      <c r="M58" s="90">
        <v>0</v>
      </c>
      <c r="N58" s="90">
        <v>-3</v>
      </c>
      <c r="O58" s="90">
        <v>0</v>
      </c>
      <c r="P58" s="90">
        <v>0</v>
      </c>
      <c r="Q58" s="90">
        <v>0</v>
      </c>
      <c r="R58" s="15">
        <f t="shared" si="28"/>
        <v>3</v>
      </c>
      <c r="S58" s="16">
        <f t="shared" si="29"/>
        <v>1.88</v>
      </c>
      <c r="T58" s="90">
        <v>10</v>
      </c>
      <c r="U58" s="90">
        <v>10</v>
      </c>
      <c r="V58" s="90">
        <v>11</v>
      </c>
      <c r="W58" s="90">
        <v>6</v>
      </c>
      <c r="X58" s="90">
        <v>5</v>
      </c>
      <c r="Y58" s="90">
        <v>8</v>
      </c>
      <c r="Z58" s="90">
        <v>4</v>
      </c>
      <c r="AA58" s="90">
        <v>-18</v>
      </c>
      <c r="AB58" s="15">
        <f t="shared" si="30"/>
        <v>36</v>
      </c>
      <c r="AC58" s="16">
        <f t="shared" si="31"/>
        <v>3.6</v>
      </c>
      <c r="AD58" s="90">
        <v>8</v>
      </c>
      <c r="AE58" s="90">
        <v>-4</v>
      </c>
      <c r="AF58" s="90">
        <v>7</v>
      </c>
      <c r="AG58" s="90">
        <v>7</v>
      </c>
      <c r="AH58" s="90">
        <v>1</v>
      </c>
      <c r="AI58" s="90">
        <v>5</v>
      </c>
      <c r="AJ58" s="90">
        <v>7</v>
      </c>
      <c r="AK58" s="90">
        <v>-7</v>
      </c>
      <c r="AL58" s="15">
        <f t="shared" si="32"/>
        <v>24</v>
      </c>
      <c r="AM58" s="16">
        <f t="shared" si="33"/>
        <v>3.43</v>
      </c>
      <c r="AN58" s="17">
        <f t="shared" si="34"/>
        <v>3.19</v>
      </c>
      <c r="AO58" s="18" t="s">
        <v>78</v>
      </c>
      <c r="AP58" s="19">
        <v>631</v>
      </c>
      <c r="AQ58" s="19">
        <v>668</v>
      </c>
      <c r="AR58" s="19">
        <f t="shared" ca="1" si="48"/>
        <v>7569.8519500000002</v>
      </c>
      <c r="AS58" s="103">
        <v>428</v>
      </c>
      <c r="AT58" s="19">
        <v>430</v>
      </c>
      <c r="AU58" s="19">
        <v>719</v>
      </c>
      <c r="AV58" s="19">
        <v>3047</v>
      </c>
      <c r="AW58" s="20">
        <f t="shared" ca="1" si="35"/>
        <v>17.686569976635514</v>
      </c>
      <c r="AX58" s="20">
        <f t="shared" ca="1" si="36"/>
        <v>10.528305910987482</v>
      </c>
      <c r="AY58" s="20">
        <f t="shared" ca="1" si="37"/>
        <v>2.4843623071873977</v>
      </c>
      <c r="AZ58" s="21">
        <v>3400</v>
      </c>
      <c r="BA58" s="22">
        <f t="shared" si="38"/>
        <v>0.14112241549064652</v>
      </c>
      <c r="BB58" s="22">
        <f t="shared" si="39"/>
        <v>0.89617647058823524</v>
      </c>
      <c r="BC58" s="23">
        <f t="shared" si="40"/>
        <v>0.12647058823529408</v>
      </c>
      <c r="BD58" s="98">
        <v>408.9</v>
      </c>
      <c r="BE58" s="23">
        <f t="shared" si="41"/>
        <v>-9.0889570763269534E-3</v>
      </c>
      <c r="BF58">
        <v>1404.6</v>
      </c>
      <c r="BG58" s="23">
        <f t="shared" si="42"/>
        <v>0.26829937667810944</v>
      </c>
      <c r="BH58" s="24">
        <v>16</v>
      </c>
      <c r="BI58" s="24">
        <v>22.5</v>
      </c>
      <c r="BJ58" s="25">
        <f t="shared" ca="1" si="49"/>
        <v>25.709486829885194</v>
      </c>
      <c r="BK58" s="25">
        <f t="shared" ca="1" si="50"/>
        <v>124.75151658861421</v>
      </c>
      <c r="BL58" s="23">
        <f t="shared" ca="1" si="43"/>
        <v>-2.8902324224497344E-2</v>
      </c>
      <c r="BM58" s="23">
        <f t="shared" ca="1" si="44"/>
        <v>0.3318441267492902</v>
      </c>
      <c r="BN58" s="96" t="s">
        <v>654</v>
      </c>
      <c r="BO58" t="s">
        <v>117</v>
      </c>
      <c r="BP58" s="96" t="s">
        <v>133</v>
      </c>
      <c r="BQ58" s="98">
        <v>34.799999999999997</v>
      </c>
      <c r="BR58" s="98">
        <v>8.9</v>
      </c>
      <c r="BS58" s="98">
        <v>436.9</v>
      </c>
      <c r="BT58" t="s">
        <v>858</v>
      </c>
    </row>
    <row r="59" spans="1:72" ht="15" customHeight="1" x14ac:dyDescent="0.25">
      <c r="A59" s="86" t="e" vm="56">
        <v>#VALUE!</v>
      </c>
      <c r="B59" s="10" t="str">
        <f t="array" aca="1" ref="B59" ca="1">_FV(A59,"Símbolo bursátil",TRUE())</f>
        <v>BFIT</v>
      </c>
      <c r="C59" s="88" t="s">
        <v>127</v>
      </c>
      <c r="D59" s="88" t="s">
        <v>97</v>
      </c>
      <c r="E59" s="11" t="str">
        <f t="array" aca="1" ref="E59" ca="1">_FV(A59,"Abreviatura de intercambio",TRUE())</f>
        <v>XAMS</v>
      </c>
      <c r="F59" s="11" t="str">
        <f t="array" aca="1" ref="F59" ca="1">_FV(A59,"Moneda")</f>
        <v>EUR</v>
      </c>
      <c r="G59" s="12">
        <f t="array" aca="1" ref="G59" ca="1">_FV(A59,"Precio")</f>
        <v>30.36</v>
      </c>
      <c r="H59" s="13">
        <f t="array" aca="1" ref="H59" ca="1">_FV(A59,"Acciones en circulación",TRUE())/1000000</f>
        <v>65</v>
      </c>
      <c r="I59" s="14">
        <f t="shared" ca="1" si="25"/>
        <v>1973.3999999999999</v>
      </c>
      <c r="J59" s="91">
        <v>0</v>
      </c>
      <c r="K59" s="91">
        <v>4</v>
      </c>
      <c r="L59" s="91">
        <v>1</v>
      </c>
      <c r="M59" s="91">
        <v>-1</v>
      </c>
      <c r="N59" s="91">
        <v>0</v>
      </c>
      <c r="O59" s="91">
        <v>0</v>
      </c>
      <c r="P59" s="91">
        <v>0</v>
      </c>
      <c r="Q59" s="91">
        <v>0</v>
      </c>
      <c r="R59" s="26">
        <f t="shared" si="28"/>
        <v>4</v>
      </c>
      <c r="S59" s="16">
        <f t="shared" si="29"/>
        <v>2.5</v>
      </c>
      <c r="T59" s="91">
        <v>7</v>
      </c>
      <c r="U59" s="91">
        <v>9</v>
      </c>
      <c r="V59" s="91">
        <v>10</v>
      </c>
      <c r="W59" s="91">
        <v>8</v>
      </c>
      <c r="X59" s="91">
        <v>6</v>
      </c>
      <c r="Y59" s="91">
        <v>9</v>
      </c>
      <c r="Z59" s="91">
        <v>5</v>
      </c>
      <c r="AA59" s="91">
        <v>-15</v>
      </c>
      <c r="AB59" s="26">
        <f t="shared" si="30"/>
        <v>39</v>
      </c>
      <c r="AC59" s="16">
        <f t="shared" si="31"/>
        <v>3.9</v>
      </c>
      <c r="AD59" s="91">
        <v>8</v>
      </c>
      <c r="AE59" s="91">
        <v>-5</v>
      </c>
      <c r="AF59" s="91">
        <v>2</v>
      </c>
      <c r="AG59" s="91">
        <v>8</v>
      </c>
      <c r="AH59" s="91">
        <v>-2</v>
      </c>
      <c r="AI59" s="91">
        <v>6</v>
      </c>
      <c r="AJ59" s="91">
        <v>8</v>
      </c>
      <c r="AK59" s="91">
        <v>-7</v>
      </c>
      <c r="AL59" s="26">
        <f t="shared" si="32"/>
        <v>18</v>
      </c>
      <c r="AM59" s="16">
        <f t="shared" si="33"/>
        <v>2.57</v>
      </c>
      <c r="AN59" s="17">
        <f t="shared" si="34"/>
        <v>3.09</v>
      </c>
      <c r="AO59" s="18" t="s">
        <v>86</v>
      </c>
      <c r="AP59" s="19">
        <v>40</v>
      </c>
      <c r="AQ59" s="19">
        <v>740</v>
      </c>
      <c r="AR59" s="19">
        <f t="shared" ca="1" si="48"/>
        <v>2673.3999999999996</v>
      </c>
      <c r="AS59" s="103">
        <v>367.1</v>
      </c>
      <c r="AT59" s="19">
        <v>50</v>
      </c>
      <c r="AU59" s="19">
        <v>260</v>
      </c>
      <c r="AV59" s="19">
        <v>1250</v>
      </c>
      <c r="AW59" s="20">
        <f t="shared" ca="1" si="35"/>
        <v>7.2824843366929981</v>
      </c>
      <c r="AX59" s="20">
        <f t="shared" ca="1" si="36"/>
        <v>10.282307692307691</v>
      </c>
      <c r="AY59" s="20">
        <f t="shared" ca="1" si="37"/>
        <v>2.1387199999999997</v>
      </c>
      <c r="AZ59" s="21">
        <v>1500</v>
      </c>
      <c r="BA59" s="22">
        <f t="shared" si="38"/>
        <v>0.04</v>
      </c>
      <c r="BB59" s="22">
        <f t="shared" si="39"/>
        <v>0.83333333333333337</v>
      </c>
      <c r="BC59" s="23">
        <f t="shared" si="40"/>
        <v>3.3333333333333333E-2</v>
      </c>
      <c r="BD59" s="98">
        <v>403.8</v>
      </c>
      <c r="BE59" s="23">
        <f t="shared" si="41"/>
        <v>1.9239828300609885E-2</v>
      </c>
      <c r="BF59">
        <v>770.9</v>
      </c>
      <c r="BG59" s="23">
        <f t="shared" si="42"/>
        <v>0.15995924930588701</v>
      </c>
      <c r="BH59" s="24">
        <v>12</v>
      </c>
      <c r="BI59" s="24">
        <v>18</v>
      </c>
      <c r="BJ59" s="25">
        <f t="shared" ca="1" si="49"/>
        <v>63.778461538461542</v>
      </c>
      <c r="BK59" s="25">
        <f t="shared" ca="1" si="50"/>
        <v>202.71076923076922</v>
      </c>
      <c r="BL59" s="23">
        <f t="shared" ca="1" si="43"/>
        <v>0.16004397916974367</v>
      </c>
      <c r="BM59" s="23">
        <f t="shared" ca="1" si="44"/>
        <v>0.46189106219163945</v>
      </c>
      <c r="BN59" s="93" t="s">
        <v>119</v>
      </c>
      <c r="BO59" s="93" t="s">
        <v>120</v>
      </c>
      <c r="BP59" s="93" t="s">
        <v>121</v>
      </c>
      <c r="BQ59" s="98">
        <v>2.2999999999999998</v>
      </c>
      <c r="BR59" s="98">
        <v>0</v>
      </c>
      <c r="BS59" s="98">
        <v>367.1</v>
      </c>
      <c r="BT59" t="s">
        <v>859</v>
      </c>
    </row>
    <row r="60" spans="1:72" ht="15" customHeight="1" x14ac:dyDescent="0.25">
      <c r="A60" s="86" t="e" vm="57">
        <v>#VALUE!</v>
      </c>
      <c r="B60" s="10" t="str">
        <f t="array" aca="1" ref="B60" ca="1">_FV(A60,"Símbolo bursátil",TRUE())</f>
        <v>VRLA</v>
      </c>
      <c r="C60" s="88" t="s">
        <v>132</v>
      </c>
      <c r="D60" s="88" t="s">
        <v>136</v>
      </c>
      <c r="E60" s="11" t="s">
        <v>578</v>
      </c>
      <c r="F60" s="11" t="str">
        <f t="array" aca="1" ref="F60" ca="1">_FV(A60,"Moneda")</f>
        <v>EUR</v>
      </c>
      <c r="G60" s="12">
        <f t="array" aca="1" ref="G60" ca="1">_FV(A60,"Precio")</f>
        <v>18.39</v>
      </c>
      <c r="H60" s="13">
        <f t="array" aca="1" ref="H60" ca="1">_FV(A60,"Acciones en circulación",TRUE())/1000000</f>
        <v>127.5873</v>
      </c>
      <c r="I60" s="14">
        <f t="shared" ca="1" si="25"/>
        <v>2346.3304470000003</v>
      </c>
      <c r="J60" s="90">
        <v>0.75</v>
      </c>
      <c r="K60" s="90">
        <v>5.5</v>
      </c>
      <c r="L60" s="90">
        <v>0.5</v>
      </c>
      <c r="M60" s="90">
        <v>-0.75</v>
      </c>
      <c r="N60" s="90">
        <v>-0.75</v>
      </c>
      <c r="O60" s="90">
        <v>0</v>
      </c>
      <c r="P60" s="90">
        <v>0</v>
      </c>
      <c r="Q60" s="90">
        <v>0</v>
      </c>
      <c r="R60" s="15">
        <f t="shared" si="28"/>
        <v>5.25</v>
      </c>
      <c r="S60" s="16">
        <f t="shared" si="29"/>
        <v>3.28</v>
      </c>
      <c r="T60" s="90">
        <v>9</v>
      </c>
      <c r="U60" s="90">
        <v>11</v>
      </c>
      <c r="V60" s="90">
        <v>8</v>
      </c>
      <c r="W60" s="90">
        <v>6.5</v>
      </c>
      <c r="X60" s="90">
        <v>6.5</v>
      </c>
      <c r="Y60" s="90">
        <v>9</v>
      </c>
      <c r="Z60" s="90">
        <v>5</v>
      </c>
      <c r="AA60" s="90">
        <v>-18</v>
      </c>
      <c r="AB60" s="15">
        <f t="shared" si="30"/>
        <v>37</v>
      </c>
      <c r="AC60" s="16">
        <f t="shared" si="31"/>
        <v>3.7</v>
      </c>
      <c r="AD60" s="90">
        <v>12</v>
      </c>
      <c r="AE60" s="90">
        <v>-2</v>
      </c>
      <c r="AF60" s="90">
        <v>3</v>
      </c>
      <c r="AG60" s="90">
        <v>9</v>
      </c>
      <c r="AH60" s="90">
        <v>0</v>
      </c>
      <c r="AI60" s="90">
        <v>7</v>
      </c>
      <c r="AJ60" s="90">
        <v>9</v>
      </c>
      <c r="AK60" s="90">
        <v>-6</v>
      </c>
      <c r="AL60" s="15">
        <f t="shared" si="32"/>
        <v>32</v>
      </c>
      <c r="AM60" s="16">
        <f t="shared" si="33"/>
        <v>4.57</v>
      </c>
      <c r="AN60" s="17">
        <f t="shared" si="34"/>
        <v>3.96</v>
      </c>
      <c r="AO60" s="18" t="s">
        <v>86</v>
      </c>
      <c r="AP60" s="19">
        <v>413.9</v>
      </c>
      <c r="AQ60" s="19">
        <v>2131.9</v>
      </c>
      <c r="AR60" s="19">
        <f t="shared" ca="1" si="48"/>
        <v>4064.3304470000003</v>
      </c>
      <c r="AS60" s="103">
        <v>195.6</v>
      </c>
      <c r="AT60" s="19">
        <v>270</v>
      </c>
      <c r="AU60" s="19">
        <v>693</v>
      </c>
      <c r="AV60" s="19">
        <v>3307.7</v>
      </c>
      <c r="AW60" s="20">
        <f t="shared" ca="1" si="35"/>
        <v>20.778785516359921</v>
      </c>
      <c r="AX60" s="20">
        <f t="shared" ca="1" si="36"/>
        <v>5.8648346998557006</v>
      </c>
      <c r="AY60" s="20">
        <f t="shared" ca="1" si="37"/>
        <v>1.2287482078181216</v>
      </c>
      <c r="AZ60" s="21">
        <v>3400</v>
      </c>
      <c r="BA60" s="22">
        <f t="shared" si="38"/>
        <v>8.1627717144843848E-2</v>
      </c>
      <c r="BB60" s="22">
        <f t="shared" si="39"/>
        <v>0.97285294117647059</v>
      </c>
      <c r="BC60" s="23">
        <f t="shared" si="40"/>
        <v>7.9411764705882348E-2</v>
      </c>
      <c r="BD60" s="98">
        <v>300</v>
      </c>
      <c r="BE60" s="23">
        <f t="shared" si="41"/>
        <v>8.9307467509151861E-2</v>
      </c>
      <c r="BF60">
        <v>490</v>
      </c>
      <c r="BG60" s="23">
        <f t="shared" si="42"/>
        <v>0.20161529006442658</v>
      </c>
      <c r="BH60" s="24">
        <v>8</v>
      </c>
      <c r="BI60" s="24">
        <v>15</v>
      </c>
      <c r="BJ60" s="25">
        <f t="shared" ca="1" si="49"/>
        <v>5.3453596086757855</v>
      </c>
      <c r="BK60" s="25">
        <f t="shared" ca="1" si="50"/>
        <v>44.142324510354868</v>
      </c>
      <c r="BL60" s="23">
        <f t="shared" ca="1" si="43"/>
        <v>-0.21894963500335884</v>
      </c>
      <c r="BM60" s="23">
        <f t="shared" ca="1" si="44"/>
        <v>0.1913920395642299</v>
      </c>
      <c r="BN60" s="93" t="s">
        <v>119</v>
      </c>
      <c r="BO60" s="93" t="s">
        <v>120</v>
      </c>
      <c r="BP60" s="95" t="s">
        <v>121</v>
      </c>
      <c r="BQ60" s="98">
        <v>6.2</v>
      </c>
      <c r="BR60" s="98">
        <v>0</v>
      </c>
      <c r="BS60" s="98">
        <v>195.6</v>
      </c>
      <c r="BT60" s="96" t="s">
        <v>907</v>
      </c>
    </row>
    <row r="61" spans="1:72" ht="15" customHeight="1" x14ac:dyDescent="0.25">
      <c r="A61" s="86" t="e" vm="58">
        <v>#VALUE!</v>
      </c>
      <c r="B61" s="10" t="str">
        <f t="array" aca="1" ref="B61" ca="1">_FV(A61,"Símbolo bursátil",TRUE())</f>
        <v>KIST</v>
      </c>
      <c r="C61" s="88" t="s">
        <v>138</v>
      </c>
      <c r="D61" s="88" t="s">
        <v>139</v>
      </c>
      <c r="E61" s="11" t="str">
        <f t="array" aca="1" ref="E61" ca="1">_FV(A61,"Abreviatura de intercambio",TRUE())</f>
        <v>XLON</v>
      </c>
      <c r="F61" s="11" t="str">
        <f t="array" aca="1" ref="F61" ca="1">_FV(A61,"Moneda")</f>
        <v>GBp</v>
      </c>
      <c r="G61" s="12">
        <f t="array" aca="1" ref="G61" ca="1">_FV(A61,"Precio")</f>
        <v>298</v>
      </c>
      <c r="H61" s="13">
        <f t="array" aca="1" ref="H61" ca="1">_FV(A61,"Acciones en circulación",TRUE())/1000000</f>
        <v>83.117649999999998</v>
      </c>
      <c r="I61" s="14">
        <f ca="1">G61/100*H61</f>
        <v>247.690597</v>
      </c>
      <c r="J61" s="91">
        <v>0</v>
      </c>
      <c r="K61" s="91">
        <v>2</v>
      </c>
      <c r="L61" s="91">
        <v>1</v>
      </c>
      <c r="M61" s="91">
        <v>0</v>
      </c>
      <c r="N61" s="91">
        <v>-2</v>
      </c>
      <c r="O61" s="91">
        <v>0</v>
      </c>
      <c r="P61" s="91">
        <v>1</v>
      </c>
      <c r="Q61" s="91">
        <v>1</v>
      </c>
      <c r="R61" s="26">
        <f t="shared" si="28"/>
        <v>3</v>
      </c>
      <c r="S61" s="16">
        <f t="shared" si="29"/>
        <v>1.88</v>
      </c>
      <c r="T61" s="91">
        <v>9</v>
      </c>
      <c r="U61" s="91">
        <v>5</v>
      </c>
      <c r="V61" s="91">
        <v>8</v>
      </c>
      <c r="W61" s="91">
        <v>5</v>
      </c>
      <c r="X61" s="91">
        <v>4</v>
      </c>
      <c r="Y61" s="91">
        <v>10</v>
      </c>
      <c r="Z61" s="91">
        <v>10</v>
      </c>
      <c r="AA61" s="91">
        <v>-20</v>
      </c>
      <c r="AB61" s="26">
        <f t="shared" si="30"/>
        <v>31</v>
      </c>
      <c r="AC61" s="16">
        <f t="shared" si="31"/>
        <v>3.1</v>
      </c>
      <c r="AD61" s="91">
        <v>5</v>
      </c>
      <c r="AE61" s="91">
        <v>-10</v>
      </c>
      <c r="AF61" s="91">
        <v>2</v>
      </c>
      <c r="AG61" s="91">
        <v>10</v>
      </c>
      <c r="AH61" s="91">
        <v>1</v>
      </c>
      <c r="AI61" s="91">
        <v>8</v>
      </c>
      <c r="AJ61" s="91">
        <v>5</v>
      </c>
      <c r="AK61" s="91">
        <v>-10</v>
      </c>
      <c r="AL61" s="26">
        <f t="shared" si="32"/>
        <v>11</v>
      </c>
      <c r="AM61" s="16">
        <f t="shared" si="33"/>
        <v>1.57</v>
      </c>
      <c r="AN61" s="17">
        <f t="shared" si="34"/>
        <v>2.2400000000000002</v>
      </c>
      <c r="AO61" s="18" t="s">
        <v>78</v>
      </c>
      <c r="AP61" s="19">
        <v>199.5</v>
      </c>
      <c r="AQ61" s="19">
        <v>300</v>
      </c>
      <c r="AR61" s="19">
        <f ca="1">I61*'Framework Notes'!$E$9-AP61+AQ61</f>
        <v>430.0523393085</v>
      </c>
      <c r="AS61" s="103">
        <v>147.80000000000001</v>
      </c>
      <c r="AT61" s="19">
        <f>390-230</f>
        <v>160</v>
      </c>
      <c r="AU61" s="19">
        <v>226.9</v>
      </c>
      <c r="AV61" s="19">
        <v>336.9</v>
      </c>
      <c r="AW61" s="20">
        <f t="shared" ca="1" si="35"/>
        <v>2.9096910643335585</v>
      </c>
      <c r="AX61" s="20">
        <f t="shared" ca="1" si="36"/>
        <v>1.8953386483406787</v>
      </c>
      <c r="AY61" s="20">
        <f t="shared" ca="1" si="37"/>
        <v>1.276498484145147</v>
      </c>
      <c r="AZ61" s="21">
        <v>300</v>
      </c>
      <c r="BA61" s="22">
        <f t="shared" si="38"/>
        <v>0.4749183734045711</v>
      </c>
      <c r="BB61" s="22">
        <f t="shared" si="39"/>
        <v>1.123</v>
      </c>
      <c r="BC61" s="23">
        <f t="shared" si="40"/>
        <v>0.53333333333333333</v>
      </c>
      <c r="BD61" s="98">
        <v>40</v>
      </c>
      <c r="BE61" s="23">
        <f t="shared" si="41"/>
        <v>-0.23002413661582755</v>
      </c>
      <c r="BF61">
        <v>65</v>
      </c>
      <c r="BG61" s="23">
        <f t="shared" si="42"/>
        <v>-0.15150793633622162</v>
      </c>
      <c r="BH61" s="24">
        <v>6</v>
      </c>
      <c r="BI61" s="24">
        <v>10</v>
      </c>
      <c r="BJ61" s="25">
        <f ca="1">((BD61*BH61+$AP61-$AQ61)/$H61)/'Framework Notes'!$E$9*100</f>
        <v>126.14384739986512</v>
      </c>
      <c r="BK61" s="25">
        <f ca="1">((BF61*BI61+$AP61-$AQ61)/$H61)/'Framework Notes'!$E$9*100</f>
        <v>496.88920534928957</v>
      </c>
      <c r="BL61" s="23">
        <f t="shared" ca="1" si="43"/>
        <v>-0.15796535284066615</v>
      </c>
      <c r="BM61" s="23">
        <f t="shared" ca="1" si="44"/>
        <v>0.10766557768798046</v>
      </c>
      <c r="BN61" s="95" t="s">
        <v>921</v>
      </c>
      <c r="BO61" s="95" t="s">
        <v>922</v>
      </c>
      <c r="BP61" s="95" t="s">
        <v>923</v>
      </c>
      <c r="BQ61" s="98">
        <v>3.6</v>
      </c>
      <c r="BR61" s="98">
        <v>0</v>
      </c>
      <c r="BS61" s="98">
        <v>147.80000000000001</v>
      </c>
      <c r="BT61" s="96" t="s">
        <v>924</v>
      </c>
    </row>
    <row r="62" spans="1:72" ht="15" customHeight="1" x14ac:dyDescent="0.25">
      <c r="A62" s="86" t="e" vm="59">
        <v>#VALUE!</v>
      </c>
      <c r="B62" s="10" t="str">
        <f t="array" aca="1" ref="B62" ca="1">_FV(A62,"Símbolo bursátil",TRUE())</f>
        <v>WOSG</v>
      </c>
      <c r="C62" s="88" t="s">
        <v>105</v>
      </c>
      <c r="D62" s="88" t="s">
        <v>136</v>
      </c>
      <c r="E62" s="11" t="str">
        <f t="array" aca="1" ref="E62" ca="1">_FV(A62,"Abreviatura de intercambio",TRUE())</f>
        <v>XLON</v>
      </c>
      <c r="F62" s="11" t="str">
        <f t="array" aca="1" ref="F62" ca="1">_FV(A62,"Moneda")</f>
        <v>GBp</v>
      </c>
      <c r="G62" s="12">
        <f t="array" aca="1" ref="G62" ca="1">_FV(A62,"Precio")</f>
        <v>698.5</v>
      </c>
      <c r="H62" s="13">
        <f t="array" aca="1" ref="H62" ca="1">_FV(A62,"Acciones en circulación",TRUE())/1000000</f>
        <v>233.30160000000001</v>
      </c>
      <c r="I62" s="14">
        <f ca="1">G62/100*H62</f>
        <v>1629.6116760000002</v>
      </c>
      <c r="J62" s="90">
        <v>0.5</v>
      </c>
      <c r="K62" s="90">
        <v>3</v>
      </c>
      <c r="L62" s="90">
        <v>1</v>
      </c>
      <c r="M62" s="90">
        <v>-1</v>
      </c>
      <c r="N62" s="90">
        <v>-2</v>
      </c>
      <c r="O62" s="90">
        <v>0</v>
      </c>
      <c r="P62" s="90">
        <v>0</v>
      </c>
      <c r="Q62" s="90">
        <v>0</v>
      </c>
      <c r="R62" s="15">
        <f t="shared" si="28"/>
        <v>1.5</v>
      </c>
      <c r="S62" s="16">
        <f t="shared" si="29"/>
        <v>0.94</v>
      </c>
      <c r="T62" s="90">
        <v>7</v>
      </c>
      <c r="U62" s="90">
        <v>8</v>
      </c>
      <c r="V62" s="90">
        <v>7</v>
      </c>
      <c r="W62" s="90">
        <v>4</v>
      </c>
      <c r="X62" s="90">
        <v>4</v>
      </c>
      <c r="Y62" s="90">
        <v>7</v>
      </c>
      <c r="Z62" s="90">
        <v>4</v>
      </c>
      <c r="AA62" s="90">
        <v>-16</v>
      </c>
      <c r="AB62" s="15">
        <f t="shared" si="30"/>
        <v>25</v>
      </c>
      <c r="AC62" s="16">
        <f t="shared" si="31"/>
        <v>2.5</v>
      </c>
      <c r="AD62" s="90">
        <v>7</v>
      </c>
      <c r="AE62" s="90">
        <v>-5</v>
      </c>
      <c r="AF62" s="90">
        <v>5</v>
      </c>
      <c r="AG62" s="90">
        <v>7</v>
      </c>
      <c r="AH62" s="90">
        <v>1</v>
      </c>
      <c r="AI62" s="90">
        <v>5</v>
      </c>
      <c r="AJ62" s="90">
        <v>6</v>
      </c>
      <c r="AK62" s="90">
        <v>-6</v>
      </c>
      <c r="AL62" s="15">
        <f t="shared" si="32"/>
        <v>20</v>
      </c>
      <c r="AM62" s="16">
        <f t="shared" si="33"/>
        <v>2.86</v>
      </c>
      <c r="AN62" s="17">
        <f t="shared" si="34"/>
        <v>2.33</v>
      </c>
      <c r="AO62" s="18" t="s">
        <v>108</v>
      </c>
      <c r="AP62" s="19">
        <v>70</v>
      </c>
      <c r="AQ62" s="19">
        <v>270</v>
      </c>
      <c r="AR62" s="19">
        <f t="shared" ca="1" si="48"/>
        <v>1829.6116760000002</v>
      </c>
      <c r="AS62" s="103">
        <v>183.9</v>
      </c>
      <c r="AT62" s="19">
        <v>80</v>
      </c>
      <c r="AU62" s="19">
        <v>170</v>
      </c>
      <c r="AV62" s="19">
        <v>1700</v>
      </c>
      <c r="AW62" s="20">
        <f t="shared" ca="1" si="35"/>
        <v>9.9489487547580211</v>
      </c>
      <c r="AX62" s="20">
        <f t="shared" ca="1" si="36"/>
        <v>10.762421623529413</v>
      </c>
      <c r="AY62" s="20">
        <f t="shared" ca="1" si="37"/>
        <v>1.0762421623529412</v>
      </c>
      <c r="AZ62" s="21">
        <v>900</v>
      </c>
      <c r="BA62" s="22">
        <f t="shared" si="38"/>
        <v>4.7058823529411764E-2</v>
      </c>
      <c r="BB62" s="22">
        <f t="shared" si="39"/>
        <v>1.8888888888888888</v>
      </c>
      <c r="BC62" s="23">
        <f t="shared" si="40"/>
        <v>8.8888888888888878E-2</v>
      </c>
      <c r="BD62" s="98">
        <v>183.9</v>
      </c>
      <c r="BE62" s="23">
        <f t="shared" si="41"/>
        <v>0</v>
      </c>
      <c r="BF62">
        <v>353.5</v>
      </c>
      <c r="BG62" s="23">
        <f t="shared" si="42"/>
        <v>0.13962387156934364</v>
      </c>
      <c r="BH62" s="24">
        <v>8</v>
      </c>
      <c r="BI62" s="24">
        <v>14</v>
      </c>
      <c r="BJ62" s="25">
        <f ca="1">(BD62*BH62+$AP62-$AQ62)/$H62*100</f>
        <v>544.8741028779915</v>
      </c>
      <c r="BK62" s="25">
        <f ca="1">(BF62*BI62+$AP62-$AQ62)/$H62*100</f>
        <v>2035.562550792622</v>
      </c>
      <c r="BL62" s="23">
        <f t="shared" ca="1" si="43"/>
        <v>-4.8462406136175806E-2</v>
      </c>
      <c r="BM62" s="23">
        <f t="shared" ca="1" si="44"/>
        <v>0.23852166625520277</v>
      </c>
      <c r="BN62" t="s">
        <v>101</v>
      </c>
      <c r="BO62" t="s">
        <v>114</v>
      </c>
      <c r="BP62" t="s">
        <v>144</v>
      </c>
      <c r="BQ62" s="98">
        <v>1.8</v>
      </c>
      <c r="BR62" s="98">
        <v>0</v>
      </c>
      <c r="BS62" s="98">
        <v>183.9</v>
      </c>
      <c r="BT62" t="s">
        <v>859</v>
      </c>
    </row>
    <row r="63" spans="1:72" ht="15" customHeight="1" x14ac:dyDescent="0.25">
      <c r="A63" s="86" t="e" vm="60">
        <v>#VALUE!</v>
      </c>
      <c r="B63" s="10" t="str">
        <f t="array" aca="1" ref="B63" ca="1">_FV(A63,"Símbolo bursátil",TRUE())</f>
        <v>IPCO</v>
      </c>
      <c r="C63" s="88" t="s">
        <v>138</v>
      </c>
      <c r="D63" s="88" t="s">
        <v>139</v>
      </c>
      <c r="E63" s="11" t="str">
        <f t="array" aca="1" ref="E63" ca="1">_FV(A63,"Abreviatura de intercambio",TRUE())</f>
        <v>XTSE</v>
      </c>
      <c r="F63" s="11" t="str">
        <f t="array" aca="1" ref="F63" ca="1">_FV(A63,"Moneda")</f>
        <v>CAD</v>
      </c>
      <c r="G63" s="12">
        <f t="array" aca="1" ref="G63" ca="1">_FV(A63,"Precio")</f>
        <v>40</v>
      </c>
      <c r="H63" s="13">
        <f t="array" aca="1" ref="H63" ca="1">_FV(A63,"Acciones en circulación",TRUE())/1000000</f>
        <v>111.7277</v>
      </c>
      <c r="I63" s="14">
        <f ca="1">G63*H63</f>
        <v>4469.1080000000002</v>
      </c>
      <c r="J63" s="91">
        <v>0</v>
      </c>
      <c r="K63" s="91">
        <v>2</v>
      </c>
      <c r="L63" s="91">
        <v>1</v>
      </c>
      <c r="M63" s="91">
        <v>0</v>
      </c>
      <c r="N63" s="91">
        <v>-2</v>
      </c>
      <c r="O63" s="91">
        <v>0</v>
      </c>
      <c r="P63" s="91">
        <v>0</v>
      </c>
      <c r="Q63" s="91">
        <v>1</v>
      </c>
      <c r="R63" s="26">
        <f t="shared" si="28"/>
        <v>2</v>
      </c>
      <c r="S63" s="16">
        <f t="shared" si="29"/>
        <v>1.25</v>
      </c>
      <c r="T63" s="91">
        <v>9</v>
      </c>
      <c r="U63" s="91">
        <v>5</v>
      </c>
      <c r="V63" s="91">
        <v>8</v>
      </c>
      <c r="W63" s="91">
        <v>6</v>
      </c>
      <c r="X63" s="91">
        <v>4</v>
      </c>
      <c r="Y63" s="91">
        <v>9</v>
      </c>
      <c r="Z63" s="91">
        <v>9</v>
      </c>
      <c r="AA63" s="91">
        <v>-22</v>
      </c>
      <c r="AB63" s="26">
        <f t="shared" si="30"/>
        <v>28</v>
      </c>
      <c r="AC63" s="16">
        <f t="shared" si="31"/>
        <v>2.8</v>
      </c>
      <c r="AD63" s="91">
        <v>6</v>
      </c>
      <c r="AE63" s="91">
        <v>-10</v>
      </c>
      <c r="AF63" s="91">
        <v>2</v>
      </c>
      <c r="AG63" s="91">
        <v>9</v>
      </c>
      <c r="AH63" s="91">
        <v>0</v>
      </c>
      <c r="AI63" s="91">
        <v>7</v>
      </c>
      <c r="AJ63" s="91">
        <v>5</v>
      </c>
      <c r="AK63" s="91">
        <v>-11</v>
      </c>
      <c r="AL63" s="26">
        <f t="shared" si="32"/>
        <v>8</v>
      </c>
      <c r="AM63" s="16">
        <f t="shared" si="33"/>
        <v>1.1399999999999999</v>
      </c>
      <c r="AN63" s="17">
        <f t="shared" si="34"/>
        <v>1.83</v>
      </c>
      <c r="AO63" s="18" t="s">
        <v>78</v>
      </c>
      <c r="AP63" s="19">
        <v>11.3</v>
      </c>
      <c r="AQ63" s="19">
        <v>517</v>
      </c>
      <c r="AR63" s="19">
        <f ca="1">I63*'Framework Notes'!E7-AP63+AQ63</f>
        <v>3673.8506611999996</v>
      </c>
      <c r="AS63" s="103">
        <v>50.7</v>
      </c>
      <c r="AT63" s="19">
        <v>76</v>
      </c>
      <c r="AU63" s="19">
        <v>253</v>
      </c>
      <c r="AV63" s="19">
        <v>707</v>
      </c>
      <c r="AW63" s="20">
        <f t="shared" ca="1" si="35"/>
        <v>72.462537696252454</v>
      </c>
      <c r="AX63" s="20">
        <f t="shared" ca="1" si="36"/>
        <v>14.521148858498023</v>
      </c>
      <c r="AY63" s="20">
        <f t="shared" ca="1" si="37"/>
        <v>5.1963941459688821</v>
      </c>
      <c r="AZ63" s="21">
        <v>1833</v>
      </c>
      <c r="BA63" s="22">
        <f t="shared" si="38"/>
        <v>0.1074964639321075</v>
      </c>
      <c r="BB63" s="22">
        <f t="shared" si="39"/>
        <v>0.38570649208947083</v>
      </c>
      <c r="BC63" s="23">
        <f t="shared" si="40"/>
        <v>4.1462084015275506E-2</v>
      </c>
      <c r="BD63" s="98">
        <v>178</v>
      </c>
      <c r="BE63" s="23">
        <f t="shared" si="41"/>
        <v>0.28553056983009406</v>
      </c>
      <c r="BF63">
        <v>405</v>
      </c>
      <c r="BG63" s="23">
        <f t="shared" si="42"/>
        <v>0.51526786407339054</v>
      </c>
      <c r="BH63" s="24">
        <v>10</v>
      </c>
      <c r="BI63" s="24">
        <v>15</v>
      </c>
      <c r="BJ63" s="25">
        <f ca="1">((BD63*BH63+$AP63-$AQ63)/$H63)/'Framework Notes'!$E$7</f>
        <v>16.088881322548385</v>
      </c>
      <c r="BK63" s="25">
        <f ca="1">((BF63*BI63+$AP63-$AQ63)/$H63)/'Framework Notes'!$E$7</f>
        <v>70.316100407807212</v>
      </c>
      <c r="BL63" s="23">
        <f t="shared" ca="1" si="43"/>
        <v>-0.16652386073402237</v>
      </c>
      <c r="BM63" s="23">
        <f t="shared" ca="1" si="44"/>
        <v>0.11943519569782923</v>
      </c>
      <c r="BN63" s="95" t="s">
        <v>654</v>
      </c>
      <c r="BO63" s="95" t="s">
        <v>124</v>
      </c>
      <c r="BP63" s="95" t="s">
        <v>659</v>
      </c>
      <c r="BQ63" s="98">
        <v>10.5</v>
      </c>
      <c r="BR63" s="98">
        <v>155.30000000000001</v>
      </c>
      <c r="BS63" s="98">
        <v>50.7</v>
      </c>
      <c r="BT63" s="96" t="s">
        <v>866</v>
      </c>
    </row>
    <row r="64" spans="1:72" ht="15" customHeight="1" x14ac:dyDescent="0.25">
      <c r="A64" s="86" t="e" vm="61">
        <v>#VALUE!</v>
      </c>
      <c r="B64" s="10" t="str">
        <f t="array" aca="1" ref="B64" ca="1">_FV(A64,"Símbolo bursátil",TRUE())</f>
        <v>OTLY</v>
      </c>
      <c r="C64" s="88" t="s">
        <v>105</v>
      </c>
      <c r="D64" s="88" t="s">
        <v>136</v>
      </c>
      <c r="E64" s="11" t="str">
        <f t="array" aca="1" ref="E64" ca="1">_FV(A64,"Abreviatura de intercambio",TRUE())</f>
        <v>XNAS</v>
      </c>
      <c r="F64" s="11" t="str">
        <f t="array" aca="1" ref="F64" ca="1">_FV(A64,"Moneda")</f>
        <v>USD</v>
      </c>
      <c r="G64" s="12">
        <f t="array" aca="1" ref="G64" ca="1">_FV(A64,"Precio")</f>
        <v>11.81</v>
      </c>
      <c r="H64" s="13">
        <f t="array" aca="1" ref="H64" ca="1">_FV(A64,"Acciones en circulación",TRUE())/1000000</f>
        <v>31.91226</v>
      </c>
      <c r="I64" s="14">
        <f ca="1">G64*H64</f>
        <v>376.8837906</v>
      </c>
      <c r="J64" s="90">
        <v>1</v>
      </c>
      <c r="K64" s="90">
        <v>4</v>
      </c>
      <c r="L64" s="90">
        <v>2</v>
      </c>
      <c r="M64" s="90">
        <v>-1</v>
      </c>
      <c r="N64" s="90">
        <v>-1</v>
      </c>
      <c r="O64" s="90">
        <v>0</v>
      </c>
      <c r="P64" s="90">
        <v>0</v>
      </c>
      <c r="Q64" s="90">
        <v>0</v>
      </c>
      <c r="R64" s="15">
        <f t="shared" si="28"/>
        <v>5</v>
      </c>
      <c r="S64" s="16">
        <f t="shared" si="29"/>
        <v>3.13</v>
      </c>
      <c r="T64" s="90">
        <v>10</v>
      </c>
      <c r="U64" s="90">
        <v>6</v>
      </c>
      <c r="V64" s="90">
        <v>13</v>
      </c>
      <c r="W64" s="90">
        <v>6</v>
      </c>
      <c r="X64" s="90">
        <v>5.5</v>
      </c>
      <c r="Y64" s="90">
        <v>9</v>
      </c>
      <c r="Z64" s="90">
        <v>6</v>
      </c>
      <c r="AA64" s="90">
        <v>-22</v>
      </c>
      <c r="AB64" s="15">
        <f t="shared" si="30"/>
        <v>33.5</v>
      </c>
      <c r="AC64" s="16">
        <f t="shared" si="31"/>
        <v>3.35</v>
      </c>
      <c r="AD64" s="90">
        <v>8</v>
      </c>
      <c r="AE64" s="90">
        <v>-10</v>
      </c>
      <c r="AF64" s="90">
        <v>4</v>
      </c>
      <c r="AG64" s="90">
        <v>7</v>
      </c>
      <c r="AH64" s="90">
        <v>-4</v>
      </c>
      <c r="AI64" s="90">
        <v>4</v>
      </c>
      <c r="AJ64" s="90">
        <v>7</v>
      </c>
      <c r="AK64" s="90">
        <v>-9</v>
      </c>
      <c r="AL64" s="15">
        <f t="shared" si="32"/>
        <v>7</v>
      </c>
      <c r="AM64" s="16">
        <f t="shared" si="33"/>
        <v>1</v>
      </c>
      <c r="AN64" s="17">
        <f t="shared" si="34"/>
        <v>2.37</v>
      </c>
      <c r="AO64" s="18" t="s">
        <v>78</v>
      </c>
      <c r="AP64" s="19">
        <v>44.6</v>
      </c>
      <c r="AQ64" s="19">
        <v>549</v>
      </c>
      <c r="AR64" s="19">
        <f t="shared" ref="AR64:AR71" ca="1" si="51">I64-AP64+AQ64</f>
        <v>881.28379059999997</v>
      </c>
      <c r="AS64" s="103">
        <v>-38.200000000000003</v>
      </c>
      <c r="AT64" s="19">
        <v>-49</v>
      </c>
      <c r="AU64" s="19">
        <v>-14</v>
      </c>
      <c r="AV64" s="19">
        <v>925</v>
      </c>
      <c r="AW64" s="20">
        <f t="shared" ca="1" si="35"/>
        <v>-23.070256298429317</v>
      </c>
      <c r="AX64" s="20">
        <f t="shared" ca="1" si="36"/>
        <v>-62.948842185714284</v>
      </c>
      <c r="AY64" s="20">
        <f t="shared" ca="1" si="37"/>
        <v>0.9527392330810811</v>
      </c>
      <c r="AZ64" s="21">
        <v>169</v>
      </c>
      <c r="BA64" s="22">
        <f t="shared" si="38"/>
        <v>-5.2972972972972973E-2</v>
      </c>
      <c r="BB64" s="22">
        <f t="shared" si="39"/>
        <v>5.4733727810650885</v>
      </c>
      <c r="BC64" s="23">
        <f t="shared" si="40"/>
        <v>-0.28994082840236685</v>
      </c>
      <c r="BD64" s="98">
        <v>-15</v>
      </c>
      <c r="BE64" s="23">
        <f t="shared" si="41"/>
        <v>-0.17052064894306462</v>
      </c>
      <c r="BF64">
        <v>99</v>
      </c>
      <c r="BG64" s="23">
        <f t="shared" si="42"/>
        <v>-2.2098021899985589</v>
      </c>
      <c r="BH64" s="24">
        <v>12</v>
      </c>
      <c r="BI64" s="24">
        <v>16</v>
      </c>
      <c r="BJ64" s="25">
        <f ca="1">(BD64*BH64+$AP64-$AQ64)/$H64</f>
        <v>-21.446303082263682</v>
      </c>
      <c r="BK64" s="25">
        <f ca="1">(BF64*BI64+$AP64-$AQ64)/$H64</f>
        <v>33.830258339584844</v>
      </c>
      <c r="BL64" s="23">
        <f t="shared" ca="1" si="43"/>
        <v>-0.99</v>
      </c>
      <c r="BM64" s="23">
        <f t="shared" ca="1" si="44"/>
        <v>0.23427258653119098</v>
      </c>
      <c r="BN64" s="95" t="s">
        <v>654</v>
      </c>
      <c r="BO64" s="93" t="s">
        <v>125</v>
      </c>
      <c r="BP64" s="93" t="s">
        <v>145</v>
      </c>
      <c r="BQ64" s="98">
        <v>12.6</v>
      </c>
      <c r="BR64" s="98">
        <v>0</v>
      </c>
      <c r="BS64" s="98">
        <v>-38.200000000000003</v>
      </c>
      <c r="BT64" s="96" t="s">
        <v>868</v>
      </c>
    </row>
    <row r="65" spans="1:72" x14ac:dyDescent="0.25">
      <c r="A65" s="86" t="e" vm="62">
        <v>#VALUE!</v>
      </c>
      <c r="B65" s="10" t="str">
        <f t="array" aca="1" ref="B65" ca="1">_FV(A65,"Símbolo bursátil",TRUE())</f>
        <v>CSU</v>
      </c>
      <c r="C65" s="88" t="s">
        <v>76</v>
      </c>
      <c r="D65" s="88" t="s">
        <v>77</v>
      </c>
      <c r="E65" s="11" t="str">
        <f t="array" aca="1" ref="E65" ca="1">_FV(A65,"Abreviatura de intercambio",TRUE())</f>
        <v>XTSE</v>
      </c>
      <c r="F65" s="11" t="str">
        <f t="array" aca="1" ref="F65" ca="1">_FV(A65,"Moneda")</f>
        <v>CAD</v>
      </c>
      <c r="G65" s="12">
        <f t="array" aca="1" ref="G65" ca="1">_FV(A65,"Precio")</f>
        <v>3170.8</v>
      </c>
      <c r="H65" s="13">
        <f t="array" aca="1" ref="H65" ca="1">_FV(A65,"Acciones en circulación",TRUE())/1000000</f>
        <v>21.19153</v>
      </c>
      <c r="I65" s="14">
        <f ca="1">G65*H65</f>
        <v>67194.103324000011</v>
      </c>
      <c r="J65" s="90">
        <v>2</v>
      </c>
      <c r="K65" s="90">
        <v>7.5</v>
      </c>
      <c r="L65" s="90">
        <v>2.5</v>
      </c>
      <c r="M65" s="90">
        <v>0.75</v>
      </c>
      <c r="N65" s="90">
        <v>-0.5</v>
      </c>
      <c r="O65" s="90">
        <v>0.5</v>
      </c>
      <c r="P65" s="90">
        <v>1</v>
      </c>
      <c r="Q65" s="90">
        <v>1</v>
      </c>
      <c r="R65" s="15">
        <f t="shared" si="28"/>
        <v>14.25</v>
      </c>
      <c r="S65" s="16">
        <f t="shared" si="29"/>
        <v>8.91</v>
      </c>
      <c r="T65" s="90">
        <v>15</v>
      </c>
      <c r="U65" s="90">
        <v>18</v>
      </c>
      <c r="V65" s="90">
        <v>15</v>
      </c>
      <c r="W65" s="90">
        <v>9</v>
      </c>
      <c r="X65" s="90">
        <v>9</v>
      </c>
      <c r="Y65" s="90">
        <v>13</v>
      </c>
      <c r="Z65" s="90">
        <v>9</v>
      </c>
      <c r="AA65" s="90">
        <v>-7</v>
      </c>
      <c r="AB65" s="15">
        <f t="shared" si="30"/>
        <v>81</v>
      </c>
      <c r="AC65" s="16">
        <f t="shared" si="31"/>
        <v>8.1</v>
      </c>
      <c r="AD65" s="90">
        <v>15</v>
      </c>
      <c r="AE65" s="90">
        <v>0</v>
      </c>
      <c r="AF65" s="90">
        <v>9</v>
      </c>
      <c r="AG65" s="90">
        <v>13</v>
      </c>
      <c r="AH65" s="90">
        <v>3</v>
      </c>
      <c r="AI65" s="90">
        <v>9</v>
      </c>
      <c r="AJ65" s="90">
        <v>14</v>
      </c>
      <c r="AK65" s="90">
        <v>-3</v>
      </c>
      <c r="AL65" s="15">
        <f t="shared" si="32"/>
        <v>60</v>
      </c>
      <c r="AM65" s="16">
        <f t="shared" si="33"/>
        <v>8.57</v>
      </c>
      <c r="AN65" s="17">
        <f t="shared" si="34"/>
        <v>8.4499999999999993</v>
      </c>
      <c r="AO65" s="18" t="s">
        <v>78</v>
      </c>
      <c r="AP65" s="19">
        <v>3089</v>
      </c>
      <c r="AQ65" s="19">
        <v>4131</v>
      </c>
      <c r="AR65" s="19">
        <f ca="1">I65*'Framework Notes'!$E$7-AP65+AQ65</f>
        <v>48675.899846383603</v>
      </c>
      <c r="AS65" s="103">
        <v>2771</v>
      </c>
      <c r="AT65" s="19">
        <v>1400</v>
      </c>
      <c r="AU65" s="19">
        <v>3428</v>
      </c>
      <c r="AV65" s="19">
        <v>12641</v>
      </c>
      <c r="AW65" s="20">
        <f t="shared" ca="1" si="35"/>
        <v>17.56618543716478</v>
      </c>
      <c r="AX65" s="20">
        <f t="shared" ca="1" si="36"/>
        <v>14.19950403920175</v>
      </c>
      <c r="AY65" s="20">
        <f t="shared" ca="1" si="37"/>
        <v>3.8506368045553043</v>
      </c>
      <c r="AZ65" s="21">
        <v>5000</v>
      </c>
      <c r="BA65" s="22">
        <f t="shared" si="38"/>
        <v>0.11075073174590618</v>
      </c>
      <c r="BB65" s="22">
        <f t="shared" si="39"/>
        <v>2.5282</v>
      </c>
      <c r="BC65" s="23">
        <f t="shared" si="40"/>
        <v>0.27999999999999997</v>
      </c>
      <c r="BD65" s="98">
        <v>3181.5</v>
      </c>
      <c r="BE65" s="23">
        <f t="shared" si="41"/>
        <v>2.8014121248800539E-2</v>
      </c>
      <c r="BF65">
        <v>5336.7</v>
      </c>
      <c r="BG65" s="23">
        <f t="shared" si="42"/>
        <v>0.14005880419957384</v>
      </c>
      <c r="BH65" s="24">
        <v>12</v>
      </c>
      <c r="BI65" s="24">
        <v>22</v>
      </c>
      <c r="BJ65" s="25">
        <f ca="1">((BD65*BH65+$AP65-$AQ65)/$H65)/'Framework Notes'!$E$7</f>
        <v>2471.9963970982681</v>
      </c>
      <c r="BK65" s="25">
        <f ca="1">((BF65*BI65+$AP65-$AQ65)/$H65)/'Framework Notes'!$E$7</f>
        <v>7745.9836694016258</v>
      </c>
      <c r="BL65" s="23">
        <f t="shared" ca="1" si="43"/>
        <v>-4.8572288159338783E-2</v>
      </c>
      <c r="BM65" s="23">
        <f t="shared" ca="1" si="44"/>
        <v>0.1955879947320005</v>
      </c>
      <c r="BN65" s="95" t="s">
        <v>654</v>
      </c>
      <c r="BO65" s="95" t="s">
        <v>660</v>
      </c>
      <c r="BP65" s="95" t="s">
        <v>133</v>
      </c>
      <c r="BQ65" s="98">
        <v>0</v>
      </c>
      <c r="BR65" s="98">
        <v>0</v>
      </c>
      <c r="BS65" s="98">
        <v>2771</v>
      </c>
      <c r="BT65" t="s">
        <v>860</v>
      </c>
    </row>
    <row r="66" spans="1:72" x14ac:dyDescent="0.25">
      <c r="A66" s="86" t="e" vm="63">
        <v>#VALUE!</v>
      </c>
      <c r="B66" s="10" t="str">
        <f t="array" aca="1" ref="B66" ca="1">_FV(A66,"Símbolo bursátil",TRUE())</f>
        <v>UBER</v>
      </c>
      <c r="C66" s="88" t="s">
        <v>149</v>
      </c>
      <c r="D66" s="88" t="s">
        <v>77</v>
      </c>
      <c r="E66" s="11" t="str">
        <f t="array" aca="1" ref="E66" ca="1">_FV(A66,"Abreviatura de intercambio",TRUE())</f>
        <v>XNYS</v>
      </c>
      <c r="F66" s="11" t="str">
        <f t="array" aca="1" ref="F66" ca="1">_FV(A66,"Moneda")</f>
        <v>USD</v>
      </c>
      <c r="G66" s="12">
        <f t="array" aca="1" ref="G66" ca="1">_FV(A66,"Precio")</f>
        <v>70.34</v>
      </c>
      <c r="H66" s="13">
        <f t="array" aca="1" ref="H66" ca="1">_FV(A66,"Acciones en circulación",TRUE())/1000000</f>
        <v>2042.56</v>
      </c>
      <c r="I66" s="14">
        <f ca="1">G66*H66</f>
        <v>143673.6704</v>
      </c>
      <c r="J66" s="90">
        <v>1</v>
      </c>
      <c r="K66" s="90">
        <v>6</v>
      </c>
      <c r="L66" s="90">
        <v>2.5</v>
      </c>
      <c r="M66" s="90">
        <v>0.5</v>
      </c>
      <c r="N66" s="90">
        <v>0</v>
      </c>
      <c r="O66" s="90">
        <v>0</v>
      </c>
      <c r="P66" s="90">
        <v>0.5</v>
      </c>
      <c r="Q66" s="90">
        <v>0</v>
      </c>
      <c r="R66" s="15">
        <f t="shared" si="28"/>
        <v>10.5</v>
      </c>
      <c r="S66" s="16">
        <f t="shared" si="29"/>
        <v>6.56</v>
      </c>
      <c r="T66" s="90">
        <v>13</v>
      </c>
      <c r="U66" s="90">
        <v>15</v>
      </c>
      <c r="V66" s="90">
        <v>14</v>
      </c>
      <c r="W66" s="90">
        <v>7</v>
      </c>
      <c r="X66" s="90">
        <v>6</v>
      </c>
      <c r="Y66" s="90">
        <v>9</v>
      </c>
      <c r="Z66" s="90">
        <v>6</v>
      </c>
      <c r="AA66" s="90">
        <v>-12</v>
      </c>
      <c r="AB66" s="15">
        <f t="shared" si="30"/>
        <v>58</v>
      </c>
      <c r="AC66" s="16">
        <f t="shared" si="31"/>
        <v>5.8</v>
      </c>
      <c r="AD66" s="90">
        <v>10</v>
      </c>
      <c r="AE66" s="90">
        <v>-2</v>
      </c>
      <c r="AF66" s="90">
        <v>9</v>
      </c>
      <c r="AG66" s="90">
        <v>8</v>
      </c>
      <c r="AH66" s="90">
        <v>3</v>
      </c>
      <c r="AI66" s="90">
        <v>5</v>
      </c>
      <c r="AJ66" s="90">
        <v>10</v>
      </c>
      <c r="AK66" s="90">
        <v>-8</v>
      </c>
      <c r="AL66" s="15">
        <f t="shared" si="32"/>
        <v>35</v>
      </c>
      <c r="AM66" s="16">
        <f t="shared" si="33"/>
        <v>5</v>
      </c>
      <c r="AN66" s="17">
        <f t="shared" si="34"/>
        <v>5.63</v>
      </c>
      <c r="AO66" s="18" t="s">
        <v>78</v>
      </c>
      <c r="AP66" s="19">
        <v>5391</v>
      </c>
      <c r="AQ66" s="19">
        <v>14731</v>
      </c>
      <c r="AR66" s="19">
        <f t="shared" ca="1" si="51"/>
        <v>153013.6704</v>
      </c>
      <c r="AS66" s="103">
        <v>8177</v>
      </c>
      <c r="AT66" s="19">
        <v>5025</v>
      </c>
      <c r="AU66" s="19">
        <v>7475</v>
      </c>
      <c r="AV66" s="19">
        <v>55227</v>
      </c>
      <c r="AW66" s="20">
        <f t="shared" ca="1" si="35"/>
        <v>18.712690522196404</v>
      </c>
      <c r="AX66" s="20">
        <f t="shared" ca="1" si="36"/>
        <v>20.470056240802677</v>
      </c>
      <c r="AY66" s="20">
        <f t="shared" ca="1" si="37"/>
        <v>2.7706315823781846</v>
      </c>
      <c r="AZ66" s="21">
        <v>37739</v>
      </c>
      <c r="BA66" s="22">
        <f t="shared" si="38"/>
        <v>9.098810364495627E-2</v>
      </c>
      <c r="BB66" s="22">
        <f t="shared" si="39"/>
        <v>1.463393306658894</v>
      </c>
      <c r="BC66" s="23">
        <f t="shared" si="40"/>
        <v>0.13315138185961473</v>
      </c>
      <c r="BD66" s="98">
        <v>7250.7</v>
      </c>
      <c r="BE66" s="23">
        <f t="shared" si="41"/>
        <v>-2.3758674940186575E-2</v>
      </c>
      <c r="BF66">
        <v>21743.9</v>
      </c>
      <c r="BG66" s="23">
        <f t="shared" si="42"/>
        <v>0.21604231888093905</v>
      </c>
      <c r="BH66" s="24">
        <v>14</v>
      </c>
      <c r="BI66" s="24">
        <v>24</v>
      </c>
      <c r="BJ66" s="25">
        <f ca="1">(BD66*BH66+AP66-AQ66)/H66</f>
        <v>45.124647501174998</v>
      </c>
      <c r="BK66" s="25">
        <f ca="1">(BF66*BI66+AP66-AQ66)/H66</f>
        <v>250.91728027573248</v>
      </c>
      <c r="BL66" s="23">
        <f t="shared" ca="1" si="43"/>
        <v>-8.4955338400289793E-2</v>
      </c>
      <c r="BM66" s="23">
        <f t="shared" ca="1" si="44"/>
        <v>0.28963152678863469</v>
      </c>
      <c r="BN66" s="95" t="s">
        <v>871</v>
      </c>
      <c r="BO66" s="95" t="s">
        <v>95</v>
      </c>
      <c r="BP66" s="95" t="s">
        <v>659</v>
      </c>
      <c r="BQ66" s="98">
        <v>1939</v>
      </c>
      <c r="BR66" s="98">
        <v>0</v>
      </c>
      <c r="BS66" s="98">
        <v>8177</v>
      </c>
      <c r="BT66" s="96" t="s">
        <v>904</v>
      </c>
    </row>
    <row r="67" spans="1:72" x14ac:dyDescent="0.25">
      <c r="A67" s="86" t="e" vm="64">
        <v>#VALUE!</v>
      </c>
      <c r="B67" s="10" t="str">
        <f t="array" aca="1" ref="B67" ca="1">_FV(A67,"Símbolo bursátil",TRUE())</f>
        <v>SOM</v>
      </c>
      <c r="C67" s="88" t="s">
        <v>128</v>
      </c>
      <c r="D67" s="88" t="s">
        <v>136</v>
      </c>
      <c r="E67" s="11" t="str">
        <f ca="1">_FV(A67,"Abreviatura de intercambio",TRUE)</f>
        <v>XLON</v>
      </c>
      <c r="F67" s="11" t="str">
        <f ca="1">_FV(A67,"Moneda")</f>
        <v>GBp</v>
      </c>
      <c r="G67" s="12">
        <f ca="1">_FV(A67,"Precio")</f>
        <v>282</v>
      </c>
      <c r="H67" s="13">
        <f ca="1">_FV(A67,"Acciones en circulación",TRUE)/1000000</f>
        <v>51.591630000000002</v>
      </c>
      <c r="I67" s="14">
        <f ca="1">G67/100*H67</f>
        <v>145.48839659999999</v>
      </c>
      <c r="J67" s="90">
        <v>1</v>
      </c>
      <c r="K67" s="90">
        <v>5</v>
      </c>
      <c r="L67" s="90">
        <v>2</v>
      </c>
      <c r="M67" s="90">
        <v>1</v>
      </c>
      <c r="N67" s="90">
        <v>-2</v>
      </c>
      <c r="O67" s="90">
        <v>-1</v>
      </c>
      <c r="P67" s="90">
        <v>0</v>
      </c>
      <c r="Q67" s="90">
        <v>-1</v>
      </c>
      <c r="R67" s="15">
        <f t="shared" si="28"/>
        <v>6</v>
      </c>
      <c r="S67" s="16">
        <f t="shared" si="29"/>
        <v>3.75</v>
      </c>
      <c r="T67" s="90">
        <v>11</v>
      </c>
      <c r="U67" s="90">
        <v>11</v>
      </c>
      <c r="V67" s="90">
        <v>8</v>
      </c>
      <c r="W67" s="90">
        <v>6</v>
      </c>
      <c r="X67" s="90">
        <v>4</v>
      </c>
      <c r="Y67" s="90">
        <v>9</v>
      </c>
      <c r="Z67" s="90">
        <v>2</v>
      </c>
      <c r="AA67" s="90">
        <v>-18</v>
      </c>
      <c r="AB67" s="15">
        <f t="shared" ref="AB67:AB72" si="52">SUM(T67:AA67)</f>
        <v>33</v>
      </c>
      <c r="AC67" s="16">
        <f t="shared" ref="AC67:AC73" si="53">ROUND(AB67/10,2)</f>
        <v>3.3</v>
      </c>
      <c r="AD67" s="90">
        <v>10</v>
      </c>
      <c r="AE67" s="90">
        <v>-2</v>
      </c>
      <c r="AF67" s="90">
        <v>7</v>
      </c>
      <c r="AG67" s="90">
        <v>9</v>
      </c>
      <c r="AH67" s="90">
        <v>3</v>
      </c>
      <c r="AI67" s="90">
        <v>3</v>
      </c>
      <c r="AJ67" s="90">
        <v>8</v>
      </c>
      <c r="AK67" s="90">
        <v>-7</v>
      </c>
      <c r="AL67" s="15">
        <f t="shared" ref="AL67:AL72" si="54">SUM(AD67:AK67)</f>
        <v>31</v>
      </c>
      <c r="AM67" s="16">
        <f t="shared" ref="AM67:AM73" si="55">ROUND(AL67/70*10,2)</f>
        <v>4.43</v>
      </c>
      <c r="AN67" s="17">
        <f t="shared" si="34"/>
        <v>3.84</v>
      </c>
      <c r="AO67" s="18" t="s">
        <v>78</v>
      </c>
      <c r="AP67" s="19">
        <v>29.6</v>
      </c>
      <c r="AQ67" s="19">
        <v>0.8</v>
      </c>
      <c r="AR67" s="19">
        <f ca="1">I67*'Framework Notes'!$E$9-AP67+AQ67</f>
        <v>164.77231167630001</v>
      </c>
      <c r="AS67" s="103">
        <v>18.399999999999999</v>
      </c>
      <c r="AT67" s="19">
        <v>13.3</v>
      </c>
      <c r="AU67" s="19">
        <v>21.2</v>
      </c>
      <c r="AV67" s="19">
        <v>97.7</v>
      </c>
      <c r="AW67" s="20">
        <f t="shared" ref="AW67:AW72" ca="1" si="56">AR67/AS67</f>
        <v>8.955016938929349</v>
      </c>
      <c r="AX67" s="20">
        <f t="shared" ref="AX67:AX72" ca="1" si="57">AR67/AU67</f>
        <v>7.7722788526556608</v>
      </c>
      <c r="AY67" s="20">
        <f t="shared" ref="AY67:AY72" ca="1" si="58">AR67/AV67</f>
        <v>1.6865129137799386</v>
      </c>
      <c r="AZ67" s="21">
        <v>51.47</v>
      </c>
      <c r="BA67" s="22">
        <f t="shared" ref="BA67:BA72" si="59">AT67/AV67</f>
        <v>0.13613101330603891</v>
      </c>
      <c r="BB67" s="22">
        <f t="shared" ref="BB67:BB72" si="60">AV67/AZ67</f>
        <v>1.8981931222071111</v>
      </c>
      <c r="BC67" s="23">
        <f t="shared" si="40"/>
        <v>0.25840295317660777</v>
      </c>
      <c r="BD67" s="98">
        <v>16</v>
      </c>
      <c r="BE67" s="23">
        <f t="shared" si="41"/>
        <v>-2.756533520359794E-2</v>
      </c>
      <c r="BF67">
        <v>27</v>
      </c>
      <c r="BG67" s="23">
        <f t="shared" si="42"/>
        <v>7.9715132648867426E-2</v>
      </c>
      <c r="BH67" s="24">
        <v>12</v>
      </c>
      <c r="BI67" s="24">
        <v>22</v>
      </c>
      <c r="BJ67" s="25">
        <f ca="1">((BD67*BH67+$AP67-$AQ67)/$H67)/'Framework Notes'!$E$9*100</f>
        <v>321.66583878030667</v>
      </c>
      <c r="BK67" s="25">
        <f ca="1">((BF67*BI67+$AP67-$AQ67)/$H67)/'Framework Notes'!$E$9*100</f>
        <v>907.3074474292348</v>
      </c>
      <c r="BL67" s="23">
        <f t="shared" ca="1" si="43"/>
        <v>2.6670696629244039E-2</v>
      </c>
      <c r="BM67" s="23">
        <f t="shared" ca="1" si="44"/>
        <v>0.26328422635202853</v>
      </c>
      <c r="BN67" s="96" t="s">
        <v>880</v>
      </c>
      <c r="BO67" s="96" t="s">
        <v>511</v>
      </c>
      <c r="BP67" s="96" t="s">
        <v>878</v>
      </c>
      <c r="BQ67" s="98">
        <v>1</v>
      </c>
      <c r="BR67" s="98">
        <v>0</v>
      </c>
      <c r="BS67" s="98">
        <v>18.399999999999999</v>
      </c>
      <c r="BT67" s="96" t="s">
        <v>902</v>
      </c>
    </row>
    <row r="68" spans="1:72" x14ac:dyDescent="0.25">
      <c r="A68" s="86" t="e" vm="65">
        <v>#VALUE!</v>
      </c>
      <c r="B68" s="10" t="str">
        <f t="array" aca="1" ref="B68" ca="1">_FV(A68,"Símbolo bursátil",TRUE())</f>
        <v>IP</v>
      </c>
      <c r="C68" s="88" t="s">
        <v>112</v>
      </c>
      <c r="D68" s="88" t="s">
        <v>77</v>
      </c>
      <c r="E68" s="11" t="str">
        <f t="shared" ref="E68:E74" ca="1" si="61">_FV(A68,"Abreviatura de intercambio",TRUE)</f>
        <v>XMIL</v>
      </c>
      <c r="F68" s="11" t="str">
        <f t="shared" ref="F68:F74" ca="1" si="62">_FV(A68,"Moneda")</f>
        <v>EUR</v>
      </c>
      <c r="G68" s="12">
        <f t="shared" ref="G68:G74" ca="1" si="63">_FV(A68,"Precio")</f>
        <v>36.82</v>
      </c>
      <c r="H68" s="13">
        <f t="shared" ref="H68:H74" ca="1" si="64">_FV(A68,"Acciones en circulación",TRUE)/1000000</f>
        <v>108.8793</v>
      </c>
      <c r="I68" s="14">
        <f t="shared" ref="I68:I71" ca="1" si="65">G68*H68</f>
        <v>4008.9358259999999</v>
      </c>
      <c r="J68" s="90">
        <v>1</v>
      </c>
      <c r="K68" s="90">
        <v>5</v>
      </c>
      <c r="L68" s="90">
        <v>1</v>
      </c>
      <c r="M68" s="90">
        <v>1</v>
      </c>
      <c r="N68" s="90">
        <v>-1</v>
      </c>
      <c r="O68" s="90">
        <v>0</v>
      </c>
      <c r="P68" s="90">
        <v>1</v>
      </c>
      <c r="Q68" s="90">
        <v>1</v>
      </c>
      <c r="R68" s="15">
        <f t="shared" ref="R68:R71" si="66">SUM(J68:N68)+SUM(P68:Q68)</f>
        <v>9</v>
      </c>
      <c r="S68" s="16">
        <f t="shared" ref="S68:S71" si="67">ROUND(R68/16*10,2)</f>
        <v>5.63</v>
      </c>
      <c r="T68" s="90">
        <v>13</v>
      </c>
      <c r="U68" s="90">
        <v>13</v>
      </c>
      <c r="V68" s="90">
        <v>9</v>
      </c>
      <c r="W68" s="90">
        <v>8</v>
      </c>
      <c r="X68" s="90">
        <v>6</v>
      </c>
      <c r="Y68" s="90">
        <v>10</v>
      </c>
      <c r="Z68" s="90">
        <v>8</v>
      </c>
      <c r="AA68" s="90">
        <v>-12</v>
      </c>
      <c r="AB68" s="15">
        <f t="shared" si="52"/>
        <v>55</v>
      </c>
      <c r="AC68" s="16">
        <f t="shared" si="53"/>
        <v>5.5</v>
      </c>
      <c r="AD68" s="90">
        <v>12</v>
      </c>
      <c r="AE68" s="90">
        <v>-2</v>
      </c>
      <c r="AF68" s="90">
        <v>4</v>
      </c>
      <c r="AG68" s="90">
        <v>9</v>
      </c>
      <c r="AH68" s="90">
        <v>4</v>
      </c>
      <c r="AI68" s="90">
        <v>5</v>
      </c>
      <c r="AJ68" s="90">
        <v>10</v>
      </c>
      <c r="AK68" s="90">
        <v>-6</v>
      </c>
      <c r="AL68" s="15">
        <f t="shared" si="54"/>
        <v>36</v>
      </c>
      <c r="AM68" s="16">
        <f t="shared" si="55"/>
        <v>5.14</v>
      </c>
      <c r="AN68" s="17">
        <f t="shared" ref="AN68:AN71" si="68">ROUND(S68*0.2+AC68*0.4+AM68*0.4,2)</f>
        <v>5.38</v>
      </c>
      <c r="AO68" s="18" t="s">
        <v>86</v>
      </c>
      <c r="AP68" s="19">
        <v>370</v>
      </c>
      <c r="AQ68" s="19">
        <v>675</v>
      </c>
      <c r="AR68" s="19">
        <f t="shared" ca="1" si="51"/>
        <v>4313.9358259999999</v>
      </c>
      <c r="AS68" s="103">
        <v>246.1</v>
      </c>
      <c r="AT68" s="19">
        <v>229</v>
      </c>
      <c r="AU68" s="19">
        <v>446</v>
      </c>
      <c r="AV68" s="19">
        <v>2080</v>
      </c>
      <c r="AW68" s="20">
        <f t="shared" ca="1" si="56"/>
        <v>17.529198805363674</v>
      </c>
      <c r="AX68" s="20">
        <f t="shared" ca="1" si="57"/>
        <v>9.6725018520179376</v>
      </c>
      <c r="AY68" s="20">
        <f t="shared" ca="1" si="58"/>
        <v>2.0740076086538459</v>
      </c>
      <c r="AZ68" s="21">
        <v>2401.1</v>
      </c>
      <c r="BA68" s="22">
        <f t="shared" si="59"/>
        <v>0.11009615384615384</v>
      </c>
      <c r="BB68" s="22">
        <f t="shared" si="60"/>
        <v>0.86626962642122363</v>
      </c>
      <c r="BC68" s="23">
        <f t="shared" ref="BC68:BC73" si="69">BA68*BB68</f>
        <v>9.5372954062721255E-2</v>
      </c>
      <c r="BD68" s="98">
        <v>211</v>
      </c>
      <c r="BE68" s="23">
        <f t="shared" ref="BE68:BE73" si="70">(BD68/AS68)^(1/5)-1</f>
        <v>-3.0307205923067904E-2</v>
      </c>
      <c r="BF68">
        <v>513.6</v>
      </c>
      <c r="BG68" s="23">
        <f t="shared" ref="BG68:BG73" si="71">(BF68/AS68)^(1/5)-1</f>
        <v>0.15851771835666173</v>
      </c>
      <c r="BH68" s="24">
        <v>16</v>
      </c>
      <c r="BI68" s="24">
        <v>20.5</v>
      </c>
      <c r="BJ68" s="25">
        <f t="shared" ref="BJ68:BJ73" ca="1" si="72">(BD68*BH68+$AP68-$AQ68)/$H68</f>
        <v>28.205545039323361</v>
      </c>
      <c r="BK68" s="25">
        <f t="shared" ref="BK68:BK73" ca="1" si="73">(BF68*BI68+$AP68-$AQ68)/$H68</f>
        <v>93.900309792586853</v>
      </c>
      <c r="BL68" s="23">
        <f t="shared" ca="1" si="43"/>
        <v>-5.1908741308833051E-2</v>
      </c>
      <c r="BM68" s="23">
        <f t="shared" ca="1" si="44"/>
        <v>0.20591486375992507</v>
      </c>
      <c r="BN68" s="96" t="s">
        <v>654</v>
      </c>
      <c r="BO68" s="96" t="s">
        <v>117</v>
      </c>
      <c r="BP68" s="96" t="s">
        <v>520</v>
      </c>
      <c r="BQ68" s="98">
        <v>6.6</v>
      </c>
      <c r="BR68" s="98">
        <v>0</v>
      </c>
      <c r="BS68" s="98">
        <v>246.1</v>
      </c>
      <c r="BT68" t="s">
        <v>858</v>
      </c>
    </row>
    <row r="69" spans="1:72" x14ac:dyDescent="0.25">
      <c r="A69" s="86" t="e" vm="66">
        <v>#VALUE!</v>
      </c>
      <c r="B69" s="10" t="str">
        <f t="array" aca="1" ref="B69" ca="1">_FV(A69,"Símbolo bursátil",TRUE())</f>
        <v>RBT</v>
      </c>
      <c r="C69" s="88" t="s">
        <v>105</v>
      </c>
      <c r="D69" s="88" t="s">
        <v>77</v>
      </c>
      <c r="E69" s="11" t="str">
        <f t="shared" ca="1" si="61"/>
        <v>XPAR</v>
      </c>
      <c r="F69" s="11" t="str">
        <f t="shared" ca="1" si="62"/>
        <v>EUR</v>
      </c>
      <c r="G69" s="12">
        <f t="shared" ca="1" si="63"/>
        <v>777</v>
      </c>
      <c r="H69" s="13">
        <f t="shared" ca="1" si="64"/>
        <v>2.1692999999999998</v>
      </c>
      <c r="I69" s="14">
        <f t="shared" ca="1" si="65"/>
        <v>1685.5460999999998</v>
      </c>
      <c r="J69" s="90">
        <v>2</v>
      </c>
      <c r="K69" s="90">
        <v>6</v>
      </c>
      <c r="L69" s="90">
        <v>2</v>
      </c>
      <c r="M69" s="90">
        <v>1</v>
      </c>
      <c r="N69" s="90">
        <v>0</v>
      </c>
      <c r="O69" s="90">
        <v>0</v>
      </c>
      <c r="P69" s="90">
        <v>1</v>
      </c>
      <c r="Q69" s="90">
        <v>1</v>
      </c>
      <c r="R69" s="15">
        <f t="shared" si="66"/>
        <v>13</v>
      </c>
      <c r="S69" s="16">
        <f t="shared" si="67"/>
        <v>8.1300000000000008</v>
      </c>
      <c r="T69" s="90">
        <v>13</v>
      </c>
      <c r="U69" s="90">
        <v>15</v>
      </c>
      <c r="V69" s="90">
        <v>11</v>
      </c>
      <c r="W69" s="90">
        <v>9</v>
      </c>
      <c r="X69" s="90">
        <v>9</v>
      </c>
      <c r="Y69" s="90">
        <v>11</v>
      </c>
      <c r="Z69" s="90">
        <v>9</v>
      </c>
      <c r="AA69" s="90">
        <v>-9</v>
      </c>
      <c r="AB69" s="15">
        <f t="shared" si="52"/>
        <v>68</v>
      </c>
      <c r="AC69" s="16">
        <f t="shared" si="53"/>
        <v>6.8</v>
      </c>
      <c r="AD69" s="90">
        <v>14</v>
      </c>
      <c r="AE69" s="90">
        <v>-1</v>
      </c>
      <c r="AF69" s="90">
        <v>3</v>
      </c>
      <c r="AG69" s="90">
        <v>11</v>
      </c>
      <c r="AH69" s="90">
        <v>4</v>
      </c>
      <c r="AI69" s="90">
        <v>5</v>
      </c>
      <c r="AJ69" s="90">
        <v>13</v>
      </c>
      <c r="AK69" s="90">
        <v>-3</v>
      </c>
      <c r="AL69" s="15">
        <f t="shared" si="54"/>
        <v>46</v>
      </c>
      <c r="AM69" s="16">
        <f t="shared" si="55"/>
        <v>6.57</v>
      </c>
      <c r="AN69" s="17">
        <f t="shared" si="68"/>
        <v>6.97</v>
      </c>
      <c r="AO69" s="18" t="s">
        <v>86</v>
      </c>
      <c r="AP69" s="19">
        <v>136.6</v>
      </c>
      <c r="AQ69" s="19">
        <v>228.4</v>
      </c>
      <c r="AR69" s="19">
        <f t="shared" ca="1" si="51"/>
        <v>1777.3461</v>
      </c>
      <c r="AS69" s="103">
        <v>64.400000000000006</v>
      </c>
      <c r="AT69" s="19">
        <v>99</v>
      </c>
      <c r="AU69" s="19">
        <v>167.5</v>
      </c>
      <c r="AV69" s="19">
        <v>841.9</v>
      </c>
      <c r="AW69" s="20">
        <f t="shared" ca="1" si="56"/>
        <v>27.598541925465835</v>
      </c>
      <c r="AX69" s="20">
        <f t="shared" ca="1" si="57"/>
        <v>10.611021492537313</v>
      </c>
      <c r="AY69" s="20">
        <f t="shared" ca="1" si="58"/>
        <v>2.1111130775626559</v>
      </c>
      <c r="AZ69" s="21">
        <v>713.6</v>
      </c>
      <c r="BA69" s="22">
        <f t="shared" si="59"/>
        <v>0.1175911628459437</v>
      </c>
      <c r="BB69" s="22">
        <f t="shared" si="60"/>
        <v>1.1797926008968609</v>
      </c>
      <c r="BC69" s="23">
        <f t="shared" si="69"/>
        <v>0.13873318385650224</v>
      </c>
      <c r="BD69" s="98">
        <v>82.1</v>
      </c>
      <c r="BE69" s="23">
        <f t="shared" si="70"/>
        <v>4.9763474769281446E-2</v>
      </c>
      <c r="BF69">
        <v>145</v>
      </c>
      <c r="BG69" s="23">
        <f t="shared" si="71"/>
        <v>0.17624130747945599</v>
      </c>
      <c r="BH69" s="24">
        <v>18</v>
      </c>
      <c r="BI69" s="24">
        <v>26</v>
      </c>
      <c r="BJ69" s="25">
        <f t="shared" ca="1" si="72"/>
        <v>638.91577928363984</v>
      </c>
      <c r="BK69" s="25">
        <f t="shared" ca="1" si="73"/>
        <v>1695.5699995390219</v>
      </c>
      <c r="BL69" s="23">
        <f t="shared" ca="1" si="43"/>
        <v>-3.8377715523134737E-2</v>
      </c>
      <c r="BM69" s="23">
        <f t="shared" ca="1" si="44"/>
        <v>0.16890425893521632</v>
      </c>
      <c r="BN69" s="96" t="s">
        <v>880</v>
      </c>
      <c r="BO69" s="96" t="s">
        <v>522</v>
      </c>
      <c r="BP69" s="96" t="s">
        <v>141</v>
      </c>
      <c r="BQ69" s="98">
        <v>0</v>
      </c>
      <c r="BR69" s="98">
        <v>13.2</v>
      </c>
      <c r="BS69" s="98">
        <v>77.599999999999994</v>
      </c>
      <c r="BT69" s="96" t="s">
        <v>892</v>
      </c>
    </row>
    <row r="70" spans="1:72" x14ac:dyDescent="0.25">
      <c r="A70" s="86" t="e" vm="67">
        <v>#VALUE!</v>
      </c>
      <c r="B70" s="10" t="str">
        <f t="array" aca="1" ref="B70" ca="1">_FV(A70,"Símbolo bursátil",TRUE())</f>
        <v>ROKO B</v>
      </c>
      <c r="C70" s="88" t="s">
        <v>112</v>
      </c>
      <c r="D70" s="88" t="s">
        <v>77</v>
      </c>
      <c r="E70" s="11" t="str">
        <f t="shared" ca="1" si="61"/>
        <v>XSTO</v>
      </c>
      <c r="F70" s="11" t="str">
        <f t="shared" ca="1" si="62"/>
        <v>SEK</v>
      </c>
      <c r="G70" s="12">
        <f t="shared" ca="1" si="63"/>
        <v>1900</v>
      </c>
      <c r="H70" s="13">
        <f t="shared" ca="1" si="64"/>
        <v>12.1365</v>
      </c>
      <c r="I70" s="14">
        <f t="shared" ca="1" si="65"/>
        <v>23059.35</v>
      </c>
      <c r="J70" s="90">
        <v>1</v>
      </c>
      <c r="K70" s="90">
        <v>5</v>
      </c>
      <c r="L70" s="90">
        <v>3</v>
      </c>
      <c r="M70" s="90">
        <v>0</v>
      </c>
      <c r="N70" s="90">
        <v>0</v>
      </c>
      <c r="O70" s="90">
        <v>0</v>
      </c>
      <c r="P70" s="90">
        <v>1</v>
      </c>
      <c r="Q70" s="90">
        <v>1</v>
      </c>
      <c r="R70" s="15">
        <f t="shared" si="66"/>
        <v>11</v>
      </c>
      <c r="S70" s="16">
        <f t="shared" si="67"/>
        <v>6.88</v>
      </c>
      <c r="T70" s="90">
        <v>12</v>
      </c>
      <c r="U70" s="90">
        <v>12</v>
      </c>
      <c r="V70" s="90">
        <v>15</v>
      </c>
      <c r="W70" s="90">
        <v>8</v>
      </c>
      <c r="X70" s="90">
        <v>7</v>
      </c>
      <c r="Y70" s="90">
        <v>12</v>
      </c>
      <c r="Z70" s="90">
        <v>10</v>
      </c>
      <c r="AA70" s="90">
        <v>-14</v>
      </c>
      <c r="AB70" s="15">
        <f t="shared" si="52"/>
        <v>62</v>
      </c>
      <c r="AC70" s="16">
        <f t="shared" si="53"/>
        <v>6.2</v>
      </c>
      <c r="AD70" s="90">
        <v>12</v>
      </c>
      <c r="AE70" s="90">
        <v>-3</v>
      </c>
      <c r="AF70" s="90">
        <v>8</v>
      </c>
      <c r="AG70" s="90">
        <v>12</v>
      </c>
      <c r="AH70" s="90">
        <v>1</v>
      </c>
      <c r="AI70" s="90">
        <v>9</v>
      </c>
      <c r="AJ70" s="90">
        <v>9</v>
      </c>
      <c r="AK70" s="90">
        <v>-7</v>
      </c>
      <c r="AL70" s="15">
        <f t="shared" si="54"/>
        <v>41</v>
      </c>
      <c r="AM70" s="16">
        <f t="shared" si="55"/>
        <v>5.86</v>
      </c>
      <c r="AN70" s="17">
        <f t="shared" si="68"/>
        <v>6.2</v>
      </c>
      <c r="AO70" s="18" t="s">
        <v>113</v>
      </c>
      <c r="AP70" s="19">
        <v>435</v>
      </c>
      <c r="AQ70" s="19">
        <v>3020</v>
      </c>
      <c r="AR70" s="19">
        <f t="shared" ca="1" si="51"/>
        <v>25644.35</v>
      </c>
      <c r="AS70" s="103">
        <v>1196</v>
      </c>
      <c r="AT70" s="19">
        <v>893</v>
      </c>
      <c r="AU70" s="19">
        <v>1560</v>
      </c>
      <c r="AV70" s="19">
        <v>7090</v>
      </c>
      <c r="AW70" s="20">
        <f t="shared" ca="1" si="56"/>
        <v>21.44176421404682</v>
      </c>
      <c r="AX70" s="20">
        <f t="shared" ca="1" si="57"/>
        <v>16.438685897435896</v>
      </c>
      <c r="AY70" s="20">
        <f t="shared" ca="1" si="58"/>
        <v>3.6169746121297601</v>
      </c>
      <c r="AZ70" s="21">
        <v>9895</v>
      </c>
      <c r="BA70" s="22">
        <f t="shared" si="59"/>
        <v>0.12595204513399152</v>
      </c>
      <c r="BB70" s="22">
        <f t="shared" si="60"/>
        <v>0.71652349671551285</v>
      </c>
      <c r="BC70" s="23">
        <f t="shared" si="69"/>
        <v>9.0247599797877706E-2</v>
      </c>
      <c r="BD70" s="98">
        <v>1196</v>
      </c>
      <c r="BE70" s="23">
        <f t="shared" si="70"/>
        <v>0</v>
      </c>
      <c r="BF70">
        <v>1976</v>
      </c>
      <c r="BG70" s="23">
        <f t="shared" si="71"/>
        <v>0.10563340590814718</v>
      </c>
      <c r="BH70" s="24">
        <v>19</v>
      </c>
      <c r="BI70" s="24">
        <v>26</v>
      </c>
      <c r="BJ70" s="25">
        <f t="shared" ca="1" si="72"/>
        <v>1659.3746137683847</v>
      </c>
      <c r="BK70" s="25">
        <f t="shared" ca="1" si="73"/>
        <v>4020.1870390969389</v>
      </c>
      <c r="BL70" s="23">
        <f t="shared" ca="1" si="43"/>
        <v>-2.6719172990557261E-2</v>
      </c>
      <c r="BM70" s="23">
        <f t="shared" ca="1" si="44"/>
        <v>0.16171215024393804</v>
      </c>
      <c r="BN70" s="96" t="s">
        <v>654</v>
      </c>
      <c r="BO70" s="96" t="s">
        <v>524</v>
      </c>
      <c r="BP70" s="96" t="s">
        <v>115</v>
      </c>
      <c r="BQ70" s="98">
        <v>0</v>
      </c>
      <c r="BR70" s="98">
        <v>0</v>
      </c>
      <c r="BS70" s="98">
        <v>1196</v>
      </c>
      <c r="BT70" t="s">
        <v>860</v>
      </c>
    </row>
    <row r="71" spans="1:72" x14ac:dyDescent="0.25">
      <c r="A71" s="86" t="e" vm="68">
        <v>#VALUE!</v>
      </c>
      <c r="B71" s="10" t="str">
        <f t="array" aca="1" ref="B71" ca="1">_FV(A71,"Símbolo bursátil",TRUE())</f>
        <v>USPH</v>
      </c>
      <c r="C71" s="88" t="s">
        <v>107</v>
      </c>
      <c r="D71" s="88" t="s">
        <v>77</v>
      </c>
      <c r="E71" s="11" t="str">
        <f t="shared" ca="1" si="61"/>
        <v>XNYS</v>
      </c>
      <c r="F71" s="11" t="str">
        <f t="shared" ca="1" si="62"/>
        <v>USD</v>
      </c>
      <c r="G71" s="12">
        <f t="shared" ca="1" si="63"/>
        <v>84.435000000000002</v>
      </c>
      <c r="H71" s="13">
        <f t="shared" ca="1" si="64"/>
        <v>14.922700000000001</v>
      </c>
      <c r="I71" s="14">
        <f t="shared" ca="1" si="65"/>
        <v>1259.9981745</v>
      </c>
      <c r="J71" s="90">
        <v>2</v>
      </c>
      <c r="K71" s="90">
        <v>4</v>
      </c>
      <c r="L71" s="90">
        <v>2</v>
      </c>
      <c r="M71" s="90">
        <v>-1</v>
      </c>
      <c r="N71" s="90">
        <v>-1</v>
      </c>
      <c r="O71" s="90">
        <v>0</v>
      </c>
      <c r="P71" s="90">
        <v>0</v>
      </c>
      <c r="Q71" s="90">
        <v>-1</v>
      </c>
      <c r="R71" s="15">
        <f t="shared" si="66"/>
        <v>5</v>
      </c>
      <c r="S71" s="16">
        <f t="shared" si="67"/>
        <v>3.13</v>
      </c>
      <c r="T71" s="90">
        <v>8</v>
      </c>
      <c r="U71" s="90">
        <v>8</v>
      </c>
      <c r="V71" s="90">
        <v>13</v>
      </c>
      <c r="W71" s="90">
        <v>7</v>
      </c>
      <c r="X71" s="90">
        <v>8</v>
      </c>
      <c r="Y71" s="90">
        <v>9</v>
      </c>
      <c r="Z71" s="90">
        <v>3</v>
      </c>
      <c r="AA71" s="90">
        <v>-20</v>
      </c>
      <c r="AB71" s="15">
        <f t="shared" si="52"/>
        <v>36</v>
      </c>
      <c r="AC71" s="16">
        <f t="shared" si="53"/>
        <v>3.6</v>
      </c>
      <c r="AD71" s="90">
        <v>12</v>
      </c>
      <c r="AE71" s="90">
        <v>-4</v>
      </c>
      <c r="AF71" s="90">
        <v>8</v>
      </c>
      <c r="AG71" s="90">
        <v>6</v>
      </c>
      <c r="AH71" s="90">
        <v>-3</v>
      </c>
      <c r="AI71" s="90">
        <v>4</v>
      </c>
      <c r="AJ71" s="90">
        <v>6</v>
      </c>
      <c r="AK71" s="90">
        <v>-9</v>
      </c>
      <c r="AL71" s="15">
        <f t="shared" si="54"/>
        <v>20</v>
      </c>
      <c r="AM71" s="16">
        <f t="shared" si="55"/>
        <v>2.86</v>
      </c>
      <c r="AN71" s="17">
        <f t="shared" si="68"/>
        <v>3.21</v>
      </c>
      <c r="AO71" s="18" t="s">
        <v>78</v>
      </c>
      <c r="AP71" s="19">
        <v>24.9</v>
      </c>
      <c r="AQ71" s="19">
        <v>385.8</v>
      </c>
      <c r="AR71" s="19">
        <f t="shared" ca="1" si="51"/>
        <v>1620.8981744999999</v>
      </c>
      <c r="AS71" s="103">
        <v>54.2</v>
      </c>
      <c r="AT71" s="19">
        <v>57</v>
      </c>
      <c r="AU71" s="19">
        <v>96</v>
      </c>
      <c r="AV71" s="19">
        <v>804.3</v>
      </c>
      <c r="AW71" s="20">
        <f t="shared" ca="1" si="56"/>
        <v>29.90587037822878</v>
      </c>
      <c r="AX71" s="20">
        <f t="shared" ca="1" si="57"/>
        <v>16.884355984374999</v>
      </c>
      <c r="AY71" s="20">
        <f t="shared" ca="1" si="58"/>
        <v>2.0152905315180902</v>
      </c>
      <c r="AZ71" s="21">
        <v>1127.5999999999999</v>
      </c>
      <c r="BA71" s="22">
        <f t="shared" si="59"/>
        <v>7.0869078701976881E-2</v>
      </c>
      <c r="BB71" s="22">
        <f t="shared" si="60"/>
        <v>0.71328485278467546</v>
      </c>
      <c r="BC71" s="23">
        <f t="shared" si="69"/>
        <v>5.054984036892516E-2</v>
      </c>
      <c r="BD71" s="98">
        <v>52.5</v>
      </c>
      <c r="BE71" s="23">
        <f t="shared" si="70"/>
        <v>-6.3532797965107912E-3</v>
      </c>
      <c r="BF71">
        <v>91.8</v>
      </c>
      <c r="BG71" s="23">
        <f t="shared" si="71"/>
        <v>0.11113973612243377</v>
      </c>
      <c r="BH71" s="24">
        <v>19</v>
      </c>
      <c r="BI71" s="24">
        <v>26</v>
      </c>
      <c r="BJ71" s="25">
        <f t="shared" ca="1" si="72"/>
        <v>42.659840377411584</v>
      </c>
      <c r="BK71" s="25">
        <f t="shared" ca="1" si="73"/>
        <v>135.75961454696534</v>
      </c>
      <c r="BL71" s="23">
        <f t="shared" ca="1" si="43"/>
        <v>-0.12763276899917209</v>
      </c>
      <c r="BM71" s="23">
        <f t="shared" ca="1" si="44"/>
        <v>9.9637692200209349E-2</v>
      </c>
      <c r="BN71" s="96" t="s">
        <v>519</v>
      </c>
      <c r="BO71" s="96" t="s">
        <v>95</v>
      </c>
      <c r="BP71" s="96" t="s">
        <v>133</v>
      </c>
      <c r="BQ71" s="98">
        <v>9.9</v>
      </c>
      <c r="BR71" s="98">
        <v>0</v>
      </c>
      <c r="BS71" s="98">
        <v>54.2</v>
      </c>
      <c r="BT71" t="s">
        <v>858</v>
      </c>
    </row>
    <row r="72" spans="1:72" x14ac:dyDescent="0.25">
      <c r="A72" s="101" t="e" vm="69">
        <v>#VALUE!</v>
      </c>
      <c r="B72" s="10" t="str">
        <f t="array" aca="1" ref="B72" ca="1">_FV(A72,"Símbolo bursátil",TRUE())</f>
        <v>SAP</v>
      </c>
      <c r="C72" s="88" t="s">
        <v>76</v>
      </c>
      <c r="D72" s="88" t="s">
        <v>77</v>
      </c>
      <c r="E72" s="11" t="str">
        <f t="shared" ca="1" si="61"/>
        <v>XETR</v>
      </c>
      <c r="F72" s="11" t="str">
        <f t="shared" ca="1" si="62"/>
        <v>EUR</v>
      </c>
      <c r="G72" s="12">
        <f t="shared" ca="1" si="63"/>
        <v>199.84</v>
      </c>
      <c r="H72" s="13">
        <f t="shared" ca="1" si="64"/>
        <v>1228.5039999999999</v>
      </c>
      <c r="I72" s="14">
        <f t="shared" ref="I72:I73" ca="1" si="74">G72*H72</f>
        <v>245504.23935999998</v>
      </c>
      <c r="J72" s="90">
        <v>1</v>
      </c>
      <c r="K72" s="90">
        <v>7</v>
      </c>
      <c r="L72" s="90">
        <v>2</v>
      </c>
      <c r="M72" s="90">
        <v>1</v>
      </c>
      <c r="N72" s="90">
        <v>0</v>
      </c>
      <c r="O72" s="90">
        <v>0</v>
      </c>
      <c r="P72" s="90">
        <v>0</v>
      </c>
      <c r="Q72" s="90">
        <v>0</v>
      </c>
      <c r="R72" s="15">
        <f t="shared" ref="R72" si="75">SUM(J72:N72)+SUM(P72:Q72)</f>
        <v>11</v>
      </c>
      <c r="S72" s="16">
        <f t="shared" ref="S72" si="76">ROUND(R72/16*10,2)</f>
        <v>6.88</v>
      </c>
      <c r="T72" s="90">
        <v>15</v>
      </c>
      <c r="U72" s="90">
        <v>18</v>
      </c>
      <c r="V72" s="90">
        <v>12</v>
      </c>
      <c r="W72" s="90">
        <v>10</v>
      </c>
      <c r="X72" s="90">
        <v>10</v>
      </c>
      <c r="Y72" s="90">
        <v>11</v>
      </c>
      <c r="Z72" s="90">
        <v>5</v>
      </c>
      <c r="AA72" s="90">
        <v>-9</v>
      </c>
      <c r="AB72" s="15">
        <f t="shared" si="52"/>
        <v>72</v>
      </c>
      <c r="AC72" s="16">
        <f t="shared" si="53"/>
        <v>7.2</v>
      </c>
      <c r="AD72" s="90">
        <v>14</v>
      </c>
      <c r="AE72" s="90">
        <v>-2</v>
      </c>
      <c r="AF72" s="90">
        <v>9</v>
      </c>
      <c r="AG72" s="90">
        <v>10</v>
      </c>
      <c r="AH72" s="90">
        <v>4</v>
      </c>
      <c r="AI72" s="90">
        <v>7</v>
      </c>
      <c r="AJ72" s="90">
        <v>14</v>
      </c>
      <c r="AK72" s="90">
        <v>-5</v>
      </c>
      <c r="AL72" s="15">
        <f t="shared" si="54"/>
        <v>51</v>
      </c>
      <c r="AM72" s="16">
        <f t="shared" si="55"/>
        <v>7.29</v>
      </c>
      <c r="AN72" s="17">
        <f t="shared" ref="AN72" si="77">ROUND(S72*0.2+AC72*0.4+AM72*0.4,2)</f>
        <v>7.17</v>
      </c>
      <c r="AO72" s="18" t="s">
        <v>86</v>
      </c>
      <c r="AP72" s="19">
        <v>11630</v>
      </c>
      <c r="AQ72" s="19">
        <v>9940</v>
      </c>
      <c r="AR72" s="19">
        <f t="shared" ref="AR72" ca="1" si="78">I72-AP72+AQ72</f>
        <v>243814.23935999998</v>
      </c>
      <c r="AS72" s="103">
        <v>7231</v>
      </c>
      <c r="AT72" s="19">
        <v>7892</v>
      </c>
      <c r="AU72" s="19">
        <v>11760</v>
      </c>
      <c r="AV72" s="19">
        <v>38190</v>
      </c>
      <c r="AW72" s="20">
        <f t="shared" ca="1" si="56"/>
        <v>33.717914446134692</v>
      </c>
      <c r="AX72" s="20">
        <f t="shared" ca="1" si="57"/>
        <v>20.732503346938774</v>
      </c>
      <c r="AY72" s="20">
        <f t="shared" ca="1" si="58"/>
        <v>6.384242978790259</v>
      </c>
      <c r="AZ72" s="21">
        <v>55875</v>
      </c>
      <c r="BA72" s="22">
        <f t="shared" si="59"/>
        <v>0.20665095574757791</v>
      </c>
      <c r="BB72" s="22">
        <f t="shared" si="60"/>
        <v>0.68348993288590609</v>
      </c>
      <c r="BC72" s="23">
        <f t="shared" si="69"/>
        <v>0.14124384787472039</v>
      </c>
      <c r="BD72" s="98">
        <v>7951.6</v>
      </c>
      <c r="BE72" s="23">
        <f t="shared" si="70"/>
        <v>1.9180798026169565E-2</v>
      </c>
      <c r="BF72">
        <v>12755.7</v>
      </c>
      <c r="BG72" s="23">
        <f t="shared" si="71"/>
        <v>0.12021449265126183</v>
      </c>
      <c r="BH72" s="24">
        <v>16</v>
      </c>
      <c r="BI72" s="24">
        <v>24</v>
      </c>
      <c r="BJ72" s="25">
        <f t="shared" ca="1" si="72"/>
        <v>104.93706166198891</v>
      </c>
      <c r="BK72" s="25">
        <f t="shared" ca="1" si="73"/>
        <v>250.57044991306506</v>
      </c>
      <c r="BL72" s="23">
        <f t="shared" ref="BL72" ca="1" si="79">IF($BJ72&lt;=0,-0.99,MAX(-0.99,($BJ72/G72)^(1/5)-1))</f>
        <v>-0.1208777018832512</v>
      </c>
      <c r="BM72" s="23">
        <f t="shared" ref="BM72" ca="1" si="80">IF(BK72&lt;=0,-0.99,MAX(-0.99,(BK72/G72)^(1/5)-1))</f>
        <v>4.6283764638948233E-2</v>
      </c>
      <c r="BN72" s="96" t="s">
        <v>812</v>
      </c>
      <c r="BO72" s="96" t="s">
        <v>125</v>
      </c>
      <c r="BP72" s="96" t="s">
        <v>815</v>
      </c>
      <c r="BQ72" s="98">
        <v>1499</v>
      </c>
      <c r="BR72" s="98">
        <v>0</v>
      </c>
      <c r="BS72" s="98">
        <v>7231</v>
      </c>
      <c r="BT72" t="s">
        <v>858</v>
      </c>
    </row>
    <row r="73" spans="1:72" x14ac:dyDescent="0.25">
      <c r="A73" s="101" t="e" vm="70">
        <v>#VALUE!</v>
      </c>
      <c r="B73" s="10" t="str">
        <f t="array" aca="1" ref="B73" ca="1">_FV(A73,"Símbolo bursátil",TRUE())</f>
        <v>VYLR</v>
      </c>
      <c r="C73" s="88" t="s">
        <v>138</v>
      </c>
      <c r="D73" s="88" t="s">
        <v>77</v>
      </c>
      <c r="E73" s="11" t="str">
        <f t="shared" ca="1" si="61"/>
        <v>XNYS</v>
      </c>
      <c r="F73" s="11" t="str">
        <f t="shared" ca="1" si="62"/>
        <v>USD</v>
      </c>
      <c r="G73" s="12">
        <f t="shared" ca="1" si="63"/>
        <v>71.66</v>
      </c>
      <c r="H73" s="13">
        <f t="shared" ca="1" si="64"/>
        <v>667.19600000000003</v>
      </c>
      <c r="I73" s="14">
        <f t="shared" ca="1" si="74"/>
        <v>47811.265359999998</v>
      </c>
      <c r="J73" s="90">
        <v>1</v>
      </c>
      <c r="K73" s="90">
        <v>7</v>
      </c>
      <c r="L73" s="90">
        <v>2</v>
      </c>
      <c r="M73" s="90">
        <v>0</v>
      </c>
      <c r="N73" s="90">
        <v>-1</v>
      </c>
      <c r="O73" s="90">
        <v>0</v>
      </c>
      <c r="P73" s="90">
        <v>0</v>
      </c>
      <c r="Q73" s="90">
        <v>0</v>
      </c>
      <c r="R73" s="15">
        <f t="shared" ref="R73" si="81">SUM(J73:N73)+SUM(P73:Q73)</f>
        <v>9</v>
      </c>
      <c r="S73" s="16">
        <f t="shared" ref="S73" si="82">ROUND(R73/16*10,2)</f>
        <v>5.63</v>
      </c>
      <c r="T73" s="90">
        <v>12</v>
      </c>
      <c r="U73" s="90">
        <v>16</v>
      </c>
      <c r="V73" s="90">
        <v>12</v>
      </c>
      <c r="W73" s="90">
        <v>9</v>
      </c>
      <c r="X73" s="90">
        <v>10</v>
      </c>
      <c r="Y73" s="90">
        <v>9</v>
      </c>
      <c r="Z73" s="90">
        <v>5</v>
      </c>
      <c r="AA73" s="90">
        <v>-9</v>
      </c>
      <c r="AB73" s="15">
        <f t="shared" ref="AB73" si="83">SUM(T73:AA73)</f>
        <v>64</v>
      </c>
      <c r="AC73" s="16">
        <f t="shared" si="53"/>
        <v>6.4</v>
      </c>
      <c r="AD73" s="90">
        <v>14</v>
      </c>
      <c r="AE73" s="90">
        <v>-1</v>
      </c>
      <c r="AF73" s="90">
        <v>6</v>
      </c>
      <c r="AG73" s="90">
        <v>9</v>
      </c>
      <c r="AH73" s="90">
        <v>2</v>
      </c>
      <c r="AI73" s="90">
        <v>6</v>
      </c>
      <c r="AJ73" s="90">
        <v>13</v>
      </c>
      <c r="AK73" s="90">
        <v>-3</v>
      </c>
      <c r="AL73" s="15">
        <f t="shared" ref="AL73" si="84">SUM(AD73:AK73)</f>
        <v>46</v>
      </c>
      <c r="AM73" s="16">
        <f t="shared" si="55"/>
        <v>6.57</v>
      </c>
      <c r="AN73" s="17">
        <f t="shared" ref="AN73" si="85">ROUND(S73*0.2+AC73*0.4+AM73*0.4,2)</f>
        <v>6.31</v>
      </c>
      <c r="AO73" s="18" t="s">
        <v>78</v>
      </c>
      <c r="AP73" s="19">
        <v>1100</v>
      </c>
      <c r="AQ73" s="19">
        <v>5659</v>
      </c>
      <c r="AR73" s="19">
        <f t="shared" ref="AR73" ca="1" si="86">I73-AP73+AQ73</f>
        <v>52370.265359999998</v>
      </c>
      <c r="AS73" s="103">
        <v>1195</v>
      </c>
      <c r="AT73" s="19">
        <v>1172</v>
      </c>
      <c r="AU73" s="19">
        <v>2931</v>
      </c>
      <c r="AV73" s="19">
        <v>10209</v>
      </c>
      <c r="AW73" s="20">
        <f t="shared" ref="AW73" ca="1" si="87">AR73/AS73</f>
        <v>43.82448984100418</v>
      </c>
      <c r="AX73" s="20">
        <f t="shared" ref="AX73" ca="1" si="88">AR73/AU73</f>
        <v>17.867712507676561</v>
      </c>
      <c r="AY73" s="20">
        <f t="shared" ref="AY73" ca="1" si="89">AR73/AV73</f>
        <v>5.1298134352042313</v>
      </c>
      <c r="AZ73" s="21">
        <v>16827</v>
      </c>
      <c r="BA73" s="22">
        <f t="shared" ref="BA73" si="90">AT73/AV73</f>
        <v>0.11480066607894994</v>
      </c>
      <c r="BB73" s="22">
        <f t="shared" ref="BB73" si="91">AV73/AZ73</f>
        <v>0.60670351221251562</v>
      </c>
      <c r="BC73" s="23">
        <f t="shared" si="69"/>
        <v>6.9649967314435138E-2</v>
      </c>
      <c r="BD73" s="98">
        <v>2200</v>
      </c>
      <c r="BE73" s="23">
        <f t="shared" si="70"/>
        <v>0.12982441421042812</v>
      </c>
      <c r="BF73">
        <v>3320</v>
      </c>
      <c r="BG73" s="23">
        <f t="shared" si="71"/>
        <v>0.22674426314293461</v>
      </c>
      <c r="BH73" s="24">
        <v>14</v>
      </c>
      <c r="BI73" s="24">
        <v>22</v>
      </c>
      <c r="BJ73" s="25">
        <f t="shared" ca="1" si="72"/>
        <v>39.330271764219205</v>
      </c>
      <c r="BK73" s="25">
        <f t="shared" ca="1" si="73"/>
        <v>102.64000383695345</v>
      </c>
      <c r="BL73" s="23">
        <f t="shared" ref="BL73" ca="1" si="92">IF($BJ73&lt;=0,-0.99,MAX(-0.99,($BJ73/G73)^(1/5)-1))</f>
        <v>-0.11306860364777582</v>
      </c>
      <c r="BM73" s="23">
        <f t="shared" ref="BM73" ca="1" si="93">IF(BK73&lt;=0,-0.99,MAX(-0.99,(BK73/G73)^(1/5)-1))</f>
        <v>7.4503838187703009E-2</v>
      </c>
      <c r="BN73" s="96" t="s">
        <v>812</v>
      </c>
      <c r="BO73" s="96" t="s">
        <v>95</v>
      </c>
      <c r="BP73" s="96" t="s">
        <v>133</v>
      </c>
      <c r="BQ73" s="98">
        <v>47</v>
      </c>
      <c r="BR73" s="98">
        <v>33</v>
      </c>
      <c r="BS73" s="98">
        <v>1228</v>
      </c>
      <c r="BT73" s="96" t="s">
        <v>909</v>
      </c>
    </row>
    <row r="74" spans="1:72" x14ac:dyDescent="0.25">
      <c r="A74" s="101" t="e" vm="71">
        <v>#VALUE!</v>
      </c>
      <c r="B74" s="10" t="str">
        <f t="array" aca="1" ref="B74" ca="1">_FV(A74,"Símbolo bursátil",TRUE())</f>
        <v>RCL</v>
      </c>
      <c r="C74" s="88" t="s">
        <v>105</v>
      </c>
      <c r="D74" s="88" t="s">
        <v>136</v>
      </c>
      <c r="E74" s="11" t="str">
        <f t="shared" ca="1" si="61"/>
        <v>XNYS</v>
      </c>
      <c r="F74" s="11" t="str">
        <f t="shared" ca="1" si="62"/>
        <v>USD</v>
      </c>
      <c r="G74" s="12">
        <f t="shared" ca="1" si="63"/>
        <v>281.22000000000003</v>
      </c>
      <c r="H74" s="13">
        <f t="shared" ca="1" si="64"/>
        <v>267.45209999999997</v>
      </c>
      <c r="I74" s="14">
        <f ca="1">G74*H74</f>
        <v>75212.879562000002</v>
      </c>
      <c r="J74" s="90">
        <v>1</v>
      </c>
      <c r="K74" s="90">
        <v>4.5</v>
      </c>
      <c r="L74" s="90">
        <v>2</v>
      </c>
      <c r="M74" s="90">
        <v>-0.5</v>
      </c>
      <c r="N74" s="90">
        <v>-1</v>
      </c>
      <c r="O74" s="90"/>
      <c r="P74" s="90">
        <v>0.5</v>
      </c>
      <c r="Q74" s="90">
        <v>0</v>
      </c>
      <c r="R74" s="15">
        <f>SUM(J74:N74)+SUM(P74:Q74)</f>
        <v>6.5</v>
      </c>
      <c r="S74" s="16">
        <f>ROUND(R74/16*10,2)</f>
        <v>4.0599999999999996</v>
      </c>
      <c r="T74" s="90">
        <v>10</v>
      </c>
      <c r="U74" s="90">
        <v>11</v>
      </c>
      <c r="V74" s="90">
        <v>12</v>
      </c>
      <c r="W74" s="90">
        <v>8</v>
      </c>
      <c r="X74" s="90">
        <v>4</v>
      </c>
      <c r="Y74" s="90">
        <v>8</v>
      </c>
      <c r="Z74" s="90">
        <v>5</v>
      </c>
      <c r="AA74" s="90">
        <v>-17</v>
      </c>
      <c r="AB74" s="15">
        <f>SUM(T74:AA74)</f>
        <v>41</v>
      </c>
      <c r="AC74" s="16">
        <f>ROUND(AB74/10,2)</f>
        <v>4.0999999999999996</v>
      </c>
      <c r="AD74" s="90">
        <v>10</v>
      </c>
      <c r="AE74" s="90">
        <v>-5</v>
      </c>
      <c r="AF74" s="90">
        <v>1</v>
      </c>
      <c r="AG74" s="90">
        <v>7</v>
      </c>
      <c r="AH74" s="90">
        <v>0</v>
      </c>
      <c r="AI74" s="90">
        <v>5</v>
      </c>
      <c r="AJ74" s="90">
        <v>8</v>
      </c>
      <c r="AK74" s="90">
        <v>-8</v>
      </c>
      <c r="AL74" s="15">
        <f>SUM(AD74:AK74)</f>
        <v>18</v>
      </c>
      <c r="AM74" s="16">
        <f>ROUND(AL74/70*10,2)</f>
        <v>2.57</v>
      </c>
      <c r="AN74" s="17">
        <f>ROUND(S74*0.2+AC74*0.4+AM74*0.4,2)</f>
        <v>3.48</v>
      </c>
      <c r="AO74" s="18" t="s">
        <v>78</v>
      </c>
      <c r="AP74" s="19">
        <v>875</v>
      </c>
      <c r="AQ74" s="19">
        <v>22836</v>
      </c>
      <c r="AR74" s="19">
        <f ca="1">I74-AP74+AQ74</f>
        <v>97173.879562000002</v>
      </c>
      <c r="AS74" s="103">
        <v>4821</v>
      </c>
      <c r="AT74" s="19">
        <v>4984</v>
      </c>
      <c r="AU74" s="19">
        <v>6920</v>
      </c>
      <c r="AV74" s="19">
        <v>18682</v>
      </c>
      <c r="AW74" s="20">
        <f ca="1">AR74/AS74</f>
        <v>20.156374105372329</v>
      </c>
      <c r="AX74" s="20">
        <f ca="1">AR74/AU74</f>
        <v>14.042468144797688</v>
      </c>
      <c r="AY74" s="20">
        <f ca="1">AR74/AV74</f>
        <v>5.2014709111444173</v>
      </c>
      <c r="AZ74" s="21">
        <v>32197</v>
      </c>
      <c r="BA74" s="22">
        <f>AT74/AV74</f>
        <v>0.26678085858045175</v>
      </c>
      <c r="BB74" s="22">
        <f>AV74/AZ74</f>
        <v>0.58024039506786351</v>
      </c>
      <c r="BC74" s="23">
        <f>BA74*BB74</f>
        <v>0.15479703077926515</v>
      </c>
      <c r="BD74" s="98">
        <v>5308.7</v>
      </c>
      <c r="BE74" s="23">
        <f>(BD74/AS74)^(1/5)-1</f>
        <v>1.9460047312442663E-2</v>
      </c>
      <c r="BF74">
        <v>8908.4</v>
      </c>
      <c r="BG74" s="23">
        <f>(BF74/AS74)^(1/5)-1</f>
        <v>0.13066126890251373</v>
      </c>
      <c r="BH74" s="24">
        <v>8</v>
      </c>
      <c r="BI74" s="24">
        <v>11.5</v>
      </c>
      <c r="BJ74" s="25">
        <f ca="1">((BD74*BH74+$AP74-$AQ74)/$H74)</f>
        <v>76.681394537563918</v>
      </c>
      <c r="BK74" s="25">
        <f ca="1">((BF74*BI74+$AP74-$AQ74)/$H74)</f>
        <v>300.93463465046636</v>
      </c>
      <c r="BL74" s="23">
        <f ca="1">IF($BJ74&lt;=0,-0.99,MAX(-0.99,($BJ74/G74)^(1/5)-1))</f>
        <v>-0.22886793945948247</v>
      </c>
      <c r="BM74" s="23">
        <f ca="1">IF(BK74&lt;=0,-0.99,MAX(-0.99,(BK74/G74)^(1/5)-1))</f>
        <v>1.364339299273265E-2</v>
      </c>
      <c r="BN74" s="96" t="s">
        <v>880</v>
      </c>
      <c r="BO74" s="96" t="s">
        <v>120</v>
      </c>
      <c r="BP74" s="96" t="s">
        <v>121</v>
      </c>
      <c r="BQ74" s="98">
        <v>151</v>
      </c>
      <c r="BR74" s="98">
        <v>5388</v>
      </c>
      <c r="BS74" s="98">
        <v>4821</v>
      </c>
      <c r="BT74" s="96" t="s">
        <v>897</v>
      </c>
    </row>
  </sheetData>
  <mergeCells count="9">
    <mergeCell ref="BN2:BP2"/>
    <mergeCell ref="T2:AC2"/>
    <mergeCell ref="J2:S2"/>
    <mergeCell ref="AN2:AN3"/>
    <mergeCell ref="A1:AW1"/>
    <mergeCell ref="AD2:AM2"/>
    <mergeCell ref="BJ2:BM2"/>
    <mergeCell ref="A2:I2"/>
    <mergeCell ref="AO2:BF2"/>
  </mergeCells>
  <pageMargins left="0.75" right="0.75" top="1" bottom="1" header="0.511811023622047" footer="0.511811023622047"/>
  <pageSetup paperSize="9"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2"/>
  <sheetViews>
    <sheetView zoomScaleNormal="100" workbookViewId="0">
      <selection activeCell="E16" sqref="E16"/>
    </sheetView>
  </sheetViews>
  <sheetFormatPr baseColWidth="10" defaultColWidth="8.5703125" defaultRowHeight="15" x14ac:dyDescent="0.25"/>
  <cols>
    <col min="1" max="1" width="110" customWidth="1"/>
    <col min="4" max="4" width="11.85546875" customWidth="1"/>
    <col min="5" max="5" width="9.5703125" customWidth="1"/>
  </cols>
  <sheetData>
    <row r="1" spans="1:6" ht="24" customHeight="1" x14ac:dyDescent="0.25">
      <c r="A1" s="110" t="s">
        <v>150</v>
      </c>
      <c r="B1" s="106"/>
      <c r="C1" s="106"/>
      <c r="D1" s="106"/>
      <c r="E1" s="106"/>
      <c r="F1" s="106"/>
    </row>
    <row r="3" spans="1:6" ht="15" customHeight="1" x14ac:dyDescent="0.25">
      <c r="A3" s="27" t="s">
        <v>151</v>
      </c>
    </row>
    <row r="4" spans="1:6" ht="15" customHeight="1" x14ac:dyDescent="0.25">
      <c r="A4" s="28" t="s">
        <v>152</v>
      </c>
      <c r="D4" t="e" vm="72">
        <v>#VALUE!</v>
      </c>
      <c r="E4" s="29">
        <f t="array" aca="1" ref="E4" ca="1">_FV(D4,"Precio")</f>
        <v>177.72</v>
      </c>
    </row>
    <row r="5" spans="1:6" ht="15" customHeight="1" x14ac:dyDescent="0.25">
      <c r="A5" s="28" t="s">
        <v>153</v>
      </c>
      <c r="D5" t="e" vm="73">
        <v>#VALUE!</v>
      </c>
      <c r="E5" s="30">
        <f t="array" aca="1" ref="E5" ca="1">_FV(D5,"Precio")</f>
        <v>1.2098</v>
      </c>
    </row>
    <row r="6" spans="1:6" ht="15" customHeight="1" x14ac:dyDescent="0.25">
      <c r="A6" s="28" t="s">
        <v>154</v>
      </c>
      <c r="D6" t="e" vm="74">
        <v>#VALUE!</v>
      </c>
      <c r="E6" s="31">
        <f t="array" aca="1" ref="E6" ca="1">_FV(D6,"Precio")</f>
        <v>451.89</v>
      </c>
    </row>
    <row r="7" spans="1:6" ht="15" customHeight="1" x14ac:dyDescent="0.25">
      <c r="D7" t="e" vm="75">
        <v>#VALUE!</v>
      </c>
      <c r="E7" s="30">
        <f t="array" aca="1" ref="E7" ca="1">_FV(D7,"Precio")</f>
        <v>0.70889999999999997</v>
      </c>
    </row>
    <row r="8" spans="1:6" ht="15" customHeight="1" x14ac:dyDescent="0.25">
      <c r="A8" s="27" t="s">
        <v>570</v>
      </c>
      <c r="D8" t="e" vm="76">
        <v>#VALUE!</v>
      </c>
      <c r="E8" s="87">
        <f t="array" aca="1" ref="E8" ca="1">_FV(D8,"Precio")</f>
        <v>0.89170000000000005</v>
      </c>
    </row>
    <row r="9" spans="1:6" ht="15" customHeight="1" x14ac:dyDescent="0.25">
      <c r="A9" s="28" t="s">
        <v>155</v>
      </c>
      <c r="C9" s="96" t="s">
        <v>925</v>
      </c>
      <c r="E9">
        <v>1.3305</v>
      </c>
    </row>
    <row r="10" spans="1:6" ht="15" customHeight="1" x14ac:dyDescent="0.25">
      <c r="A10" s="28" t="s">
        <v>156</v>
      </c>
    </row>
    <row r="11" spans="1:6" ht="15" customHeight="1" x14ac:dyDescent="0.25">
      <c r="A11" s="28" t="s">
        <v>157</v>
      </c>
    </row>
    <row r="12" spans="1:6" ht="15" customHeight="1" x14ac:dyDescent="0.25">
      <c r="A12" s="28" t="s">
        <v>158</v>
      </c>
    </row>
    <row r="13" spans="1:6" ht="15" customHeight="1" x14ac:dyDescent="0.25">
      <c r="A13" s="28" t="s">
        <v>159</v>
      </c>
    </row>
    <row r="14" spans="1:6" ht="15" customHeight="1" x14ac:dyDescent="0.25">
      <c r="A14" s="28" t="s">
        <v>571</v>
      </c>
    </row>
    <row r="15" spans="1:6" ht="15" customHeight="1" x14ac:dyDescent="0.25">
      <c r="A15" s="28" t="s">
        <v>160</v>
      </c>
    </row>
    <row r="16" spans="1:6" ht="15" customHeight="1" x14ac:dyDescent="0.25">
      <c r="A16" s="28" t="s">
        <v>161</v>
      </c>
    </row>
    <row r="18" spans="1:1" ht="15" customHeight="1" x14ac:dyDescent="0.25">
      <c r="A18" s="27" t="s">
        <v>162</v>
      </c>
    </row>
    <row r="19" spans="1:1" ht="15" customHeight="1" x14ac:dyDescent="0.25">
      <c r="A19" s="28" t="s">
        <v>163</v>
      </c>
    </row>
    <row r="20" spans="1:1" ht="15" customHeight="1" x14ac:dyDescent="0.25">
      <c r="A20" s="28" t="s">
        <v>164</v>
      </c>
    </row>
    <row r="21" spans="1:1" ht="15" customHeight="1" x14ac:dyDescent="0.25">
      <c r="A21" s="28" t="s">
        <v>165</v>
      </c>
    </row>
    <row r="22" spans="1:1" ht="15" customHeight="1" x14ac:dyDescent="0.25">
      <c r="A22" s="28" t="s">
        <v>166</v>
      </c>
    </row>
    <row r="23" spans="1:1" ht="15" customHeight="1" x14ac:dyDescent="0.25">
      <c r="A23" s="28" t="s">
        <v>167</v>
      </c>
    </row>
    <row r="24" spans="1:1" ht="15" customHeight="1" x14ac:dyDescent="0.25">
      <c r="A24" s="28" t="s">
        <v>168</v>
      </c>
    </row>
    <row r="25" spans="1:1" ht="15" customHeight="1" x14ac:dyDescent="0.25">
      <c r="A25" s="28" t="s">
        <v>169</v>
      </c>
    </row>
    <row r="26" spans="1:1" ht="15" customHeight="1" x14ac:dyDescent="0.25">
      <c r="A26" s="28" t="s">
        <v>170</v>
      </c>
    </row>
    <row r="28" spans="1:1" ht="15" customHeight="1" x14ac:dyDescent="0.25">
      <c r="A28" s="27" t="s">
        <v>171</v>
      </c>
    </row>
    <row r="29" spans="1:1" ht="15" customHeight="1" x14ac:dyDescent="0.25">
      <c r="A29" s="28" t="s">
        <v>172</v>
      </c>
    </row>
    <row r="30" spans="1:1" ht="15" customHeight="1" x14ac:dyDescent="0.25">
      <c r="A30" s="28" t="s">
        <v>173</v>
      </c>
    </row>
    <row r="31" spans="1:1" ht="15" customHeight="1" x14ac:dyDescent="0.25">
      <c r="A31" s="28" t="s">
        <v>174</v>
      </c>
    </row>
    <row r="32" spans="1:1" ht="15" customHeight="1" x14ac:dyDescent="0.25">
      <c r="A32" s="28" t="s">
        <v>175</v>
      </c>
    </row>
    <row r="33" spans="1:1" ht="15" customHeight="1" x14ac:dyDescent="0.25">
      <c r="A33" s="28" t="s">
        <v>176</v>
      </c>
    </row>
    <row r="34" spans="1:1" ht="15" customHeight="1" x14ac:dyDescent="0.25">
      <c r="A34" s="28" t="s">
        <v>177</v>
      </c>
    </row>
    <row r="35" spans="1:1" ht="15" customHeight="1" x14ac:dyDescent="0.25">
      <c r="A35" s="28" t="s">
        <v>178</v>
      </c>
    </row>
    <row r="36" spans="1:1" ht="15" customHeight="1" x14ac:dyDescent="0.25">
      <c r="A36" s="28" t="s">
        <v>179</v>
      </c>
    </row>
    <row r="38" spans="1:1" ht="15" customHeight="1" x14ac:dyDescent="0.25">
      <c r="A38" s="27" t="s">
        <v>180</v>
      </c>
    </row>
    <row r="39" spans="1:1" ht="15" customHeight="1" x14ac:dyDescent="0.25">
      <c r="A39" s="28" t="s">
        <v>572</v>
      </c>
    </row>
    <row r="40" spans="1:1" ht="15" customHeight="1" x14ac:dyDescent="0.25">
      <c r="A40" s="28" t="s">
        <v>573</v>
      </c>
    </row>
    <row r="41" spans="1:1" x14ac:dyDescent="0.25">
      <c r="A41" t="s">
        <v>574</v>
      </c>
    </row>
    <row r="42" spans="1:1" ht="15" customHeight="1" x14ac:dyDescent="0.25">
      <c r="A42" s="27" t="s">
        <v>181</v>
      </c>
    </row>
    <row r="43" spans="1:1" ht="15" customHeight="1" x14ac:dyDescent="0.25">
      <c r="A43" s="28" t="s">
        <v>182</v>
      </c>
    </row>
    <row r="44" spans="1:1" ht="15" customHeight="1" x14ac:dyDescent="0.25">
      <c r="A44" s="28" t="s">
        <v>183</v>
      </c>
    </row>
    <row r="45" spans="1:1" ht="15" customHeight="1" x14ac:dyDescent="0.25">
      <c r="A45" s="28" t="s">
        <v>184</v>
      </c>
    </row>
    <row r="46" spans="1:1" ht="15" customHeight="1" x14ac:dyDescent="0.25">
      <c r="A46" s="28" t="s">
        <v>185</v>
      </c>
    </row>
    <row r="47" spans="1:1" ht="15" customHeight="1" x14ac:dyDescent="0.25">
      <c r="A47" s="28" t="s">
        <v>186</v>
      </c>
    </row>
    <row r="49" spans="1:1" ht="15" customHeight="1" x14ac:dyDescent="0.25">
      <c r="A49" s="27"/>
    </row>
    <row r="50" spans="1:1" ht="15" customHeight="1" x14ac:dyDescent="0.25">
      <c r="A50" s="28" t="s">
        <v>607</v>
      </c>
    </row>
    <row r="51" spans="1:1" ht="15" customHeight="1" x14ac:dyDescent="0.25">
      <c r="A51" s="28" t="s">
        <v>608</v>
      </c>
    </row>
    <row r="52" spans="1:1" ht="15" customHeight="1" x14ac:dyDescent="0.25">
      <c r="A52" s="28" t="s">
        <v>609</v>
      </c>
    </row>
    <row r="53" spans="1:1" x14ac:dyDescent="0.25">
      <c r="A53" t="s">
        <v>610</v>
      </c>
    </row>
    <row r="54" spans="1:1" x14ac:dyDescent="0.25">
      <c r="A54" t="s">
        <v>611</v>
      </c>
    </row>
    <row r="55" spans="1:1" x14ac:dyDescent="0.25">
      <c r="A55" t="s">
        <v>612</v>
      </c>
    </row>
    <row r="56" spans="1:1" x14ac:dyDescent="0.25">
      <c r="A56" t="s">
        <v>613</v>
      </c>
    </row>
    <row r="57" spans="1:1" x14ac:dyDescent="0.25">
      <c r="A57" t="s">
        <v>614</v>
      </c>
    </row>
    <row r="58" spans="1:1" x14ac:dyDescent="0.25">
      <c r="A58" t="s">
        <v>773</v>
      </c>
    </row>
    <row r="59" spans="1:1" x14ac:dyDescent="0.25">
      <c r="A59" t="s">
        <v>774</v>
      </c>
    </row>
    <row r="62" spans="1:1" x14ac:dyDescent="0.25">
      <c r="A62" t="s">
        <v>629</v>
      </c>
    </row>
    <row r="63" spans="1:1" x14ac:dyDescent="0.25">
      <c r="A63" t="s">
        <v>630</v>
      </c>
    </row>
    <row r="64" spans="1:1" x14ac:dyDescent="0.25">
      <c r="A64" t="s">
        <v>631</v>
      </c>
    </row>
    <row r="65" spans="1:1" x14ac:dyDescent="0.25">
      <c r="A65" t="s">
        <v>632</v>
      </c>
    </row>
    <row r="66" spans="1:1" x14ac:dyDescent="0.25">
      <c r="A66" t="s">
        <v>633</v>
      </c>
    </row>
    <row r="67" spans="1:1" x14ac:dyDescent="0.25">
      <c r="A67" t="s">
        <v>634</v>
      </c>
    </row>
    <row r="68" spans="1:1" x14ac:dyDescent="0.25">
      <c r="A68" t="s">
        <v>635</v>
      </c>
    </row>
    <row r="69" spans="1:1" x14ac:dyDescent="0.25">
      <c r="A69" t="s">
        <v>636</v>
      </c>
    </row>
    <row r="70" spans="1:1" x14ac:dyDescent="0.25">
      <c r="A70" t="s">
        <v>637</v>
      </c>
    </row>
    <row r="71" spans="1:1" x14ac:dyDescent="0.25">
      <c r="A71" t="s">
        <v>638</v>
      </c>
    </row>
    <row r="72" spans="1:1" x14ac:dyDescent="0.25">
      <c r="A72" t="s">
        <v>752</v>
      </c>
    </row>
  </sheetData>
  <mergeCells count="1">
    <mergeCell ref="A1:F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91"/>
  <sheetViews>
    <sheetView zoomScaleNormal="100" workbookViewId="0">
      <pane ySplit="4" topLeftCell="A38" activePane="bottomLeft" state="frozen"/>
      <selection pane="bottomLeft" activeCell="C9" sqref="C9"/>
    </sheetView>
  </sheetViews>
  <sheetFormatPr baseColWidth="10" defaultColWidth="10.7109375" defaultRowHeight="15" x14ac:dyDescent="0.25"/>
  <cols>
    <col min="1" max="14" width="13.28515625" customWidth="1"/>
    <col min="15" max="16" width="10.7109375" customWidth="1"/>
    <col min="17" max="17" width="16" customWidth="1"/>
    <col min="18" max="29" width="13.28515625" hidden="1" customWidth="1"/>
    <col min="30" max="30" width="2.85546875" customWidth="1"/>
    <col min="31" max="31" width="4.7109375" hidden="1" customWidth="1"/>
    <col min="32" max="32" width="13.28515625" hidden="1" customWidth="1"/>
    <col min="33" max="33" width="10.42578125" customWidth="1"/>
    <col min="34" max="43" width="0.140625" customWidth="1"/>
  </cols>
  <sheetData>
    <row r="1" spans="1:47" ht="45" customHeight="1" x14ac:dyDescent="0.4">
      <c r="A1" s="173" t="s">
        <v>187</v>
      </c>
      <c r="B1" s="106"/>
      <c r="C1" s="106"/>
      <c r="D1" s="106"/>
      <c r="E1" s="106"/>
      <c r="F1" s="106"/>
      <c r="G1" s="106"/>
      <c r="H1" s="106"/>
      <c r="I1" s="106"/>
      <c r="J1" s="106"/>
      <c r="K1" s="106"/>
      <c r="L1" s="106"/>
      <c r="M1" s="32"/>
      <c r="N1" s="32"/>
      <c r="O1" s="32"/>
      <c r="P1" s="32"/>
      <c r="Q1" s="32"/>
      <c r="R1" s="32"/>
    </row>
    <row r="2" spans="1:47" ht="24.75" customHeight="1" x14ac:dyDescent="0.25">
      <c r="A2" s="161" t="s">
        <v>188</v>
      </c>
      <c r="B2" s="162"/>
      <c r="C2" s="162"/>
      <c r="D2" s="162"/>
      <c r="E2" s="162"/>
      <c r="F2" s="162"/>
      <c r="G2" s="162"/>
      <c r="H2" s="162"/>
      <c r="I2" s="162"/>
      <c r="J2" s="162"/>
      <c r="K2" s="162"/>
      <c r="L2" s="162"/>
    </row>
    <row r="3" spans="1:47" ht="24.75" customHeight="1" x14ac:dyDescent="0.25">
      <c r="A3" s="166" t="s">
        <v>189</v>
      </c>
      <c r="B3" s="134"/>
      <c r="C3" s="133" t="s">
        <v>190</v>
      </c>
      <c r="D3" s="134"/>
      <c r="E3" s="135" t="s">
        <v>191</v>
      </c>
      <c r="F3" s="134"/>
      <c r="G3" s="181" t="s">
        <v>192</v>
      </c>
      <c r="H3" s="134"/>
      <c r="I3" s="182" t="s">
        <v>193</v>
      </c>
      <c r="J3" s="134"/>
      <c r="K3" s="145" t="s">
        <v>194</v>
      </c>
      <c r="L3" s="146"/>
    </row>
    <row r="4" spans="1:47" ht="49.5" customHeight="1" x14ac:dyDescent="0.25">
      <c r="A4" s="170">
        <f ca="1">COUNTA('Watchlist Ratings'!B4:B71)</f>
        <v>68</v>
      </c>
      <c r="B4" s="140"/>
      <c r="C4" s="141">
        <f>ROUND(AVERAGE('Watchlist Ratings'!AN4:AN71),2)</f>
        <v>5.98</v>
      </c>
      <c r="D4" s="140"/>
      <c r="E4" s="142" t="str">
        <f>TEXT(AVERAGE('Watchlist Ratings'!BC4:BC71),"0.0%")</f>
        <v>16.4%</v>
      </c>
      <c r="F4" s="140"/>
      <c r="G4" s="142" t="str">
        <f ca="1">TEXT(AVERAGE('Watchlist Ratings'!AW4:AW71),"0.0x")</f>
        <v>25.3x</v>
      </c>
      <c r="H4" s="140"/>
      <c r="I4" s="142">
        <f ca="1">COUNTIF('Watchlist Ratings'!BM4:BM71,"&gt;0")</f>
        <v>57</v>
      </c>
      <c r="J4" s="140"/>
      <c r="K4" s="174">
        <f>COUNTIF('Watchlist Ratings'!AN4:AN71,"&gt;7.5")</f>
        <v>16</v>
      </c>
      <c r="L4" s="148"/>
    </row>
    <row r="5" spans="1:47" ht="19.5" customHeight="1" x14ac:dyDescent="0.25">
      <c r="A5" s="168" t="s">
        <v>195</v>
      </c>
      <c r="B5" s="140"/>
      <c r="C5" s="139" t="s">
        <v>196</v>
      </c>
      <c r="D5" s="140"/>
      <c r="E5" s="139" t="s">
        <v>197</v>
      </c>
      <c r="F5" s="140"/>
      <c r="G5" s="139" t="s">
        <v>198</v>
      </c>
      <c r="H5" s="140"/>
      <c r="I5" s="139" t="s">
        <v>199</v>
      </c>
      <c r="J5" s="140"/>
      <c r="K5" s="147" t="s">
        <v>200</v>
      </c>
      <c r="L5" s="148"/>
    </row>
    <row r="6" spans="1:47" ht="18" customHeight="1" x14ac:dyDescent="0.25">
      <c r="A6" s="178" t="s">
        <v>201</v>
      </c>
      <c r="B6" s="138"/>
      <c r="C6" s="137" t="s">
        <v>202</v>
      </c>
      <c r="D6" s="138"/>
      <c r="E6" s="137" t="s">
        <v>203</v>
      </c>
      <c r="F6" s="138"/>
      <c r="G6" s="180" t="s">
        <v>204</v>
      </c>
      <c r="H6" s="138"/>
      <c r="I6" s="137" t="s">
        <v>205</v>
      </c>
      <c r="J6" s="138"/>
      <c r="K6" s="143" t="s">
        <v>206</v>
      </c>
      <c r="L6" s="144"/>
      <c r="O6" t="s">
        <v>207</v>
      </c>
      <c r="S6" t="s">
        <v>208</v>
      </c>
      <c r="V6" t="s">
        <v>209</v>
      </c>
      <c r="Y6" t="s">
        <v>210</v>
      </c>
      <c r="AA6" t="s">
        <v>211</v>
      </c>
      <c r="AE6" t="s">
        <v>212</v>
      </c>
      <c r="AF6" t="s">
        <v>213</v>
      </c>
      <c r="AH6" t="s">
        <v>212</v>
      </c>
      <c r="AI6" t="s">
        <v>213</v>
      </c>
      <c r="AJ6" t="s">
        <v>212</v>
      </c>
      <c r="AK6" t="s">
        <v>214</v>
      </c>
      <c r="AL6" t="s">
        <v>215</v>
      </c>
      <c r="AM6" t="s">
        <v>212</v>
      </c>
      <c r="AN6" t="s">
        <v>216</v>
      </c>
      <c r="AO6" t="s">
        <v>212</v>
      </c>
      <c r="AP6" t="s">
        <v>217</v>
      </c>
      <c r="AQ6" t="s">
        <v>218</v>
      </c>
      <c r="AS6" t="s">
        <v>212</v>
      </c>
      <c r="AT6" t="s">
        <v>216</v>
      </c>
      <c r="AU6" t="s">
        <v>218</v>
      </c>
    </row>
    <row r="7" spans="1:47" ht="15.75" customHeight="1" x14ac:dyDescent="0.25">
      <c r="A7" s="33" t="s">
        <v>219</v>
      </c>
      <c r="B7" s="34" t="s">
        <v>212</v>
      </c>
      <c r="C7" s="34" t="s">
        <v>220</v>
      </c>
      <c r="D7" s="34" t="s">
        <v>221</v>
      </c>
      <c r="E7" s="34" t="s">
        <v>222</v>
      </c>
      <c r="F7" s="34" t="s">
        <v>223</v>
      </c>
      <c r="G7" s="34" t="s">
        <v>214</v>
      </c>
      <c r="H7" s="34" t="s">
        <v>224</v>
      </c>
      <c r="I7" s="34" t="s">
        <v>62</v>
      </c>
      <c r="J7" s="35" t="s">
        <v>216</v>
      </c>
      <c r="K7" s="36"/>
      <c r="O7" t="s">
        <v>212</v>
      </c>
      <c r="P7" t="s">
        <v>223</v>
      </c>
      <c r="Q7" t="s">
        <v>225</v>
      </c>
      <c r="S7" t="s">
        <v>212</v>
      </c>
      <c r="T7" t="s">
        <v>62</v>
      </c>
      <c r="V7" t="s">
        <v>212</v>
      </c>
      <c r="W7" t="s">
        <v>214</v>
      </c>
      <c r="X7" t="s">
        <v>215</v>
      </c>
      <c r="Y7" t="s">
        <v>212</v>
      </c>
      <c r="Z7" t="s">
        <v>216</v>
      </c>
      <c r="AA7" t="s">
        <v>212</v>
      </c>
      <c r="AB7" t="s">
        <v>226</v>
      </c>
      <c r="AC7" t="s">
        <v>225</v>
      </c>
      <c r="AE7" t="s">
        <v>227</v>
      </c>
      <c r="AF7">
        <v>83.3333333333333</v>
      </c>
      <c r="AH7" t="s">
        <v>227</v>
      </c>
      <c r="AI7">
        <v>83.3</v>
      </c>
      <c r="AJ7" t="s">
        <v>228</v>
      </c>
      <c r="AK7">
        <v>8</v>
      </c>
      <c r="AL7">
        <v>3</v>
      </c>
      <c r="AM7" t="s">
        <v>229</v>
      </c>
      <c r="AN7">
        <v>52.2</v>
      </c>
      <c r="AO7" t="s">
        <v>228</v>
      </c>
      <c r="AP7">
        <v>4.5</v>
      </c>
      <c r="AQ7">
        <v>33.6</v>
      </c>
      <c r="AS7" t="s">
        <v>228</v>
      </c>
      <c r="AT7">
        <v>20.173600073636401</v>
      </c>
      <c r="AU7">
        <v>33.701681153345</v>
      </c>
    </row>
    <row r="8" spans="1:47" ht="30" customHeight="1" x14ac:dyDescent="0.25">
      <c r="A8" s="179" t="s">
        <v>230</v>
      </c>
      <c r="B8" s="106"/>
      <c r="C8" s="106"/>
      <c r="D8" s="106"/>
      <c r="E8" s="106"/>
      <c r="F8" s="106"/>
      <c r="G8" s="106"/>
      <c r="H8" s="106"/>
      <c r="I8" s="106"/>
      <c r="J8" s="106"/>
      <c r="K8" s="106"/>
      <c r="L8" s="106"/>
      <c r="O8" t="str">
        <f ca="1">'Watchlist Ratings'!B4</f>
        <v>VEEV</v>
      </c>
      <c r="P8" s="37">
        <f>'Watchlist Ratings'!AN4</f>
        <v>8.33</v>
      </c>
      <c r="Q8" s="23">
        <f ca="1">'Watchlist Ratings'!BM4</f>
        <v>8.669021918158748E-2</v>
      </c>
      <c r="S8" t="str">
        <f ca="1">'Watchlist Ratings'!B4</f>
        <v>VEEV</v>
      </c>
      <c r="T8" s="23">
        <f>'Watchlist Ratings'!BC4</f>
        <v>0.52733333333333332</v>
      </c>
      <c r="V8" t="str">
        <f ca="1">'Watchlist Ratings'!B4</f>
        <v>VEEV</v>
      </c>
      <c r="W8" s="38">
        <f>'Watchlist Ratings'!K4</f>
        <v>8</v>
      </c>
      <c r="X8" s="38">
        <f>'Watchlist Ratings'!L4</f>
        <v>2</v>
      </c>
      <c r="Y8" t="str">
        <f ca="1">'Watchlist Ratings'!B4</f>
        <v>VEEV</v>
      </c>
      <c r="Z8">
        <f ca="1">'Watchlist Ratings'!AW4</f>
        <v>38.462970319874152</v>
      </c>
      <c r="AA8" t="str">
        <f ca="1">'Watchlist Ratings'!B4</f>
        <v>VEEV</v>
      </c>
      <c r="AB8">
        <f ca="1">'Watchlist Ratings'!BL4</f>
        <v>-0.12371514472249545</v>
      </c>
      <c r="AC8">
        <f ca="1">'Watchlist Ratings'!BM4</f>
        <v>8.669021918158748E-2</v>
      </c>
      <c r="AE8" t="s">
        <v>231</v>
      </c>
      <c r="AF8">
        <v>83.3333333333333</v>
      </c>
      <c r="AH8" t="s">
        <v>231</v>
      </c>
      <c r="AI8">
        <v>83.3</v>
      </c>
      <c r="AJ8" t="s">
        <v>232</v>
      </c>
      <c r="AK8">
        <v>8</v>
      </c>
      <c r="AL8">
        <v>3</v>
      </c>
      <c r="AM8" t="s">
        <v>233</v>
      </c>
      <c r="AN8">
        <v>51.1</v>
      </c>
      <c r="AO8" t="s">
        <v>234</v>
      </c>
      <c r="AP8">
        <v>3.7</v>
      </c>
      <c r="AQ8">
        <v>32.4</v>
      </c>
      <c r="AS8" t="s">
        <v>232</v>
      </c>
      <c r="AT8">
        <v>44.5724369425714</v>
      </c>
      <c r="AU8">
        <v>10.123218193895701</v>
      </c>
    </row>
    <row r="9" spans="1:47" ht="15" customHeight="1" x14ac:dyDescent="0.25">
      <c r="A9" s="39">
        <v>2</v>
      </c>
      <c r="B9" s="40" t="str">
        <f ca="1">'Watchlist Ratings'!B5</f>
        <v>MSFT</v>
      </c>
      <c r="C9" s="41">
        <f>'Watchlist Ratings'!S5</f>
        <v>8.75</v>
      </c>
      <c r="D9" s="41">
        <f>'Watchlist Ratings'!AC5</f>
        <v>7.7</v>
      </c>
      <c r="E9" s="41">
        <f>'Watchlist Ratings'!AM5</f>
        <v>7.57</v>
      </c>
      <c r="F9" s="41">
        <f>'Watchlist Ratings'!AN5</f>
        <v>7.86</v>
      </c>
      <c r="G9" s="42">
        <f>'Watchlist Ratings'!K5</f>
        <v>8</v>
      </c>
      <c r="H9" s="42">
        <f>'Watchlist Ratings'!L5</f>
        <v>3</v>
      </c>
      <c r="I9" s="43">
        <f>'Watchlist Ratings'!BC5</f>
        <v>0.21224118015235321</v>
      </c>
      <c r="J9" s="44">
        <f ca="1">'Watchlist Ratings'!AW5</f>
        <v>72.014527264482794</v>
      </c>
      <c r="O9" t="str">
        <f ca="1">'Watchlist Ratings'!B5</f>
        <v>MSFT</v>
      </c>
      <c r="P9" s="37">
        <f>'Watchlist Ratings'!AN5</f>
        <v>7.86</v>
      </c>
      <c r="Q9" s="23">
        <f ca="1">'Watchlist Ratings'!BM5</f>
        <v>0.11210182270941682</v>
      </c>
      <c r="S9" t="str">
        <f ca="1">'Watchlist Ratings'!B5</f>
        <v>MSFT</v>
      </c>
      <c r="T9" s="23">
        <f>'Watchlist Ratings'!BC5</f>
        <v>0.21224118015235321</v>
      </c>
      <c r="V9" t="str">
        <f ca="1">'Watchlist Ratings'!B5</f>
        <v>MSFT</v>
      </c>
      <c r="W9" s="38">
        <f>'Watchlist Ratings'!K5</f>
        <v>8</v>
      </c>
      <c r="X9" s="38">
        <f>'Watchlist Ratings'!L5</f>
        <v>3</v>
      </c>
      <c r="Y9" t="str">
        <f ca="1">'Watchlist Ratings'!B5</f>
        <v>MSFT</v>
      </c>
      <c r="Z9">
        <f ca="1">'Watchlist Ratings'!AW5</f>
        <v>72.014527264482794</v>
      </c>
      <c r="AA9" t="str">
        <f ca="1">'Watchlist Ratings'!B5</f>
        <v>MSFT</v>
      </c>
      <c r="AB9">
        <f ca="1">'Watchlist Ratings'!BL5</f>
        <v>-5.5257326372892934E-2</v>
      </c>
      <c r="AC9">
        <f ca="1">'Watchlist Ratings'!BM5</f>
        <v>0.11210182270941682</v>
      </c>
      <c r="AE9" t="s">
        <v>235</v>
      </c>
      <c r="AF9">
        <v>59.375</v>
      </c>
      <c r="AH9" t="s">
        <v>235</v>
      </c>
      <c r="AI9">
        <v>59.4</v>
      </c>
      <c r="AJ9" t="s">
        <v>233</v>
      </c>
      <c r="AK9">
        <v>8</v>
      </c>
      <c r="AL9">
        <v>1</v>
      </c>
      <c r="AM9" t="s">
        <v>236</v>
      </c>
      <c r="AN9">
        <v>45.6</v>
      </c>
      <c r="AO9" t="s">
        <v>237</v>
      </c>
      <c r="AP9">
        <v>1.1000000000000001</v>
      </c>
      <c r="AQ9">
        <v>28.4</v>
      </c>
      <c r="AS9" t="s">
        <v>237</v>
      </c>
      <c r="AT9">
        <v>28.571278521519002</v>
      </c>
      <c r="AU9">
        <v>28.414482662692301</v>
      </c>
    </row>
    <row r="10" spans="1:47" ht="15" customHeight="1" x14ac:dyDescent="0.25">
      <c r="A10" s="45">
        <v>3</v>
      </c>
      <c r="B10" s="46" t="str">
        <f ca="1">'Watchlist Ratings'!B6</f>
        <v>ADYEN</v>
      </c>
      <c r="C10" s="47">
        <f>'Watchlist Ratings'!S6</f>
        <v>7.81</v>
      </c>
      <c r="D10" s="47">
        <f>'Watchlist Ratings'!AC6</f>
        <v>7.3</v>
      </c>
      <c r="E10" s="47">
        <f>'Watchlist Ratings'!AM6</f>
        <v>8.2899999999999991</v>
      </c>
      <c r="F10" s="47">
        <f>'Watchlist Ratings'!AN6</f>
        <v>7.8</v>
      </c>
      <c r="G10" s="48">
        <f>'Watchlist Ratings'!K6</f>
        <v>7</v>
      </c>
      <c r="H10" s="48">
        <f>'Watchlist Ratings'!L6</f>
        <v>2</v>
      </c>
      <c r="I10" s="49">
        <f>'Watchlist Ratings'!BC6</f>
        <v>0.35799999999999998</v>
      </c>
      <c r="J10" s="50">
        <f ca="1">'Watchlist Ratings'!AW6</f>
        <v>24.388812706739525</v>
      </c>
      <c r="O10" t="str">
        <f ca="1">'Watchlist Ratings'!B6</f>
        <v>ADYEN</v>
      </c>
      <c r="P10" s="37">
        <f>'Watchlist Ratings'!AN6</f>
        <v>7.8</v>
      </c>
      <c r="Q10" s="23">
        <f ca="1">'Watchlist Ratings'!BM6</f>
        <v>0.20520658178954276</v>
      </c>
      <c r="S10" t="str">
        <f ca="1">'Watchlist Ratings'!B6</f>
        <v>ADYEN</v>
      </c>
      <c r="T10" s="23">
        <f>'Watchlist Ratings'!BC6</f>
        <v>0.35799999999999998</v>
      </c>
      <c r="V10" t="str">
        <f ca="1">'Watchlist Ratings'!B6</f>
        <v>ADYEN</v>
      </c>
      <c r="W10" s="38">
        <f>'Watchlist Ratings'!K6</f>
        <v>7</v>
      </c>
      <c r="X10" s="38">
        <f>'Watchlist Ratings'!L6</f>
        <v>2</v>
      </c>
      <c r="Y10" t="str">
        <f ca="1">'Watchlist Ratings'!B6</f>
        <v>ADYEN</v>
      </c>
      <c r="Z10">
        <f ca="1">'Watchlist Ratings'!AW6</f>
        <v>24.388812706739525</v>
      </c>
      <c r="AA10" t="str">
        <f ca="1">'Watchlist Ratings'!B6</f>
        <v>ADYEN</v>
      </c>
      <c r="AB10">
        <f ca="1">'Watchlist Ratings'!BL6</f>
        <v>-7.9445418996527462E-2</v>
      </c>
      <c r="AC10">
        <f ca="1">'Watchlist Ratings'!BM6</f>
        <v>0.20520658178954276</v>
      </c>
      <c r="AE10" t="s">
        <v>228</v>
      </c>
      <c r="AF10">
        <v>54</v>
      </c>
      <c r="AH10" t="s">
        <v>228</v>
      </c>
      <c r="AI10">
        <v>54</v>
      </c>
      <c r="AJ10" t="s">
        <v>229</v>
      </c>
      <c r="AK10">
        <v>8</v>
      </c>
      <c r="AL10">
        <v>3</v>
      </c>
      <c r="AM10" t="s">
        <v>232</v>
      </c>
      <c r="AN10">
        <v>44.8</v>
      </c>
      <c r="AO10" t="s">
        <v>238</v>
      </c>
      <c r="AP10">
        <v>1.8</v>
      </c>
      <c r="AQ10">
        <v>25</v>
      </c>
      <c r="AS10" t="s">
        <v>239</v>
      </c>
      <c r="AT10">
        <v>24.369253736000001</v>
      </c>
      <c r="AU10">
        <v>23.4863412384314</v>
      </c>
    </row>
    <row r="11" spans="1:47" ht="15" customHeight="1" x14ac:dyDescent="0.25">
      <c r="A11" s="39">
        <v>4</v>
      </c>
      <c r="B11" s="40" t="str">
        <f ca="1">'Watchlist Ratings'!B7</f>
        <v>BN</v>
      </c>
      <c r="C11" s="41">
        <f>'Watchlist Ratings'!S7</f>
        <v>8.44</v>
      </c>
      <c r="D11" s="41">
        <f>'Watchlist Ratings'!AC7</f>
        <v>8</v>
      </c>
      <c r="E11" s="41">
        <f>'Watchlist Ratings'!AM7</f>
        <v>7.71</v>
      </c>
      <c r="F11" s="41">
        <f>'Watchlist Ratings'!AN7</f>
        <v>7.97</v>
      </c>
      <c r="G11" s="42">
        <f>'Watchlist Ratings'!K7</f>
        <v>7</v>
      </c>
      <c r="H11" s="42">
        <f>'Watchlist Ratings'!L7</f>
        <v>3</v>
      </c>
      <c r="I11" s="43">
        <f>'Watchlist Ratings'!BC7</f>
        <v>0.13417131558505757</v>
      </c>
      <c r="J11" s="44">
        <f ca="1">'Watchlist Ratings'!AW7</f>
        <v>15.963148083059211</v>
      </c>
      <c r="O11" t="str">
        <f ca="1">'Watchlist Ratings'!B7</f>
        <v>BN</v>
      </c>
      <c r="P11" s="37">
        <f>'Watchlist Ratings'!AN7</f>
        <v>7.97</v>
      </c>
      <c r="Q11" s="23">
        <f ca="1">'Watchlist Ratings'!BM7</f>
        <v>0.24983312746672115</v>
      </c>
      <c r="S11" t="str">
        <f ca="1">'Watchlist Ratings'!B7</f>
        <v>BN</v>
      </c>
      <c r="T11" s="23">
        <f>'Watchlist Ratings'!BC7</f>
        <v>0.13417131558505757</v>
      </c>
      <c r="V11" t="str">
        <f ca="1">'Watchlist Ratings'!B7</f>
        <v>BN</v>
      </c>
      <c r="W11" s="38">
        <f>'Watchlist Ratings'!K7</f>
        <v>7</v>
      </c>
      <c r="X11" s="38">
        <f>'Watchlist Ratings'!L7</f>
        <v>3</v>
      </c>
      <c r="Y11" t="str">
        <f ca="1">'Watchlist Ratings'!B7</f>
        <v>BN</v>
      </c>
      <c r="Z11">
        <f ca="1">'Watchlist Ratings'!AW7</f>
        <v>15.963148083059211</v>
      </c>
      <c r="AA11" t="str">
        <f ca="1">'Watchlist Ratings'!B7</f>
        <v>BN</v>
      </c>
      <c r="AB11">
        <f ca="1">'Watchlist Ratings'!BL7</f>
        <v>4.2057947352448055E-2</v>
      </c>
      <c r="AC11">
        <f ca="1">'Watchlist Ratings'!BM7</f>
        <v>0.24983312746672115</v>
      </c>
      <c r="AE11" t="s">
        <v>240</v>
      </c>
      <c r="AF11">
        <v>41.6666666666667</v>
      </c>
      <c r="AH11" t="s">
        <v>240</v>
      </c>
      <c r="AI11">
        <v>41.7</v>
      </c>
      <c r="AJ11" t="s">
        <v>241</v>
      </c>
      <c r="AK11">
        <v>8</v>
      </c>
      <c r="AL11">
        <v>2</v>
      </c>
      <c r="AM11" t="s">
        <v>242</v>
      </c>
      <c r="AN11">
        <v>43.6</v>
      </c>
      <c r="AO11" t="s">
        <v>239</v>
      </c>
      <c r="AP11">
        <v>0.6</v>
      </c>
      <c r="AQ11">
        <v>23.3</v>
      </c>
      <c r="AS11" t="s">
        <v>233</v>
      </c>
      <c r="AT11">
        <v>51.179748126470599</v>
      </c>
      <c r="AU11">
        <v>0.80673234994763598</v>
      </c>
    </row>
    <row r="12" spans="1:47" ht="15" customHeight="1" x14ac:dyDescent="0.25">
      <c r="A12" s="45">
        <v>5</v>
      </c>
      <c r="B12" s="46" t="str">
        <f ca="1">'Watchlist Ratings'!B8</f>
        <v>COST</v>
      </c>
      <c r="C12" s="47">
        <f>'Watchlist Ratings'!S8</f>
        <v>7.81</v>
      </c>
      <c r="D12" s="47">
        <f>'Watchlist Ratings'!AC8</f>
        <v>8</v>
      </c>
      <c r="E12" s="47">
        <f>'Watchlist Ratings'!AM8</f>
        <v>8.43</v>
      </c>
      <c r="F12" s="47">
        <f>'Watchlist Ratings'!AN8</f>
        <v>8.1300000000000008</v>
      </c>
      <c r="G12" s="48">
        <f>'Watchlist Ratings'!K8</f>
        <v>8</v>
      </c>
      <c r="H12" s="48">
        <f>'Watchlist Ratings'!L8</f>
        <v>1</v>
      </c>
      <c r="I12" s="49">
        <f>'Watchlist Ratings'!BC8</f>
        <v>0.19860060941203025</v>
      </c>
      <c r="J12" s="50">
        <f ca="1">'Watchlist Ratings'!AW8</f>
        <v>50.198484678853632</v>
      </c>
      <c r="O12" t="str">
        <f ca="1">'Watchlist Ratings'!B8</f>
        <v>COST</v>
      </c>
      <c r="P12" s="37">
        <f>'Watchlist Ratings'!AN8</f>
        <v>8.1300000000000008</v>
      </c>
      <c r="Q12" s="23">
        <f ca="1">'Watchlist Ratings'!BM8</f>
        <v>-3.7574755369150781E-3</v>
      </c>
      <c r="S12" t="str">
        <f ca="1">'Watchlist Ratings'!B8</f>
        <v>COST</v>
      </c>
      <c r="T12" s="23">
        <f>'Watchlist Ratings'!BC8</f>
        <v>0.19860060941203025</v>
      </c>
      <c r="V12" t="str">
        <f ca="1">'Watchlist Ratings'!B8</f>
        <v>COST</v>
      </c>
      <c r="W12" s="38">
        <f>'Watchlist Ratings'!K8</f>
        <v>8</v>
      </c>
      <c r="X12" s="38">
        <f>'Watchlist Ratings'!L8</f>
        <v>1</v>
      </c>
      <c r="Y12" t="str">
        <f ca="1">'Watchlist Ratings'!B8</f>
        <v>COST</v>
      </c>
      <c r="Z12">
        <f ca="1">'Watchlist Ratings'!AW8</f>
        <v>50.198484678853632</v>
      </c>
      <c r="AA12" t="str">
        <f ca="1">'Watchlist Ratings'!B8</f>
        <v>COST</v>
      </c>
      <c r="AB12">
        <f ca="1">'Watchlist Ratings'!BL8</f>
        <v>-0.12471290741981333</v>
      </c>
      <c r="AC12">
        <f ca="1">'Watchlist Ratings'!BM8</f>
        <v>-3.7574755369150781E-3</v>
      </c>
      <c r="AE12" t="s">
        <v>243</v>
      </c>
      <c r="AF12">
        <v>38.3333333333333</v>
      </c>
      <c r="AH12" t="s">
        <v>243</v>
      </c>
      <c r="AI12">
        <v>38.299999999999997</v>
      </c>
      <c r="AJ12" t="s">
        <v>237</v>
      </c>
      <c r="AK12">
        <v>7</v>
      </c>
      <c r="AL12">
        <v>3</v>
      </c>
      <c r="AM12" t="s">
        <v>235</v>
      </c>
      <c r="AN12">
        <v>40.299999999999997</v>
      </c>
      <c r="AO12" t="s">
        <v>244</v>
      </c>
      <c r="AP12">
        <v>-0.1</v>
      </c>
      <c r="AQ12">
        <v>20.8</v>
      </c>
      <c r="AS12" t="s">
        <v>244</v>
      </c>
      <c r="AT12">
        <v>25.7039266520833</v>
      </c>
      <c r="AU12">
        <v>20.9506730863196</v>
      </c>
    </row>
    <row r="13" spans="1:47" ht="15" customHeight="1" x14ac:dyDescent="0.25">
      <c r="A13" s="39">
        <v>6</v>
      </c>
      <c r="B13" s="40" t="str">
        <f ca="1">'Watchlist Ratings'!B9</f>
        <v>DSGX</v>
      </c>
      <c r="C13" s="41">
        <f>'Watchlist Ratings'!S9</f>
        <v>7.19</v>
      </c>
      <c r="D13" s="41">
        <f>'Watchlist Ratings'!AC9</f>
        <v>7.5</v>
      </c>
      <c r="E13" s="41">
        <f>'Watchlist Ratings'!AM9</f>
        <v>8.7100000000000009</v>
      </c>
      <c r="F13" s="41">
        <f>'Watchlist Ratings'!AN9</f>
        <v>7.92</v>
      </c>
      <c r="G13" s="42">
        <f>'Watchlist Ratings'!K9</f>
        <v>7</v>
      </c>
      <c r="H13" s="42">
        <f>'Watchlist Ratings'!L9</f>
        <v>2</v>
      </c>
      <c r="I13" s="43">
        <f>'Watchlist Ratings'!BC9</f>
        <v>0.10620525059665872</v>
      </c>
      <c r="J13" s="44">
        <f ca="1">'Watchlist Ratings'!AW9</f>
        <v>26.913509573507746</v>
      </c>
      <c r="L13" s="36" t="s">
        <v>245</v>
      </c>
      <c r="M13" t="s">
        <v>246</v>
      </c>
      <c r="O13" t="str">
        <f ca="1">'Watchlist Ratings'!B9</f>
        <v>DSGX</v>
      </c>
      <c r="P13" s="37">
        <f>'Watchlist Ratings'!AN9</f>
        <v>7.92</v>
      </c>
      <c r="Q13" s="23">
        <f ca="1">'Watchlist Ratings'!BM9</f>
        <v>0.15788109561386898</v>
      </c>
      <c r="S13" t="str">
        <f ca="1">'Watchlist Ratings'!B9</f>
        <v>DSGX</v>
      </c>
      <c r="T13" s="23">
        <f>'Watchlist Ratings'!BC9</f>
        <v>0.10620525059665872</v>
      </c>
      <c r="V13" t="str">
        <f ca="1">'Watchlist Ratings'!B9</f>
        <v>DSGX</v>
      </c>
      <c r="W13" s="38">
        <f>'Watchlist Ratings'!K9</f>
        <v>7</v>
      </c>
      <c r="X13" s="38">
        <f>'Watchlist Ratings'!L9</f>
        <v>2</v>
      </c>
      <c r="Y13" t="str">
        <f ca="1">'Watchlist Ratings'!B9</f>
        <v>DSGX</v>
      </c>
      <c r="Z13">
        <f ca="1">'Watchlist Ratings'!AW9</f>
        <v>26.913509573507746</v>
      </c>
      <c r="AA13" t="str">
        <f ca="1">'Watchlist Ratings'!B9</f>
        <v>DSGX</v>
      </c>
      <c r="AB13">
        <f ca="1">'Watchlist Ratings'!BL9</f>
        <v>-7.2863982931990923E-2</v>
      </c>
      <c r="AC13">
        <f ca="1">'Watchlist Ratings'!BM9</f>
        <v>0.15788109561386898</v>
      </c>
      <c r="AE13" t="s">
        <v>238</v>
      </c>
      <c r="AF13">
        <v>37.5</v>
      </c>
      <c r="AH13" t="s">
        <v>238</v>
      </c>
      <c r="AI13">
        <v>37.5</v>
      </c>
      <c r="AJ13" t="s">
        <v>239</v>
      </c>
      <c r="AK13">
        <v>7</v>
      </c>
      <c r="AL13">
        <v>3</v>
      </c>
      <c r="AM13" t="s">
        <v>247</v>
      </c>
      <c r="AN13">
        <v>38.9</v>
      </c>
      <c r="AO13" t="s">
        <v>248</v>
      </c>
      <c r="AP13">
        <v>4.7</v>
      </c>
      <c r="AQ13">
        <v>32.9</v>
      </c>
      <c r="AS13" t="s">
        <v>243</v>
      </c>
      <c r="AT13">
        <v>29.589673076923098</v>
      </c>
      <c r="AU13">
        <v>13.4877131347373</v>
      </c>
    </row>
    <row r="14" spans="1:47" ht="15" customHeight="1" x14ac:dyDescent="0.25">
      <c r="A14" s="45">
        <v>7</v>
      </c>
      <c r="B14" s="46" t="str">
        <f ca="1">'Watchlist Ratings'!B10</f>
        <v>RAA</v>
      </c>
      <c r="C14" s="47">
        <f>'Watchlist Ratings'!S10</f>
        <v>7.5</v>
      </c>
      <c r="D14" s="47">
        <f>'Watchlist Ratings'!AC10</f>
        <v>7.4</v>
      </c>
      <c r="E14" s="47">
        <f>'Watchlist Ratings'!AM10</f>
        <v>8.2899999999999991</v>
      </c>
      <c r="F14" s="47">
        <f>'Watchlist Ratings'!AN10</f>
        <v>7.78</v>
      </c>
      <c r="G14" s="48">
        <f>'Watchlist Ratings'!K10</f>
        <v>7</v>
      </c>
      <c r="H14" s="48">
        <f>'Watchlist Ratings'!L10</f>
        <v>2</v>
      </c>
      <c r="I14" s="49">
        <f>'Watchlist Ratings'!BC10</f>
        <v>0.38333333333333336</v>
      </c>
      <c r="J14" s="50">
        <f ca="1">'Watchlist Ratings'!AW10</f>
        <v>28.467622080679401</v>
      </c>
      <c r="L14" t="s">
        <v>249</v>
      </c>
      <c r="M14">
        <f>COUNTIF('Watchlist Ratings'!AN4:AN71,"&gt;=8")</f>
        <v>3</v>
      </c>
      <c r="O14" t="str">
        <f ca="1">'Watchlist Ratings'!B10</f>
        <v>RAA</v>
      </c>
      <c r="P14" s="37">
        <f>'Watchlist Ratings'!AN10</f>
        <v>7.78</v>
      </c>
      <c r="Q14" s="23">
        <f ca="1">'Watchlist Ratings'!BM10</f>
        <v>0.11450999817020913</v>
      </c>
      <c r="S14" t="str">
        <f ca="1">'Watchlist Ratings'!B10</f>
        <v>RAA</v>
      </c>
      <c r="T14" s="23">
        <f>'Watchlist Ratings'!BC10</f>
        <v>0.38333333333333336</v>
      </c>
      <c r="V14" t="str">
        <f ca="1">'Watchlist Ratings'!B10</f>
        <v>RAA</v>
      </c>
      <c r="W14" s="38">
        <f>'Watchlist Ratings'!K10</f>
        <v>7</v>
      </c>
      <c r="X14" s="38">
        <f>'Watchlist Ratings'!L10</f>
        <v>2</v>
      </c>
      <c r="Y14" t="str">
        <f ca="1">'Watchlist Ratings'!B10</f>
        <v>RAA</v>
      </c>
      <c r="Z14">
        <f ca="1">'Watchlist Ratings'!AW10</f>
        <v>28.467622080679401</v>
      </c>
      <c r="AA14" t="str">
        <f ca="1">'Watchlist Ratings'!B10</f>
        <v>RAA</v>
      </c>
      <c r="AB14">
        <f ca="1">'Watchlist Ratings'!BL10</f>
        <v>-7.2872488482162323E-2</v>
      </c>
      <c r="AC14">
        <f ca="1">'Watchlist Ratings'!BM10</f>
        <v>0.11450999817020913</v>
      </c>
      <c r="AE14" t="s">
        <v>250</v>
      </c>
      <c r="AF14">
        <v>37.142857142857103</v>
      </c>
      <c r="AH14" t="s">
        <v>250</v>
      </c>
      <c r="AI14">
        <v>37.1</v>
      </c>
      <c r="AJ14" t="s">
        <v>244</v>
      </c>
      <c r="AK14">
        <v>7</v>
      </c>
      <c r="AL14">
        <v>2</v>
      </c>
      <c r="AM14" t="s">
        <v>241</v>
      </c>
      <c r="AN14">
        <v>38.5</v>
      </c>
      <c r="AO14" t="s">
        <v>251</v>
      </c>
      <c r="AP14">
        <v>-4.2</v>
      </c>
      <c r="AQ14">
        <v>13.7</v>
      </c>
      <c r="AS14" t="s">
        <v>234</v>
      </c>
      <c r="AT14">
        <v>26.244954871232899</v>
      </c>
      <c r="AU14">
        <v>32.575210542620198</v>
      </c>
    </row>
    <row r="15" spans="1:47" ht="15" customHeight="1" x14ac:dyDescent="0.25">
      <c r="A15" s="39">
        <v>8</v>
      </c>
      <c r="B15" s="40" t="str">
        <f ca="1">'Watchlist Ratings'!B11</f>
        <v>ZS</v>
      </c>
      <c r="C15" s="41">
        <f>'Watchlist Ratings'!S11</f>
        <v>7.5</v>
      </c>
      <c r="D15" s="41">
        <f>'Watchlist Ratings'!AC11</f>
        <v>7</v>
      </c>
      <c r="E15" s="41">
        <f>'Watchlist Ratings'!AM11</f>
        <v>7.29</v>
      </c>
      <c r="F15" s="41">
        <f>'Watchlist Ratings'!AN11</f>
        <v>7.22</v>
      </c>
      <c r="G15" s="42">
        <f>'Watchlist Ratings'!K11</f>
        <v>6</v>
      </c>
      <c r="H15" s="42">
        <f>'Watchlist Ratings'!L11</f>
        <v>2</v>
      </c>
      <c r="I15" s="43">
        <f>'Watchlist Ratings'!BC11</f>
        <v>-2.8997172068740484E-2</v>
      </c>
      <c r="J15" s="44">
        <f ca="1">'Watchlist Ratings'!AW11</f>
        <v>-772.14958119437938</v>
      </c>
      <c r="L15" t="s">
        <v>252</v>
      </c>
      <c r="M15">
        <f>COUNTIFS('Watchlist Ratings'!AN4:AN71,"&gt;=7",'Watchlist Ratings'!AN4:AN71,"&lt;8")</f>
        <v>19</v>
      </c>
      <c r="O15" t="str">
        <f ca="1">'Watchlist Ratings'!B11</f>
        <v>ZS</v>
      </c>
      <c r="P15" s="37">
        <f>'Watchlist Ratings'!AN11</f>
        <v>7.22</v>
      </c>
      <c r="Q15" s="23">
        <f ca="1">'Watchlist Ratings'!BM11</f>
        <v>-0.20245465416639263</v>
      </c>
      <c r="S15" t="str">
        <f ca="1">'Watchlist Ratings'!B11</f>
        <v>ZS</v>
      </c>
      <c r="T15" s="23">
        <f>'Watchlist Ratings'!BC11</f>
        <v>-2.8997172068740484E-2</v>
      </c>
      <c r="V15" t="str">
        <f ca="1">'Watchlist Ratings'!B11</f>
        <v>ZS</v>
      </c>
      <c r="W15" s="38">
        <f>'Watchlist Ratings'!K11</f>
        <v>6</v>
      </c>
      <c r="X15" s="38">
        <f>'Watchlist Ratings'!L11</f>
        <v>2</v>
      </c>
      <c r="Y15" t="str">
        <f ca="1">'Watchlist Ratings'!B11</f>
        <v>ZS</v>
      </c>
      <c r="Z15">
        <f ca="1">'Watchlist Ratings'!AW11</f>
        <v>-772.14958119437938</v>
      </c>
      <c r="AA15" t="str">
        <f ca="1">'Watchlist Ratings'!B11</f>
        <v>ZS</v>
      </c>
      <c r="AB15">
        <f ca="1">'Watchlist Ratings'!BL11</f>
        <v>-0.34225634839118357</v>
      </c>
      <c r="AC15">
        <f ca="1">'Watchlist Ratings'!BM11</f>
        <v>-0.20245465416639263</v>
      </c>
      <c r="AE15" t="s">
        <v>251</v>
      </c>
      <c r="AF15">
        <v>36.1111111111111</v>
      </c>
      <c r="AH15" t="s">
        <v>251</v>
      </c>
      <c r="AI15">
        <v>36.1</v>
      </c>
      <c r="AJ15" t="s">
        <v>243</v>
      </c>
      <c r="AK15">
        <v>7</v>
      </c>
      <c r="AL15">
        <v>2</v>
      </c>
      <c r="AM15" t="s">
        <v>253</v>
      </c>
      <c r="AN15">
        <v>37.700000000000003</v>
      </c>
      <c r="AO15" t="s">
        <v>243</v>
      </c>
      <c r="AP15">
        <v>-8</v>
      </c>
      <c r="AQ15">
        <v>13.5</v>
      </c>
      <c r="AS15" t="s">
        <v>254</v>
      </c>
      <c r="AT15">
        <v>27.905545425233299</v>
      </c>
      <c r="AU15">
        <v>8.8031472249346301</v>
      </c>
    </row>
    <row r="16" spans="1:47" ht="15" customHeight="1" x14ac:dyDescent="0.25">
      <c r="A16" s="45">
        <v>9</v>
      </c>
      <c r="B16" s="46" t="str">
        <f ca="1">'Watchlist Ratings'!B12</f>
        <v>NTO</v>
      </c>
      <c r="C16" s="47">
        <f>'Watchlist Ratings'!S12</f>
        <v>7.5</v>
      </c>
      <c r="D16" s="47">
        <f>'Watchlist Ratings'!AC12</f>
        <v>7.5</v>
      </c>
      <c r="E16" s="47">
        <f>'Watchlist Ratings'!AM12</f>
        <v>8.14</v>
      </c>
      <c r="F16" s="47">
        <f>'Watchlist Ratings'!AN12</f>
        <v>7.76</v>
      </c>
      <c r="G16" s="48">
        <f>'Watchlist Ratings'!K12</f>
        <v>7</v>
      </c>
      <c r="H16" s="48">
        <f>'Watchlist Ratings'!L12</f>
        <v>3</v>
      </c>
      <c r="I16" s="49">
        <f>'Watchlist Ratings'!BC12</f>
        <v>0.20337500000000003</v>
      </c>
      <c r="J16" s="50">
        <f ca="1">'Watchlist Ratings'!AW12</f>
        <v>34.302662511065414</v>
      </c>
      <c r="L16" t="s">
        <v>255</v>
      </c>
      <c r="M16">
        <f>COUNTIFS('Watchlist Ratings'!AN4:AN71,"&gt;=6",'Watchlist Ratings'!AN4:AN71,"&lt;7")</f>
        <v>15</v>
      </c>
      <c r="O16" t="str">
        <f ca="1">'Watchlist Ratings'!B12</f>
        <v>NTO</v>
      </c>
      <c r="P16" s="37">
        <f>'Watchlist Ratings'!AN12</f>
        <v>7.76</v>
      </c>
      <c r="Q16" s="23">
        <f ca="1">'Watchlist Ratings'!BM12</f>
        <v>3.2096650354910716E-2</v>
      </c>
      <c r="S16" t="str">
        <f ca="1">'Watchlist Ratings'!B12</f>
        <v>NTO</v>
      </c>
      <c r="T16" s="23">
        <f>'Watchlist Ratings'!BC12</f>
        <v>0.20337500000000003</v>
      </c>
      <c r="V16" t="str">
        <f ca="1">'Watchlist Ratings'!B12</f>
        <v>NTO</v>
      </c>
      <c r="W16" s="38">
        <f>'Watchlist Ratings'!K12</f>
        <v>7</v>
      </c>
      <c r="X16" s="38">
        <f>'Watchlist Ratings'!L12</f>
        <v>3</v>
      </c>
      <c r="Y16" t="str">
        <f ca="1">'Watchlist Ratings'!B12</f>
        <v>NTO</v>
      </c>
      <c r="Z16">
        <f ca="1">'Watchlist Ratings'!AW12</f>
        <v>34.302662511065414</v>
      </c>
      <c r="AA16" t="str">
        <f ca="1">'Watchlist Ratings'!B12</f>
        <v>NTO</v>
      </c>
      <c r="AB16">
        <f ca="1">'Watchlist Ratings'!BL12</f>
        <v>-0.11654610842023327</v>
      </c>
      <c r="AC16">
        <f ca="1">'Watchlist Ratings'!BM12</f>
        <v>3.2096650354910716E-2</v>
      </c>
      <c r="AE16" t="s">
        <v>232</v>
      </c>
      <c r="AF16">
        <v>32.142857142857103</v>
      </c>
      <c r="AH16" t="s">
        <v>232</v>
      </c>
      <c r="AI16">
        <v>32.1</v>
      </c>
      <c r="AJ16" t="s">
        <v>254</v>
      </c>
      <c r="AK16">
        <v>7</v>
      </c>
      <c r="AL16">
        <v>3</v>
      </c>
      <c r="AM16" t="s">
        <v>243</v>
      </c>
      <c r="AN16">
        <v>29.6</v>
      </c>
      <c r="AO16" t="s">
        <v>241</v>
      </c>
      <c r="AP16">
        <v>-7.9</v>
      </c>
      <c r="AQ16">
        <v>12.3</v>
      </c>
      <c r="AS16" t="s">
        <v>229</v>
      </c>
      <c r="AT16">
        <v>52.2229498644231</v>
      </c>
      <c r="AU16">
        <v>4.7817205741696798</v>
      </c>
    </row>
    <row r="17" spans="1:47" ht="15" customHeight="1" x14ac:dyDescent="0.25">
      <c r="A17" s="39">
        <v>10</v>
      </c>
      <c r="B17" s="40" t="str">
        <f ca="1">'Watchlist Ratings'!B13</f>
        <v>AMZN</v>
      </c>
      <c r="C17" s="41">
        <f>'Watchlist Ratings'!S13</f>
        <v>9.3800000000000008</v>
      </c>
      <c r="D17" s="41">
        <f>'Watchlist Ratings'!AC13</f>
        <v>7.7</v>
      </c>
      <c r="E17" s="41">
        <f>'Watchlist Ratings'!AM13</f>
        <v>7.14</v>
      </c>
      <c r="F17" s="41">
        <f>'Watchlist Ratings'!AN13</f>
        <v>7.81</v>
      </c>
      <c r="G17" s="42">
        <f>'Watchlist Ratings'!K13</f>
        <v>8</v>
      </c>
      <c r="H17" s="42">
        <f>'Watchlist Ratings'!L13</f>
        <v>3</v>
      </c>
      <c r="I17" s="43">
        <f>'Watchlist Ratings'!BC13</f>
        <v>0.18333333333333332</v>
      </c>
      <c r="J17" s="44">
        <f ca="1">'Watchlist Ratings'!AW13</f>
        <v>49.4096430146529</v>
      </c>
      <c r="L17" t="s">
        <v>256</v>
      </c>
      <c r="M17">
        <f>COUNTIF('Watchlist Ratings'!AN4:AN71,"&lt;6")</f>
        <v>31</v>
      </c>
      <c r="O17" t="str">
        <f ca="1">'Watchlist Ratings'!B13</f>
        <v>AMZN</v>
      </c>
      <c r="P17" s="37">
        <f>'Watchlist Ratings'!AN13</f>
        <v>7.81</v>
      </c>
      <c r="Q17" s="23">
        <f ca="1">'Watchlist Ratings'!BM13</f>
        <v>5.0624228362174284E-2</v>
      </c>
      <c r="S17" t="str">
        <f ca="1">'Watchlist Ratings'!B13</f>
        <v>AMZN</v>
      </c>
      <c r="T17" s="23">
        <f>'Watchlist Ratings'!BC13</f>
        <v>0.18333333333333332</v>
      </c>
      <c r="V17" t="str">
        <f ca="1">'Watchlist Ratings'!B13</f>
        <v>AMZN</v>
      </c>
      <c r="W17" s="38">
        <f>'Watchlist Ratings'!K13</f>
        <v>8</v>
      </c>
      <c r="X17" s="38">
        <f>'Watchlist Ratings'!L13</f>
        <v>3</v>
      </c>
      <c r="Y17" t="str">
        <f ca="1">'Watchlist Ratings'!B13</f>
        <v>AMZN</v>
      </c>
      <c r="Z17">
        <f ca="1">'Watchlist Ratings'!AW13</f>
        <v>49.4096430146529</v>
      </c>
      <c r="AA17" t="str">
        <f ca="1">'Watchlist Ratings'!B13</f>
        <v>AMZN</v>
      </c>
      <c r="AB17">
        <f ca="1">'Watchlist Ratings'!BL13</f>
        <v>-0.1140913374947139</v>
      </c>
      <c r="AC17">
        <f ca="1">'Watchlist Ratings'!BM13</f>
        <v>5.0624228362174284E-2</v>
      </c>
      <c r="AS17" t="s">
        <v>253</v>
      </c>
      <c r="AT17">
        <v>37.736707694444398</v>
      </c>
      <c r="AU17">
        <v>5.3744270407932504</v>
      </c>
    </row>
    <row r="18" spans="1:47" ht="15" customHeight="1" x14ac:dyDescent="0.25">
      <c r="A18" s="45">
        <v>11</v>
      </c>
      <c r="B18" s="46" t="str">
        <f ca="1">'Watchlist Ratings'!B14</f>
        <v>SU</v>
      </c>
      <c r="C18" s="47">
        <f>'Watchlist Ratings'!S14</f>
        <v>8.1300000000000008</v>
      </c>
      <c r="D18" s="47">
        <f>'Watchlist Ratings'!AC14</f>
        <v>7.7</v>
      </c>
      <c r="E18" s="47">
        <f>'Watchlist Ratings'!AM14</f>
        <v>7.57</v>
      </c>
      <c r="F18" s="47">
        <f>'Watchlist Ratings'!AN14</f>
        <v>7.73</v>
      </c>
      <c r="G18" s="48">
        <f>'Watchlist Ratings'!K14</f>
        <v>7</v>
      </c>
      <c r="H18" s="48">
        <f>'Watchlist Ratings'!L14</f>
        <v>3</v>
      </c>
      <c r="I18" s="49">
        <f>'Watchlist Ratings'!BC14</f>
        <v>0.13238863589079727</v>
      </c>
      <c r="J18" s="50">
        <f ca="1">'Watchlist Ratings'!AW14</f>
        <v>35.406647510897997</v>
      </c>
      <c r="O18" t="str">
        <f ca="1">'Watchlist Ratings'!B14</f>
        <v>SU</v>
      </c>
      <c r="P18" s="37">
        <f>'Watchlist Ratings'!AN14</f>
        <v>7.73</v>
      </c>
      <c r="Q18" s="23">
        <f ca="1">'Watchlist Ratings'!BM14</f>
        <v>5.9401231796886389E-2</v>
      </c>
      <c r="V18" t="str">
        <f ca="1">'Watchlist Ratings'!B14</f>
        <v>SU</v>
      </c>
      <c r="W18" s="38">
        <f>'Watchlist Ratings'!K14</f>
        <v>7</v>
      </c>
      <c r="X18" s="38">
        <f>'Watchlist Ratings'!L14</f>
        <v>3</v>
      </c>
      <c r="Y18" t="str">
        <f ca="1">'Watchlist Ratings'!B14</f>
        <v>SU</v>
      </c>
      <c r="Z18">
        <f ca="1">'Watchlist Ratings'!AW14</f>
        <v>35.406647510897997</v>
      </c>
      <c r="AA18" t="str">
        <f ca="1">'Watchlist Ratings'!B14</f>
        <v>SU</v>
      </c>
      <c r="AB18">
        <f ca="1">'Watchlist Ratings'!BL14</f>
        <v>-0.10026238041358659</v>
      </c>
      <c r="AC18">
        <f ca="1">'Watchlist Ratings'!BM14</f>
        <v>5.9401231796886389E-2</v>
      </c>
      <c r="AS18" t="s">
        <v>251</v>
      </c>
      <c r="AT18">
        <v>24.612029698461502</v>
      </c>
      <c r="AU18">
        <v>13.683807480135</v>
      </c>
    </row>
    <row r="19" spans="1:47" ht="15" customHeight="1" x14ac:dyDescent="0.25">
      <c r="A19" s="39">
        <v>12</v>
      </c>
      <c r="B19" s="40" t="str">
        <f ca="1">'Watchlist Ratings'!B15</f>
        <v>ITX</v>
      </c>
      <c r="C19" s="41">
        <f>'Watchlist Ratings'!S15</f>
        <v>6.88</v>
      </c>
      <c r="D19" s="41">
        <f>'Watchlist Ratings'!AC15</f>
        <v>7.7</v>
      </c>
      <c r="E19" s="41">
        <f>'Watchlist Ratings'!AM15</f>
        <v>8.2899999999999991</v>
      </c>
      <c r="F19" s="41">
        <f>'Watchlist Ratings'!AN15</f>
        <v>7.77</v>
      </c>
      <c r="G19" s="42">
        <f>'Watchlist Ratings'!K15</f>
        <v>6.5</v>
      </c>
      <c r="H19" s="42">
        <f>'Watchlist Ratings'!L15</f>
        <v>1.5</v>
      </c>
      <c r="I19" s="43">
        <f>'Watchlist Ratings'!BC15</f>
        <v>0.25979269866378057</v>
      </c>
      <c r="J19" s="44">
        <f ca="1">'Watchlist Ratings'!AW15</f>
        <v>28.448449674027341</v>
      </c>
      <c r="O19" t="str">
        <f ca="1">'Watchlist Ratings'!B15</f>
        <v>ITX</v>
      </c>
      <c r="P19" s="37">
        <f>'Watchlist Ratings'!AN15</f>
        <v>7.77</v>
      </c>
      <c r="Q19" s="23">
        <f ca="1">'Watchlist Ratings'!BM15</f>
        <v>5.4598830936068099E-2</v>
      </c>
      <c r="V19" t="str">
        <f ca="1">'Watchlist Ratings'!B15</f>
        <v>ITX</v>
      </c>
      <c r="W19" s="38">
        <f>'Watchlist Ratings'!K15</f>
        <v>6.5</v>
      </c>
      <c r="X19" s="38">
        <f>'Watchlist Ratings'!L15</f>
        <v>1.5</v>
      </c>
      <c r="Y19" t="str">
        <f ca="1">'Watchlist Ratings'!B15</f>
        <v>ITX</v>
      </c>
      <c r="Z19">
        <f ca="1">'Watchlist Ratings'!AW15</f>
        <v>28.448449674027341</v>
      </c>
      <c r="AA19" t="str">
        <f ca="1">'Watchlist Ratings'!B15</f>
        <v>ITX</v>
      </c>
      <c r="AB19">
        <f ca="1">'Watchlist Ratings'!BL15</f>
        <v>-6.4601836482819031E-2</v>
      </c>
      <c r="AC19">
        <f ca="1">'Watchlist Ratings'!BM15</f>
        <v>5.4598830936068099E-2</v>
      </c>
      <c r="AS19" t="s">
        <v>236</v>
      </c>
      <c r="AT19">
        <v>45.617441111111098</v>
      </c>
      <c r="AU19">
        <v>3.6173393375436902</v>
      </c>
    </row>
    <row r="20" spans="1:47" ht="15" customHeight="1" x14ac:dyDescent="0.25">
      <c r="A20" s="45">
        <v>13</v>
      </c>
      <c r="B20" s="46" t="str">
        <f ca="1">'Watchlist Ratings'!B16</f>
        <v>LOTB</v>
      </c>
      <c r="C20" s="47">
        <f>'Watchlist Ratings'!S16</f>
        <v>7.5</v>
      </c>
      <c r="D20" s="47">
        <f>'Watchlist Ratings'!AC16</f>
        <v>8</v>
      </c>
      <c r="E20" s="47">
        <f>'Watchlist Ratings'!AM16</f>
        <v>7.86</v>
      </c>
      <c r="F20" s="47">
        <f>'Watchlist Ratings'!AN16</f>
        <v>7.84</v>
      </c>
      <c r="G20" s="48">
        <f>'Watchlist Ratings'!K16</f>
        <v>7</v>
      </c>
      <c r="H20" s="48">
        <f>'Watchlist Ratings'!L16</f>
        <v>3</v>
      </c>
      <c r="I20" s="49">
        <f>'Watchlist Ratings'!BC16</f>
        <v>0.14514896867838048</v>
      </c>
      <c r="J20" s="50">
        <f ca="1">'Watchlist Ratings'!AW16</f>
        <v>118.31640969162997</v>
      </c>
      <c r="O20" t="str">
        <f ca="1">'Watchlist Ratings'!B16</f>
        <v>LOTB</v>
      </c>
      <c r="P20" s="37">
        <f>'Watchlist Ratings'!AN16</f>
        <v>7.84</v>
      </c>
      <c r="Q20" s="23">
        <f ca="1">'Watchlist Ratings'!BM16</f>
        <v>-0.17507049330501923</v>
      </c>
      <c r="V20" t="str">
        <f ca="1">'Watchlist Ratings'!B16</f>
        <v>LOTB</v>
      </c>
      <c r="W20" s="38">
        <f>'Watchlist Ratings'!K16</f>
        <v>7</v>
      </c>
      <c r="X20" s="38">
        <f>'Watchlist Ratings'!L16</f>
        <v>3</v>
      </c>
      <c r="Y20" t="str">
        <f ca="1">'Watchlist Ratings'!B16</f>
        <v>LOTB</v>
      </c>
      <c r="Z20">
        <f ca="1">'Watchlist Ratings'!AW16</f>
        <v>118.31640969162997</v>
      </c>
      <c r="AA20" t="str">
        <f ca="1">'Watchlist Ratings'!B16</f>
        <v>LOTB</v>
      </c>
      <c r="AB20">
        <f ca="1">'Watchlist Ratings'!BL16</f>
        <v>-0.30042520283005036</v>
      </c>
      <c r="AC20">
        <f ca="1">'Watchlist Ratings'!BM16</f>
        <v>-0.17507049330501923</v>
      </c>
      <c r="AS20" t="s">
        <v>242</v>
      </c>
      <c r="AT20">
        <v>43.630936634999998</v>
      </c>
      <c r="AU20">
        <v>4.3482859737552504</v>
      </c>
    </row>
    <row r="21" spans="1:47" ht="15" customHeight="1" x14ac:dyDescent="0.25">
      <c r="A21" s="39">
        <v>14</v>
      </c>
      <c r="B21" s="40" t="str">
        <f ca="1">'Watchlist Ratings'!B17</f>
        <v>HLMA</v>
      </c>
      <c r="C21" s="41">
        <f>'Watchlist Ratings'!S17</f>
        <v>8.1300000000000008</v>
      </c>
      <c r="D21" s="41">
        <f>'Watchlist Ratings'!AC17</f>
        <v>7.1</v>
      </c>
      <c r="E21" s="41">
        <f>'Watchlist Ratings'!AM17</f>
        <v>8.2899999999999991</v>
      </c>
      <c r="F21" s="41">
        <f>'Watchlist Ratings'!AN17</f>
        <v>7.78</v>
      </c>
      <c r="G21" s="42">
        <f>'Watchlist Ratings'!K17</f>
        <v>6</v>
      </c>
      <c r="H21" s="42">
        <f>'Watchlist Ratings'!L17</f>
        <v>3</v>
      </c>
      <c r="I21" s="43">
        <f>'Watchlist Ratings'!BC17</f>
        <v>0.1262926982137261</v>
      </c>
      <c r="J21" s="44">
        <f ca="1">'Watchlist Ratings'!AW17</f>
        <v>34.973235565749235</v>
      </c>
      <c r="O21" t="str">
        <f ca="1">'Watchlist Ratings'!B17</f>
        <v>HLMA</v>
      </c>
      <c r="P21" s="37">
        <f>'Watchlist Ratings'!AN17</f>
        <v>7.78</v>
      </c>
      <c r="Q21" s="23">
        <f ca="1">'Watchlist Ratings'!BM17</f>
        <v>8.4928539133130032E-2</v>
      </c>
      <c r="V21" t="str">
        <f ca="1">'Watchlist Ratings'!B17</f>
        <v>HLMA</v>
      </c>
      <c r="W21" s="38">
        <f>'Watchlist Ratings'!K17</f>
        <v>6</v>
      </c>
      <c r="X21" s="38">
        <f>'Watchlist Ratings'!L17</f>
        <v>3</v>
      </c>
      <c r="Y21" t="str">
        <f ca="1">'Watchlist Ratings'!B17</f>
        <v>HLMA</v>
      </c>
      <c r="Z21">
        <f ca="1">'Watchlist Ratings'!AW17</f>
        <v>34.973235565749235</v>
      </c>
      <c r="AA21" t="str">
        <f ca="1">'Watchlist Ratings'!B17</f>
        <v>HLMA</v>
      </c>
      <c r="AB21">
        <f ca="1">'Watchlist Ratings'!BL17</f>
        <v>-8.6403555178218516E-2</v>
      </c>
      <c r="AC21">
        <f ca="1">'Watchlist Ratings'!BM17</f>
        <v>8.4928539133130032E-2</v>
      </c>
      <c r="AS21" t="s">
        <v>241</v>
      </c>
      <c r="AT21">
        <v>38.120501266027397</v>
      </c>
      <c r="AU21">
        <v>12.615575978128</v>
      </c>
    </row>
    <row r="22" spans="1:47" ht="15" customHeight="1" x14ac:dyDescent="0.25">
      <c r="A22" s="51">
        <v>15</v>
      </c>
      <c r="B22" s="52" t="str">
        <f ca="1">'Watchlist Ratings'!B18</f>
        <v>FICO</v>
      </c>
      <c r="C22" s="53">
        <f>'Watchlist Ratings'!S18</f>
        <v>6.88</v>
      </c>
      <c r="D22" s="53">
        <f>'Watchlist Ratings'!AC18</f>
        <v>6.4</v>
      </c>
      <c r="E22" s="53">
        <f>'Watchlist Ratings'!AM18</f>
        <v>8</v>
      </c>
      <c r="F22" s="53">
        <f>'Watchlist Ratings'!AN18</f>
        <v>7.14</v>
      </c>
      <c r="G22" s="54">
        <f>'Watchlist Ratings'!K18</f>
        <v>8</v>
      </c>
      <c r="H22" s="54">
        <f>'Watchlist Ratings'!L18</f>
        <v>2</v>
      </c>
      <c r="I22" s="55">
        <f>'Watchlist Ratings'!BC18</f>
        <v>0.43</v>
      </c>
      <c r="J22" s="56">
        <f ca="1">'Watchlist Ratings'!AW18</f>
        <v>28.169913007627759</v>
      </c>
      <c r="O22" t="str">
        <f ca="1">'Watchlist Ratings'!B18</f>
        <v>FICO</v>
      </c>
      <c r="P22" s="37">
        <f>'Watchlist Ratings'!AN18</f>
        <v>7.14</v>
      </c>
      <c r="Q22" s="23">
        <f ca="1">'Watchlist Ratings'!BM18</f>
        <v>0.17751074547836376</v>
      </c>
      <c r="V22" t="str">
        <f ca="1">'Watchlist Ratings'!B18</f>
        <v>FICO</v>
      </c>
      <c r="W22" s="38">
        <f>'Watchlist Ratings'!K18</f>
        <v>8</v>
      </c>
      <c r="X22" s="38">
        <f>'Watchlist Ratings'!L18</f>
        <v>2</v>
      </c>
      <c r="Y22" t="str">
        <f ca="1">'Watchlist Ratings'!B18</f>
        <v>FICO</v>
      </c>
      <c r="Z22">
        <f ca="1">'Watchlist Ratings'!AW18</f>
        <v>28.169913007627759</v>
      </c>
      <c r="AA22" t="str">
        <f ca="1">'Watchlist Ratings'!B18</f>
        <v>FICO</v>
      </c>
      <c r="AB22">
        <f ca="1">'Watchlist Ratings'!BL18</f>
        <v>-0.14237483520400829</v>
      </c>
      <c r="AC22">
        <f ca="1">'Watchlist Ratings'!BM18</f>
        <v>0.17751074547836376</v>
      </c>
    </row>
    <row r="23" spans="1:47" ht="15" customHeight="1" x14ac:dyDescent="0.25">
      <c r="O23" t="str">
        <f ca="1">'Watchlist Ratings'!B19</f>
        <v>LIFCO B</v>
      </c>
      <c r="P23" s="37">
        <f>'Watchlist Ratings'!AN19</f>
        <v>7.9</v>
      </c>
      <c r="Q23" s="23">
        <f ca="1">'Watchlist Ratings'!BM19</f>
        <v>8.3253464379973829E-2</v>
      </c>
    </row>
    <row r="24" spans="1:47" ht="30" customHeight="1" x14ac:dyDescent="0.3">
      <c r="A24" s="150" t="s">
        <v>257</v>
      </c>
      <c r="B24" s="106"/>
      <c r="C24" s="106"/>
      <c r="D24" s="106"/>
      <c r="E24" s="106"/>
      <c r="F24" s="106"/>
      <c r="G24" s="106"/>
      <c r="H24" s="106"/>
      <c r="I24" s="106"/>
      <c r="J24" s="106"/>
      <c r="K24" s="106"/>
      <c r="L24" s="106"/>
      <c r="M24" s="106"/>
      <c r="N24" s="106"/>
      <c r="O24" s="106"/>
      <c r="P24" s="106"/>
      <c r="Q24" s="106"/>
      <c r="R24" s="106"/>
    </row>
    <row r="25" spans="1:47" ht="4.5" customHeight="1" x14ac:dyDescent="0.25">
      <c r="O25" t="str">
        <f ca="1">'Watchlist Ratings'!B21</f>
        <v>MNST</v>
      </c>
      <c r="P25" s="37">
        <f>'Watchlist Ratings'!AN21</f>
        <v>7.58</v>
      </c>
      <c r="Q25">
        <f ca="1">'Watchlist Ratings'!BM21</f>
        <v>2.375028448339922E-3</v>
      </c>
    </row>
    <row r="26" spans="1:47" ht="19.5" customHeight="1" x14ac:dyDescent="0.25">
      <c r="O26" t="str">
        <f ca="1">'Watchlist Ratings'!B22</f>
        <v>ABNB</v>
      </c>
      <c r="P26" s="37">
        <f>'Watchlist Ratings'!AN22</f>
        <v>7.3</v>
      </c>
      <c r="Q26">
        <f ca="1">'Watchlist Ratings'!BM22</f>
        <v>9.4100927212940055E-2</v>
      </c>
    </row>
    <row r="27" spans="1:47" ht="19.5" customHeight="1" x14ac:dyDescent="0.25">
      <c r="O27" t="str">
        <f ca="1">'Watchlist Ratings'!B23</f>
        <v>DNP</v>
      </c>
      <c r="P27" s="37">
        <f>'Watchlist Ratings'!AN23</f>
        <v>7.48</v>
      </c>
      <c r="Q27">
        <f ca="1">'Watchlist Ratings'!BM23</f>
        <v>-6.6923038583108552E-2</v>
      </c>
    </row>
    <row r="28" spans="1:47" ht="19.5" customHeight="1" x14ac:dyDescent="0.25"/>
    <row r="29" spans="1:47" ht="19.5" customHeight="1" x14ac:dyDescent="0.25"/>
    <row r="30" spans="1:47" ht="19.5" customHeight="1" x14ac:dyDescent="0.25"/>
    <row r="31" spans="1:47" ht="19.5" customHeight="1" x14ac:dyDescent="0.25"/>
    <row r="32" spans="1:47" ht="19.5" customHeight="1" x14ac:dyDescent="0.25"/>
    <row r="33" spans="2:18" ht="19.5" customHeight="1" x14ac:dyDescent="0.25"/>
    <row r="34" spans="2:18" ht="19.5" customHeight="1" x14ac:dyDescent="0.25"/>
    <row r="35" spans="2:18" ht="19.5" customHeight="1" x14ac:dyDescent="0.25"/>
    <row r="36" spans="2:18" ht="19.5" customHeight="1" x14ac:dyDescent="0.25"/>
    <row r="37" spans="2:18" ht="19.5" customHeight="1" x14ac:dyDescent="0.25"/>
    <row r="38" spans="2:18" ht="19.5" customHeight="1" x14ac:dyDescent="0.25"/>
    <row r="39" spans="2:18" ht="19.5" customHeight="1" x14ac:dyDescent="0.25"/>
    <row r="40" spans="2:18" ht="19.5" customHeight="1" x14ac:dyDescent="0.3">
      <c r="L40" s="119"/>
      <c r="M40" s="106"/>
      <c r="N40" s="106"/>
      <c r="O40" s="106"/>
      <c r="P40" s="106"/>
      <c r="Q40" s="106"/>
      <c r="R40" s="106"/>
    </row>
    <row r="41" spans="2:18" ht="19.5" customHeight="1" x14ac:dyDescent="0.25">
      <c r="L41" s="57"/>
      <c r="M41" s="57"/>
      <c r="N41" s="57"/>
      <c r="O41" s="57"/>
      <c r="P41" s="57"/>
      <c r="Q41" s="57"/>
    </row>
    <row r="42" spans="2:18" ht="19.5" customHeight="1" x14ac:dyDescent="0.25">
      <c r="J42" s="123"/>
      <c r="K42" s="106"/>
      <c r="L42" s="106"/>
      <c r="M42" s="106"/>
      <c r="N42" s="106"/>
      <c r="O42" s="106"/>
      <c r="P42" s="106"/>
      <c r="Q42" s="106"/>
    </row>
    <row r="43" spans="2:18" ht="19.5" customHeight="1" x14ac:dyDescent="0.25">
      <c r="B43" s="58"/>
      <c r="C43" s="58"/>
      <c r="D43" s="58"/>
      <c r="E43" s="58"/>
      <c r="F43" s="58"/>
      <c r="G43" s="58"/>
      <c r="H43" s="58"/>
      <c r="J43" s="59"/>
      <c r="K43" s="59"/>
      <c r="L43" s="59"/>
      <c r="M43" s="59"/>
      <c r="N43" s="59"/>
      <c r="O43" s="59"/>
      <c r="P43" s="59"/>
      <c r="Q43" s="59"/>
    </row>
    <row r="44" spans="2:18" ht="19.5" customHeight="1" x14ac:dyDescent="0.25">
      <c r="E44" s="60"/>
      <c r="F44" s="60"/>
      <c r="G44" s="60"/>
    </row>
    <row r="45" spans="2:18" ht="19.5" customHeight="1" x14ac:dyDescent="0.25">
      <c r="E45" s="60"/>
      <c r="F45" s="60"/>
      <c r="G45" s="60"/>
    </row>
    <row r="46" spans="2:18" ht="19.5" customHeight="1" x14ac:dyDescent="0.25">
      <c r="E46" s="60"/>
      <c r="F46" s="60"/>
      <c r="G46" s="60"/>
    </row>
    <row r="47" spans="2:18" ht="19.5" customHeight="1" x14ac:dyDescent="0.25">
      <c r="E47" s="60"/>
      <c r="F47" s="60"/>
      <c r="G47" s="60"/>
    </row>
    <row r="48" spans="2:18" ht="19.5" customHeight="1" x14ac:dyDescent="0.25">
      <c r="E48" s="60"/>
      <c r="F48" s="60"/>
      <c r="G48" s="60"/>
    </row>
    <row r="49" spans="1:17" ht="19.5" customHeight="1" x14ac:dyDescent="0.25">
      <c r="E49" s="60"/>
      <c r="F49" s="60"/>
      <c r="G49" s="60"/>
    </row>
    <row r="50" spans="1:17" ht="19.5" customHeight="1" x14ac:dyDescent="0.25">
      <c r="E50" s="60"/>
      <c r="F50" s="60"/>
      <c r="G50" s="60"/>
    </row>
    <row r="51" spans="1:17" ht="19.5" customHeight="1" x14ac:dyDescent="0.25">
      <c r="E51" s="60"/>
      <c r="F51" s="60"/>
      <c r="G51" s="60"/>
    </row>
    <row r="52" spans="1:17" ht="19.5" customHeight="1" x14ac:dyDescent="0.25">
      <c r="E52" s="60"/>
      <c r="F52" s="60"/>
      <c r="G52" s="60"/>
    </row>
    <row r="53" spans="1:17" ht="19.5" customHeight="1" x14ac:dyDescent="0.25">
      <c r="E53" s="60"/>
      <c r="F53" s="60"/>
      <c r="G53" s="60"/>
    </row>
    <row r="54" spans="1:17" ht="19.5" customHeight="1" x14ac:dyDescent="0.25"/>
    <row r="55" spans="1:17" ht="19.5" customHeight="1" x14ac:dyDescent="0.25"/>
    <row r="56" spans="1:17" ht="4.5" customHeight="1" x14ac:dyDescent="0.25"/>
    <row r="57" spans="1:17" ht="4.5" customHeight="1" x14ac:dyDescent="0.25"/>
    <row r="58" spans="1:17" ht="4.5" customHeight="1" x14ac:dyDescent="0.25"/>
    <row r="59" spans="1:17" ht="4.5" customHeight="1" x14ac:dyDescent="0.25"/>
    <row r="60" spans="1:17" ht="4.5" customHeight="1" x14ac:dyDescent="0.25"/>
    <row r="61" spans="1:17" ht="4.5" customHeight="1" x14ac:dyDescent="0.25"/>
    <row r="62" spans="1:17" ht="4.5" customHeight="1" x14ac:dyDescent="0.3">
      <c r="A62" s="153" t="s">
        <v>258</v>
      </c>
      <c r="B62" s="106"/>
      <c r="C62" s="106"/>
      <c r="D62" s="106"/>
      <c r="E62" s="106"/>
      <c r="F62" s="106"/>
      <c r="G62" s="106"/>
      <c r="H62" s="106"/>
      <c r="J62" s="158" t="s">
        <v>259</v>
      </c>
      <c r="K62" s="106"/>
      <c r="L62" s="106"/>
      <c r="M62" s="106"/>
      <c r="N62" s="106"/>
      <c r="O62" s="106"/>
      <c r="P62" s="106"/>
      <c r="Q62" s="106"/>
    </row>
    <row r="63" spans="1:17" ht="4.5" customHeight="1" x14ac:dyDescent="0.25">
      <c r="A63" s="61" t="s">
        <v>212</v>
      </c>
      <c r="B63" s="61" t="s">
        <v>260</v>
      </c>
      <c r="C63" s="61" t="s">
        <v>261</v>
      </c>
      <c r="D63" s="61" t="s">
        <v>262</v>
      </c>
      <c r="E63" s="61" t="s">
        <v>226</v>
      </c>
      <c r="F63" s="61" t="s">
        <v>225</v>
      </c>
      <c r="G63" s="61" t="s">
        <v>263</v>
      </c>
      <c r="H63" s="61" t="s">
        <v>264</v>
      </c>
      <c r="J63" s="62" t="s">
        <v>212</v>
      </c>
      <c r="K63" s="62" t="s">
        <v>265</v>
      </c>
      <c r="L63" s="62" t="s">
        <v>266</v>
      </c>
      <c r="M63" s="62" t="s">
        <v>267</v>
      </c>
      <c r="N63" s="62" t="s">
        <v>268</v>
      </c>
      <c r="O63" s="62" t="s">
        <v>214</v>
      </c>
      <c r="P63" s="62" t="s">
        <v>269</v>
      </c>
      <c r="Q63" s="62" t="s">
        <v>270</v>
      </c>
    </row>
    <row r="64" spans="1:17" ht="4.5" customHeight="1" x14ac:dyDescent="0.25">
      <c r="A64" s="63" t="str">
        <f ca="1">'Watchlist Ratings'!B4</f>
        <v>VEEV</v>
      </c>
      <c r="B64" s="64">
        <f ca="1">'Watchlist Ratings'!G4</f>
        <v>316.55</v>
      </c>
      <c r="C64" s="64">
        <f ca="1">'Watchlist Ratings'!BJ4</f>
        <v>163.55689128694669</v>
      </c>
      <c r="D64" s="64">
        <f ca="1">'Watchlist Ratings'!BK4</f>
        <v>479.70153567934534</v>
      </c>
      <c r="E64" s="65">
        <f ca="1">'Watchlist Ratings'!BL4</f>
        <v>-0.12371514472249545</v>
      </c>
      <c r="F64" s="65">
        <f ca="1">'Watchlist Ratings'!BM4</f>
        <v>8.669021918158748E-2</v>
      </c>
      <c r="G64" s="65">
        <f t="shared" ref="G64:G71" ca="1" si="0">F64-E64</f>
        <v>0.21040536390408293</v>
      </c>
      <c r="H64" s="63" t="str">
        <f t="shared" ref="H64:H71" ca="1" si="1">IF(E64&gt;0,"🟢 BUY",IF(E64&gt;-0.05,"🟡 HOLD","🔴 PASS"))</f>
        <v>🔴 PASS</v>
      </c>
      <c r="J64" s="63" t="str">
        <f ca="1">'Watchlist Ratings'!B4</f>
        <v>VEEV</v>
      </c>
      <c r="K64" s="66">
        <f>'Watchlist Ratings'!AM4</f>
        <v>8.57</v>
      </c>
      <c r="L64" s="67">
        <f>'Watchlist Ratings'!AF4</f>
        <v>10</v>
      </c>
      <c r="M64" s="67">
        <f>'Watchlist Ratings'!AG4</f>
        <v>14</v>
      </c>
      <c r="N64" s="67">
        <f>'Watchlist Ratings'!AK4</f>
        <v>-5</v>
      </c>
      <c r="O64" s="67">
        <f>'Watchlist Ratings'!K4</f>
        <v>8</v>
      </c>
      <c r="P64" s="67">
        <f>'Watchlist Ratings'!L4</f>
        <v>2</v>
      </c>
      <c r="Q64" s="63" t="str">
        <f t="shared" ref="Q64:Q71" si="2">IF(K64&gt;=8,"🟢 ALTO",IF(K64&gt;=7,"🟡 MEDIO","🔴 BAJO"))</f>
        <v>🟢 ALTO</v>
      </c>
    </row>
    <row r="65" spans="1:17" ht="4.5" customHeight="1" x14ac:dyDescent="0.25">
      <c r="A65" s="63" t="str">
        <f ca="1">'Watchlist Ratings'!B5</f>
        <v>MSFT</v>
      </c>
      <c r="B65" s="64">
        <f ca="1">'Watchlist Ratings'!G5</f>
        <v>534.27</v>
      </c>
      <c r="C65" s="64">
        <f ca="1">'Watchlist Ratings'!BJ5</f>
        <v>402.09479573553187</v>
      </c>
      <c r="D65" s="64">
        <f ca="1">'Watchlist Ratings'!BK5</f>
        <v>908.83187698680706</v>
      </c>
      <c r="E65" s="65">
        <f ca="1">'Watchlist Ratings'!BL5</f>
        <v>-5.5257326372892934E-2</v>
      </c>
      <c r="F65" s="65">
        <f ca="1">'Watchlist Ratings'!BM5</f>
        <v>0.11210182270941682</v>
      </c>
      <c r="G65" s="65">
        <f t="shared" ca="1" si="0"/>
        <v>0.16735914908230975</v>
      </c>
      <c r="H65" s="63" t="str">
        <f t="shared" ca="1" si="1"/>
        <v>🔴 PASS</v>
      </c>
      <c r="J65" s="63" t="str">
        <f ca="1">'Watchlist Ratings'!B5</f>
        <v>MSFT</v>
      </c>
      <c r="K65" s="66">
        <f>'Watchlist Ratings'!AM5</f>
        <v>7.57</v>
      </c>
      <c r="L65" s="67">
        <f>'Watchlist Ratings'!AF5</f>
        <v>4</v>
      </c>
      <c r="M65" s="67">
        <f>'Watchlist Ratings'!AG5</f>
        <v>14</v>
      </c>
      <c r="N65" s="67">
        <f>'Watchlist Ratings'!AK5</f>
        <v>-6</v>
      </c>
      <c r="O65" s="67">
        <f>'Watchlist Ratings'!K5</f>
        <v>8</v>
      </c>
      <c r="P65" s="67">
        <f>'Watchlist Ratings'!L5</f>
        <v>3</v>
      </c>
      <c r="Q65" s="63" t="str">
        <f t="shared" si="2"/>
        <v>🟡 MEDIO</v>
      </c>
    </row>
    <row r="66" spans="1:17" ht="4.5" customHeight="1" x14ac:dyDescent="0.25">
      <c r="A66" s="63" t="str">
        <f ca="1">'Watchlist Ratings'!B6</f>
        <v>ADYEN</v>
      </c>
      <c r="B66" s="64">
        <f ca="1">'Watchlist Ratings'!G6</f>
        <v>930.4</v>
      </c>
      <c r="C66" s="64">
        <f ca="1">'Watchlist Ratings'!BJ6</f>
        <v>615.05990872973803</v>
      </c>
      <c r="D66" s="64">
        <f ca="1">'Watchlist Ratings'!BK6</f>
        <v>2365.7953587456391</v>
      </c>
      <c r="E66" s="65">
        <f ca="1">'Watchlist Ratings'!BL6</f>
        <v>-7.9445418996527462E-2</v>
      </c>
      <c r="F66" s="65">
        <f ca="1">'Watchlist Ratings'!BM6</f>
        <v>0.20520658178954276</v>
      </c>
      <c r="G66" s="65">
        <f t="shared" ca="1" si="0"/>
        <v>0.28465200078607023</v>
      </c>
      <c r="H66" s="63" t="str">
        <f t="shared" ca="1" si="1"/>
        <v>🔴 PASS</v>
      </c>
      <c r="J66" s="63" t="str">
        <f ca="1">'Watchlist Ratings'!B6</f>
        <v>ADYEN</v>
      </c>
      <c r="K66" s="66">
        <f>'Watchlist Ratings'!AM6</f>
        <v>8.2899999999999991</v>
      </c>
      <c r="L66" s="67">
        <f>'Watchlist Ratings'!AF6</f>
        <v>9</v>
      </c>
      <c r="M66" s="67">
        <f>'Watchlist Ratings'!AG6</f>
        <v>14</v>
      </c>
      <c r="N66" s="67">
        <f>'Watchlist Ratings'!AK6</f>
        <v>-6</v>
      </c>
      <c r="O66" s="67">
        <f>'Watchlist Ratings'!K6</f>
        <v>7</v>
      </c>
      <c r="P66" s="67">
        <f>'Watchlist Ratings'!L6</f>
        <v>2</v>
      </c>
      <c r="Q66" s="63" t="str">
        <f t="shared" si="2"/>
        <v>🟢 ALTO</v>
      </c>
    </row>
    <row r="67" spans="1:17" ht="4.5" customHeight="1" x14ac:dyDescent="0.25">
      <c r="A67" s="63" t="str">
        <f ca="1">'Watchlist Ratings'!B7</f>
        <v>BN</v>
      </c>
      <c r="B67" s="64">
        <f ca="1">'Watchlist Ratings'!G7</f>
        <v>36.395000000000003</v>
      </c>
      <c r="C67" s="64">
        <f ca="1">'Watchlist Ratings'!BJ7</f>
        <v>44.719925807836916</v>
      </c>
      <c r="D67" s="64">
        <f ca="1">'Watchlist Ratings'!BK7</f>
        <v>110.99460809922957</v>
      </c>
      <c r="E67" s="65">
        <f ca="1">'Watchlist Ratings'!BL7</f>
        <v>4.2057947352448055E-2</v>
      </c>
      <c r="F67" s="65">
        <f ca="1">'Watchlist Ratings'!BM7</f>
        <v>0.24983312746672115</v>
      </c>
      <c r="G67" s="65">
        <f t="shared" ca="1" si="0"/>
        <v>0.20777518011427309</v>
      </c>
      <c r="H67" s="63" t="str">
        <f t="shared" ca="1" si="1"/>
        <v>🟢 BUY</v>
      </c>
      <c r="J67" s="63" t="str">
        <f ca="1">'Watchlist Ratings'!B7</f>
        <v>BN</v>
      </c>
      <c r="K67" s="66">
        <f>'Watchlist Ratings'!AM7</f>
        <v>7.71</v>
      </c>
      <c r="L67" s="67">
        <f>'Watchlist Ratings'!AF7</f>
        <v>5</v>
      </c>
      <c r="M67" s="67">
        <f>'Watchlist Ratings'!AG7</f>
        <v>15</v>
      </c>
      <c r="N67" s="67">
        <f>'Watchlist Ratings'!AK7</f>
        <v>-5</v>
      </c>
      <c r="O67" s="67">
        <f>'Watchlist Ratings'!K7</f>
        <v>7</v>
      </c>
      <c r="P67" s="67">
        <f>'Watchlist Ratings'!L7</f>
        <v>3</v>
      </c>
      <c r="Q67" s="63" t="str">
        <f t="shared" si="2"/>
        <v>🟡 MEDIO</v>
      </c>
    </row>
    <row r="68" spans="1:17" ht="4.5" customHeight="1" x14ac:dyDescent="0.25">
      <c r="A68" s="63" t="str">
        <f ca="1">'Watchlist Ratings'!B8</f>
        <v>COST</v>
      </c>
      <c r="B68" s="64">
        <f ca="1">'Watchlist Ratings'!G8</f>
        <v>994.68</v>
      </c>
      <c r="C68" s="64">
        <f ca="1">'Watchlist Ratings'!BJ8</f>
        <v>511.01777494339126</v>
      </c>
      <c r="D68" s="64">
        <f ca="1">'Watchlist Ratings'!BK8</f>
        <v>976.13247958722673</v>
      </c>
      <c r="E68" s="65">
        <f ca="1">'Watchlist Ratings'!BL8</f>
        <v>-0.12471290741981333</v>
      </c>
      <c r="F68" s="65">
        <f ca="1">'Watchlist Ratings'!BM8</f>
        <v>-3.7574755369150781E-3</v>
      </c>
      <c r="G68" s="65">
        <f t="shared" ca="1" si="0"/>
        <v>0.12095543188289826</v>
      </c>
      <c r="H68" s="63" t="str">
        <f t="shared" ca="1" si="1"/>
        <v>🔴 PASS</v>
      </c>
      <c r="J68" s="63" t="str">
        <f ca="1">'Watchlist Ratings'!B8</f>
        <v>COST</v>
      </c>
      <c r="K68" s="66">
        <f>'Watchlist Ratings'!AM8</f>
        <v>8.43</v>
      </c>
      <c r="L68" s="67">
        <f>'Watchlist Ratings'!AF8</f>
        <v>6</v>
      </c>
      <c r="M68" s="67">
        <f>'Watchlist Ratings'!AG8</f>
        <v>13</v>
      </c>
      <c r="N68" s="67">
        <f>'Watchlist Ratings'!AK8</f>
        <v>-3</v>
      </c>
      <c r="O68" s="67">
        <f>'Watchlist Ratings'!K8</f>
        <v>8</v>
      </c>
      <c r="P68" s="67">
        <f>'Watchlist Ratings'!L8</f>
        <v>1</v>
      </c>
      <c r="Q68" s="63" t="str">
        <f t="shared" si="2"/>
        <v>🟢 ALTO</v>
      </c>
    </row>
    <row r="69" spans="1:17" ht="4.5" customHeight="1" x14ac:dyDescent="0.25">
      <c r="A69" s="63" t="str">
        <f ca="1">'Watchlist Ratings'!B9</f>
        <v>DSGX</v>
      </c>
      <c r="B69" s="64">
        <f ca="1">'Watchlist Ratings'!G9</f>
        <v>87.415000000000006</v>
      </c>
      <c r="C69" s="64">
        <f ca="1">'Watchlist Ratings'!BJ9</f>
        <v>59.882955351084256</v>
      </c>
      <c r="D69" s="64">
        <f ca="1">'Watchlist Ratings'!BK9</f>
        <v>181.93061133122652</v>
      </c>
      <c r="E69" s="65">
        <f ca="1">'Watchlist Ratings'!BL9</f>
        <v>-7.2863982931990923E-2</v>
      </c>
      <c r="F69" s="65">
        <f ca="1">'Watchlist Ratings'!BM9</f>
        <v>0.15788109561386898</v>
      </c>
      <c r="G69" s="65">
        <f t="shared" ca="1" si="0"/>
        <v>0.23074507854585991</v>
      </c>
      <c r="H69" s="63" t="str">
        <f t="shared" ca="1" si="1"/>
        <v>🔴 PASS</v>
      </c>
      <c r="J69" s="63" t="str">
        <f ca="1">'Watchlist Ratings'!B9</f>
        <v>DSGX</v>
      </c>
      <c r="K69" s="66">
        <f>'Watchlist Ratings'!AM9</f>
        <v>8.7100000000000009</v>
      </c>
      <c r="L69" s="67">
        <f>'Watchlist Ratings'!AF9</f>
        <v>10</v>
      </c>
      <c r="M69" s="67">
        <f>'Watchlist Ratings'!AG9</f>
        <v>13</v>
      </c>
      <c r="N69" s="67">
        <f>'Watchlist Ratings'!AK9</f>
        <v>-3</v>
      </c>
      <c r="O69" s="67">
        <f>'Watchlist Ratings'!K9</f>
        <v>7</v>
      </c>
      <c r="P69" s="67">
        <f>'Watchlist Ratings'!L9</f>
        <v>2</v>
      </c>
      <c r="Q69" s="63" t="str">
        <f t="shared" si="2"/>
        <v>🟢 ALTO</v>
      </c>
    </row>
    <row r="70" spans="1:17" ht="4.5" customHeight="1" x14ac:dyDescent="0.25">
      <c r="A70" s="63" t="str">
        <f ca="1">'Watchlist Ratings'!B10</f>
        <v>RAA</v>
      </c>
      <c r="B70" s="64">
        <f ca="1">'Watchlist Ratings'!G10</f>
        <v>612.5</v>
      </c>
      <c r="C70" s="64">
        <f ca="1">'Watchlist Ratings'!BJ10</f>
        <v>419.5690413368514</v>
      </c>
      <c r="D70" s="64">
        <f ca="1">'Watchlist Ratings'!BK10</f>
        <v>1053.2365875109938</v>
      </c>
      <c r="E70" s="65">
        <f ca="1">'Watchlist Ratings'!BL10</f>
        <v>-7.2872488482162323E-2</v>
      </c>
      <c r="F70" s="65">
        <f ca="1">'Watchlist Ratings'!BM10</f>
        <v>0.11450999817020913</v>
      </c>
      <c r="G70" s="65">
        <f t="shared" ca="1" si="0"/>
        <v>0.18738248665237145</v>
      </c>
      <c r="H70" s="63" t="str">
        <f t="shared" ca="1" si="1"/>
        <v>🔴 PASS</v>
      </c>
      <c r="J70" s="63" t="str">
        <f ca="1">'Watchlist Ratings'!B10</f>
        <v>RAA</v>
      </c>
      <c r="K70" s="66">
        <f>'Watchlist Ratings'!AM10</f>
        <v>8.2899999999999991</v>
      </c>
      <c r="L70" s="67">
        <f>'Watchlist Ratings'!AF10</f>
        <v>8</v>
      </c>
      <c r="M70" s="67">
        <f>'Watchlist Ratings'!AG10</f>
        <v>13</v>
      </c>
      <c r="N70" s="67">
        <f>'Watchlist Ratings'!AK10</f>
        <v>-3</v>
      </c>
      <c r="O70" s="67">
        <f>'Watchlist Ratings'!K10</f>
        <v>7</v>
      </c>
      <c r="P70" s="67">
        <f>'Watchlist Ratings'!L10</f>
        <v>2</v>
      </c>
      <c r="Q70" s="63" t="str">
        <f t="shared" si="2"/>
        <v>🟢 ALTO</v>
      </c>
    </row>
    <row r="71" spans="1:17" ht="19.5" customHeight="1" x14ac:dyDescent="0.25">
      <c r="A71" s="63" t="str">
        <f ca="1">'Watchlist Ratings'!B11</f>
        <v>ZS</v>
      </c>
      <c r="B71" s="64">
        <f ca="1">'Watchlist Ratings'!G11</f>
        <v>213.11</v>
      </c>
      <c r="C71" s="64">
        <f ca="1">'Watchlist Ratings'!BJ11</f>
        <v>26.235367640429864</v>
      </c>
      <c r="D71" s="64">
        <f ca="1">'Watchlist Ratings'!BK11</f>
        <v>68.767106989249626</v>
      </c>
      <c r="E71" s="65">
        <f ca="1">'Watchlist Ratings'!BL11</f>
        <v>-0.34225634839118357</v>
      </c>
      <c r="F71" s="65">
        <f ca="1">'Watchlist Ratings'!BM11</f>
        <v>-0.20245465416639263</v>
      </c>
      <c r="G71" s="65">
        <f t="shared" ca="1" si="0"/>
        <v>0.13980169422479094</v>
      </c>
      <c r="H71" s="63" t="str">
        <f t="shared" ca="1" si="1"/>
        <v>🔴 PASS</v>
      </c>
      <c r="J71" s="63" t="str">
        <f ca="1">'Watchlist Ratings'!B11</f>
        <v>ZS</v>
      </c>
      <c r="K71" s="66">
        <f>'Watchlist Ratings'!AM11</f>
        <v>7.29</v>
      </c>
      <c r="L71" s="67">
        <f>'Watchlist Ratings'!AF11</f>
        <v>9</v>
      </c>
      <c r="M71" s="67">
        <f>'Watchlist Ratings'!AG11</f>
        <v>11</v>
      </c>
      <c r="N71" s="67">
        <f>'Watchlist Ratings'!AK11</f>
        <v>-5</v>
      </c>
      <c r="O71" s="67">
        <f>'Watchlist Ratings'!K11</f>
        <v>6</v>
      </c>
      <c r="P71" s="67">
        <f>'Watchlist Ratings'!L11</f>
        <v>2</v>
      </c>
      <c r="Q71" s="63" t="str">
        <f t="shared" si="2"/>
        <v>🟡 MEDIO</v>
      </c>
    </row>
    <row r="72" spans="1:17" ht="27.75" customHeight="1" x14ac:dyDescent="0.25">
      <c r="A72" s="149" t="str">
        <f ca="1">'Watchlist Ratings'!B12</f>
        <v>NTO</v>
      </c>
      <c r="B72" s="117"/>
      <c r="C72" s="117"/>
      <c r="D72" s="117"/>
      <c r="E72" s="117"/>
      <c r="F72" s="117"/>
      <c r="G72" s="117"/>
      <c r="H72" s="117"/>
      <c r="I72" s="118"/>
      <c r="J72" s="116" t="str">
        <f ca="1">'Watchlist Ratings'!B12</f>
        <v>NTO</v>
      </c>
      <c r="K72" s="117"/>
      <c r="L72" s="117"/>
      <c r="M72" s="117"/>
      <c r="N72" s="117"/>
      <c r="O72" s="117"/>
      <c r="P72" s="117"/>
      <c r="Q72" s="118"/>
    </row>
    <row r="73" spans="1:17" ht="19.5" customHeight="1" x14ac:dyDescent="0.25">
      <c r="A73" s="68" t="str">
        <f ca="1">'Watchlist Ratings'!B13</f>
        <v>AMZN</v>
      </c>
      <c r="B73" s="69">
        <f ca="1">'Watchlist Ratings'!G13</f>
        <v>262.27800000000002</v>
      </c>
      <c r="C73" s="69">
        <f ca="1">'Watchlist Ratings'!BJ13</f>
        <v>143.12206862217013</v>
      </c>
      <c r="D73" s="69">
        <f ca="1">'Watchlist Ratings'!BK13</f>
        <v>335.73678116056374</v>
      </c>
      <c r="E73" s="70">
        <f ca="1">'Watchlist Ratings'!BL13</f>
        <v>-0.1140913374947139</v>
      </c>
      <c r="F73" s="70">
        <f ca="1">'Watchlist Ratings'!BM13</f>
        <v>5.0624228362174284E-2</v>
      </c>
      <c r="G73" s="70">
        <f ca="1">F73-E73</f>
        <v>0.16471556585688818</v>
      </c>
      <c r="H73" s="71" t="str">
        <f ca="1">IF(E73&gt;0,"🟢 BUY",IF(E73&gt;-0.05,"🟡 HOLD","🔴 PASS"))</f>
        <v>🔴 PASS</v>
      </c>
      <c r="J73" s="72" t="str">
        <f ca="1">'Watchlist Ratings'!B13</f>
        <v>AMZN</v>
      </c>
      <c r="K73" s="73">
        <f>'Watchlist Ratings'!AM13</f>
        <v>7.14</v>
      </c>
      <c r="L73" s="74">
        <f>'Watchlist Ratings'!AF13</f>
        <v>3</v>
      </c>
      <c r="M73" s="74">
        <f>'Watchlist Ratings'!AG13</f>
        <v>13</v>
      </c>
      <c r="N73" s="74">
        <f>'Watchlist Ratings'!AK13</f>
        <v>-5</v>
      </c>
      <c r="O73" s="74">
        <f>'Watchlist Ratings'!K13</f>
        <v>8</v>
      </c>
      <c r="P73" s="74">
        <f>'Watchlist Ratings'!L13</f>
        <v>3</v>
      </c>
      <c r="Q73" s="72" t="str">
        <f>IF(K73&gt;=8,"🟢 ALTO",IF(K73&gt;=7,"🟡 MEDIO","🔴 BAJO"))</f>
        <v>🟡 MEDIO</v>
      </c>
    </row>
    <row r="74" spans="1:17" ht="19.5" customHeight="1" x14ac:dyDescent="0.25">
      <c r="A74" s="75" t="s">
        <v>228</v>
      </c>
      <c r="B74" s="76" t="str">
        <f ca="1">VLOOKUP(A74,'Watchlist Ratings'!$B$4:$BM$71,4,FALSE())</f>
        <v>XNYS</v>
      </c>
      <c r="C74" s="76">
        <f ca="1">VLOOKUP(A74,'Watchlist Ratings'!$B$4:$BM$71,59,FALSE())</f>
        <v>18</v>
      </c>
      <c r="D74" s="76">
        <f ca="1">VLOOKUP(A74,'Watchlist Ratings'!$B$4:$BM$71,60,FALSE())</f>
        <v>30</v>
      </c>
      <c r="E74" s="77">
        <f ca="1">VLOOKUP(A74,'Watchlist Ratings'!$B$4:$BM$71,61,FALSE())</f>
        <v>163.55689128694669</v>
      </c>
      <c r="F74" s="77">
        <f ca="1">VLOOKUP(A74,'Watchlist Ratings'!$B$4:$BM$71,64,FALSE())</f>
        <v>8.669021918158748E-2</v>
      </c>
      <c r="G74" s="77">
        <f ca="1">F74-E74</f>
        <v>-163.47020106776512</v>
      </c>
      <c r="H74" s="75" t="str">
        <f ca="1">IF(E74&gt;0,"🟢 BUY",IF(E74&gt;-0.05,"🟡 HOLD","🔴 PASS"))</f>
        <v>🟢 BUY</v>
      </c>
      <c r="J74" s="78" t="s">
        <v>228</v>
      </c>
      <c r="K74" s="78">
        <f ca="1">VLOOKUP(J74,'Watchlist Ratings'!$B$4:$BM$71,36,FALSE())</f>
        <v>-5</v>
      </c>
      <c r="L74" s="78">
        <f ca="1">VLOOKUP(J74,'Watchlist Ratings'!$B$4:$BM$71,29,FALSE())</f>
        <v>14</v>
      </c>
      <c r="M74" s="78">
        <f ca="1">VLOOKUP(J74,'Watchlist Ratings'!$B$4:$BM$71,30,FALSE())</f>
        <v>0</v>
      </c>
      <c r="N74" s="78">
        <f ca="1">VLOOKUP(J74,'Watchlist Ratings'!$B$4:$BM$71,34,FALSE())</f>
        <v>8</v>
      </c>
      <c r="O74" s="78">
        <f ca="1">VLOOKUP(J74,'Watchlist Ratings'!$B$4:$BM$71,8,FALSE())</f>
        <v>51252.230640000009</v>
      </c>
      <c r="P74" s="78">
        <f ca="1">VLOOKUP(J74,'Watchlist Ratings'!$B$4:$BM$71,9,FALSE())</f>
        <v>1.5</v>
      </c>
      <c r="Q74" s="78" t="str">
        <f ca="1">IF(K74&gt;=8.5,"🟢 ALTO",IF(K74&gt;=7.5,"🟡 MEDIO","🔴 BAJO"))</f>
        <v>🔴 BAJO</v>
      </c>
    </row>
    <row r="75" spans="1:17" ht="19.5" customHeight="1" x14ac:dyDescent="0.25">
      <c r="A75" s="79" t="s">
        <v>232</v>
      </c>
      <c r="B75" s="80" t="str">
        <f ca="1">VLOOKUP(A75,'Watchlist Ratings'!$B$4:$BM$71,4,FALSE())</f>
        <v>XNAS</v>
      </c>
      <c r="C75" s="80">
        <f ca="1">VLOOKUP(A75,'Watchlist Ratings'!$B$4:$BM$71,59,FALSE())</f>
        <v>20</v>
      </c>
      <c r="D75" s="80">
        <f ca="1">VLOOKUP(A75,'Watchlist Ratings'!$B$4:$BM$71,60,FALSE())</f>
        <v>30</v>
      </c>
      <c r="E75" s="81">
        <f ca="1">VLOOKUP(A75,'Watchlist Ratings'!$B$4:$BM$71,61,FALSE())</f>
        <v>402.09479573553187</v>
      </c>
      <c r="F75" s="81">
        <f ca="1">VLOOKUP(A75,'Watchlist Ratings'!$B$4:$BM$71,64,FALSE())</f>
        <v>0.11210182270941682</v>
      </c>
      <c r="G75" s="81">
        <f ca="1">F75-E75</f>
        <v>-401.98269391282247</v>
      </c>
      <c r="H75" s="79" t="str">
        <f ca="1">IF(E75&gt;0,"🟢 BUY",IF(E75&gt;-0.05,"🟡 HOLD","🔴 PASS"))</f>
        <v>🟢 BUY</v>
      </c>
      <c r="J75" s="79" t="s">
        <v>232</v>
      </c>
      <c r="K75" s="79">
        <f ca="1">VLOOKUP(J75,'Watchlist Ratings'!$B$4:$BM$71,36,FALSE())</f>
        <v>-6</v>
      </c>
      <c r="L75" s="79">
        <f ca="1">VLOOKUP(J75,'Watchlist Ratings'!$B$4:$BM$71,29,FALSE())</f>
        <v>14</v>
      </c>
      <c r="M75" s="79">
        <f ca="1">VLOOKUP(J75,'Watchlist Ratings'!$B$4:$BM$71,30,FALSE())</f>
        <v>0</v>
      </c>
      <c r="N75" s="79">
        <f ca="1">VLOOKUP(J75,'Watchlist Ratings'!$B$4:$BM$71,34,FALSE())</f>
        <v>9</v>
      </c>
      <c r="O75" s="79">
        <f ca="1">VLOOKUP(J75,'Watchlist Ratings'!$B$4:$BM$71,8,FALSE())</f>
        <v>3967245.9271499999</v>
      </c>
      <c r="P75" s="79">
        <f ca="1">VLOOKUP(J75,'Watchlist Ratings'!$B$4:$BM$71,9,FALSE())</f>
        <v>1</v>
      </c>
      <c r="Q75" s="79" t="str">
        <f ca="1">IF(K75&gt;=8.5,"🟢 ALTO",IF(K75&gt;=7.5,"🟡 MEDIO","🔴 BAJO"))</f>
        <v>🔴 BAJO</v>
      </c>
    </row>
    <row r="76" spans="1:17" ht="19.5" customHeight="1" x14ac:dyDescent="0.3">
      <c r="A76" s="169" t="s">
        <v>271</v>
      </c>
      <c r="B76" s="106"/>
      <c r="C76" s="106"/>
      <c r="D76" s="106"/>
      <c r="E76" s="106"/>
      <c r="F76" s="106"/>
      <c r="G76" s="106"/>
      <c r="H76" s="106"/>
      <c r="I76" s="106"/>
      <c r="J76" s="106"/>
      <c r="K76" s="106"/>
      <c r="L76" s="106"/>
      <c r="M76" s="106"/>
      <c r="N76" s="106"/>
      <c r="O76" s="106"/>
      <c r="P76" s="106"/>
      <c r="Q76" s="106"/>
    </row>
    <row r="77" spans="1:17" ht="19.5" customHeight="1" x14ac:dyDescent="0.25">
      <c r="A77" s="79" t="s">
        <v>239</v>
      </c>
      <c r="B77" s="80" t="str">
        <f ca="1">VLOOKUP(A77,'Watchlist Ratings'!$B$4:$BM$71,4,FALSE())</f>
        <v>XNYS</v>
      </c>
      <c r="C77" s="80">
        <f ca="1">VLOOKUP(A77,'Watchlist Ratings'!$B$4:$BM$71,59,FALSE())</f>
        <v>17.5</v>
      </c>
      <c r="D77" s="80">
        <f ca="1">VLOOKUP(A77,'Watchlist Ratings'!$B$4:$BM$71,60,FALSE())</f>
        <v>25</v>
      </c>
      <c r="E77" s="81">
        <f ca="1">VLOOKUP(A77,'Watchlist Ratings'!$B$4:$BM$71,61,FALSE())</f>
        <v>44.719925807836916</v>
      </c>
      <c r="F77" s="81">
        <f ca="1">VLOOKUP(A77,'Watchlist Ratings'!$B$4:$BM$71,64,FALSE())</f>
        <v>0.24983312746672115</v>
      </c>
      <c r="G77" s="81">
        <f ca="1">F77-E77</f>
        <v>-44.470092680370193</v>
      </c>
      <c r="H77" s="79" t="str">
        <f ca="1">IF(E77&gt;0,"🟢 BUY",IF(E77&gt;-0.05,"🟡 HOLD","🔴 PASS"))</f>
        <v>🟢 BUY</v>
      </c>
      <c r="J77" s="79" t="s">
        <v>239</v>
      </c>
      <c r="K77" s="79">
        <f ca="1">VLOOKUP(J77,'Watchlist Ratings'!$B$4:$BM$71,36,FALSE())</f>
        <v>-5</v>
      </c>
      <c r="L77" s="79">
        <f ca="1">VLOOKUP(J77,'Watchlist Ratings'!$B$4:$BM$71,29,FALSE())</f>
        <v>14</v>
      </c>
      <c r="M77" s="79">
        <f ca="1">VLOOKUP(J77,'Watchlist Ratings'!$B$4:$BM$71,30,FALSE())</f>
        <v>-1</v>
      </c>
      <c r="N77" s="79">
        <f ca="1">VLOOKUP(J77,'Watchlist Ratings'!$B$4:$BM$71,34,FALSE())</f>
        <v>10</v>
      </c>
      <c r="O77" s="79">
        <f ca="1">VLOOKUP(J77,'Watchlist Ratings'!$B$4:$BM$71,8,FALSE())</f>
        <v>89240.94034500001</v>
      </c>
      <c r="P77" s="79">
        <f ca="1">VLOOKUP(J77,'Watchlist Ratings'!$B$4:$BM$71,9,FALSE())</f>
        <v>1</v>
      </c>
      <c r="Q77" s="79" t="str">
        <f ca="1">IF(K77&gt;=8.5,"🟢 ALTO",IF(K77&gt;=7.5,"🟡 MEDIO","🔴 BAJO"))</f>
        <v>🔴 BAJO</v>
      </c>
    </row>
    <row r="78" spans="1:17" ht="19.5" customHeight="1" x14ac:dyDescent="0.25">
      <c r="A78" s="136" t="s">
        <v>272</v>
      </c>
      <c r="B78" s="125"/>
      <c r="C78" s="175" t="s">
        <v>273</v>
      </c>
      <c r="D78" s="125"/>
      <c r="E78" s="165" t="s">
        <v>274</v>
      </c>
      <c r="F78" s="125"/>
      <c r="G78" s="165" t="s">
        <v>275</v>
      </c>
      <c r="H78" s="125"/>
      <c r="I78" s="172" t="s">
        <v>276</v>
      </c>
      <c r="J78" s="106"/>
      <c r="K78" s="136" t="s">
        <v>277</v>
      </c>
      <c r="L78" s="125"/>
      <c r="M78" s="136" t="s">
        <v>278</v>
      </c>
      <c r="N78" s="125"/>
      <c r="O78" s="136" t="s">
        <v>279</v>
      </c>
      <c r="P78" s="125"/>
      <c r="Q78" s="82" t="str">
        <f>IF(K78&gt;=8.5,"🟢 ALTO",IF(K78&gt;=7.5,"🟡 MEDIO","🔴 BAJO"))</f>
        <v>🟢 ALTO</v>
      </c>
    </row>
    <row r="79" spans="1:17" ht="19.5" customHeight="1" x14ac:dyDescent="0.25">
      <c r="A79" s="124" t="str">
        <f ca="1">INDEX('Watchlist Ratings'!B:B,MATCH(MAX('Watchlist Ratings'!AN:AN),'Watchlist Ratings'!AN:AN,0))</f>
        <v>CSU</v>
      </c>
      <c r="B79" s="125"/>
      <c r="C79" s="126" t="str">
        <f ca="1">INDEX('Watchlist Ratings'!B:B,MATCH(MAX('Watchlist Ratings'!BM:BM),'Watchlist Ratings'!BM:BM,0))</f>
        <v>BFIT</v>
      </c>
      <c r="D79" s="125"/>
      <c r="E79" s="127" t="str">
        <f ca="1">INDEX('Watchlist Ratings'!B:B,MATCH(MAX('Watchlist Ratings'!BC:BC),'Watchlist Ratings'!BC:BC,0))</f>
        <v>NVDA</v>
      </c>
      <c r="F79" s="125"/>
      <c r="G79" s="127" t="str">
        <f ca="1">INDEX('Watchlist Ratings'!B:B,MATCH(MAX('Watchlist Ratings'!K:K),'Watchlist Ratings'!K:K,0))</f>
        <v>VEEV</v>
      </c>
      <c r="H79" s="125"/>
      <c r="I79" s="157" t="str">
        <f ca="1">INDEX('Watchlist Ratings'!B:B,MATCH(MAX('Watchlist Ratings'!L:L),'Watchlist Ratings'!L:L,0))</f>
        <v>MSFT</v>
      </c>
      <c r="J79" s="106"/>
      <c r="K79" s="124" t="str">
        <f ca="1">INDEX('Watchlist Ratings'!B:B,MATCH(MAX('Watchlist Ratings'!AM:AM),'Watchlist Ratings'!AM:AM,0))</f>
        <v>DSGX</v>
      </c>
      <c r="L79" s="125"/>
      <c r="M79" s="124" t="str">
        <f t="array" aca="1" ref="M79" ca="1">INDEX('Watchlist Ratings'!B:B,MATCH(MIN('Watchlist Ratings'!AW4:AW64),'Watchlist Ratings'!AW4:AW64,0)+3)</f>
        <v>ZS</v>
      </c>
      <c r="N79" s="125"/>
      <c r="O79" s="124" t="str">
        <f t="array" aca="1" ref="O79" ca="1">INDEX('Watchlist Ratings'!B:B,MATCH(MAX('Watchlist Ratings'!BM4:BM64-'Watchlist Ratings'!BL4:BL64),'Watchlist Ratings'!BM4:BM64-'Watchlist Ratings'!BL4:BL64,0)+3)</f>
        <v>OTLY</v>
      </c>
      <c r="P79" s="125"/>
      <c r="Q79" s="79" t="str">
        <f ca="1">IF(K79&gt;=8.5,"🟢 ALTO",IF(K79&gt;=7.5,"🟡 MEDIO","🔴 BAJO"))</f>
        <v>🟢 ALTO</v>
      </c>
    </row>
    <row r="80" spans="1:17" ht="19.5" customHeight="1" x14ac:dyDescent="0.25">
      <c r="A80" s="163">
        <f>MAX('Watchlist Ratings'!AN:AN)</f>
        <v>8.4499999999999993</v>
      </c>
      <c r="B80" s="125"/>
      <c r="C80" s="164">
        <f ca="1">MAX('Watchlist Ratings'!BM:BM)</f>
        <v>0.46189106219163945</v>
      </c>
      <c r="D80" s="125"/>
      <c r="E80" s="167">
        <f>MAX('Watchlist Ratings'!BC:BC)</f>
        <v>0.76982234797532345</v>
      </c>
      <c r="F80" s="125"/>
      <c r="G80" s="167" t="str">
        <f>MAX('Watchlist Ratings'!K:K)&amp;"/8"</f>
        <v>8/8</v>
      </c>
      <c r="H80" s="125"/>
      <c r="I80" s="129" t="str">
        <f>MAX('Watchlist Ratings'!L:L)&amp;"/3"</f>
        <v>3/3</v>
      </c>
      <c r="J80" s="106"/>
      <c r="K80" s="130">
        <f>MAX('Watchlist Ratings'!AM:AM)</f>
        <v>8.7100000000000009</v>
      </c>
      <c r="L80" s="125"/>
      <c r="M80" s="130" t="str">
        <f ca="1">MIN('Watchlist Ratings'!AW4:AW64)&amp;"x"</f>
        <v>-772.149581194379x</v>
      </c>
      <c r="N80" s="125"/>
      <c r="O80" s="130" t="str">
        <f t="array" aca="1" ref="O80" ca="1">TEXT(MAX('Watchlist Ratings'!BM4:BM64-'Watchlist Ratings'!BL4:BL64),"0.0%")</f>
        <v>122.4%</v>
      </c>
      <c r="P80" s="125"/>
      <c r="Q80" s="82" t="str">
        <f>IF(K80&gt;=8.5,"🟢 ALTO",IF(K80&gt;=7.5,"🟡 MEDIO","🔴 BAJO"))</f>
        <v>🟢 ALTO</v>
      </c>
    </row>
    <row r="81" spans="1:17" ht="19.5" customHeight="1" x14ac:dyDescent="0.25">
      <c r="A81" s="79" t="s">
        <v>234</v>
      </c>
      <c r="B81" s="80" t="str">
        <f ca="1">VLOOKUP(A81,'Watchlist Ratings'!$B$4:$BM$71,4,FALSE())</f>
        <v>XNAS</v>
      </c>
      <c r="C81" s="80">
        <f ca="1">VLOOKUP(A81,'Watchlist Ratings'!$B$4:$BM$71,59,FALSE())</f>
        <v>20</v>
      </c>
      <c r="D81" s="80">
        <f ca="1">VLOOKUP(A81,'Watchlist Ratings'!$B$4:$BM$71,60,FALSE())</f>
        <v>30</v>
      </c>
      <c r="E81" s="81">
        <f ca="1">VLOOKUP(A81,'Watchlist Ratings'!$B$4:$BM$71,61,FALSE())</f>
        <v>26.235367640429864</v>
      </c>
      <c r="F81" s="81">
        <f ca="1">VLOOKUP(A81,'Watchlist Ratings'!$B$4:$BM$71,64,FALSE())</f>
        <v>-0.20245465416639263</v>
      </c>
      <c r="G81" s="81">
        <f ca="1">F81-E81</f>
        <v>-26.437822294596256</v>
      </c>
      <c r="H81" s="79" t="str">
        <f ca="1">IF(E81&gt;0,"🟢 BUY",IF(E81&gt;-0.05,"🟡 HOLD","🔴 PASS"))</f>
        <v>🟢 BUY</v>
      </c>
      <c r="J81" s="79" t="s">
        <v>234</v>
      </c>
      <c r="K81" s="79">
        <f ca="1">VLOOKUP(J81,'Watchlist Ratings'!$B$4:$BM$71,36,FALSE())</f>
        <v>-5</v>
      </c>
      <c r="L81" s="79">
        <f ca="1">VLOOKUP(J81,'Watchlist Ratings'!$B$4:$BM$71,29,FALSE())</f>
        <v>13</v>
      </c>
      <c r="M81" s="79">
        <f ca="1">VLOOKUP(J81,'Watchlist Ratings'!$B$4:$BM$71,30,FALSE())</f>
        <v>-2</v>
      </c>
      <c r="N81" s="79">
        <f ca="1">VLOOKUP(J81,'Watchlist Ratings'!$B$4:$BM$71,34,FALSE())</f>
        <v>9</v>
      </c>
      <c r="O81" s="79">
        <f ca="1">VLOOKUP(J81,'Watchlist Ratings'!$B$4:$BM$71,8,FALSE())</f>
        <v>34748.587117000003</v>
      </c>
      <c r="P81" s="79">
        <f ca="1">VLOOKUP(J81,'Watchlist Ratings'!$B$4:$BM$71,9,FALSE())</f>
        <v>1</v>
      </c>
      <c r="Q81" s="79" t="str">
        <f ca="1">IF(K81&gt;=8.5,"🟢 ALTO",IF(K81&gt;=7.5,"🟡 MEDIO","🔴 BAJO"))</f>
        <v>🔴 BAJO</v>
      </c>
    </row>
    <row r="82" spans="1:17" ht="19.5" customHeight="1" x14ac:dyDescent="0.25">
      <c r="A82" s="131" t="s">
        <v>280</v>
      </c>
      <c r="B82" s="106"/>
      <c r="C82" s="106"/>
      <c r="D82" s="106"/>
      <c r="E82" s="106"/>
      <c r="F82" s="106"/>
      <c r="G82" s="106"/>
      <c r="H82" s="106"/>
      <c r="I82" s="106"/>
      <c r="J82" s="106"/>
      <c r="K82" s="106"/>
      <c r="L82" s="106"/>
      <c r="M82" s="106"/>
      <c r="N82" s="106"/>
      <c r="O82" s="106"/>
      <c r="P82" s="106"/>
      <c r="Q82" s="106"/>
    </row>
    <row r="83" spans="1:17" ht="19.5" customHeight="1" x14ac:dyDescent="0.25">
      <c r="A83" s="83" t="s">
        <v>229</v>
      </c>
      <c r="B83" s="84" t="str">
        <f ca="1">VLOOKUP(A83,'Watchlist Ratings'!$B$4:$BM$71,4,FALSE())</f>
        <v>XNAS</v>
      </c>
      <c r="C83" s="84">
        <f ca="1">VLOOKUP(A83,'Watchlist Ratings'!$B$4:$BM$71,59,FALSE())</f>
        <v>22.5</v>
      </c>
      <c r="D83" s="84">
        <f ca="1">VLOOKUP(A83,'Watchlist Ratings'!$B$4:$BM$71,60,FALSE())</f>
        <v>30</v>
      </c>
      <c r="E83" s="85">
        <f ca="1">VLOOKUP(A83,'Watchlist Ratings'!$B$4:$BM$71,61,FALSE())</f>
        <v>143.12206862217013</v>
      </c>
      <c r="F83" s="85">
        <f ca="1">VLOOKUP(A83,'Watchlist Ratings'!$B$4:$BM$71,64,FALSE())</f>
        <v>5.0624228362174284E-2</v>
      </c>
      <c r="G83" s="85">
        <f ca="1">F83-E83</f>
        <v>-143.07144439380795</v>
      </c>
      <c r="H83" s="83" t="str">
        <f ca="1">IF(E83&gt;0,"🟢 BUY",IF(E83&gt;-0.05,"🟡 HOLD","🔴 PASS"))</f>
        <v>🟢 BUY</v>
      </c>
      <c r="J83" s="83" t="s">
        <v>229</v>
      </c>
      <c r="K83" s="83">
        <f ca="1">VLOOKUP(J83,'Watchlist Ratings'!$B$4:$BM$71,36,FALSE())</f>
        <v>-5</v>
      </c>
      <c r="L83" s="83">
        <f ca="1">VLOOKUP(J83,'Watchlist Ratings'!$B$4:$BM$71,29,FALSE())</f>
        <v>14</v>
      </c>
      <c r="M83" s="83">
        <f ca="1">VLOOKUP(J83,'Watchlist Ratings'!$B$4:$BM$71,30,FALSE())</f>
        <v>-1</v>
      </c>
      <c r="N83" s="83">
        <f ca="1">VLOOKUP(J83,'Watchlist Ratings'!$B$4:$BM$71,34,FALSE())</f>
        <v>8</v>
      </c>
      <c r="O83" s="83">
        <f ca="1">VLOOKUP(J83,'Watchlist Ratings'!$B$4:$BM$71,8,FALSE())</f>
        <v>2829011.8141800002</v>
      </c>
      <c r="P83" s="83">
        <f ca="1">VLOOKUP(J83,'Watchlist Ratings'!$B$4:$BM$71,9,FALSE())</f>
        <v>1.5</v>
      </c>
      <c r="Q83" s="83" t="str">
        <f ca="1">IF(K83&gt;=8.5,"🟢 ALTO",IF(K83&gt;=7.5,"🟡 MEDIO","🔴 BAJO"))</f>
        <v>🔴 BAJO</v>
      </c>
    </row>
    <row r="84" spans="1:17" ht="19.5" customHeight="1" x14ac:dyDescent="0.25"/>
    <row r="85" spans="1:17" ht="27.75" customHeight="1" x14ac:dyDescent="0.25">
      <c r="A85" s="156" t="s">
        <v>271</v>
      </c>
      <c r="B85" s="106"/>
      <c r="C85" s="106"/>
      <c r="D85" s="106"/>
      <c r="E85" s="106"/>
      <c r="F85" s="106"/>
      <c r="G85" s="106"/>
      <c r="H85" s="106"/>
      <c r="I85" s="106"/>
      <c r="J85" s="106"/>
      <c r="K85" s="106"/>
      <c r="L85" s="106"/>
      <c r="M85" s="106"/>
      <c r="N85" s="106"/>
      <c r="O85" s="106"/>
      <c r="P85" s="106"/>
      <c r="Q85" s="106"/>
    </row>
    <row r="86" spans="1:17" ht="19.5" customHeight="1" x14ac:dyDescent="0.25"/>
    <row r="87" spans="1:17" ht="19.5" customHeight="1" x14ac:dyDescent="0.25">
      <c r="A87" s="132" t="s">
        <v>272</v>
      </c>
      <c r="B87" s="106"/>
      <c r="C87" s="177" t="s">
        <v>273</v>
      </c>
      <c r="D87" s="106"/>
      <c r="E87" s="128" t="s">
        <v>274</v>
      </c>
      <c r="F87" s="106"/>
      <c r="G87" s="154" t="s">
        <v>275</v>
      </c>
      <c r="H87" s="106"/>
      <c r="I87" s="155" t="s">
        <v>276</v>
      </c>
      <c r="J87" s="106"/>
      <c r="K87" s="176" t="s">
        <v>277</v>
      </c>
      <c r="L87" s="106"/>
      <c r="M87" s="152" t="s">
        <v>278</v>
      </c>
      <c r="N87" s="106"/>
      <c r="O87" s="159" t="s">
        <v>279</v>
      </c>
      <c r="P87" s="106"/>
    </row>
    <row r="88" spans="1:17" ht="19.5" customHeight="1" x14ac:dyDescent="0.3">
      <c r="A88" s="122" t="str">
        <f ca="1">INDEX('Watchlist Ratings'!B$4:B$71,MATCH(MAX('Watchlist Ratings'!AN$4:AN$71),'Watchlist Ratings'!AN$4:AN$71,0))</f>
        <v>CSU</v>
      </c>
      <c r="B88" s="106"/>
      <c r="C88" s="160" t="str">
        <f ca="1">INDEX('Watchlist Ratings'!B$4:B$71,MATCH(MAX('Watchlist Ratings'!BM$4:BM$71),'Watchlist Ratings'!BM$4:BM$71,0))</f>
        <v>BFIT</v>
      </c>
      <c r="D88" s="106"/>
      <c r="E88" s="122" t="str">
        <f ca="1">INDEX('Watchlist Ratings'!B$4:B$71,MATCH(MAX('Watchlist Ratings'!BC$4:BC$71),'Watchlist Ratings'!BC$4:BC$71,0))</f>
        <v>NVDA</v>
      </c>
      <c r="F88" s="106"/>
      <c r="G88" s="122" t="str">
        <f ca="1">INDEX('Watchlist Ratings'!B$4:B$71,MATCH(MAX('Watchlist Ratings'!K$4:K$71),'Watchlist Ratings'!K$4:K$71,0))</f>
        <v>VEEV</v>
      </c>
      <c r="H88" s="106"/>
      <c r="I88" s="122" t="str">
        <f ca="1">INDEX('Watchlist Ratings'!B$4:B$71,MATCH(MAX('Watchlist Ratings'!L$4:L$71),'Watchlist Ratings'!L$4:L$71,0))</f>
        <v>MSFT</v>
      </c>
      <c r="J88" s="106"/>
      <c r="K88" s="122" t="str">
        <f ca="1">INDEX('Watchlist Ratings'!B$4:B$71,MATCH(MAX('Watchlist Ratings'!AM$4:AM$71),'Watchlist Ratings'!AM$4:AM$71,0))</f>
        <v>DSGX</v>
      </c>
      <c r="L88" s="106"/>
      <c r="M88" s="122" t="str">
        <f t="array" aca="1" ref="M88" ca="1">INDEX('Watchlist Ratings'!B$4:B$64,MATCH(MIN(IF('Watchlist Ratings'!AW$4:AW$64&gt;0,'Watchlist Ratings'!AW$4:AW$64)),IF('Watchlist Ratings'!AW$4:AW$64&gt;0,'Watchlist Ratings'!AW$4:AW$64),0))</f>
        <v>KIST</v>
      </c>
      <c r="N88" s="106"/>
      <c r="O88" s="122" t="str">
        <f t="array" aca="1" ref="O88" ca="1">INDEX('Watchlist Ratings'!B$4:B$64,MATCH(MAX('Watchlist Ratings'!BM$4:BM$64-'Watchlist Ratings'!BL$4:BL$64),'Watchlist Ratings'!BM$4:BM$64-'Watchlist Ratings'!BL$4:BL$64,0))</f>
        <v>OTLY</v>
      </c>
      <c r="P88" s="106"/>
    </row>
    <row r="89" spans="1:17" ht="19.5" customHeight="1" x14ac:dyDescent="0.25">
      <c r="A89" s="151">
        <f>MAX('Watchlist Ratings'!AN$4:AN$71)</f>
        <v>8.4499999999999993</v>
      </c>
      <c r="B89" s="106"/>
      <c r="C89" s="121">
        <f ca="1">MAX('Watchlist Ratings'!BM$4:BM$64)</f>
        <v>0.46189106219163945</v>
      </c>
      <c r="D89" s="106"/>
      <c r="E89" s="121">
        <f>MAX('Watchlist Ratings'!BC$4:BC$71)</f>
        <v>0.76982234797532345</v>
      </c>
      <c r="F89" s="106"/>
      <c r="G89" s="115" t="str">
        <f>MAX('Watchlist Ratings'!K$4:K$71)&amp;"/8"</f>
        <v>8/8</v>
      </c>
      <c r="H89" s="106"/>
      <c r="I89" s="115" t="str">
        <f>MAX('Watchlist Ratings'!L$4:L$71)&amp;"/3"</f>
        <v>3/3</v>
      </c>
      <c r="J89" s="106"/>
      <c r="K89" s="120">
        <f>MAX('Watchlist Ratings'!AM$4:AM$71)</f>
        <v>8.7100000000000009</v>
      </c>
      <c r="L89" s="106"/>
      <c r="M89" s="115" t="str">
        <f t="array" aca="1" ref="M89" ca="1">MIN(IF('Watchlist Ratings'!AW$4:AW$64&gt;0,'Watchlist Ratings'!AW$4:AW$64))&amp;"x"</f>
        <v>2.90969106433356x</v>
      </c>
      <c r="N89" s="106"/>
      <c r="O89" s="115">
        <f t="array" aca="1" ref="O89" ca="1">MAX('Watchlist Ratings'!BM$4:BM$64-'Watchlist Ratings'!BL$4:BL$64)</f>
        <v>1.224272586531191</v>
      </c>
      <c r="P89" s="106"/>
    </row>
    <row r="90" spans="1:17" ht="19.5" customHeight="1" x14ac:dyDescent="0.25"/>
    <row r="91" spans="1:17" ht="19.5" customHeight="1" x14ac:dyDescent="0.25">
      <c r="A91" s="171" t="s">
        <v>280</v>
      </c>
      <c r="B91" s="106"/>
      <c r="C91" s="106"/>
      <c r="D91" s="106"/>
      <c r="E91" s="106"/>
      <c r="F91" s="106"/>
      <c r="G91" s="106"/>
      <c r="H91" s="106"/>
      <c r="I91" s="106"/>
      <c r="J91" s="106"/>
      <c r="K91" s="106"/>
      <c r="L91" s="106"/>
      <c r="M91" s="106"/>
      <c r="N91" s="106"/>
      <c r="O91" s="106"/>
      <c r="P91" s="106"/>
      <c r="Q91" s="106"/>
    </row>
  </sheetData>
  <mergeCells count="86">
    <mergeCell ref="A91:Q91"/>
    <mergeCell ref="I78:J78"/>
    <mergeCell ref="A1:L1"/>
    <mergeCell ref="K4:L4"/>
    <mergeCell ref="C78:D78"/>
    <mergeCell ref="K87:L87"/>
    <mergeCell ref="C87:D87"/>
    <mergeCell ref="A6:B6"/>
    <mergeCell ref="A8:L8"/>
    <mergeCell ref="G6:H6"/>
    <mergeCell ref="G3:H3"/>
    <mergeCell ref="I3:J3"/>
    <mergeCell ref="G5:H5"/>
    <mergeCell ref="I5:J5"/>
    <mergeCell ref="G4:H4"/>
    <mergeCell ref="I4:J4"/>
    <mergeCell ref="A2:L2"/>
    <mergeCell ref="A78:B78"/>
    <mergeCell ref="M78:N78"/>
    <mergeCell ref="A80:B80"/>
    <mergeCell ref="C80:D80"/>
    <mergeCell ref="E78:F78"/>
    <mergeCell ref="A3:B3"/>
    <mergeCell ref="G78:H78"/>
    <mergeCell ref="E6:F6"/>
    <mergeCell ref="E80:F80"/>
    <mergeCell ref="A5:B5"/>
    <mergeCell ref="G80:H80"/>
    <mergeCell ref="A76:Q76"/>
    <mergeCell ref="O79:P79"/>
    <mergeCell ref="G79:H79"/>
    <mergeCell ref="A4:B4"/>
    <mergeCell ref="A89:B89"/>
    <mergeCell ref="M87:N87"/>
    <mergeCell ref="G88:H88"/>
    <mergeCell ref="I88:J88"/>
    <mergeCell ref="A62:H62"/>
    <mergeCell ref="G87:H87"/>
    <mergeCell ref="I87:J87"/>
    <mergeCell ref="M89:N89"/>
    <mergeCell ref="E89:F89"/>
    <mergeCell ref="G89:H89"/>
    <mergeCell ref="A85:Q85"/>
    <mergeCell ref="I79:J79"/>
    <mergeCell ref="J62:Q62"/>
    <mergeCell ref="O87:P87"/>
    <mergeCell ref="C88:D88"/>
    <mergeCell ref="E88:F88"/>
    <mergeCell ref="C3:D3"/>
    <mergeCell ref="E3:F3"/>
    <mergeCell ref="K78:L78"/>
    <mergeCell ref="I6:J6"/>
    <mergeCell ref="C5:D5"/>
    <mergeCell ref="E5:F5"/>
    <mergeCell ref="C4:D4"/>
    <mergeCell ref="E4:F4"/>
    <mergeCell ref="K6:L6"/>
    <mergeCell ref="K3:L3"/>
    <mergeCell ref="K5:L5"/>
    <mergeCell ref="A72:I72"/>
    <mergeCell ref="A24:R24"/>
    <mergeCell ref="O78:P78"/>
    <mergeCell ref="C6:D6"/>
    <mergeCell ref="A88:B88"/>
    <mergeCell ref="M79:N79"/>
    <mergeCell ref="C79:D79"/>
    <mergeCell ref="K88:L88"/>
    <mergeCell ref="E79:F79"/>
    <mergeCell ref="M88:N88"/>
    <mergeCell ref="E87:F87"/>
    <mergeCell ref="I80:J80"/>
    <mergeCell ref="K80:L80"/>
    <mergeCell ref="A82:Q82"/>
    <mergeCell ref="A79:B79"/>
    <mergeCell ref="K79:L79"/>
    <mergeCell ref="A87:B87"/>
    <mergeCell ref="M80:N80"/>
    <mergeCell ref="O80:P80"/>
    <mergeCell ref="I89:J89"/>
    <mergeCell ref="J72:Q72"/>
    <mergeCell ref="L40:R40"/>
    <mergeCell ref="K89:L89"/>
    <mergeCell ref="C89:D89"/>
    <mergeCell ref="O88:P88"/>
    <mergeCell ref="J42:Q42"/>
    <mergeCell ref="O89:P89"/>
  </mergeCells>
  <conditionalFormatting sqref="F9:F22">
    <cfRule type="cellIs" dxfId="7" priority="2" operator="greaterThanOrEqual">
      <formula>8</formula>
    </cfRule>
    <cfRule type="cellIs" dxfId="6" priority="3" operator="between">
      <formula>7</formula>
      <formula>8</formula>
    </cfRule>
    <cfRule type="cellIs" dxfId="5" priority="4" operator="greaterThanOrEqual">
      <formula>8</formula>
    </cfRule>
    <cfRule type="cellIs" dxfId="4" priority="5" operator="between">
      <formula>7</formula>
      <formula>7.99</formula>
    </cfRule>
    <cfRule type="cellIs" dxfId="3" priority="6" operator="lessThan">
      <formula>7</formula>
    </cfRule>
  </conditionalFormatting>
  <conditionalFormatting sqref="G9:G22">
    <cfRule type="cellIs" dxfId="2" priority="7" operator="greaterThanOrEqual">
      <formula>7</formula>
    </cfRule>
  </conditionalFormatting>
  <conditionalFormatting sqref="I9:I22">
    <cfRule type="cellIs" dxfId="1" priority="8" operator="greaterThanOrEqual">
      <formula>0.25</formula>
    </cfRule>
    <cfRule type="cellIs" dxfId="0" priority="9" operator="between">
      <formula>0.15</formula>
      <formula>0.249</formula>
    </cfRule>
  </conditionalFormatting>
  <pageMargins left="0.7" right="0.7" top="0.75" bottom="0.75"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62"/>
  <sheetViews>
    <sheetView topLeftCell="A91" workbookViewId="0">
      <selection activeCell="E84" sqref="E84"/>
    </sheetView>
  </sheetViews>
  <sheetFormatPr baseColWidth="10" defaultColWidth="9.140625" defaultRowHeight="15" x14ac:dyDescent="0.25"/>
  <cols>
    <col min="2" max="2" width="10.42578125" bestFit="1" customWidth="1"/>
    <col min="3" max="3" width="27.85546875" customWidth="1"/>
    <col min="4" max="4" width="52.85546875" bestFit="1" customWidth="1"/>
    <col min="5" max="5" width="192.28515625" bestFit="1" customWidth="1"/>
  </cols>
  <sheetData>
    <row r="1" spans="1:5" x14ac:dyDescent="0.25">
      <c r="A1" t="s">
        <v>212</v>
      </c>
      <c r="B1" t="s">
        <v>281</v>
      </c>
      <c r="C1" t="s">
        <v>282</v>
      </c>
      <c r="D1" t="s">
        <v>283</v>
      </c>
      <c r="E1" t="s">
        <v>284</v>
      </c>
    </row>
    <row r="2" spans="1:5" x14ac:dyDescent="0.25">
      <c r="A2" t="s">
        <v>285</v>
      </c>
      <c r="B2" t="s">
        <v>106</v>
      </c>
      <c r="C2" t="s">
        <v>286</v>
      </c>
      <c r="D2" t="s">
        <v>287</v>
      </c>
      <c r="E2" t="s">
        <v>288</v>
      </c>
    </row>
    <row r="3" spans="1:5" x14ac:dyDescent="0.25">
      <c r="A3" t="s">
        <v>250</v>
      </c>
      <c r="B3" t="s">
        <v>106</v>
      </c>
      <c r="C3" t="s">
        <v>289</v>
      </c>
      <c r="D3" t="s">
        <v>290</v>
      </c>
      <c r="E3" t="s">
        <v>291</v>
      </c>
    </row>
    <row r="4" spans="1:5" x14ac:dyDescent="0.25">
      <c r="A4" t="s">
        <v>292</v>
      </c>
      <c r="B4" t="s">
        <v>106</v>
      </c>
      <c r="C4" t="s">
        <v>293</v>
      </c>
      <c r="D4" t="s">
        <v>294</v>
      </c>
      <c r="E4" t="s">
        <v>295</v>
      </c>
    </row>
    <row r="5" spans="1:5" x14ac:dyDescent="0.25">
      <c r="A5" t="s">
        <v>296</v>
      </c>
      <c r="B5" t="s">
        <v>106</v>
      </c>
      <c r="C5" t="s">
        <v>297</v>
      </c>
      <c r="D5" t="s">
        <v>298</v>
      </c>
      <c r="E5" t="s">
        <v>299</v>
      </c>
    </row>
    <row r="6" spans="1:5" x14ac:dyDescent="0.25">
      <c r="A6" t="s">
        <v>146</v>
      </c>
      <c r="B6" t="s">
        <v>147</v>
      </c>
      <c r="C6" t="s">
        <v>300</v>
      </c>
      <c r="D6" t="s">
        <v>301</v>
      </c>
      <c r="E6" t="s">
        <v>302</v>
      </c>
    </row>
    <row r="7" spans="1:5" x14ac:dyDescent="0.25">
      <c r="A7" t="s">
        <v>227</v>
      </c>
      <c r="B7" t="s">
        <v>90</v>
      </c>
      <c r="C7" t="s">
        <v>303</v>
      </c>
      <c r="D7" t="s">
        <v>304</v>
      </c>
      <c r="E7" t="s">
        <v>305</v>
      </c>
    </row>
    <row r="8" spans="1:5" x14ac:dyDescent="0.25">
      <c r="A8" t="s">
        <v>306</v>
      </c>
      <c r="B8" t="s">
        <v>90</v>
      </c>
      <c r="C8" t="s">
        <v>303</v>
      </c>
      <c r="D8" t="s">
        <v>307</v>
      </c>
      <c r="E8" t="s">
        <v>308</v>
      </c>
    </row>
    <row r="9" spans="1:5" x14ac:dyDescent="0.25">
      <c r="A9" t="s">
        <v>228</v>
      </c>
      <c r="B9" t="s">
        <v>90</v>
      </c>
      <c r="C9" t="s">
        <v>303</v>
      </c>
      <c r="D9" t="s">
        <v>309</v>
      </c>
      <c r="E9" t="s">
        <v>310</v>
      </c>
    </row>
    <row r="10" spans="1:5" x14ac:dyDescent="0.25">
      <c r="A10" t="s">
        <v>233</v>
      </c>
      <c r="B10" t="s">
        <v>90</v>
      </c>
      <c r="C10" t="s">
        <v>303</v>
      </c>
      <c r="D10" t="s">
        <v>311</v>
      </c>
      <c r="E10" t="s">
        <v>312</v>
      </c>
    </row>
    <row r="11" spans="1:5" x14ac:dyDescent="0.25">
      <c r="A11" t="s">
        <v>234</v>
      </c>
      <c r="B11" t="s">
        <v>90</v>
      </c>
      <c r="C11" t="s">
        <v>303</v>
      </c>
      <c r="D11" t="s">
        <v>311</v>
      </c>
      <c r="E11" t="s">
        <v>313</v>
      </c>
    </row>
    <row r="12" spans="1:5" x14ac:dyDescent="0.25">
      <c r="A12" t="s">
        <v>314</v>
      </c>
      <c r="B12" t="s">
        <v>90</v>
      </c>
      <c r="C12" t="s">
        <v>303</v>
      </c>
      <c r="D12" t="s">
        <v>315</v>
      </c>
      <c r="E12" t="s">
        <v>316</v>
      </c>
    </row>
    <row r="13" spans="1:5" x14ac:dyDescent="0.25">
      <c r="A13" t="s">
        <v>251</v>
      </c>
      <c r="B13" t="s">
        <v>90</v>
      </c>
      <c r="C13" t="s">
        <v>303</v>
      </c>
      <c r="D13" t="s">
        <v>317</v>
      </c>
      <c r="E13" t="s">
        <v>318</v>
      </c>
    </row>
    <row r="14" spans="1:5" x14ac:dyDescent="0.25">
      <c r="A14" t="s">
        <v>319</v>
      </c>
      <c r="B14" t="s">
        <v>90</v>
      </c>
      <c r="C14" t="s">
        <v>303</v>
      </c>
      <c r="D14" t="s">
        <v>320</v>
      </c>
      <c r="E14" t="s">
        <v>321</v>
      </c>
    </row>
    <row r="15" spans="1:5" x14ac:dyDescent="0.25">
      <c r="A15" t="s">
        <v>239</v>
      </c>
      <c r="B15" t="s">
        <v>90</v>
      </c>
      <c r="C15" t="s">
        <v>303</v>
      </c>
      <c r="D15" t="s">
        <v>322</v>
      </c>
      <c r="E15" t="s">
        <v>323</v>
      </c>
    </row>
    <row r="16" spans="1:5" x14ac:dyDescent="0.25">
      <c r="A16" t="s">
        <v>324</v>
      </c>
      <c r="B16" t="s">
        <v>90</v>
      </c>
      <c r="C16" t="s">
        <v>303</v>
      </c>
      <c r="D16" t="s">
        <v>325</v>
      </c>
      <c r="E16" t="s">
        <v>326</v>
      </c>
    </row>
    <row r="17" spans="1:5" x14ac:dyDescent="0.25">
      <c r="A17" t="s">
        <v>248</v>
      </c>
      <c r="B17" t="s">
        <v>90</v>
      </c>
      <c r="C17" t="s">
        <v>303</v>
      </c>
      <c r="D17" t="s">
        <v>327</v>
      </c>
      <c r="E17" t="s">
        <v>328</v>
      </c>
    </row>
    <row r="18" spans="1:5" x14ac:dyDescent="0.25">
      <c r="A18" t="s">
        <v>244</v>
      </c>
      <c r="B18" t="s">
        <v>90</v>
      </c>
      <c r="C18" t="s">
        <v>303</v>
      </c>
      <c r="D18" t="s">
        <v>329</v>
      </c>
      <c r="E18" t="s">
        <v>330</v>
      </c>
    </row>
    <row r="19" spans="1:5" x14ac:dyDescent="0.25">
      <c r="A19" t="s">
        <v>331</v>
      </c>
      <c r="B19" t="s">
        <v>90</v>
      </c>
      <c r="C19" t="s">
        <v>332</v>
      </c>
      <c r="D19" t="s">
        <v>333</v>
      </c>
      <c r="E19" t="s">
        <v>334</v>
      </c>
    </row>
    <row r="20" spans="1:5" x14ac:dyDescent="0.25">
      <c r="A20" t="s">
        <v>335</v>
      </c>
      <c r="B20" t="s">
        <v>90</v>
      </c>
      <c r="C20" t="s">
        <v>303</v>
      </c>
      <c r="D20" t="s">
        <v>336</v>
      </c>
      <c r="E20" t="s">
        <v>337</v>
      </c>
    </row>
    <row r="21" spans="1:5" x14ac:dyDescent="0.25">
      <c r="A21" t="s">
        <v>232</v>
      </c>
      <c r="B21" t="s">
        <v>94</v>
      </c>
      <c r="C21" t="s">
        <v>303</v>
      </c>
      <c r="D21" t="s">
        <v>338</v>
      </c>
      <c r="E21" t="s">
        <v>339</v>
      </c>
    </row>
    <row r="22" spans="1:5" x14ac:dyDescent="0.25">
      <c r="A22" t="s">
        <v>243</v>
      </c>
      <c r="B22" t="s">
        <v>94</v>
      </c>
      <c r="C22" t="s">
        <v>303</v>
      </c>
      <c r="D22" t="s">
        <v>338</v>
      </c>
      <c r="E22" t="s">
        <v>340</v>
      </c>
    </row>
    <row r="23" spans="1:5" x14ac:dyDescent="0.25">
      <c r="A23" t="s">
        <v>254</v>
      </c>
      <c r="B23" t="s">
        <v>94</v>
      </c>
      <c r="C23" t="s">
        <v>303</v>
      </c>
      <c r="D23" t="s">
        <v>338</v>
      </c>
      <c r="E23" t="s">
        <v>341</v>
      </c>
    </row>
    <row r="24" spans="1:5" x14ac:dyDescent="0.25">
      <c r="A24" t="s">
        <v>229</v>
      </c>
      <c r="B24" t="s">
        <v>94</v>
      </c>
      <c r="C24" t="s">
        <v>303</v>
      </c>
      <c r="D24" t="s">
        <v>338</v>
      </c>
      <c r="E24" t="s">
        <v>342</v>
      </c>
    </row>
    <row r="25" spans="1:5" x14ac:dyDescent="0.25">
      <c r="A25" t="s">
        <v>242</v>
      </c>
      <c r="B25" t="s">
        <v>94</v>
      </c>
      <c r="C25" t="s">
        <v>303</v>
      </c>
      <c r="D25" t="s">
        <v>343</v>
      </c>
      <c r="E25" t="s">
        <v>344</v>
      </c>
    </row>
    <row r="26" spans="1:5" x14ac:dyDescent="0.25">
      <c r="A26" t="s">
        <v>241</v>
      </c>
      <c r="B26" t="s">
        <v>94</v>
      </c>
      <c r="C26" t="s">
        <v>303</v>
      </c>
      <c r="D26" t="s">
        <v>338</v>
      </c>
      <c r="E26" t="s">
        <v>345</v>
      </c>
    </row>
    <row r="27" spans="1:5" x14ac:dyDescent="0.25">
      <c r="A27" t="s">
        <v>235</v>
      </c>
      <c r="B27" t="s">
        <v>94</v>
      </c>
      <c r="C27" t="s">
        <v>303</v>
      </c>
      <c r="D27" t="s">
        <v>338</v>
      </c>
      <c r="E27" t="s">
        <v>346</v>
      </c>
    </row>
    <row r="28" spans="1:5" x14ac:dyDescent="0.25">
      <c r="A28" t="s">
        <v>238</v>
      </c>
      <c r="B28" t="s">
        <v>94</v>
      </c>
      <c r="C28" t="s">
        <v>303</v>
      </c>
      <c r="D28" t="s">
        <v>338</v>
      </c>
      <c r="E28" t="s">
        <v>346</v>
      </c>
    </row>
    <row r="29" spans="1:5" x14ac:dyDescent="0.25">
      <c r="A29" t="s">
        <v>347</v>
      </c>
      <c r="B29" t="s">
        <v>94</v>
      </c>
      <c r="C29" t="s">
        <v>303</v>
      </c>
      <c r="D29" t="s">
        <v>338</v>
      </c>
      <c r="E29" t="s">
        <v>345</v>
      </c>
    </row>
    <row r="30" spans="1:5" x14ac:dyDescent="0.25">
      <c r="A30" t="s">
        <v>348</v>
      </c>
      <c r="B30" t="s">
        <v>94</v>
      </c>
      <c r="C30" t="s">
        <v>303</v>
      </c>
      <c r="D30" t="s">
        <v>338</v>
      </c>
      <c r="E30" t="s">
        <v>346</v>
      </c>
    </row>
    <row r="31" spans="1:5" x14ac:dyDescent="0.25">
      <c r="A31" t="s">
        <v>349</v>
      </c>
      <c r="B31" t="s">
        <v>94</v>
      </c>
      <c r="C31" t="s">
        <v>303</v>
      </c>
      <c r="D31" t="s">
        <v>338</v>
      </c>
      <c r="E31" t="s">
        <v>339</v>
      </c>
    </row>
    <row r="32" spans="1:5" x14ac:dyDescent="0.25">
      <c r="A32" t="s">
        <v>350</v>
      </c>
      <c r="B32" t="s">
        <v>94</v>
      </c>
      <c r="C32" t="s">
        <v>303</v>
      </c>
      <c r="D32" t="s">
        <v>338</v>
      </c>
      <c r="E32" t="s">
        <v>339</v>
      </c>
    </row>
    <row r="33" spans="1:5" x14ac:dyDescent="0.25">
      <c r="A33" t="s">
        <v>351</v>
      </c>
      <c r="B33" t="s">
        <v>94</v>
      </c>
      <c r="C33" t="s">
        <v>303</v>
      </c>
      <c r="D33" t="s">
        <v>338</v>
      </c>
      <c r="E33" t="s">
        <v>352</v>
      </c>
    </row>
    <row r="34" spans="1:5" x14ac:dyDescent="0.25">
      <c r="A34" t="s">
        <v>353</v>
      </c>
      <c r="B34" t="s">
        <v>94</v>
      </c>
      <c r="C34" t="s">
        <v>303</v>
      </c>
      <c r="D34" t="s">
        <v>338</v>
      </c>
      <c r="E34" t="s">
        <v>346</v>
      </c>
    </row>
    <row r="35" spans="1:5" x14ac:dyDescent="0.25">
      <c r="A35" t="s">
        <v>354</v>
      </c>
      <c r="B35" t="s">
        <v>94</v>
      </c>
      <c r="C35" t="s">
        <v>303</v>
      </c>
      <c r="D35" t="s">
        <v>338</v>
      </c>
      <c r="E35" t="s">
        <v>355</v>
      </c>
    </row>
    <row r="36" spans="1:5" x14ac:dyDescent="0.25">
      <c r="A36" t="s">
        <v>356</v>
      </c>
      <c r="B36" t="s">
        <v>94</v>
      </c>
      <c r="C36" t="s">
        <v>303</v>
      </c>
      <c r="D36" t="s">
        <v>338</v>
      </c>
      <c r="E36" t="s">
        <v>339</v>
      </c>
    </row>
    <row r="37" spans="1:5" x14ac:dyDescent="0.25">
      <c r="A37" t="s">
        <v>357</v>
      </c>
      <c r="B37" t="s">
        <v>94</v>
      </c>
      <c r="C37" t="s">
        <v>303</v>
      </c>
      <c r="D37" t="s">
        <v>338</v>
      </c>
      <c r="E37" t="s">
        <v>352</v>
      </c>
    </row>
    <row r="38" spans="1:5" x14ac:dyDescent="0.25">
      <c r="A38" t="s">
        <v>358</v>
      </c>
      <c r="B38" t="s">
        <v>94</v>
      </c>
      <c r="C38" t="s">
        <v>303</v>
      </c>
      <c r="D38" t="s">
        <v>338</v>
      </c>
      <c r="E38" t="s">
        <v>345</v>
      </c>
    </row>
    <row r="39" spans="1:5" x14ac:dyDescent="0.25">
      <c r="A39" t="s">
        <v>359</v>
      </c>
      <c r="B39" t="s">
        <v>94</v>
      </c>
      <c r="C39" t="s">
        <v>303</v>
      </c>
      <c r="D39" t="s">
        <v>338</v>
      </c>
      <c r="E39" t="s">
        <v>360</v>
      </c>
    </row>
    <row r="40" spans="1:5" x14ac:dyDescent="0.25">
      <c r="A40" t="s">
        <v>361</v>
      </c>
      <c r="B40" t="s">
        <v>94</v>
      </c>
      <c r="C40" t="s">
        <v>303</v>
      </c>
      <c r="D40" t="s">
        <v>338</v>
      </c>
      <c r="E40" t="s">
        <v>340</v>
      </c>
    </row>
    <row r="41" spans="1:5" x14ac:dyDescent="0.25">
      <c r="A41" t="s">
        <v>231</v>
      </c>
      <c r="B41" t="s">
        <v>94</v>
      </c>
      <c r="C41" t="s">
        <v>303</v>
      </c>
      <c r="D41" t="s">
        <v>338</v>
      </c>
      <c r="E41" t="s">
        <v>360</v>
      </c>
    </row>
    <row r="42" spans="1:5" x14ac:dyDescent="0.25">
      <c r="A42" t="s">
        <v>362</v>
      </c>
      <c r="B42" t="s">
        <v>94</v>
      </c>
      <c r="C42" t="s">
        <v>303</v>
      </c>
      <c r="D42" t="s">
        <v>338</v>
      </c>
      <c r="E42" t="s">
        <v>339</v>
      </c>
    </row>
    <row r="43" spans="1:5" x14ac:dyDescent="0.25">
      <c r="A43" t="s">
        <v>363</v>
      </c>
      <c r="B43" t="s">
        <v>94</v>
      </c>
      <c r="C43" t="s">
        <v>303</v>
      </c>
      <c r="D43" t="s">
        <v>338</v>
      </c>
      <c r="E43" t="s">
        <v>352</v>
      </c>
    </row>
    <row r="44" spans="1:5" x14ac:dyDescent="0.25">
      <c r="A44" t="s">
        <v>364</v>
      </c>
      <c r="B44" t="s">
        <v>94</v>
      </c>
      <c r="C44" t="s">
        <v>303</v>
      </c>
      <c r="D44" t="s">
        <v>338</v>
      </c>
      <c r="E44" t="s">
        <v>352</v>
      </c>
    </row>
    <row r="45" spans="1:5" x14ac:dyDescent="0.25">
      <c r="A45" t="s">
        <v>365</v>
      </c>
      <c r="B45" t="s">
        <v>94</v>
      </c>
      <c r="C45" t="s">
        <v>303</v>
      </c>
      <c r="D45" t="s">
        <v>338</v>
      </c>
      <c r="E45" t="s">
        <v>346</v>
      </c>
    </row>
    <row r="46" spans="1:5" x14ac:dyDescent="0.25">
      <c r="A46" t="s">
        <v>366</v>
      </c>
      <c r="B46" t="s">
        <v>94</v>
      </c>
      <c r="C46" t="s">
        <v>303</v>
      </c>
      <c r="D46" t="s">
        <v>338</v>
      </c>
      <c r="E46" t="s">
        <v>352</v>
      </c>
    </row>
    <row r="47" spans="1:5" x14ac:dyDescent="0.25">
      <c r="A47" t="s">
        <v>367</v>
      </c>
      <c r="B47" t="s">
        <v>94</v>
      </c>
      <c r="C47" t="s">
        <v>303</v>
      </c>
      <c r="D47" t="s">
        <v>338</v>
      </c>
      <c r="E47" t="s">
        <v>339</v>
      </c>
    </row>
    <row r="48" spans="1:5" x14ac:dyDescent="0.25">
      <c r="A48" t="s">
        <v>240</v>
      </c>
      <c r="B48" t="s">
        <v>101</v>
      </c>
      <c r="C48" t="s">
        <v>368</v>
      </c>
      <c r="D48" t="s">
        <v>369</v>
      </c>
      <c r="E48" t="s">
        <v>370</v>
      </c>
    </row>
    <row r="49" spans="1:5" x14ac:dyDescent="0.25">
      <c r="A49" t="s">
        <v>285</v>
      </c>
      <c r="B49" t="s">
        <v>101</v>
      </c>
      <c r="C49" t="s">
        <v>368</v>
      </c>
      <c r="D49" t="s">
        <v>369</v>
      </c>
      <c r="E49" t="s">
        <v>371</v>
      </c>
    </row>
    <row r="50" spans="1:5" x14ac:dyDescent="0.25">
      <c r="A50" t="s">
        <v>372</v>
      </c>
      <c r="B50" t="s">
        <v>101</v>
      </c>
      <c r="C50" t="s">
        <v>368</v>
      </c>
      <c r="D50" t="s">
        <v>369</v>
      </c>
      <c r="E50" t="s">
        <v>373</v>
      </c>
    </row>
    <row r="51" spans="1:5" x14ac:dyDescent="0.25">
      <c r="A51" t="s">
        <v>247</v>
      </c>
      <c r="B51" t="s">
        <v>101</v>
      </c>
      <c r="C51" t="s">
        <v>368</v>
      </c>
      <c r="D51" t="s">
        <v>374</v>
      </c>
      <c r="E51" t="s">
        <v>375</v>
      </c>
    </row>
    <row r="52" spans="1:5" x14ac:dyDescent="0.25">
      <c r="A52" t="s">
        <v>376</v>
      </c>
      <c r="B52" t="s">
        <v>101</v>
      </c>
      <c r="C52" t="s">
        <v>368</v>
      </c>
      <c r="D52" t="s">
        <v>377</v>
      </c>
      <c r="E52" t="s">
        <v>378</v>
      </c>
    </row>
    <row r="53" spans="1:5" x14ac:dyDescent="0.25">
      <c r="A53" t="s">
        <v>250</v>
      </c>
      <c r="B53" t="s">
        <v>101</v>
      </c>
      <c r="C53" t="s">
        <v>368</v>
      </c>
      <c r="D53" t="s">
        <v>379</v>
      </c>
      <c r="E53" t="s">
        <v>380</v>
      </c>
    </row>
    <row r="54" spans="1:5" x14ac:dyDescent="0.25">
      <c r="A54" t="s">
        <v>331</v>
      </c>
      <c r="B54" t="s">
        <v>101</v>
      </c>
      <c r="C54" t="s">
        <v>368</v>
      </c>
      <c r="D54" t="s">
        <v>381</v>
      </c>
      <c r="E54" t="s">
        <v>382</v>
      </c>
    </row>
    <row r="55" spans="1:5" x14ac:dyDescent="0.25">
      <c r="A55" t="s">
        <v>383</v>
      </c>
      <c r="B55" t="s">
        <v>101</v>
      </c>
      <c r="C55" t="s">
        <v>368</v>
      </c>
      <c r="D55" t="s">
        <v>384</v>
      </c>
      <c r="E55" t="s">
        <v>385</v>
      </c>
    </row>
    <row r="56" spans="1:5" x14ac:dyDescent="0.25">
      <c r="A56" t="s">
        <v>296</v>
      </c>
      <c r="B56" t="s">
        <v>101</v>
      </c>
      <c r="C56" t="s">
        <v>368</v>
      </c>
      <c r="D56" t="s">
        <v>386</v>
      </c>
      <c r="E56" t="s">
        <v>387</v>
      </c>
    </row>
    <row r="57" spans="1:5" x14ac:dyDescent="0.25">
      <c r="A57" t="s">
        <v>365</v>
      </c>
      <c r="B57" t="s">
        <v>101</v>
      </c>
      <c r="C57" t="s">
        <v>388</v>
      </c>
      <c r="D57" t="s">
        <v>389</v>
      </c>
      <c r="E57" t="s">
        <v>390</v>
      </c>
    </row>
    <row r="58" spans="1:5" x14ac:dyDescent="0.25">
      <c r="A58" t="s">
        <v>232</v>
      </c>
      <c r="B58" t="s">
        <v>101</v>
      </c>
      <c r="C58" t="s">
        <v>239</v>
      </c>
      <c r="D58" t="s">
        <v>391</v>
      </c>
      <c r="E58" t="s">
        <v>392</v>
      </c>
    </row>
    <row r="59" spans="1:5" x14ac:dyDescent="0.25">
      <c r="A59" t="s">
        <v>350</v>
      </c>
      <c r="B59" t="s">
        <v>101</v>
      </c>
      <c r="C59" t="s">
        <v>239</v>
      </c>
      <c r="D59" t="s">
        <v>393</v>
      </c>
      <c r="E59" t="s">
        <v>394</v>
      </c>
    </row>
    <row r="60" spans="1:5" x14ac:dyDescent="0.25">
      <c r="A60" t="s">
        <v>229</v>
      </c>
      <c r="B60" t="s">
        <v>101</v>
      </c>
      <c r="C60" t="s">
        <v>239</v>
      </c>
      <c r="D60" t="s">
        <v>393</v>
      </c>
      <c r="E60" t="s">
        <v>395</v>
      </c>
    </row>
    <row r="61" spans="1:5" x14ac:dyDescent="0.25">
      <c r="A61" t="s">
        <v>354</v>
      </c>
      <c r="B61" t="s">
        <v>101</v>
      </c>
      <c r="C61" t="s">
        <v>239</v>
      </c>
      <c r="D61" t="s">
        <v>396</v>
      </c>
      <c r="E61" t="s">
        <v>397</v>
      </c>
    </row>
    <row r="62" spans="1:5" x14ac:dyDescent="0.25">
      <c r="A62" t="s">
        <v>351</v>
      </c>
      <c r="B62" t="s">
        <v>101</v>
      </c>
      <c r="C62" t="s">
        <v>239</v>
      </c>
      <c r="D62" t="s">
        <v>393</v>
      </c>
      <c r="E62" t="s">
        <v>398</v>
      </c>
    </row>
    <row r="63" spans="1:5" x14ac:dyDescent="0.25">
      <c r="A63" t="s">
        <v>239</v>
      </c>
      <c r="B63" t="s">
        <v>101</v>
      </c>
      <c r="C63" t="s">
        <v>239</v>
      </c>
      <c r="D63" t="s">
        <v>399</v>
      </c>
      <c r="E63" t="s">
        <v>400</v>
      </c>
    </row>
    <row r="64" spans="1:5" x14ac:dyDescent="0.25">
      <c r="A64" t="s">
        <v>357</v>
      </c>
      <c r="B64" t="s">
        <v>101</v>
      </c>
      <c r="C64" t="s">
        <v>239</v>
      </c>
      <c r="D64" t="s">
        <v>401</v>
      </c>
      <c r="E64" t="s">
        <v>402</v>
      </c>
    </row>
    <row r="65" spans="1:5" x14ac:dyDescent="0.25">
      <c r="A65" t="s">
        <v>253</v>
      </c>
      <c r="B65" t="s">
        <v>101</v>
      </c>
      <c r="C65" t="s">
        <v>239</v>
      </c>
      <c r="D65" t="s">
        <v>403</v>
      </c>
      <c r="E65" t="s">
        <v>404</v>
      </c>
    </row>
    <row r="66" spans="1:5" x14ac:dyDescent="0.25">
      <c r="A66" t="s">
        <v>405</v>
      </c>
      <c r="B66" t="s">
        <v>101</v>
      </c>
      <c r="C66" t="s">
        <v>239</v>
      </c>
      <c r="D66" t="s">
        <v>393</v>
      </c>
      <c r="E66" t="s">
        <v>406</v>
      </c>
    </row>
    <row r="67" spans="1:5" x14ac:dyDescent="0.25">
      <c r="A67" t="s">
        <v>348</v>
      </c>
      <c r="B67" t="s">
        <v>101</v>
      </c>
      <c r="C67" t="s">
        <v>239</v>
      </c>
      <c r="D67" t="s">
        <v>401</v>
      </c>
      <c r="E67" t="s">
        <v>407</v>
      </c>
    </row>
    <row r="68" spans="1:5" x14ac:dyDescent="0.25">
      <c r="A68" t="s">
        <v>359</v>
      </c>
      <c r="B68" t="s">
        <v>101</v>
      </c>
      <c r="C68" t="s">
        <v>239</v>
      </c>
      <c r="D68" t="s">
        <v>393</v>
      </c>
      <c r="E68" t="s">
        <v>408</v>
      </c>
    </row>
    <row r="69" spans="1:5" x14ac:dyDescent="0.25">
      <c r="A69" t="s">
        <v>237</v>
      </c>
      <c r="B69" t="s">
        <v>101</v>
      </c>
      <c r="C69" t="s">
        <v>239</v>
      </c>
      <c r="D69" t="s">
        <v>409</v>
      </c>
      <c r="E69" t="s">
        <v>410</v>
      </c>
    </row>
    <row r="70" spans="1:5" x14ac:dyDescent="0.25">
      <c r="A70" t="s">
        <v>349</v>
      </c>
      <c r="B70" t="s">
        <v>101</v>
      </c>
      <c r="C70" t="s">
        <v>388</v>
      </c>
      <c r="D70" t="s">
        <v>411</v>
      </c>
      <c r="E70" t="s">
        <v>412</v>
      </c>
    </row>
    <row r="71" spans="1:5" x14ac:dyDescent="0.25">
      <c r="A71" t="s">
        <v>241</v>
      </c>
      <c r="B71" t="s">
        <v>101</v>
      </c>
      <c r="C71" t="s">
        <v>239</v>
      </c>
      <c r="D71" t="s">
        <v>393</v>
      </c>
      <c r="E71" t="s">
        <v>413</v>
      </c>
    </row>
    <row r="72" spans="1:5" x14ac:dyDescent="0.25">
      <c r="A72" t="s">
        <v>353</v>
      </c>
      <c r="B72" t="s">
        <v>101</v>
      </c>
      <c r="C72" t="s">
        <v>239</v>
      </c>
      <c r="D72" t="s">
        <v>414</v>
      </c>
      <c r="E72" t="s">
        <v>415</v>
      </c>
    </row>
    <row r="73" spans="1:5" x14ac:dyDescent="0.25">
      <c r="A73" t="s">
        <v>231</v>
      </c>
      <c r="B73" t="s">
        <v>101</v>
      </c>
      <c r="C73" t="s">
        <v>239</v>
      </c>
      <c r="D73" t="s">
        <v>416</v>
      </c>
      <c r="E73" t="s">
        <v>417</v>
      </c>
    </row>
    <row r="74" spans="1:5" x14ac:dyDescent="0.25">
      <c r="A74" t="s">
        <v>238</v>
      </c>
      <c r="B74" t="s">
        <v>101</v>
      </c>
      <c r="C74" t="s">
        <v>239</v>
      </c>
      <c r="D74" t="s">
        <v>418</v>
      </c>
      <c r="E74" t="s">
        <v>419</v>
      </c>
    </row>
    <row r="75" spans="1:5" x14ac:dyDescent="0.25">
      <c r="A75" t="s">
        <v>235</v>
      </c>
      <c r="B75" t="s">
        <v>101</v>
      </c>
      <c r="C75" t="s">
        <v>239</v>
      </c>
      <c r="D75" t="s">
        <v>401</v>
      </c>
      <c r="E75" t="s">
        <v>420</v>
      </c>
    </row>
    <row r="76" spans="1:5" x14ac:dyDescent="0.25">
      <c r="A76" t="s">
        <v>363</v>
      </c>
      <c r="B76" t="s">
        <v>101</v>
      </c>
      <c r="C76" t="s">
        <v>239</v>
      </c>
      <c r="D76" t="s">
        <v>421</v>
      </c>
      <c r="E76" t="s">
        <v>422</v>
      </c>
    </row>
    <row r="77" spans="1:5" x14ac:dyDescent="0.25">
      <c r="A77" t="s">
        <v>364</v>
      </c>
      <c r="B77" t="s">
        <v>101</v>
      </c>
      <c r="C77" t="s">
        <v>239</v>
      </c>
      <c r="D77" t="s">
        <v>393</v>
      </c>
      <c r="E77" t="s">
        <v>423</v>
      </c>
    </row>
    <row r="78" spans="1:5" x14ac:dyDescent="0.25">
      <c r="A78" t="s">
        <v>366</v>
      </c>
      <c r="B78" t="s">
        <v>101</v>
      </c>
      <c r="C78" t="s">
        <v>239</v>
      </c>
      <c r="D78" t="s">
        <v>401</v>
      </c>
      <c r="E78" t="s">
        <v>424</v>
      </c>
    </row>
    <row r="79" spans="1:5" x14ac:dyDescent="0.25">
      <c r="A79" t="s">
        <v>227</v>
      </c>
      <c r="B79" t="s">
        <v>101</v>
      </c>
      <c r="C79" t="s">
        <v>239</v>
      </c>
      <c r="D79" t="s">
        <v>391</v>
      </c>
      <c r="E79" t="s">
        <v>425</v>
      </c>
    </row>
    <row r="80" spans="1:5" x14ac:dyDescent="0.25">
      <c r="A80" t="s">
        <v>292</v>
      </c>
      <c r="B80" t="s">
        <v>101</v>
      </c>
      <c r="C80" t="s">
        <v>239</v>
      </c>
      <c r="D80" t="s">
        <v>426</v>
      </c>
      <c r="E80" t="s">
        <v>427</v>
      </c>
    </row>
    <row r="81" spans="1:5" x14ac:dyDescent="0.25">
      <c r="A81" t="s">
        <v>362</v>
      </c>
      <c r="B81" t="s">
        <v>101</v>
      </c>
      <c r="C81" t="s">
        <v>388</v>
      </c>
      <c r="D81" t="s">
        <v>428</v>
      </c>
      <c r="E81" t="s">
        <v>429</v>
      </c>
    </row>
    <row r="82" spans="1:5" x14ac:dyDescent="0.25">
      <c r="A82" t="s">
        <v>367</v>
      </c>
      <c r="B82" t="s">
        <v>101</v>
      </c>
      <c r="C82" t="s">
        <v>388</v>
      </c>
      <c r="D82" t="s">
        <v>428</v>
      </c>
      <c r="E82" t="s">
        <v>430</v>
      </c>
    </row>
    <row r="83" spans="1:5" x14ac:dyDescent="0.25">
      <c r="A83" t="s">
        <v>431</v>
      </c>
      <c r="B83" t="s">
        <v>101</v>
      </c>
      <c r="C83" t="s">
        <v>432</v>
      </c>
      <c r="D83" t="s">
        <v>433</v>
      </c>
      <c r="E83" t="s">
        <v>434</v>
      </c>
    </row>
    <row r="84" spans="1:5" x14ac:dyDescent="0.25">
      <c r="A84" t="s">
        <v>357</v>
      </c>
      <c r="B84" t="s">
        <v>119</v>
      </c>
      <c r="C84" t="s">
        <v>435</v>
      </c>
      <c r="D84" t="s">
        <v>436</v>
      </c>
      <c r="E84" t="s">
        <v>437</v>
      </c>
    </row>
    <row r="85" spans="1:5" x14ac:dyDescent="0.25">
      <c r="A85" t="s">
        <v>438</v>
      </c>
      <c r="B85" t="s">
        <v>119</v>
      </c>
      <c r="C85" t="s">
        <v>435</v>
      </c>
      <c r="D85" t="s">
        <v>439</v>
      </c>
      <c r="E85" t="s">
        <v>440</v>
      </c>
    </row>
    <row r="86" spans="1:5" x14ac:dyDescent="0.25">
      <c r="A86" t="s">
        <v>347</v>
      </c>
      <c r="B86" t="s">
        <v>119</v>
      </c>
      <c r="C86" t="s">
        <v>435</v>
      </c>
      <c r="D86" t="s">
        <v>441</v>
      </c>
      <c r="E86" t="s">
        <v>442</v>
      </c>
    </row>
    <row r="87" spans="1:5" x14ac:dyDescent="0.25">
      <c r="A87" t="s">
        <v>354</v>
      </c>
      <c r="B87" t="s">
        <v>119</v>
      </c>
      <c r="C87" t="s">
        <v>435</v>
      </c>
      <c r="D87" t="s">
        <v>443</v>
      </c>
      <c r="E87" t="s">
        <v>444</v>
      </c>
    </row>
    <row r="88" spans="1:5" x14ac:dyDescent="0.25">
      <c r="A88" t="s">
        <v>356</v>
      </c>
      <c r="B88" t="s">
        <v>119</v>
      </c>
      <c r="C88" t="s">
        <v>435</v>
      </c>
      <c r="D88" t="s">
        <v>445</v>
      </c>
      <c r="E88" t="s">
        <v>446</v>
      </c>
    </row>
    <row r="89" spans="1:5" x14ac:dyDescent="0.25">
      <c r="A89" t="s">
        <v>447</v>
      </c>
      <c r="B89" t="s">
        <v>119</v>
      </c>
      <c r="C89" t="s">
        <v>435</v>
      </c>
      <c r="D89" t="s">
        <v>448</v>
      </c>
      <c r="E89" t="s">
        <v>449</v>
      </c>
    </row>
    <row r="90" spans="1:5" x14ac:dyDescent="0.25">
      <c r="A90" t="s">
        <v>362</v>
      </c>
      <c r="B90" t="s">
        <v>119</v>
      </c>
      <c r="C90" t="s">
        <v>435</v>
      </c>
      <c r="D90" t="s">
        <v>450</v>
      </c>
      <c r="E90" t="s">
        <v>451</v>
      </c>
    </row>
    <row r="91" spans="1:5" x14ac:dyDescent="0.25">
      <c r="A91" t="s">
        <v>452</v>
      </c>
      <c r="B91" t="s">
        <v>119</v>
      </c>
      <c r="C91" t="s">
        <v>435</v>
      </c>
      <c r="D91" t="s">
        <v>453</v>
      </c>
      <c r="E91" t="s">
        <v>454</v>
      </c>
    </row>
    <row r="92" spans="1:5" x14ac:dyDescent="0.25">
      <c r="A92" t="s">
        <v>367</v>
      </c>
      <c r="B92" t="s">
        <v>119</v>
      </c>
      <c r="C92" t="s">
        <v>435</v>
      </c>
      <c r="D92" t="s">
        <v>455</v>
      </c>
      <c r="E92" t="s">
        <v>456</v>
      </c>
    </row>
    <row r="93" spans="1:5" x14ac:dyDescent="0.25">
      <c r="A93" t="s">
        <v>241</v>
      </c>
      <c r="B93" t="s">
        <v>119</v>
      </c>
      <c r="C93" t="s">
        <v>457</v>
      </c>
      <c r="D93" t="s">
        <v>458</v>
      </c>
      <c r="E93" t="s">
        <v>459</v>
      </c>
    </row>
    <row r="94" spans="1:5" x14ac:dyDescent="0.25">
      <c r="A94" t="s">
        <v>324</v>
      </c>
      <c r="B94" t="s">
        <v>119</v>
      </c>
      <c r="C94" t="s">
        <v>457</v>
      </c>
      <c r="D94" t="s">
        <v>460</v>
      </c>
      <c r="E94" t="s">
        <v>461</v>
      </c>
    </row>
    <row r="95" spans="1:5" x14ac:dyDescent="0.25">
      <c r="A95" t="s">
        <v>358</v>
      </c>
      <c r="B95" t="s">
        <v>119</v>
      </c>
      <c r="C95" t="s">
        <v>457</v>
      </c>
      <c r="D95" t="s">
        <v>462</v>
      </c>
      <c r="E95" t="s">
        <v>463</v>
      </c>
    </row>
    <row r="96" spans="1:5" x14ac:dyDescent="0.25">
      <c r="A96" t="s">
        <v>232</v>
      </c>
      <c r="B96" t="s">
        <v>82</v>
      </c>
      <c r="C96" t="s">
        <v>435</v>
      </c>
      <c r="D96" t="s">
        <v>464</v>
      </c>
      <c r="E96" t="s">
        <v>465</v>
      </c>
    </row>
    <row r="97" spans="1:5" x14ac:dyDescent="0.25">
      <c r="A97" t="s">
        <v>350</v>
      </c>
      <c r="B97" t="s">
        <v>82</v>
      </c>
      <c r="C97" t="s">
        <v>435</v>
      </c>
      <c r="D97" t="s">
        <v>466</v>
      </c>
      <c r="E97" t="s">
        <v>467</v>
      </c>
    </row>
    <row r="98" spans="1:5" x14ac:dyDescent="0.25">
      <c r="A98" t="s">
        <v>241</v>
      </c>
      <c r="B98" t="s">
        <v>82</v>
      </c>
      <c r="C98" t="s">
        <v>435</v>
      </c>
      <c r="D98" t="s">
        <v>468</v>
      </c>
      <c r="E98" t="s">
        <v>469</v>
      </c>
    </row>
    <row r="99" spans="1:5" x14ac:dyDescent="0.25">
      <c r="A99" t="s">
        <v>253</v>
      </c>
      <c r="B99" t="s">
        <v>82</v>
      </c>
      <c r="C99" t="s">
        <v>435</v>
      </c>
      <c r="D99" t="s">
        <v>470</v>
      </c>
      <c r="E99" t="s">
        <v>471</v>
      </c>
    </row>
    <row r="100" spans="1:5" x14ac:dyDescent="0.25">
      <c r="A100" t="s">
        <v>359</v>
      </c>
      <c r="B100" t="s">
        <v>82</v>
      </c>
      <c r="C100" t="s">
        <v>435</v>
      </c>
      <c r="D100" t="s">
        <v>472</v>
      </c>
      <c r="E100" t="s">
        <v>473</v>
      </c>
    </row>
    <row r="101" spans="1:5" x14ac:dyDescent="0.25">
      <c r="A101" t="s">
        <v>231</v>
      </c>
      <c r="B101" t="s">
        <v>82</v>
      </c>
      <c r="C101" t="s">
        <v>435</v>
      </c>
      <c r="D101" t="s">
        <v>474</v>
      </c>
      <c r="E101" t="s">
        <v>475</v>
      </c>
    </row>
    <row r="102" spans="1:5" x14ac:dyDescent="0.25">
      <c r="A102" t="s">
        <v>476</v>
      </c>
      <c r="B102" t="s">
        <v>82</v>
      </c>
      <c r="C102" t="s">
        <v>435</v>
      </c>
      <c r="D102" t="s">
        <v>477</v>
      </c>
      <c r="E102" t="s">
        <v>478</v>
      </c>
    </row>
    <row r="103" spans="1:5" x14ac:dyDescent="0.25">
      <c r="A103" t="s">
        <v>148</v>
      </c>
      <c r="B103" t="s">
        <v>79</v>
      </c>
      <c r="C103" t="s">
        <v>479</v>
      </c>
      <c r="D103" t="s">
        <v>480</v>
      </c>
      <c r="E103" t="s">
        <v>481</v>
      </c>
    </row>
    <row r="104" spans="1:5" x14ac:dyDescent="0.25">
      <c r="A104" t="s">
        <v>228</v>
      </c>
      <c r="B104" t="s">
        <v>79</v>
      </c>
      <c r="C104" t="s">
        <v>482</v>
      </c>
      <c r="D104" t="s">
        <v>483</v>
      </c>
      <c r="E104" t="s">
        <v>484</v>
      </c>
    </row>
    <row r="105" spans="1:5" x14ac:dyDescent="0.25">
      <c r="A105" t="s">
        <v>237</v>
      </c>
      <c r="B105" t="s">
        <v>79</v>
      </c>
      <c r="C105" t="s">
        <v>485</v>
      </c>
      <c r="D105" t="s">
        <v>486</v>
      </c>
      <c r="E105" t="s">
        <v>487</v>
      </c>
    </row>
    <row r="106" spans="1:5" x14ac:dyDescent="0.25">
      <c r="A106" t="s">
        <v>239</v>
      </c>
      <c r="B106" t="s">
        <v>79</v>
      </c>
      <c r="C106" t="s">
        <v>488</v>
      </c>
      <c r="D106" t="s">
        <v>489</v>
      </c>
      <c r="E106" t="s">
        <v>490</v>
      </c>
    </row>
    <row r="107" spans="1:5" x14ac:dyDescent="0.25">
      <c r="A107" t="s">
        <v>335</v>
      </c>
      <c r="B107" t="s">
        <v>79</v>
      </c>
      <c r="C107" t="s">
        <v>491</v>
      </c>
      <c r="D107" t="s">
        <v>492</v>
      </c>
      <c r="E107" t="s">
        <v>493</v>
      </c>
    </row>
    <row r="108" spans="1:5" x14ac:dyDescent="0.25">
      <c r="A108" t="s">
        <v>235</v>
      </c>
      <c r="B108" t="s">
        <v>79</v>
      </c>
      <c r="C108" t="s">
        <v>494</v>
      </c>
      <c r="D108" t="s">
        <v>495</v>
      </c>
      <c r="E108" t="s">
        <v>496</v>
      </c>
    </row>
    <row r="109" spans="1:5" x14ac:dyDescent="0.25">
      <c r="A109" t="s">
        <v>324</v>
      </c>
      <c r="B109" t="s">
        <v>79</v>
      </c>
      <c r="C109" t="s">
        <v>497</v>
      </c>
      <c r="D109" t="s">
        <v>498</v>
      </c>
      <c r="E109" t="s">
        <v>499</v>
      </c>
    </row>
    <row r="110" spans="1:5" x14ac:dyDescent="0.25">
      <c r="A110" t="s">
        <v>367</v>
      </c>
      <c r="B110" t="s">
        <v>79</v>
      </c>
      <c r="C110" t="s">
        <v>500</v>
      </c>
      <c r="D110" t="s">
        <v>501</v>
      </c>
      <c r="E110" t="s">
        <v>502</v>
      </c>
    </row>
    <row r="111" spans="1:5" x14ac:dyDescent="0.25">
      <c r="A111" t="s">
        <v>359</v>
      </c>
      <c r="B111" s="97">
        <v>46254</v>
      </c>
      <c r="C111" t="s">
        <v>505</v>
      </c>
      <c r="D111" t="s">
        <v>506</v>
      </c>
      <c r="E111" t="s">
        <v>507</v>
      </c>
    </row>
    <row r="112" spans="1:5" x14ac:dyDescent="0.25">
      <c r="A112" t="s">
        <v>504</v>
      </c>
      <c r="B112" s="97">
        <v>46254</v>
      </c>
      <c r="C112" t="s">
        <v>508</v>
      </c>
      <c r="D112" t="s">
        <v>509</v>
      </c>
      <c r="E112" t="s">
        <v>510</v>
      </c>
    </row>
    <row r="113" spans="1:5" x14ac:dyDescent="0.25">
      <c r="A113" t="s">
        <v>504</v>
      </c>
      <c r="B113" s="97">
        <v>46254</v>
      </c>
      <c r="C113" t="s">
        <v>512</v>
      </c>
      <c r="D113" t="s">
        <v>513</v>
      </c>
      <c r="E113" t="s">
        <v>514</v>
      </c>
    </row>
    <row r="114" spans="1:5" x14ac:dyDescent="0.25">
      <c r="A114" t="s">
        <v>359</v>
      </c>
      <c r="B114" s="97">
        <v>46254</v>
      </c>
      <c r="C114" t="s">
        <v>515</v>
      </c>
      <c r="D114" t="s">
        <v>516</v>
      </c>
      <c r="E114" t="s">
        <v>517</v>
      </c>
    </row>
    <row r="115" spans="1:5" x14ac:dyDescent="0.25">
      <c r="A115" t="s">
        <v>518</v>
      </c>
      <c r="B115" s="97">
        <v>46255</v>
      </c>
      <c r="C115" t="s">
        <v>526</v>
      </c>
      <c r="D115" t="s">
        <v>527</v>
      </c>
      <c r="E115" t="s">
        <v>528</v>
      </c>
    </row>
    <row r="116" spans="1:5" x14ac:dyDescent="0.25">
      <c r="A116" t="s">
        <v>521</v>
      </c>
      <c r="B116" s="97">
        <v>46255</v>
      </c>
      <c r="C116" t="s">
        <v>529</v>
      </c>
      <c r="D116" t="s">
        <v>530</v>
      </c>
      <c r="E116" t="s">
        <v>531</v>
      </c>
    </row>
    <row r="117" spans="1:5" x14ac:dyDescent="0.25">
      <c r="A117" t="s">
        <v>523</v>
      </c>
      <c r="B117" s="97">
        <v>46255</v>
      </c>
      <c r="C117" t="s">
        <v>532</v>
      </c>
      <c r="D117" t="s">
        <v>533</v>
      </c>
      <c r="E117" t="s">
        <v>534</v>
      </c>
    </row>
    <row r="118" spans="1:5" x14ac:dyDescent="0.25">
      <c r="A118" t="s">
        <v>525</v>
      </c>
      <c r="B118" s="97">
        <v>46255</v>
      </c>
      <c r="C118" t="s">
        <v>535</v>
      </c>
      <c r="D118" t="s">
        <v>536</v>
      </c>
      <c r="E118" t="s">
        <v>537</v>
      </c>
    </row>
    <row r="119" spans="1:5" x14ac:dyDescent="0.25">
      <c r="A119" t="s">
        <v>359</v>
      </c>
      <c r="B119" s="97">
        <v>46255</v>
      </c>
      <c r="C119" t="s">
        <v>538</v>
      </c>
      <c r="D119" t="s">
        <v>539</v>
      </c>
      <c r="E119" t="s">
        <v>540</v>
      </c>
    </row>
    <row r="120" spans="1:5" x14ac:dyDescent="0.25">
      <c r="A120" t="s">
        <v>354</v>
      </c>
      <c r="B120" s="97">
        <v>46255</v>
      </c>
      <c r="C120" t="s">
        <v>541</v>
      </c>
      <c r="D120" t="s">
        <v>539</v>
      </c>
      <c r="E120" t="s">
        <v>542</v>
      </c>
    </row>
    <row r="121" spans="1:5" x14ac:dyDescent="0.25">
      <c r="A121" t="s">
        <v>353</v>
      </c>
      <c r="B121" s="97">
        <v>46255</v>
      </c>
      <c r="C121" t="s">
        <v>543</v>
      </c>
      <c r="D121" t="s">
        <v>539</v>
      </c>
      <c r="E121" t="s">
        <v>544</v>
      </c>
    </row>
    <row r="122" spans="1:5" x14ac:dyDescent="0.25">
      <c r="A122" t="s">
        <v>306</v>
      </c>
      <c r="B122" s="97">
        <v>46255</v>
      </c>
      <c r="C122" t="s">
        <v>545</v>
      </c>
      <c r="D122" t="s">
        <v>539</v>
      </c>
      <c r="E122" t="s">
        <v>546</v>
      </c>
    </row>
    <row r="123" spans="1:5" x14ac:dyDescent="0.25">
      <c r="A123" t="s">
        <v>234</v>
      </c>
      <c r="B123" s="97">
        <v>46255</v>
      </c>
      <c r="C123" t="s">
        <v>545</v>
      </c>
      <c r="D123" t="s">
        <v>539</v>
      </c>
      <c r="E123" t="s">
        <v>547</v>
      </c>
    </row>
    <row r="124" spans="1:5" x14ac:dyDescent="0.25">
      <c r="A124" t="s">
        <v>238</v>
      </c>
      <c r="B124" s="97">
        <v>46255</v>
      </c>
      <c r="C124" t="s">
        <v>548</v>
      </c>
      <c r="D124" t="s">
        <v>539</v>
      </c>
      <c r="E124" t="s">
        <v>549</v>
      </c>
    </row>
    <row r="125" spans="1:5" x14ac:dyDescent="0.25">
      <c r="A125" t="s">
        <v>364</v>
      </c>
      <c r="B125" s="97">
        <v>46255</v>
      </c>
      <c r="C125" t="s">
        <v>550</v>
      </c>
      <c r="D125" t="s">
        <v>539</v>
      </c>
      <c r="E125" t="s">
        <v>551</v>
      </c>
    </row>
    <row r="126" spans="1:5" x14ac:dyDescent="0.25">
      <c r="A126" t="s">
        <v>363</v>
      </c>
      <c r="B126" s="97">
        <v>46255</v>
      </c>
      <c r="C126" t="s">
        <v>552</v>
      </c>
      <c r="D126" t="s">
        <v>539</v>
      </c>
      <c r="E126" t="s">
        <v>553</v>
      </c>
    </row>
    <row r="127" spans="1:5" x14ac:dyDescent="0.25">
      <c r="A127" t="s">
        <v>447</v>
      </c>
      <c r="B127" s="97">
        <v>46255</v>
      </c>
      <c r="C127" t="s">
        <v>552</v>
      </c>
      <c r="D127" t="s">
        <v>539</v>
      </c>
      <c r="E127" t="s">
        <v>554</v>
      </c>
    </row>
    <row r="128" spans="1:5" x14ac:dyDescent="0.25">
      <c r="A128" t="s">
        <v>347</v>
      </c>
      <c r="B128" s="97">
        <v>46255</v>
      </c>
      <c r="C128" t="s">
        <v>552</v>
      </c>
      <c r="D128" t="s">
        <v>539</v>
      </c>
      <c r="E128" t="s">
        <v>555</v>
      </c>
    </row>
    <row r="129" spans="1:5" x14ac:dyDescent="0.25">
      <c r="A129" t="s">
        <v>523</v>
      </c>
      <c r="B129" s="97">
        <v>46255</v>
      </c>
      <c r="C129" t="s">
        <v>552</v>
      </c>
      <c r="D129" t="s">
        <v>539</v>
      </c>
      <c r="E129" t="s">
        <v>556</v>
      </c>
    </row>
    <row r="130" spans="1:5" x14ac:dyDescent="0.25">
      <c r="A130" t="s">
        <v>324</v>
      </c>
      <c r="B130" s="97">
        <v>46255</v>
      </c>
      <c r="C130" t="s">
        <v>552</v>
      </c>
      <c r="D130" t="s">
        <v>539</v>
      </c>
      <c r="E130" t="s">
        <v>557</v>
      </c>
    </row>
    <row r="131" spans="1:5" x14ac:dyDescent="0.25">
      <c r="A131" t="s">
        <v>525</v>
      </c>
      <c r="B131" s="97">
        <v>46255</v>
      </c>
      <c r="C131" t="s">
        <v>552</v>
      </c>
      <c r="D131" t="s">
        <v>539</v>
      </c>
      <c r="E131" t="s">
        <v>558</v>
      </c>
    </row>
    <row r="132" spans="1:5" x14ac:dyDescent="0.25">
      <c r="A132" t="s">
        <v>236</v>
      </c>
      <c r="B132" s="97">
        <v>46255</v>
      </c>
      <c r="C132" t="s">
        <v>559</v>
      </c>
      <c r="D132" t="s">
        <v>539</v>
      </c>
      <c r="E132" t="s">
        <v>560</v>
      </c>
    </row>
    <row r="133" spans="1:5" x14ac:dyDescent="0.25">
      <c r="A133" t="s">
        <v>243</v>
      </c>
      <c r="B133" s="97">
        <v>46255</v>
      </c>
      <c r="C133" t="s">
        <v>559</v>
      </c>
      <c r="D133" t="s">
        <v>539</v>
      </c>
      <c r="E133" t="s">
        <v>561</v>
      </c>
    </row>
    <row r="134" spans="1:5" x14ac:dyDescent="0.25">
      <c r="A134" t="s">
        <v>254</v>
      </c>
      <c r="B134" s="97">
        <v>46255</v>
      </c>
      <c r="C134" t="s">
        <v>559</v>
      </c>
      <c r="D134" t="s">
        <v>539</v>
      </c>
      <c r="E134" t="s">
        <v>562</v>
      </c>
    </row>
    <row r="135" spans="1:5" x14ac:dyDescent="0.25">
      <c r="A135" t="s">
        <v>358</v>
      </c>
      <c r="B135" s="97">
        <v>46255</v>
      </c>
      <c r="C135" t="s">
        <v>559</v>
      </c>
      <c r="D135" t="s">
        <v>539</v>
      </c>
      <c r="E135" t="s">
        <v>563</v>
      </c>
    </row>
    <row r="136" spans="1:5" x14ac:dyDescent="0.25">
      <c r="A136" t="s">
        <v>319</v>
      </c>
      <c r="B136" s="97">
        <v>46255</v>
      </c>
      <c r="C136" t="s">
        <v>564</v>
      </c>
      <c r="D136" t="s">
        <v>539</v>
      </c>
      <c r="E136" t="s">
        <v>565</v>
      </c>
    </row>
    <row r="137" spans="1:5" x14ac:dyDescent="0.25">
      <c r="A137" t="s">
        <v>367</v>
      </c>
      <c r="B137" s="97">
        <v>46255</v>
      </c>
      <c r="C137" t="s">
        <v>566</v>
      </c>
      <c r="D137" t="s">
        <v>539</v>
      </c>
      <c r="E137" t="s">
        <v>567</v>
      </c>
    </row>
    <row r="138" spans="1:5" x14ac:dyDescent="0.25">
      <c r="A138" t="s">
        <v>431</v>
      </c>
      <c r="B138" s="97">
        <v>46255</v>
      </c>
      <c r="C138" t="s">
        <v>568</v>
      </c>
      <c r="D138" t="s">
        <v>539</v>
      </c>
      <c r="E138" t="s">
        <v>569</v>
      </c>
    </row>
    <row r="139" spans="1:5" x14ac:dyDescent="0.25">
      <c r="A139" t="s">
        <v>431</v>
      </c>
      <c r="B139" s="97">
        <v>46255</v>
      </c>
      <c r="C139" t="s">
        <v>575</v>
      </c>
      <c r="D139" t="s">
        <v>576</v>
      </c>
      <c r="E139" t="s">
        <v>577</v>
      </c>
    </row>
    <row r="140" spans="1:5" x14ac:dyDescent="0.25">
      <c r="A140" t="s">
        <v>296</v>
      </c>
      <c r="B140" s="97">
        <v>46255</v>
      </c>
      <c r="C140" t="s">
        <v>580</v>
      </c>
      <c r="D140" t="s">
        <v>581</v>
      </c>
      <c r="E140" t="s">
        <v>582</v>
      </c>
    </row>
    <row r="141" spans="1:5" x14ac:dyDescent="0.25">
      <c r="A141" t="s">
        <v>504</v>
      </c>
      <c r="B141" s="97">
        <v>46255</v>
      </c>
      <c r="C141" t="s">
        <v>583</v>
      </c>
      <c r="D141" t="s">
        <v>581</v>
      </c>
      <c r="E141" t="s">
        <v>584</v>
      </c>
    </row>
    <row r="142" spans="1:5" x14ac:dyDescent="0.25">
      <c r="A142" t="s">
        <v>146</v>
      </c>
      <c r="B142" s="97">
        <v>46255</v>
      </c>
      <c r="C142" t="s">
        <v>585</v>
      </c>
      <c r="D142" t="s">
        <v>581</v>
      </c>
      <c r="E142" t="s">
        <v>586</v>
      </c>
    </row>
    <row r="143" spans="1:5" x14ac:dyDescent="0.25">
      <c r="A143" t="s">
        <v>366</v>
      </c>
      <c r="B143" s="97">
        <v>46255</v>
      </c>
      <c r="C143" t="s">
        <v>587</v>
      </c>
      <c r="D143" t="s">
        <v>581</v>
      </c>
      <c r="E143" t="s">
        <v>588</v>
      </c>
    </row>
    <row r="144" spans="1:5" x14ac:dyDescent="0.25">
      <c r="A144" t="s">
        <v>319</v>
      </c>
      <c r="B144" s="97">
        <v>46255</v>
      </c>
      <c r="C144" t="s">
        <v>564</v>
      </c>
      <c r="D144" t="s">
        <v>581</v>
      </c>
      <c r="E144" t="s">
        <v>589</v>
      </c>
    </row>
    <row r="145" spans="1:5" x14ac:dyDescent="0.25">
      <c r="A145" t="s">
        <v>431</v>
      </c>
      <c r="B145" s="97">
        <v>46255</v>
      </c>
      <c r="C145" t="s">
        <v>590</v>
      </c>
      <c r="D145" t="s">
        <v>581</v>
      </c>
      <c r="E145" t="s">
        <v>591</v>
      </c>
    </row>
    <row r="146" spans="1:5" x14ac:dyDescent="0.25">
      <c r="A146" t="s">
        <v>232</v>
      </c>
      <c r="B146" s="97">
        <v>46256</v>
      </c>
      <c r="C146" t="s">
        <v>592</v>
      </c>
      <c r="D146" t="s">
        <v>593</v>
      </c>
      <c r="E146" t="s">
        <v>594</v>
      </c>
    </row>
    <row r="147" spans="1:5" x14ac:dyDescent="0.25">
      <c r="A147" t="s">
        <v>229</v>
      </c>
      <c r="B147" s="97">
        <v>46256</v>
      </c>
      <c r="C147" t="s">
        <v>595</v>
      </c>
      <c r="D147" t="s">
        <v>596</v>
      </c>
      <c r="E147" t="s">
        <v>597</v>
      </c>
    </row>
    <row r="148" spans="1:5" x14ac:dyDescent="0.25">
      <c r="A148" t="s">
        <v>236</v>
      </c>
      <c r="B148" s="97">
        <v>46256</v>
      </c>
      <c r="C148" t="s">
        <v>598</v>
      </c>
      <c r="D148" t="s">
        <v>599</v>
      </c>
      <c r="E148" t="s">
        <v>600</v>
      </c>
    </row>
    <row r="149" spans="1:5" x14ac:dyDescent="0.25">
      <c r="A149" t="s">
        <v>244</v>
      </c>
      <c r="B149" s="97">
        <v>46256</v>
      </c>
      <c r="C149" t="s">
        <v>601</v>
      </c>
      <c r="D149" t="s">
        <v>602</v>
      </c>
      <c r="E149" t="s">
        <v>603</v>
      </c>
    </row>
    <row r="150" spans="1:5" x14ac:dyDescent="0.25">
      <c r="A150" t="s">
        <v>232</v>
      </c>
      <c r="B150" s="97">
        <v>46256</v>
      </c>
      <c r="C150" t="s">
        <v>604</v>
      </c>
      <c r="D150" t="s">
        <v>605</v>
      </c>
      <c r="E150" t="s">
        <v>606</v>
      </c>
    </row>
    <row r="151" spans="1:5" x14ac:dyDescent="0.25">
      <c r="A151" t="s">
        <v>229</v>
      </c>
      <c r="B151" s="97">
        <v>46256</v>
      </c>
      <c r="C151" t="s">
        <v>615</v>
      </c>
      <c r="D151" t="s">
        <v>616</v>
      </c>
      <c r="E151" t="s">
        <v>617</v>
      </c>
    </row>
    <row r="152" spans="1:5" x14ac:dyDescent="0.25">
      <c r="A152" t="s">
        <v>232</v>
      </c>
      <c r="B152" s="97">
        <v>46256</v>
      </c>
      <c r="C152" t="s">
        <v>615</v>
      </c>
      <c r="D152" t="s">
        <v>616</v>
      </c>
      <c r="E152" t="s">
        <v>618</v>
      </c>
    </row>
    <row r="153" spans="1:5" x14ac:dyDescent="0.25">
      <c r="A153" t="s">
        <v>146</v>
      </c>
      <c r="B153" s="97">
        <v>46256</v>
      </c>
      <c r="C153" t="s">
        <v>619</v>
      </c>
      <c r="D153" t="s">
        <v>616</v>
      </c>
      <c r="E153" t="s">
        <v>620</v>
      </c>
    </row>
    <row r="154" spans="1:5" x14ac:dyDescent="0.25">
      <c r="A154" t="s">
        <v>233</v>
      </c>
      <c r="B154" s="97">
        <v>46256</v>
      </c>
      <c r="C154" t="s">
        <v>621</v>
      </c>
      <c r="D154" t="s">
        <v>622</v>
      </c>
      <c r="E154" t="s">
        <v>623</v>
      </c>
    </row>
    <row r="155" spans="1:5" x14ac:dyDescent="0.25">
      <c r="A155" t="s">
        <v>239</v>
      </c>
      <c r="B155" s="97">
        <v>46256</v>
      </c>
      <c r="C155" t="s">
        <v>624</v>
      </c>
      <c r="D155" t="s">
        <v>622</v>
      </c>
      <c r="E155" t="s">
        <v>625</v>
      </c>
    </row>
    <row r="156" spans="1:5" x14ac:dyDescent="0.25">
      <c r="A156" t="s">
        <v>243</v>
      </c>
      <c r="B156" s="97">
        <v>46256</v>
      </c>
      <c r="C156" t="s">
        <v>598</v>
      </c>
      <c r="D156" t="s">
        <v>622</v>
      </c>
      <c r="E156" t="s">
        <v>626</v>
      </c>
    </row>
    <row r="157" spans="1:5" x14ac:dyDescent="0.25">
      <c r="A157" t="s">
        <v>247</v>
      </c>
      <c r="B157" s="97">
        <v>46256</v>
      </c>
      <c r="C157" t="s">
        <v>627</v>
      </c>
      <c r="D157" t="s">
        <v>622</v>
      </c>
      <c r="E157" t="s">
        <v>628</v>
      </c>
    </row>
    <row r="158" spans="1:5" x14ac:dyDescent="0.25">
      <c r="A158" t="s">
        <v>232</v>
      </c>
      <c r="B158" s="97">
        <v>46256</v>
      </c>
      <c r="C158" t="s">
        <v>639</v>
      </c>
      <c r="D158" t="s">
        <v>640</v>
      </c>
      <c r="E158" t="s">
        <v>641</v>
      </c>
    </row>
    <row r="159" spans="1:5" x14ac:dyDescent="0.25">
      <c r="A159" t="s">
        <v>236</v>
      </c>
      <c r="B159" s="97">
        <v>46256</v>
      </c>
      <c r="C159" t="s">
        <v>642</v>
      </c>
      <c r="D159" t="s">
        <v>640</v>
      </c>
      <c r="E159" t="s">
        <v>643</v>
      </c>
    </row>
    <row r="160" spans="1:5" x14ac:dyDescent="0.25">
      <c r="A160" t="s">
        <v>243</v>
      </c>
      <c r="B160" s="97">
        <v>46256</v>
      </c>
      <c r="C160" t="s">
        <v>644</v>
      </c>
      <c r="D160" t="s">
        <v>640</v>
      </c>
      <c r="E160" t="s">
        <v>645</v>
      </c>
    </row>
    <row r="161" spans="1:5" x14ac:dyDescent="0.25">
      <c r="A161" t="s">
        <v>146</v>
      </c>
      <c r="B161" s="97">
        <v>46256</v>
      </c>
      <c r="C161" t="s">
        <v>646</v>
      </c>
      <c r="D161" t="s">
        <v>640</v>
      </c>
      <c r="E161" t="s">
        <v>647</v>
      </c>
    </row>
    <row r="162" spans="1:5" x14ac:dyDescent="0.25">
      <c r="A162" t="s">
        <v>239</v>
      </c>
      <c r="B162" s="97">
        <v>46256</v>
      </c>
      <c r="C162" t="s">
        <v>646</v>
      </c>
      <c r="D162" t="s">
        <v>640</v>
      </c>
      <c r="E162" t="s">
        <v>648</v>
      </c>
    </row>
    <row r="163" spans="1:5" x14ac:dyDescent="0.25">
      <c r="A163" t="s">
        <v>229</v>
      </c>
      <c r="B163" s="97">
        <v>46256</v>
      </c>
      <c r="C163" t="s">
        <v>649</v>
      </c>
      <c r="D163" t="s">
        <v>640</v>
      </c>
      <c r="E163" t="s">
        <v>650</v>
      </c>
    </row>
    <row r="164" spans="1:5" x14ac:dyDescent="0.25">
      <c r="A164" t="s">
        <v>431</v>
      </c>
      <c r="B164" s="97">
        <v>46256</v>
      </c>
      <c r="C164" t="s">
        <v>651</v>
      </c>
      <c r="D164" t="s">
        <v>640</v>
      </c>
      <c r="E164" t="s">
        <v>652</v>
      </c>
    </row>
    <row r="165" spans="1:5" x14ac:dyDescent="0.25">
      <c r="A165" t="s">
        <v>431</v>
      </c>
      <c r="B165">
        <v>46259</v>
      </c>
      <c r="C165" t="s">
        <v>661</v>
      </c>
      <c r="D165" t="s">
        <v>662</v>
      </c>
      <c r="E165" t="s">
        <v>663</v>
      </c>
    </row>
    <row r="166" spans="1:5" x14ac:dyDescent="0.25">
      <c r="A166" t="s">
        <v>254</v>
      </c>
      <c r="B166">
        <v>46259</v>
      </c>
      <c r="C166" t="s">
        <v>664</v>
      </c>
      <c r="D166" t="s">
        <v>665</v>
      </c>
      <c r="E166" t="s">
        <v>666</v>
      </c>
    </row>
    <row r="167" spans="1:5" x14ac:dyDescent="0.25">
      <c r="A167" t="s">
        <v>238</v>
      </c>
      <c r="B167">
        <v>46259</v>
      </c>
      <c r="C167" t="s">
        <v>667</v>
      </c>
      <c r="D167" t="s">
        <v>668</v>
      </c>
      <c r="E167" t="s">
        <v>669</v>
      </c>
    </row>
    <row r="168" spans="1:5" x14ac:dyDescent="0.25">
      <c r="A168" t="s">
        <v>319</v>
      </c>
      <c r="B168">
        <v>46259</v>
      </c>
      <c r="C168" t="s">
        <v>667</v>
      </c>
      <c r="D168" t="s">
        <v>670</v>
      </c>
      <c r="E168" t="s">
        <v>671</v>
      </c>
    </row>
    <row r="169" spans="1:5" x14ac:dyDescent="0.25">
      <c r="A169" t="s">
        <v>348</v>
      </c>
      <c r="B169">
        <v>46259</v>
      </c>
      <c r="C169" t="s">
        <v>667</v>
      </c>
      <c r="D169" t="s">
        <v>672</v>
      </c>
      <c r="E169" t="s">
        <v>673</v>
      </c>
    </row>
    <row r="170" spans="1:5" x14ac:dyDescent="0.25">
      <c r="A170" t="s">
        <v>349</v>
      </c>
      <c r="B170">
        <v>46259</v>
      </c>
      <c r="C170" t="s">
        <v>667</v>
      </c>
      <c r="D170" t="s">
        <v>674</v>
      </c>
      <c r="E170" t="s">
        <v>675</v>
      </c>
    </row>
    <row r="171" spans="1:5" x14ac:dyDescent="0.25">
      <c r="A171" t="s">
        <v>351</v>
      </c>
      <c r="B171">
        <v>46259</v>
      </c>
      <c r="C171" t="s">
        <v>664</v>
      </c>
      <c r="D171" t="s">
        <v>676</v>
      </c>
      <c r="E171" t="s">
        <v>677</v>
      </c>
    </row>
    <row r="172" spans="1:5" x14ac:dyDescent="0.25">
      <c r="A172" t="s">
        <v>353</v>
      </c>
      <c r="B172">
        <v>46259</v>
      </c>
      <c r="C172" t="s">
        <v>667</v>
      </c>
      <c r="D172" t="s">
        <v>668</v>
      </c>
      <c r="E172" t="s">
        <v>678</v>
      </c>
    </row>
    <row r="173" spans="1:5" x14ac:dyDescent="0.25">
      <c r="A173" t="s">
        <v>679</v>
      </c>
      <c r="B173">
        <v>46259</v>
      </c>
      <c r="C173" t="s">
        <v>680</v>
      </c>
      <c r="D173" t="s">
        <v>681</v>
      </c>
      <c r="E173" t="s">
        <v>682</v>
      </c>
    </row>
    <row r="174" spans="1:5" x14ac:dyDescent="0.25">
      <c r="A174" t="s">
        <v>683</v>
      </c>
      <c r="B174">
        <v>46259</v>
      </c>
      <c r="C174" t="s">
        <v>684</v>
      </c>
      <c r="D174" t="s">
        <v>685</v>
      </c>
      <c r="E174" t="s">
        <v>686</v>
      </c>
    </row>
    <row r="175" spans="1:5" x14ac:dyDescent="0.25">
      <c r="A175" t="s">
        <v>358</v>
      </c>
      <c r="B175">
        <v>46259</v>
      </c>
      <c r="C175" t="s">
        <v>687</v>
      </c>
      <c r="D175" t="s">
        <v>688</v>
      </c>
      <c r="E175" t="s">
        <v>689</v>
      </c>
    </row>
    <row r="176" spans="1:5" x14ac:dyDescent="0.25">
      <c r="A176" t="s">
        <v>361</v>
      </c>
      <c r="B176">
        <v>46259</v>
      </c>
      <c r="C176" t="s">
        <v>667</v>
      </c>
      <c r="D176" t="s">
        <v>685</v>
      </c>
      <c r="E176" t="s">
        <v>690</v>
      </c>
    </row>
    <row r="177" spans="1:5" x14ac:dyDescent="0.25">
      <c r="A177" t="s">
        <v>363</v>
      </c>
      <c r="B177">
        <v>46259</v>
      </c>
      <c r="C177" t="s">
        <v>691</v>
      </c>
      <c r="D177" t="s">
        <v>692</v>
      </c>
      <c r="E177" t="s">
        <v>693</v>
      </c>
    </row>
    <row r="178" spans="1:5" x14ac:dyDescent="0.25">
      <c r="A178" t="s">
        <v>364</v>
      </c>
      <c r="B178">
        <v>46259</v>
      </c>
      <c r="C178" t="s">
        <v>694</v>
      </c>
      <c r="D178" t="s">
        <v>695</v>
      </c>
      <c r="E178" t="s">
        <v>696</v>
      </c>
    </row>
    <row r="179" spans="1:5" x14ac:dyDescent="0.25">
      <c r="A179" t="s">
        <v>365</v>
      </c>
      <c r="B179">
        <v>46259</v>
      </c>
      <c r="C179" t="s">
        <v>667</v>
      </c>
      <c r="D179" t="s">
        <v>697</v>
      </c>
      <c r="E179" t="s">
        <v>698</v>
      </c>
    </row>
    <row r="180" spans="1:5" x14ac:dyDescent="0.25">
      <c r="A180" t="s">
        <v>405</v>
      </c>
      <c r="B180">
        <v>46259</v>
      </c>
      <c r="C180" t="s">
        <v>667</v>
      </c>
      <c r="D180" t="s">
        <v>699</v>
      </c>
      <c r="E180" t="s">
        <v>700</v>
      </c>
    </row>
    <row r="181" spans="1:5" x14ac:dyDescent="0.25">
      <c r="A181" t="s">
        <v>366</v>
      </c>
      <c r="B181">
        <v>46259</v>
      </c>
      <c r="C181" t="s">
        <v>694</v>
      </c>
      <c r="D181" t="s">
        <v>697</v>
      </c>
      <c r="E181" t="s">
        <v>701</v>
      </c>
    </row>
    <row r="182" spans="1:5" x14ac:dyDescent="0.25">
      <c r="A182" t="s">
        <v>702</v>
      </c>
      <c r="B182">
        <v>46259</v>
      </c>
      <c r="C182" t="s">
        <v>703</v>
      </c>
      <c r="D182" t="s">
        <v>704</v>
      </c>
      <c r="E182" t="s">
        <v>705</v>
      </c>
    </row>
    <row r="183" spans="1:5" x14ac:dyDescent="0.25">
      <c r="A183" t="s">
        <v>148</v>
      </c>
      <c r="B183">
        <v>46259</v>
      </c>
      <c r="C183" t="s">
        <v>703</v>
      </c>
      <c r="D183" t="s">
        <v>706</v>
      </c>
      <c r="E183" t="s">
        <v>707</v>
      </c>
    </row>
    <row r="184" spans="1:5" x14ac:dyDescent="0.25">
      <c r="A184" t="s">
        <v>431</v>
      </c>
      <c r="B184">
        <v>46259</v>
      </c>
      <c r="C184" t="s">
        <v>708</v>
      </c>
      <c r="D184" t="s">
        <v>709</v>
      </c>
      <c r="E184" t="s">
        <v>710</v>
      </c>
    </row>
    <row r="185" spans="1:5" x14ac:dyDescent="0.25">
      <c r="A185" t="s">
        <v>431</v>
      </c>
      <c r="B185">
        <v>46259</v>
      </c>
      <c r="C185" t="s">
        <v>711</v>
      </c>
      <c r="D185" t="s">
        <v>712</v>
      </c>
      <c r="E185" t="s">
        <v>713</v>
      </c>
    </row>
    <row r="186" spans="1:5" x14ac:dyDescent="0.25">
      <c r="A186" t="s">
        <v>431</v>
      </c>
      <c r="B186">
        <v>46259</v>
      </c>
      <c r="C186" t="s">
        <v>714</v>
      </c>
      <c r="D186" t="s">
        <v>715</v>
      </c>
      <c r="E186" t="s">
        <v>716</v>
      </c>
    </row>
    <row r="187" spans="1:5" x14ac:dyDescent="0.25">
      <c r="A187" t="s">
        <v>239</v>
      </c>
      <c r="B187">
        <v>46259</v>
      </c>
      <c r="C187" t="s">
        <v>717</v>
      </c>
      <c r="D187" t="s">
        <v>718</v>
      </c>
      <c r="E187" t="s">
        <v>719</v>
      </c>
    </row>
    <row r="188" spans="1:5" x14ac:dyDescent="0.25">
      <c r="A188" t="s">
        <v>233</v>
      </c>
      <c r="B188">
        <v>46259</v>
      </c>
      <c r="C188" t="s">
        <v>720</v>
      </c>
      <c r="D188" t="s">
        <v>718</v>
      </c>
      <c r="E188" t="s">
        <v>721</v>
      </c>
    </row>
    <row r="189" spans="1:5" x14ac:dyDescent="0.25">
      <c r="A189" t="s">
        <v>244</v>
      </c>
      <c r="B189">
        <v>46259</v>
      </c>
      <c r="C189" t="s">
        <v>720</v>
      </c>
      <c r="D189" t="s">
        <v>718</v>
      </c>
      <c r="E189" t="s">
        <v>722</v>
      </c>
    </row>
    <row r="190" spans="1:5" x14ac:dyDescent="0.25">
      <c r="A190" t="s">
        <v>234</v>
      </c>
      <c r="B190">
        <v>46259</v>
      </c>
      <c r="C190" t="s">
        <v>720</v>
      </c>
      <c r="D190" t="s">
        <v>718</v>
      </c>
      <c r="E190" t="s">
        <v>723</v>
      </c>
    </row>
    <row r="191" spans="1:5" x14ac:dyDescent="0.25">
      <c r="A191" t="s">
        <v>253</v>
      </c>
      <c r="B191">
        <v>46259</v>
      </c>
      <c r="C191" t="s">
        <v>720</v>
      </c>
      <c r="D191" t="s">
        <v>718</v>
      </c>
      <c r="E191" t="s">
        <v>724</v>
      </c>
    </row>
    <row r="192" spans="1:5" x14ac:dyDescent="0.25">
      <c r="A192" t="s">
        <v>251</v>
      </c>
      <c r="B192">
        <v>46259</v>
      </c>
      <c r="C192" t="s">
        <v>720</v>
      </c>
      <c r="D192" t="s">
        <v>718</v>
      </c>
      <c r="E192" t="s">
        <v>725</v>
      </c>
    </row>
    <row r="193" spans="1:5" x14ac:dyDescent="0.25">
      <c r="A193" t="s">
        <v>248</v>
      </c>
      <c r="B193">
        <v>46259</v>
      </c>
      <c r="C193" t="s">
        <v>720</v>
      </c>
      <c r="D193" t="s">
        <v>718</v>
      </c>
      <c r="E193" t="s">
        <v>726</v>
      </c>
    </row>
    <row r="194" spans="1:5" x14ac:dyDescent="0.25">
      <c r="A194" t="s">
        <v>347</v>
      </c>
      <c r="B194">
        <v>46259</v>
      </c>
      <c r="C194" t="s">
        <v>720</v>
      </c>
      <c r="D194" t="s">
        <v>718</v>
      </c>
      <c r="E194" t="s">
        <v>727</v>
      </c>
    </row>
    <row r="195" spans="1:5" x14ac:dyDescent="0.25">
      <c r="A195" t="s">
        <v>702</v>
      </c>
      <c r="B195">
        <v>46259</v>
      </c>
      <c r="C195" t="s">
        <v>720</v>
      </c>
      <c r="D195" t="s">
        <v>718</v>
      </c>
      <c r="E195" t="s">
        <v>728</v>
      </c>
    </row>
    <row r="196" spans="1:5" x14ac:dyDescent="0.25">
      <c r="A196" t="s">
        <v>350</v>
      </c>
      <c r="B196">
        <v>46259</v>
      </c>
      <c r="C196" t="s">
        <v>720</v>
      </c>
      <c r="D196" t="s">
        <v>718</v>
      </c>
      <c r="E196" t="s">
        <v>729</v>
      </c>
    </row>
    <row r="197" spans="1:5" x14ac:dyDescent="0.25">
      <c r="A197" t="s">
        <v>306</v>
      </c>
      <c r="B197">
        <v>46259</v>
      </c>
      <c r="C197" t="s">
        <v>720</v>
      </c>
      <c r="D197" t="s">
        <v>718</v>
      </c>
      <c r="E197" t="s">
        <v>730</v>
      </c>
    </row>
    <row r="198" spans="1:5" x14ac:dyDescent="0.25">
      <c r="A198" t="s">
        <v>354</v>
      </c>
      <c r="B198">
        <v>46259</v>
      </c>
      <c r="C198" t="s">
        <v>720</v>
      </c>
      <c r="D198" t="s">
        <v>718</v>
      </c>
      <c r="E198" t="s">
        <v>731</v>
      </c>
    </row>
    <row r="199" spans="1:5" x14ac:dyDescent="0.25">
      <c r="A199" t="s">
        <v>372</v>
      </c>
      <c r="B199">
        <v>46259</v>
      </c>
      <c r="C199" t="s">
        <v>720</v>
      </c>
      <c r="D199" t="s">
        <v>718</v>
      </c>
      <c r="E199" t="s">
        <v>732</v>
      </c>
    </row>
    <row r="200" spans="1:5" x14ac:dyDescent="0.25">
      <c r="A200" t="s">
        <v>356</v>
      </c>
      <c r="B200">
        <v>46259</v>
      </c>
      <c r="C200" t="s">
        <v>720</v>
      </c>
      <c r="D200" t="s">
        <v>718</v>
      </c>
      <c r="E200" t="s">
        <v>733</v>
      </c>
    </row>
    <row r="201" spans="1:5" x14ac:dyDescent="0.25">
      <c r="A201" t="s">
        <v>227</v>
      </c>
      <c r="B201">
        <v>46259</v>
      </c>
      <c r="C201" t="s">
        <v>720</v>
      </c>
      <c r="D201" t="s">
        <v>718</v>
      </c>
      <c r="E201" t="s">
        <v>734</v>
      </c>
    </row>
    <row r="202" spans="1:5" x14ac:dyDescent="0.25">
      <c r="A202" t="s">
        <v>240</v>
      </c>
      <c r="B202">
        <v>46259</v>
      </c>
      <c r="C202" t="s">
        <v>720</v>
      </c>
      <c r="D202" t="s">
        <v>718</v>
      </c>
      <c r="E202" t="s">
        <v>735</v>
      </c>
    </row>
    <row r="203" spans="1:5" x14ac:dyDescent="0.25">
      <c r="A203" t="s">
        <v>447</v>
      </c>
      <c r="B203">
        <v>46259</v>
      </c>
      <c r="C203" t="s">
        <v>720</v>
      </c>
      <c r="D203" t="s">
        <v>718</v>
      </c>
      <c r="E203" t="s">
        <v>736</v>
      </c>
    </row>
    <row r="204" spans="1:5" x14ac:dyDescent="0.25">
      <c r="A204" t="s">
        <v>231</v>
      </c>
      <c r="B204">
        <v>46259</v>
      </c>
      <c r="C204" t="s">
        <v>720</v>
      </c>
      <c r="D204" t="s">
        <v>718</v>
      </c>
      <c r="E204" t="s">
        <v>737</v>
      </c>
    </row>
    <row r="205" spans="1:5" x14ac:dyDescent="0.25">
      <c r="A205" t="s">
        <v>285</v>
      </c>
      <c r="B205">
        <v>46259</v>
      </c>
      <c r="C205" t="s">
        <v>720</v>
      </c>
      <c r="D205" t="s">
        <v>718</v>
      </c>
      <c r="E205" t="s">
        <v>738</v>
      </c>
    </row>
    <row r="206" spans="1:5" x14ac:dyDescent="0.25">
      <c r="A206" t="s">
        <v>376</v>
      </c>
      <c r="B206">
        <v>46259</v>
      </c>
      <c r="C206" t="s">
        <v>720</v>
      </c>
      <c r="D206" t="s">
        <v>718</v>
      </c>
      <c r="E206" t="s">
        <v>739</v>
      </c>
    </row>
    <row r="207" spans="1:5" x14ac:dyDescent="0.25">
      <c r="A207" t="s">
        <v>518</v>
      </c>
      <c r="B207">
        <v>46259</v>
      </c>
      <c r="C207" t="s">
        <v>740</v>
      </c>
      <c r="D207" t="s">
        <v>718</v>
      </c>
      <c r="E207" t="s">
        <v>741</v>
      </c>
    </row>
    <row r="208" spans="1:5" x14ac:dyDescent="0.25">
      <c r="A208" t="s">
        <v>521</v>
      </c>
      <c r="B208">
        <v>46259</v>
      </c>
      <c r="C208" t="s">
        <v>740</v>
      </c>
      <c r="D208" t="s">
        <v>718</v>
      </c>
      <c r="E208" t="s">
        <v>742</v>
      </c>
    </row>
    <row r="209" spans="1:5" x14ac:dyDescent="0.25">
      <c r="A209" t="s">
        <v>523</v>
      </c>
      <c r="B209">
        <v>46259</v>
      </c>
      <c r="C209" t="s">
        <v>720</v>
      </c>
      <c r="D209" t="s">
        <v>718</v>
      </c>
      <c r="E209" t="s">
        <v>743</v>
      </c>
    </row>
    <row r="210" spans="1:5" x14ac:dyDescent="0.25">
      <c r="A210" t="s">
        <v>431</v>
      </c>
      <c r="B210">
        <v>46259</v>
      </c>
      <c r="C210" t="s">
        <v>744</v>
      </c>
      <c r="D210" t="s">
        <v>745</v>
      </c>
      <c r="E210" t="s">
        <v>746</v>
      </c>
    </row>
    <row r="211" spans="1:5" x14ac:dyDescent="0.25">
      <c r="A211" t="s">
        <v>431</v>
      </c>
      <c r="B211">
        <v>46259</v>
      </c>
      <c r="C211" t="s">
        <v>747</v>
      </c>
      <c r="D211" t="s">
        <v>748</v>
      </c>
      <c r="E211" t="s">
        <v>749</v>
      </c>
    </row>
    <row r="212" spans="1:5" x14ac:dyDescent="0.25">
      <c r="A212" t="s">
        <v>504</v>
      </c>
      <c r="B212">
        <v>46259</v>
      </c>
      <c r="C212" t="s">
        <v>750</v>
      </c>
      <c r="D212" t="s">
        <v>748</v>
      </c>
      <c r="E212" t="s">
        <v>751</v>
      </c>
    </row>
    <row r="213" spans="1:5" x14ac:dyDescent="0.25">
      <c r="A213" t="s">
        <v>353</v>
      </c>
      <c r="B213">
        <v>46259</v>
      </c>
      <c r="C213" t="s">
        <v>753</v>
      </c>
      <c r="D213" t="s">
        <v>754</v>
      </c>
      <c r="E213" t="s">
        <v>755</v>
      </c>
    </row>
    <row r="214" spans="1:5" x14ac:dyDescent="0.25">
      <c r="A214" t="s">
        <v>306</v>
      </c>
      <c r="B214">
        <v>46259</v>
      </c>
      <c r="C214" t="s">
        <v>642</v>
      </c>
      <c r="D214" t="s">
        <v>754</v>
      </c>
      <c r="E214" t="s">
        <v>756</v>
      </c>
    </row>
    <row r="215" spans="1:5" x14ac:dyDescent="0.25">
      <c r="A215" t="s">
        <v>314</v>
      </c>
      <c r="B215">
        <v>46259</v>
      </c>
      <c r="C215" t="s">
        <v>757</v>
      </c>
      <c r="D215" t="s">
        <v>754</v>
      </c>
      <c r="E215" t="s">
        <v>758</v>
      </c>
    </row>
    <row r="216" spans="1:5" x14ac:dyDescent="0.25">
      <c r="A216" t="s">
        <v>250</v>
      </c>
      <c r="B216">
        <v>46259</v>
      </c>
      <c r="C216" t="s">
        <v>759</v>
      </c>
      <c r="D216" t="s">
        <v>754</v>
      </c>
      <c r="E216" t="s">
        <v>760</v>
      </c>
    </row>
    <row r="217" spans="1:5" x14ac:dyDescent="0.25">
      <c r="A217" t="s">
        <v>236</v>
      </c>
      <c r="B217">
        <v>46259</v>
      </c>
      <c r="C217" t="s">
        <v>761</v>
      </c>
      <c r="D217" t="s">
        <v>754</v>
      </c>
      <c r="E217" t="s">
        <v>762</v>
      </c>
    </row>
    <row r="218" spans="1:5" x14ac:dyDescent="0.25">
      <c r="A218" t="s">
        <v>235</v>
      </c>
      <c r="B218">
        <v>46259</v>
      </c>
      <c r="C218" t="s">
        <v>763</v>
      </c>
      <c r="D218" t="s">
        <v>754</v>
      </c>
      <c r="E218" t="s">
        <v>764</v>
      </c>
    </row>
    <row r="219" spans="1:5" x14ac:dyDescent="0.25">
      <c r="A219" t="s">
        <v>383</v>
      </c>
      <c r="B219">
        <v>46259</v>
      </c>
      <c r="C219" t="s">
        <v>765</v>
      </c>
      <c r="D219" t="s">
        <v>754</v>
      </c>
      <c r="E219" t="s">
        <v>766</v>
      </c>
    </row>
    <row r="220" spans="1:5" x14ac:dyDescent="0.25">
      <c r="A220" t="s">
        <v>367</v>
      </c>
      <c r="B220">
        <v>46259</v>
      </c>
      <c r="C220" t="s">
        <v>767</v>
      </c>
      <c r="D220" t="s">
        <v>754</v>
      </c>
      <c r="E220" t="s">
        <v>768</v>
      </c>
    </row>
    <row r="221" spans="1:5" x14ac:dyDescent="0.25">
      <c r="A221" t="s">
        <v>239</v>
      </c>
      <c r="B221">
        <v>46259</v>
      </c>
      <c r="C221" t="s">
        <v>769</v>
      </c>
      <c r="D221" t="s">
        <v>770</v>
      </c>
      <c r="E221" t="s">
        <v>771</v>
      </c>
    </row>
    <row r="222" spans="1:5" x14ac:dyDescent="0.25">
      <c r="A222" t="s">
        <v>431</v>
      </c>
      <c r="B222">
        <v>46259</v>
      </c>
      <c r="C222" t="s">
        <v>744</v>
      </c>
      <c r="D222" t="s">
        <v>754</v>
      </c>
      <c r="E222" t="s">
        <v>772</v>
      </c>
    </row>
    <row r="223" spans="1:5" x14ac:dyDescent="0.25">
      <c r="A223" t="s">
        <v>236</v>
      </c>
      <c r="B223">
        <v>46259</v>
      </c>
      <c r="C223" t="s">
        <v>775</v>
      </c>
      <c r="D223" t="s">
        <v>776</v>
      </c>
      <c r="E223" t="s">
        <v>777</v>
      </c>
    </row>
    <row r="224" spans="1:5" x14ac:dyDescent="0.25">
      <c r="A224" t="s">
        <v>383</v>
      </c>
      <c r="B224">
        <v>46259</v>
      </c>
      <c r="C224" t="s">
        <v>649</v>
      </c>
      <c r="D224" t="s">
        <v>778</v>
      </c>
      <c r="E224" t="s">
        <v>779</v>
      </c>
    </row>
    <row r="225" spans="1:5" x14ac:dyDescent="0.25">
      <c r="A225" t="s">
        <v>250</v>
      </c>
      <c r="B225">
        <v>46259</v>
      </c>
      <c r="C225" t="s">
        <v>649</v>
      </c>
      <c r="D225" t="s">
        <v>780</v>
      </c>
      <c r="E225" t="s">
        <v>781</v>
      </c>
    </row>
    <row r="226" spans="1:5" x14ac:dyDescent="0.25">
      <c r="A226" t="s">
        <v>367</v>
      </c>
      <c r="B226">
        <v>46259</v>
      </c>
      <c r="C226" t="s">
        <v>782</v>
      </c>
      <c r="D226" t="s">
        <v>783</v>
      </c>
      <c r="E226" t="s">
        <v>784</v>
      </c>
    </row>
    <row r="227" spans="1:5" x14ac:dyDescent="0.25">
      <c r="A227" t="s">
        <v>431</v>
      </c>
      <c r="B227">
        <v>46259</v>
      </c>
      <c r="C227" t="s">
        <v>785</v>
      </c>
      <c r="D227" t="s">
        <v>786</v>
      </c>
      <c r="E227" t="s">
        <v>787</v>
      </c>
    </row>
    <row r="228" spans="1:5" x14ac:dyDescent="0.25">
      <c r="A228" t="s">
        <v>431</v>
      </c>
      <c r="B228">
        <v>46259</v>
      </c>
      <c r="C228" t="s">
        <v>788</v>
      </c>
      <c r="D228" t="s">
        <v>789</v>
      </c>
      <c r="E228" t="s">
        <v>790</v>
      </c>
    </row>
    <row r="229" spans="1:5" x14ac:dyDescent="0.25">
      <c r="A229" t="s">
        <v>314</v>
      </c>
      <c r="B229">
        <v>46259</v>
      </c>
      <c r="C229" t="s">
        <v>791</v>
      </c>
      <c r="D229" t="s">
        <v>792</v>
      </c>
      <c r="E229" t="s">
        <v>793</v>
      </c>
    </row>
    <row r="230" spans="1:5" x14ac:dyDescent="0.25">
      <c r="A230" t="s">
        <v>233</v>
      </c>
      <c r="B230">
        <v>46259</v>
      </c>
      <c r="C230" t="s">
        <v>642</v>
      </c>
      <c r="D230" t="s">
        <v>794</v>
      </c>
      <c r="E230" t="s">
        <v>795</v>
      </c>
    </row>
    <row r="231" spans="1:5" x14ac:dyDescent="0.25">
      <c r="A231" t="s">
        <v>251</v>
      </c>
      <c r="B231">
        <v>46259</v>
      </c>
      <c r="C231" t="s">
        <v>796</v>
      </c>
      <c r="D231" t="s">
        <v>794</v>
      </c>
      <c r="E231" t="s">
        <v>797</v>
      </c>
    </row>
    <row r="232" spans="1:5" x14ac:dyDescent="0.25">
      <c r="A232" t="s">
        <v>431</v>
      </c>
      <c r="B232">
        <v>46259</v>
      </c>
      <c r="C232" t="s">
        <v>798</v>
      </c>
      <c r="D232" t="s">
        <v>799</v>
      </c>
      <c r="E232" t="s">
        <v>800</v>
      </c>
    </row>
    <row r="233" spans="1:5" x14ac:dyDescent="0.25">
      <c r="A233" t="s">
        <v>254</v>
      </c>
      <c r="B233">
        <v>46259</v>
      </c>
      <c r="C233" t="s">
        <v>801</v>
      </c>
      <c r="D233" t="s">
        <v>794</v>
      </c>
      <c r="E233" t="s">
        <v>802</v>
      </c>
    </row>
    <row r="234" spans="1:5" x14ac:dyDescent="0.25">
      <c r="A234" t="s">
        <v>238</v>
      </c>
      <c r="B234">
        <v>46259</v>
      </c>
      <c r="C234" t="s">
        <v>803</v>
      </c>
      <c r="D234" t="s">
        <v>794</v>
      </c>
      <c r="E234" t="s">
        <v>804</v>
      </c>
    </row>
    <row r="235" spans="1:5" x14ac:dyDescent="0.25">
      <c r="A235" t="s">
        <v>354</v>
      </c>
      <c r="B235">
        <v>46259</v>
      </c>
      <c r="C235" t="s">
        <v>805</v>
      </c>
      <c r="D235" t="s">
        <v>794</v>
      </c>
      <c r="E235" t="s">
        <v>806</v>
      </c>
    </row>
    <row r="236" spans="1:5" x14ac:dyDescent="0.25">
      <c r="A236" t="s">
        <v>350</v>
      </c>
      <c r="B236">
        <v>46259</v>
      </c>
      <c r="C236" t="s">
        <v>807</v>
      </c>
      <c r="D236" t="s">
        <v>794</v>
      </c>
      <c r="E236" t="s">
        <v>808</v>
      </c>
    </row>
    <row r="237" spans="1:5" x14ac:dyDescent="0.25">
      <c r="A237" t="s">
        <v>447</v>
      </c>
      <c r="B237">
        <v>46259</v>
      </c>
      <c r="C237" t="s">
        <v>642</v>
      </c>
      <c r="D237" t="s">
        <v>794</v>
      </c>
      <c r="E237" t="s">
        <v>809</v>
      </c>
    </row>
    <row r="238" spans="1:5" x14ac:dyDescent="0.25">
      <c r="A238" t="s">
        <v>358</v>
      </c>
      <c r="B238">
        <v>46259</v>
      </c>
      <c r="C238" t="s">
        <v>810</v>
      </c>
      <c r="D238" t="s">
        <v>794</v>
      </c>
      <c r="E238" t="s">
        <v>811</v>
      </c>
    </row>
    <row r="239" spans="1:5" x14ac:dyDescent="0.25">
      <c r="A239" t="s">
        <v>813</v>
      </c>
      <c r="B239">
        <v>46260</v>
      </c>
      <c r="C239" t="s">
        <v>816</v>
      </c>
      <c r="D239" t="s">
        <v>817</v>
      </c>
      <c r="E239" t="s">
        <v>818</v>
      </c>
    </row>
    <row r="240" spans="1:5" x14ac:dyDescent="0.25">
      <c r="A240" t="s">
        <v>814</v>
      </c>
      <c r="B240">
        <v>46260</v>
      </c>
      <c r="C240" t="s">
        <v>819</v>
      </c>
      <c r="D240" t="s">
        <v>817</v>
      </c>
      <c r="E240" t="s">
        <v>820</v>
      </c>
    </row>
    <row r="241" spans="1:5" x14ac:dyDescent="0.25">
      <c r="A241" t="s">
        <v>242</v>
      </c>
      <c r="B241">
        <v>46260</v>
      </c>
      <c r="C241" t="s">
        <v>720</v>
      </c>
      <c r="D241" t="s">
        <v>821</v>
      </c>
      <c r="E241" t="s">
        <v>822</v>
      </c>
    </row>
    <row r="242" spans="1:5" x14ac:dyDescent="0.25">
      <c r="A242" t="s">
        <v>431</v>
      </c>
      <c r="B242">
        <v>46260</v>
      </c>
      <c r="C242" t="s">
        <v>798</v>
      </c>
      <c r="D242" t="s">
        <v>823</v>
      </c>
      <c r="E242" t="s">
        <v>824</v>
      </c>
    </row>
    <row r="243" spans="1:5" x14ac:dyDescent="0.25">
      <c r="A243" t="s">
        <v>242</v>
      </c>
      <c r="B243">
        <v>46260</v>
      </c>
      <c r="C243" t="s">
        <v>753</v>
      </c>
      <c r="D243" t="s">
        <v>821</v>
      </c>
      <c r="E243" t="s">
        <v>825</v>
      </c>
    </row>
    <row r="244" spans="1:5" x14ac:dyDescent="0.25">
      <c r="A244" t="s">
        <v>247</v>
      </c>
      <c r="B244">
        <v>46260</v>
      </c>
      <c r="C244" t="s">
        <v>642</v>
      </c>
      <c r="D244" t="s">
        <v>821</v>
      </c>
      <c r="E244" t="s">
        <v>826</v>
      </c>
    </row>
    <row r="245" spans="1:5" x14ac:dyDescent="0.25">
      <c r="A245" t="s">
        <v>253</v>
      </c>
      <c r="B245">
        <v>46260</v>
      </c>
      <c r="C245" t="s">
        <v>827</v>
      </c>
      <c r="D245" t="s">
        <v>821</v>
      </c>
      <c r="E245" t="s">
        <v>828</v>
      </c>
    </row>
    <row r="246" spans="1:5" x14ac:dyDescent="0.25">
      <c r="A246" t="s">
        <v>241</v>
      </c>
      <c r="B246">
        <v>46260</v>
      </c>
      <c r="C246" t="s">
        <v>829</v>
      </c>
      <c r="D246" t="s">
        <v>821</v>
      </c>
      <c r="E246" t="s">
        <v>830</v>
      </c>
    </row>
    <row r="247" spans="1:5" x14ac:dyDescent="0.25">
      <c r="A247" t="s">
        <v>347</v>
      </c>
      <c r="B247">
        <v>46260</v>
      </c>
      <c r="C247" t="s">
        <v>803</v>
      </c>
      <c r="D247" t="s">
        <v>821</v>
      </c>
      <c r="E247" t="s">
        <v>831</v>
      </c>
    </row>
    <row r="248" spans="1:5" x14ac:dyDescent="0.25">
      <c r="A248" t="s">
        <v>348</v>
      </c>
      <c r="B248">
        <v>46260</v>
      </c>
      <c r="C248" t="s">
        <v>832</v>
      </c>
      <c r="D248" t="s">
        <v>821</v>
      </c>
      <c r="E248" t="s">
        <v>833</v>
      </c>
    </row>
    <row r="249" spans="1:5" x14ac:dyDescent="0.25">
      <c r="A249" t="s">
        <v>351</v>
      </c>
      <c r="B249">
        <v>46260</v>
      </c>
      <c r="C249" t="s">
        <v>834</v>
      </c>
      <c r="D249" t="s">
        <v>821</v>
      </c>
      <c r="E249" t="s">
        <v>835</v>
      </c>
    </row>
    <row r="250" spans="1:5" x14ac:dyDescent="0.25">
      <c r="A250" t="s">
        <v>679</v>
      </c>
      <c r="B250">
        <v>46260</v>
      </c>
      <c r="C250" t="s">
        <v>836</v>
      </c>
      <c r="D250" t="s">
        <v>821</v>
      </c>
      <c r="E250" t="s">
        <v>837</v>
      </c>
    </row>
    <row r="251" spans="1:5" x14ac:dyDescent="0.25">
      <c r="A251" t="s">
        <v>247</v>
      </c>
      <c r="B251">
        <v>46260</v>
      </c>
      <c r="C251" t="s">
        <v>838</v>
      </c>
      <c r="D251" t="s">
        <v>839</v>
      </c>
      <c r="E251" t="s">
        <v>840</v>
      </c>
    </row>
    <row r="252" spans="1:5" x14ac:dyDescent="0.25">
      <c r="A252" t="s">
        <v>241</v>
      </c>
      <c r="B252">
        <v>46260</v>
      </c>
      <c r="C252" t="s">
        <v>838</v>
      </c>
      <c r="D252" t="s">
        <v>839</v>
      </c>
      <c r="E252" t="s">
        <v>841</v>
      </c>
    </row>
    <row r="253" spans="1:5" x14ac:dyDescent="0.25">
      <c r="A253" t="s">
        <v>350</v>
      </c>
      <c r="B253">
        <v>46260</v>
      </c>
      <c r="C253" t="s">
        <v>829</v>
      </c>
      <c r="D253" t="s">
        <v>842</v>
      </c>
      <c r="E253" t="s">
        <v>843</v>
      </c>
    </row>
    <row r="254" spans="1:5" x14ac:dyDescent="0.25">
      <c r="A254" t="s">
        <v>351</v>
      </c>
      <c r="B254">
        <v>46260</v>
      </c>
      <c r="C254" t="s">
        <v>604</v>
      </c>
      <c r="D254" t="s">
        <v>844</v>
      </c>
      <c r="E254" t="s">
        <v>845</v>
      </c>
    </row>
    <row r="255" spans="1:5" x14ac:dyDescent="0.25">
      <c r="A255" t="s">
        <v>239</v>
      </c>
      <c r="B255">
        <v>46260</v>
      </c>
      <c r="C255" t="s">
        <v>604</v>
      </c>
      <c r="D255" t="s">
        <v>844</v>
      </c>
      <c r="E255" t="s">
        <v>846</v>
      </c>
    </row>
    <row r="256" spans="1:5" x14ac:dyDescent="0.25">
      <c r="A256" t="s">
        <v>238</v>
      </c>
      <c r="B256">
        <v>46260</v>
      </c>
      <c r="C256" t="s">
        <v>847</v>
      </c>
      <c r="D256" t="s">
        <v>848</v>
      </c>
      <c r="E256" t="s">
        <v>849</v>
      </c>
    </row>
    <row r="257" spans="1:5" x14ac:dyDescent="0.25">
      <c r="A257" t="s">
        <v>363</v>
      </c>
      <c r="B257">
        <v>46260</v>
      </c>
      <c r="C257" t="s">
        <v>644</v>
      </c>
      <c r="D257" t="s">
        <v>821</v>
      </c>
      <c r="E257" t="s">
        <v>850</v>
      </c>
    </row>
    <row r="258" spans="1:5" x14ac:dyDescent="0.25">
      <c r="A258" t="s">
        <v>361</v>
      </c>
      <c r="B258">
        <v>46260</v>
      </c>
      <c r="C258" t="s">
        <v>851</v>
      </c>
      <c r="D258" t="s">
        <v>821</v>
      </c>
      <c r="E258" t="s">
        <v>852</v>
      </c>
    </row>
    <row r="259" spans="1:5" x14ac:dyDescent="0.25">
      <c r="A259" t="s">
        <v>231</v>
      </c>
      <c r="B259">
        <v>46260</v>
      </c>
      <c r="C259" t="s">
        <v>642</v>
      </c>
      <c r="D259" t="s">
        <v>821</v>
      </c>
      <c r="E259" t="s">
        <v>853</v>
      </c>
    </row>
    <row r="260" spans="1:5" ht="105" x14ac:dyDescent="0.25">
      <c r="A260" s="102" t="s">
        <v>854</v>
      </c>
      <c r="B260" s="102">
        <v>46272</v>
      </c>
      <c r="C260" s="102" t="s">
        <v>855</v>
      </c>
      <c r="D260" s="102" t="s">
        <v>856</v>
      </c>
      <c r="E260" s="102" t="s">
        <v>857</v>
      </c>
    </row>
    <row r="261" spans="1:5" x14ac:dyDescent="0.25">
      <c r="A261" t="s">
        <v>910</v>
      </c>
      <c r="B261">
        <v>46297</v>
      </c>
      <c r="C261" t="s">
        <v>911</v>
      </c>
      <c r="D261" t="s">
        <v>912</v>
      </c>
      <c r="E261" t="s">
        <v>913</v>
      </c>
    </row>
    <row r="262" spans="1:5" x14ac:dyDescent="0.25">
      <c r="A262" t="s">
        <v>917</v>
      </c>
      <c r="B262">
        <v>46299</v>
      </c>
      <c r="C262" t="s">
        <v>918</v>
      </c>
      <c r="D262" t="s">
        <v>919</v>
      </c>
      <c r="E262" t="s">
        <v>920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Watchlist Ratings</vt:lpstr>
      <vt:lpstr>Framework Notes</vt:lpstr>
      <vt:lpstr>Dashboard</vt:lpstr>
      <vt:lpstr>Updates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Roger Salvador</cp:lastModifiedBy>
  <cp:revision>8</cp:revision>
  <dcterms:created xsi:type="dcterms:W3CDTF">2026-04-17T08:44:31Z</dcterms:created>
  <dcterms:modified xsi:type="dcterms:W3CDTF">2026-10-19T18:52:21Z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f856cd-5164-4576-94af-2a31e8fe1050_Enabled">
    <vt:lpwstr>true</vt:lpwstr>
  </property>
  <property fmtid="{D5CDD505-2E9C-101B-9397-08002B2CF9AE}" pid="3" name="MSIP_Label_89f856cd-5164-4576-94af-2a31e8fe1050_SetDate">
    <vt:lpwstr>2026-05-16T07:32:30Z</vt:lpwstr>
  </property>
  <property fmtid="{D5CDD505-2E9C-101B-9397-08002B2CF9AE}" pid="4" name="MSIP_Label_89f856cd-5164-4576-94af-2a31e8fe1050_Method">
    <vt:lpwstr>Standard</vt:lpwstr>
  </property>
  <property fmtid="{D5CDD505-2E9C-101B-9397-08002B2CF9AE}" pid="5" name="MSIP_Label_89f856cd-5164-4576-94af-2a31e8fe1050_Name">
    <vt:lpwstr>Interna</vt:lpwstr>
  </property>
  <property fmtid="{D5CDD505-2E9C-101B-9397-08002B2CF9AE}" pid="6" name="MSIP_Label_89f856cd-5164-4576-94af-2a31e8fe1050_SiteId">
    <vt:lpwstr>e235031e-0483-4333-9ddc-651595b3c56f</vt:lpwstr>
  </property>
  <property fmtid="{D5CDD505-2E9C-101B-9397-08002B2CF9AE}" pid="7" name="MSIP_Label_89f856cd-5164-4576-94af-2a31e8fe1050_ActionId">
    <vt:lpwstr>d0e8afa3-85a7-42d8-9faa-f300d732d54d</vt:lpwstr>
  </property>
  <property fmtid="{D5CDD505-2E9C-101B-9397-08002B2CF9AE}" pid="8" name="MSIP_Label_89f856cd-5164-4576-94af-2a31e8fe1050_ContentBits">
    <vt:lpwstr>0</vt:lpwstr>
  </property>
  <property fmtid="{D5CDD505-2E9C-101B-9397-08002B2CF9AE}" pid="9" name="MSIP_Label_89f856cd-5164-4576-94af-2a31e8fe1050_Tag">
    <vt:lpwstr>10, 3, 0, 1</vt:lpwstr>
  </property>
</Properties>
</file>