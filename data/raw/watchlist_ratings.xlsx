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8953462F-95FD-4E3B-952E-48E297AE4D91}"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1" l="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BM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M67" i="1" l="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BL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BL48" i="1" s="1"/>
  <c r="G48" i="1" a="1"/>
  <c r="G48" i="1" s="1"/>
  <c r="F48" i="1" a="1"/>
  <c r="F48" i="1" s="1"/>
  <c r="E48" i="1" a="1"/>
  <c r="E48" i="1" s="1"/>
  <c r="B48" i="1" a="1"/>
  <c r="B48" i="1" s="1"/>
  <c r="BG47" i="1"/>
  <c r="BE47" i="1"/>
  <c r="BB47" i="1"/>
  <c r="BA47" i="1"/>
  <c r="AL47" i="1"/>
  <c r="AM47" i="1" s="1"/>
  <c r="AB47" i="1"/>
  <c r="AC47" i="1" s="1"/>
  <c r="H47" i="1" a="1"/>
  <c r="H47" i="1" s="1"/>
  <c r="BJ47" i="1" s="1"/>
  <c r="BL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BL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BL40" i="1" s="1"/>
  <c r="G40" i="1" a="1"/>
  <c r="G40" i="1" s="1"/>
  <c r="F40" i="1" a="1"/>
  <c r="F40" i="1" s="1"/>
  <c r="E40" i="1" a="1"/>
  <c r="E40" i="1" s="1"/>
  <c r="B40" i="1" a="1"/>
  <c r="B40" i="1" s="1"/>
  <c r="BG39" i="1"/>
  <c r="BE39" i="1"/>
  <c r="BB39" i="1"/>
  <c r="BA39" i="1"/>
  <c r="AL39" i="1"/>
  <c r="AM39" i="1" s="1"/>
  <c r="AB39" i="1"/>
  <c r="AC39" i="1" s="1"/>
  <c r="H39" i="1" a="1"/>
  <c r="H39" i="1" s="1"/>
  <c r="BJ39" i="1" s="1"/>
  <c r="BL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AN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AN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BM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BL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BL19" i="1" l="1"/>
  <c r="BM64" i="1"/>
  <c r="BL17" i="1"/>
  <c r="BL22" i="1"/>
  <c r="BL13" i="1"/>
  <c r="BL20" i="1"/>
  <c r="BM28" i="1"/>
  <c r="AN20" i="1"/>
  <c r="BL31" i="1"/>
  <c r="BC49" i="1"/>
  <c r="BL52" i="1"/>
  <c r="AN60" i="1"/>
  <c r="BL26" i="1"/>
  <c r="BL24" i="1"/>
  <c r="BL32" i="1"/>
  <c r="BL43" i="1"/>
  <c r="AN24" i="1"/>
  <c r="BM4" i="1"/>
  <c r="BM7" i="1"/>
  <c r="F77" i="3" s="1"/>
  <c r="BL5" i="1"/>
  <c r="BM59" i="1"/>
  <c r="BM25" i="1"/>
  <c r="B69" i="3"/>
  <c r="AN33" i="1"/>
  <c r="AN4" i="1"/>
  <c r="B65" i="3"/>
  <c r="AC20"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BC17" i="1"/>
  <c r="I21" i="3" s="1"/>
  <c r="AN26" i="1"/>
  <c r="AN31" i="1"/>
  <c r="AN39" i="1"/>
  <c r="BC46" i="1"/>
  <c r="AN59" i="1"/>
  <c r="AN21" i="1"/>
  <c r="BC36" i="1"/>
  <c r="AN12" i="1"/>
  <c r="AN29" i="1"/>
  <c r="AN45" i="1"/>
  <c r="AN47" i="1"/>
  <c r="AN52" i="1"/>
  <c r="AN57" i="1"/>
  <c r="AN19" i="1"/>
  <c r="P23" i="3" s="1"/>
  <c r="AN40" i="1"/>
  <c r="AN65" i="1"/>
  <c r="AN43" i="1"/>
  <c r="AN48" i="1"/>
  <c r="BC52" i="1"/>
  <c r="F74" i="3"/>
  <c r="AN25" i="1"/>
  <c r="AN30" i="1"/>
  <c r="AN38" i="1"/>
  <c r="AN46" i="1"/>
  <c r="AN53" i="1"/>
  <c r="BC55" i="1"/>
  <c r="BC62" i="1"/>
  <c r="D15" i="3"/>
  <c r="AN11" i="1"/>
  <c r="D11" i="3"/>
  <c r="AN7" i="1"/>
  <c r="D22" i="3"/>
  <c r="AN18" i="1"/>
  <c r="AN27" i="1"/>
  <c r="D10" i="3"/>
  <c r="AN6" i="1"/>
  <c r="AN8" i="1"/>
  <c r="AN35" i="1"/>
  <c r="BC9" i="1"/>
  <c r="AN13" i="1"/>
  <c r="BC21" i="1"/>
  <c r="BC5" i="1"/>
  <c r="BK50" i="1"/>
  <c r="BM50" i="1" s="1"/>
  <c r="BC56" i="1"/>
  <c r="AN15" i="1"/>
  <c r="AN23" i="1"/>
  <c r="BC12" i="1"/>
  <c r="BC6" i="1"/>
  <c r="T10" i="3" s="1"/>
  <c r="BC24" i="1"/>
  <c r="BC33" i="1"/>
  <c r="AN9" i="1"/>
  <c r="AN41" i="1"/>
  <c r="BC45" i="1"/>
  <c r="BC47" i="1"/>
  <c r="BC41" i="1"/>
  <c r="BC57" i="1"/>
  <c r="BC60" i="1"/>
  <c r="BC65" i="1"/>
  <c r="AN17" i="1"/>
  <c r="AN14" i="1"/>
  <c r="BC66" i="1"/>
  <c r="BC25" i="1"/>
  <c r="BC44" i="1"/>
  <c r="BC53" i="1"/>
  <c r="BC30" i="1"/>
  <c r="D14" i="3"/>
  <c r="AN10" i="1"/>
  <c r="D20" i="3"/>
  <c r="AN16" i="1"/>
  <c r="AN5" i="1"/>
  <c r="BC8" i="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AB21" i="3"/>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BL9" i="1" s="1"/>
  <c r="I9" i="1"/>
  <c r="AR9" i="1" s="1"/>
  <c r="BK9" i="1"/>
  <c r="BM9" i="1" s="1"/>
  <c r="C14" i="3"/>
  <c r="B64" i="3"/>
  <c r="I4" i="1"/>
  <c r="AR4" i="1" s="1"/>
  <c r="T8" i="3"/>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I13" i="3"/>
  <c r="T13" i="3"/>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I17" i="3"/>
  <c r="T17"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2" i="3"/>
  <c r="T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BL15" i="1" l="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futureMetadata name="XLDAPR" count="1">
    <bk>
      <extLst>
        <ext uri="{bdbb8cdc-fa1e-496e-a857-3c3f30c029c3}">
          <xda:dynamicArrayProperties fDynamic="1" fCollapsed="0"/>
        </ext>
      </extLst>
    </bk>
  </futureMetadata>
  <cellMetadata count="1">
    <bk>
      <rc t="2" v="0"/>
    </bk>
  </cell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<sst xmlns="http://schemas.openxmlformats.org/spreadsheetml/2006/main" count="1767" uniqueCount="816">
  <si>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</si>
  <si>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</si>
  <si>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</si>
  <si>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</si>
  <si>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</si>
  <si>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</si>
  <si>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</si>
  <si>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</si>
  <si>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</si>
  <si>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</si>
  <si>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</si>
  <si>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</si>
  <si>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</si>
  <si>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</si>
  <si>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</si>
  <si>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</si>
  <si>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</si>
  <si>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</si>
  <si>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</si>
  <si>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</si>
  <si>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</si>
  <si>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</si>
  <si>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</si>
  <si>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</si>
  <si>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</si>
  <si>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</si>
  <si>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</si>
  <si>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</si>
  <si>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</si>
  <si>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</si>
  <si>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</si>
  <si>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</si>
  <si>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</si>
  <si>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</si>
  <si>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</si>
  <si>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</si>
  <si>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</si>
  <si>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</si>
  <si>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</si>
  <si>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</si>
  <si>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</si>
  <si>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</si>
  <si>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</si>
  <si>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</si>
  <si>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</si>
  <si>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</si>
  <si>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</si>
  <si>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</si>
  <si>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</si>
  <si>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</si>
  <si>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</si>
  <si>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</si>
  <si>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</si>
  <si>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</si>
  <si>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</si>
  <si>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</si>
  <si>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</si>
  <si>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</si>
  <si>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</si>
  <si>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</si>
  <si>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</si>
  <si>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</si>
  <si>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</si>
  <si>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</si>
  <si>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</si>
  <si>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</si>
  <si>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</si>
  <si>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</si>
  <si>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</si>
  <si>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</si>
  <si>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</si>
  <si>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</si>
  <si>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</si>
  <si>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</si>
  <si>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</si>
  <si>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</si>
  <si>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</si>
  <si>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</si>
  <si>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</si>
  <si>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</si>
  <si>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</si>
  <si>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</si>
  <si>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</si>
  <si>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</si>
  <si>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</si>
  <si>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</si>
  <si>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</si>
  <si>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</si>
  <si>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</si>
  <si>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</si>
  <si>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</si>
  <si>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</si>
  <si>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</si>
  <si>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</si>
  <si>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</si>
  <si>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</si>
  <si>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</si>
  <si>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</si>
  <si>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</si>
  <si>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</si>
  <si>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</si>
  <si>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</si>
  <si>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</si>
  <si>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</si>
  <si>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</si>
  <si>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</si>
  <si>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</si>
  <si>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</si>
  <si>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</si>
  <si>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</si>
  <si>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</si>
  <si>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</si>
  <si>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</si>
  <si>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</si>
  <si>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737</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</si>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</sst>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9">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8.0500000000000007</c:v>
                </c:pt>
                <c:pt idx="5">
                  <c:v>7.92</c:v>
                </c:pt>
                <c:pt idx="6">
                  <c:v>7.78</c:v>
                </c:pt>
                <c:pt idx="7">
                  <c:v>7.22</c:v>
                </c:pt>
                <c:pt idx="8">
                  <c:v>7.76</c:v>
                </c:pt>
                <c:pt idx="9">
                  <c:v>7.81</c:v>
                </c:pt>
                <c:pt idx="10">
                  <c:v>7.79</c:v>
                </c:pt>
                <c:pt idx="11">
                  <c:v>7.77</c:v>
                </c:pt>
                <c:pt idx="12">
                  <c:v>7.84</c:v>
                </c:pt>
                <c:pt idx="13">
                  <c:v>7.82</c:v>
                </c:pt>
                <c:pt idx="14">
                  <c:v>7.19</c:v>
                </c:pt>
              </c:numCache>
            </c:numRef>
          </c:xVal>
          <c:yVal>
            <c:numRef>
              <c:f>Dashboard!$Q$8:$Q$22</c:f>
              <c:numCache>
                <c:formatCode>0.00%</c:formatCode>
                <c:ptCount val="15"/>
                <c:pt idx="0">
                  <c:v>0.21535056770391781</c:v>
                </c:pt>
                <c:pt idx="1">
                  <c:v>0.12725933974662795</c:v>
                </c:pt>
                <c:pt idx="2">
                  <c:v>0.21268691268480011</c:v>
                </c:pt>
                <c:pt idx="3">
                  <c:v>0.21874186412022789</c:v>
                </c:pt>
                <c:pt idx="4">
                  <c:v>8.5040896509370301E-2</c:v>
                </c:pt>
                <c:pt idx="5">
                  <c:v>0.19690295456465767</c:v>
                </c:pt>
                <c:pt idx="6">
                  <c:v>0.12867081613737774</c:v>
                </c:pt>
                <c:pt idx="7">
                  <c:v>0.25943228470250812</c:v>
                </c:pt>
                <c:pt idx="8">
                  <c:v>1.423921438264375E-2</c:v>
                </c:pt>
                <c:pt idx="9">
                  <c:v>0.11256640658534334</c:v>
                </c:pt>
                <c:pt idx="10">
                  <c:v>9.4174490275463096E-2</c:v>
                </c:pt>
                <c:pt idx="11">
                  <c:v>0.10741088468091919</c:v>
                </c:pt>
                <c:pt idx="12">
                  <c:v>-0.11087272348127619</c:v>
                </c:pt>
                <c:pt idx="13">
                  <c:v>8.4171531047791737E-2</c:v>
                </c:pt>
                <c:pt idx="14">
                  <c:v>0.10909212414512681</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244.17</v>
    <v>0.94240000000000002</v>
    <v>-2.71</v>
    <v>-1.0907E-2</v>
    <v>39920440975</v>
    <v>248.46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46259.828987187502</v>
    <v>New York Stock Exchange</v>
    <v>0</v>
    <v>247.35</v>
    <v>310.5</v>
    <v>242.53</v>
    <v>148.05000000000001</v>
    <v>USD</v>
    <v>VEEVA SYSTEMS INC.</v>
    <v>VEEVA SYSTEMS INC.</v>
    <v>43.474800000000002</v>
    <v>245.75</v>
    <v>Healthcare Equipment &amp; Supplies</v>
    <v>4280 Hacienda Drive, PLEASANTON, CA, 94588 US</v>
    <v>VEEV</v>
    <v>Acciones</v>
    <v>VEEVA SYSTEMS INC. (XNYS:VEEV)</v>
    <v>1190369</v>
    <v>1649889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485.75</v>
    <v>1.1020000000000001</v>
    <v>3.7050000000000001</v>
    <v>7.6029999999999995E-3</v>
    <v>3646053978175</v>
    <v>487.31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46259.829026874999</v>
    <v>6</v>
    <v>Nasdaq Stock Market</v>
    <v>7</v>
    <v>491.62</v>
    <v>553.72</v>
    <v>484.3</v>
    <v>349.2</v>
    <v>USD</v>
    <v>MICROSOFT CORPORATION</v>
    <v>MICROSOFT CORPORATION</v>
    <v>27.3596</v>
    <v>491.01499999999999</v>
    <v>Software &amp; IT Services</v>
    <v>One Microsoft Way, REDMOND, WA, 98052 US</v>
    <v>MSFT</v>
    <v>Acciones</v>
    <v>MICROSOFT CORPORATION (XNAS:MSFT)</v>
    <v>12138578</v>
    <v>34423023</v>
  </rv>
  <rv s="2">
    <v>8</v>
  </rv>
  <rv s="0">
    <v>https://www.bing.com/financeapi/forcetrigger?t=b1ao52&amp;q=XAMS%3aADYEN&amp;form=skydnc</v>
    <v>Learn more on Bing</v>
  </rv>
  <rv s="1">
    <v>es-ES</v>
    <v>b1ao52</v>
    <v>268435456</v>
    <v>1</v>
    <v>Con tecnología de Refinitiv</v>
    <v>0</v>
    <v>1</v>
    <v>Adyen N.V. (XAMS:ADYEN)</v>
    <v>3</v>
    <v>12</v>
    <v>Finance</v>
    <v>13</v>
    <v>XAMS</v>
    <v>31683550</v>
    <v>2006</v>
    <v>1079.8</v>
    <v>2.2585999999999999</v>
    <v>0.4</v>
    <v>3.7089999999999996E-4</v>
    <v>34173880000</v>
    <v>1078.5999999999999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46259.666666666664</v>
    <v>Euronext Amsterdam</v>
    <v>10</v>
    <v>1082.2</v>
    <v>1600.8</v>
    <v>1065.4000000000001</v>
    <v>772.4</v>
    <v>EUR</v>
    <v>Adyen N.V.</v>
    <v>Adyen N.V.</v>
    <v>30.2348</v>
    <v>1079</v>
    <v>Financial Technology (Fintech) &amp; Infrastructure</v>
    <v>Simon Carmiggeltstraat 6-50, AMSTERDAM, NOORD-HOLLAND, 1011DJ NL</v>
    <v>ADYEN</v>
    <v>Acciones</v>
    <v>Adyen N.V. (XAMS:ADYEN)</v>
    <v>99023</v>
    <v>189500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42.21</v>
    <v>1.5463</v>
    <v>0.15</v>
    <v>3.5739999999999999E-3</v>
    <v>103274659800</v>
    <v>41.97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46259.828978460158</v>
    <v>New York Stock Exchange</v>
    <v>13</v>
    <v>42.301499999999997</v>
    <v>49.564999999999998</v>
    <v>41.78</v>
    <v>37.93</v>
    <v>USD</v>
    <v>Brookfield Corporation</v>
    <v>Brookfield Corporation</v>
    <v>82.362099999999998</v>
    <v>42.12</v>
    <v>Investment Banking &amp; Investment Services</v>
    <v>Brookfield Place, 181 Bay St, Ste 100, Po Box 762, TORONTO, ON, M5J 2T3 CA</v>
    <v>BN</v>
    <v>Acciones</v>
    <v>Brookfield Corporation (XNYS:BN)</v>
    <v>1947163</v>
    <v>4358850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966.56</v>
    <v>0.8669</v>
    <v>-10.039999999999999</v>
    <v>-1.0336000000000001E-2</v>
    <v>426342779168</v>
    <v>971.4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46259.828993390627</v>
    <v>Nasdaq Stock Market</v>
    <v>16</v>
    <v>968.76</v>
    <v>1096.5</v>
    <v>959.89</v>
    <v>844.06</v>
    <v>USD</v>
    <v>COSTCO WHOLESALE CORPORATION</v>
    <v>COSTCO WHOLESALE CORPORATION</v>
    <v>48.352800000000002</v>
    <v>961.36</v>
    <v>Diversified Retail</v>
    <v>999 Lake Dr, ISSAQUAH, WA, 98027- US</v>
    <v>COST</v>
    <v>Acciones</v>
    <v>COSTCO WHOLESALE CORPORATION (XNAS:COST)</v>
    <v>641406</v>
    <v>1860725</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77.709999999999994</v>
    <v>0.19470000000000001</v>
    <v>-0.99</v>
    <v>-1.2616E-2</v>
    <v>9370206000</v>
    <v>78.47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46259.828948750001</v>
    <v>Nasdaq Stock Market</v>
    <v>19</v>
    <v>79.209999999999994</v>
    <v>109</v>
    <v>76.81</v>
    <v>62.555</v>
    <v>USD</v>
    <v>The Descartes Systems Group Inc.</v>
    <v>The Descartes Systems Group Inc.</v>
    <v>38.533799999999999</v>
    <v>77.48</v>
    <v>Software &amp; IT Services</v>
    <v>120 Randall Drive, WATERLOO, ON, N2V 1C6 CA</v>
    <v>DSGX</v>
    <v>Acciones</v>
    <v>The Descartes Systems Group Inc. (XNAS:DSGX)</v>
    <v>246721</v>
    <v>477978</v>
  </rv>
  <rv s="2">
    <v>20</v>
  </rv>
  <rv s="0">
    <v>https://www.bing.com/financeapi/forcetrigger?t=afjdk2&amp;q=XFRA%3aRAA&amp;form=skydnc</v>
    <v>Learn more on Bing</v>
  </rv>
  <rv s="1">
    <v>es-ES</v>
    <v>afjdk2</v>
    <v>268435456</v>
    <v>1</v>
    <v>Con tecnología de Refinitiv</v>
    <v>0</v>
    <v>1</v>
    <v>Rational (XFRA:RAA)</v>
    <v>3</v>
    <v>12</v>
    <v>Finance</v>
    <v>13</v>
    <v>XFRA</v>
    <v>11370000</v>
    <v>1999</v>
    <v>623</v>
    <v>1.3577999999999999</v>
    <v>5.5</v>
    <v>8.7580000000000002E-3</v>
    <v>7123305000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46259.765972222223</v>
    <v>Deutsche Boerse AG</v>
    <v>22</v>
    <v>633.5</v>
    <v>1028</v>
    <v>623</v>
    <v>388.4</v>
    <v>EUR</v>
    <v>Rational</v>
    <v>Rational</v>
    <v>27.084199999999999</v>
    <v>633.5</v>
    <v>Household Goods</v>
    <v>Siegfried-Meister-Strasse 1, BAYERN, 86899 DE</v>
    <v>RAA</v>
    <v>Acciones</v>
    <v>Rational (XFRA:RAA)</v>
    <v>2</v>
    <v>11770</v>
  </rv>
  <rv s="2">
    <v>23</v>
  </rv>
  <rv s="0">
    <v>https://www.bing.com/financeapi/forcetrigger?t=azbtyc&amp;q=XNAS%3aZS&amp;form=skydnc</v>
    <v>Learn more on Bing</v>
  </rv>
  <rv s="1">
    <v>es-ES</v>
    <v>azbtyc</v>
    <v>268435456</v>
    <v>1</v>
    <v>Con tecnología de Refinitiv</v>
    <v>0</v>
    <v>1</v>
    <v>ZSCALER, INC. (XNAS:ZS)</v>
    <v>3</v>
    <v>4</v>
    <v>Finance</v>
    <v>5</v>
    <v>XNAS</v>
    <v>161709500</v>
    <v>2007</v>
    <v>175</v>
    <v>0.93230000000000002</v>
    <v>-7.52</v>
    <v>-4.2713000000000001E-2</v>
    <v>27254519130</v>
    <v>176.06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46259.82901887656</v>
    <v>Nasdaq Stock Market</v>
    <v>25</v>
    <v>176.81</v>
    <v>336.99</v>
    <v>166.66</v>
    <v>114.625</v>
    <v>USD</v>
    <v>ZSCALER, INC.</v>
    <v>ZSCALER, INC.</v>
    <v>0</v>
    <v>168.54</v>
    <v>Software &amp; IT Services</v>
    <v>120 Holger Way, SAN JOSE, CA, 95134 US</v>
    <v>ZS</v>
    <v>Acciones</v>
    <v>ZSCALER, INC. (XNAS:ZS)</v>
    <v>1528902</v>
    <v>2141928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47.5</v>
    <v>0.1275</v>
    <v>2.605</v>
    <v>5.4848000000000001E-2</v>
    <v>11318880000000</v>
    <v>47.494999999999997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46259.815972222219</v>
    <v>Deutsche Boerse AG</v>
    <v>28</v>
    <v>50.1</v>
    <v>546.1</v>
    <v>47.5</v>
    <v>34.6</v>
    <v>EUR</v>
    <v>Nintendo Co., Ltd.</v>
    <v>Nintendo Co., Ltd.</v>
    <v>22.669699999999999</v>
    <v>50.1</v>
    <v>Leisure Products</v>
    <v>11-1, Kamitoba Hokotate-cho, Minami-ku, KYOTO-SHI, KYOTO-FU, 601-8501 JP</v>
    <v>NTO</v>
    <v>Acciones</v>
    <v>Nintendo Co., Ltd. (XFRA:NTO)</v>
    <v>851</v>
    <v>12187950</v>
  </rv>
  <rv s="2">
    <v>29</v>
  </rv>
  <rv s="0">
    <v>https://www.bing.com/financeapi/forcetrigger?t=a1nhlh&amp;q=XNAS%3aAMZN&amp;form=skydnc</v>
    <v>Learn more on Bing</v>
  </rv>
  <rv s="1">
    <v>es-ES</v>
    <v>a1nhlh</v>
    <v>268435456</v>
    <v>1</v>
    <v>Con tecnología de Refinitiv</v>
    <v>0</v>
    <v>1</v>
    <v>AMAZON.COM, INC. (XNAS:AMZN)</v>
    <v>3</v>
    <v>4</v>
    <v>Finance</v>
    <v>5</v>
    <v>XNAS</v>
    <v>10786310000</v>
    <v>1996</v>
    <v>262.73</v>
    <v>1.4475</v>
    <v>-1.32</v>
    <v>-5.0370000000000007E-3</v>
    <v>2812530332500</v>
    <v>262.07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46259.828995474221</v>
    <v>Nasdaq Stock Market</v>
    <v>31</v>
    <v>263.87189999999998</v>
    <v>287.2</v>
    <v>259.83</v>
    <v>196</v>
    <v>USD</v>
    <v>AMAZON.COM, INC.</v>
    <v>AMAZON.COM, INC.</v>
    <v>20.973099999999999</v>
    <v>260.75</v>
    <v>Diversified Retail</v>
    <v>410 Terry Avenue North, SEATTLE, WA, 98109 US</v>
    <v>AMZN</v>
    <v>Acciones</v>
    <v>AMAZON.COM, INC. (XNAS:AMZN)</v>
    <v>16235193</v>
    <v>45276854</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294.64999999999998</v>
    <v>1.4120999999999999</v>
    <v>4.45</v>
    <v>1.525E-2</v>
    <v>168837000000</v>
    <v>291.8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46259.666666666664</v>
    <v>Euronext Paris</v>
    <v>34</v>
    <v>298.55</v>
    <v>312.3</v>
    <v>294.10000000000002</v>
    <v>208.8</v>
    <v>EUR</v>
    <v>Schneider Electric SE</v>
    <v>Schneider Electric SE</v>
    <v>35.21</v>
    <v>296.25</v>
    <v>Machinery, Equipment &amp; Components</v>
    <v>35 rue Joseph Monier, RUEIL-MALMAISON, ILE-DE-FRANCE, 92500 FR</v>
    <v>SU</v>
    <v>Acciones</v>
    <v>Schneider Electric SE (XPAR:SU)</v>
    <v>533996</v>
    <v>629630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58.76</v>
    <v>1.1346000000000001</v>
    <v>-0.14000000000000001</v>
    <v>-2.3960000000000001E-3</v>
    <v>182074800000</v>
    <v>58.42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46259.666666666664</v>
    <v>Bolsas y Mercados Espanoles</v>
    <v>37</v>
    <v>58.88</v>
    <v>59.42</v>
    <v>58.12</v>
    <v>41.24</v>
    <v>EUR</v>
    <v>Industria de Diseño Textil, S.A.</v>
    <v>Industria de Diseño Textil, S.A.</v>
    <v>28.877199999999998</v>
    <v>58.28</v>
    <v>Specialty Retailers</v>
    <v>Edificio Inditex, Avda. Diputacion, s/n, ARTEIXO, LA CORUNA, 15143 ES</v>
    <v>ITX</v>
    <v>Acciones</v>
    <v>Industria de Diseño Textil, S.A. (BMEX:ITX)</v>
    <v>720248</v>
    <v>1043490</v>
  </rv>
  <rv s="2">
    <v>38</v>
  </rv>
  <rv s="0">
    <v>https://www.bing.com/financeapi/forcetrigger?t=aaq652&amp;q=XBRU%3aLOTB&amp;form=skydnc</v>
    <v>Learn more on Bing</v>
  </rv>
  <rv s="1">
    <v>es-ES</v>
    <v>aaq652</v>
    <v>268435456</v>
    <v>1</v>
    <v>Con tecnología de Refinitiv</v>
    <v>0</v>
    <v>1</v>
    <v>Lotus Bakeries (XBRU:LOTB)</v>
    <v>3</v>
    <v>12</v>
    <v>Finance</v>
    <v>13</v>
    <v>XBRU</v>
    <v>816010</v>
    <v>1934</v>
    <v>12980</v>
    <v>0.87239999999999995</v>
    <v>100</v>
    <v>7.6920000000000001E-3</v>
    <v>10608170000</v>
    <v>13000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46259.666666666664</v>
    <v>Euronext Brussels</v>
    <v>40</v>
    <v>13200</v>
    <v>13200</v>
    <v>12900</v>
    <v>7270</v>
    <v>EUR</v>
    <v>Lotus Bakeries</v>
    <v>Lotus Bakeries</v>
    <v>55.741500000000002</v>
    <v>13100</v>
    <v>Food &amp; Tobacco</v>
    <v>Gentstraat 1, Lembeke, OOST-VLAANDEREN, 9971 BE</v>
    <v>LOTB</v>
    <v>Acciones</v>
    <v>Lotus Bakeries (XBRU:LOTB)</v>
    <v>862</v>
    <v>760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3580</v>
    <v>1.1296999999999999</v>
    <v>22</v>
    <v>6.1900000000000002E-3</v>
    <v>13492590000</v>
    <v>3554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46259.662939814814</v>
    <v>London Stock Exchange</v>
    <v>43</v>
    <v>3624</v>
    <v>4902</v>
    <v>3562</v>
    <v>3194</v>
    <v>GBp</v>
    <v>HALMA PUBLIC LIMITED COMPANY</v>
    <v>HALMA PUBLIC LIMITED COMPANY</v>
    <v>36.286099999999998</v>
    <v>3576</v>
    <v>Electronic Equipment &amp; Parts</v>
    <v>Misbourne Court, Rectory Way, AMERSHAM, BUCKINGHAMSHIRE, HP7 0DE GB</v>
    <v>HLMA</v>
    <v>Acciones</v>
    <v>HALMA PUBLIC LIMITED COMPANY (XLON:HLMA)</v>
    <v>539503</v>
    <v>976310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1157.24</v>
    <v>1.3213999999999999</v>
    <v>-29.13</v>
    <v>-2.4974E-2</v>
    <v>24562348042</v>
    <v>1166.4000000000001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46259.829016608594</v>
    <v>New York Stock Exchange</v>
    <v>46</v>
    <v>1169.2663</v>
    <v>1998.01</v>
    <v>1133.1600000000001</v>
    <v>870.01</v>
    <v>USD</v>
    <v>FAIR ISAAC CORPORATION</v>
    <v>FAIR ISAAC CORPORATION</v>
    <v>32.855400000000003</v>
    <v>1137.27</v>
    <v>Software &amp; IT Services</v>
    <v>5 West Mendenhall, Suites 105, BOZEMAN, MT, 59715 US</v>
    <v>FICO</v>
    <v>Acciones</v>
    <v>FAIR ISAAC CORPORATION (XNYS:FICO)</v>
    <v>138611</v>
    <v>368737</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1.3004</v>
    <v>0.4</v>
    <v>0</v>
    <v>1.263E-3</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46259.666666666664</v>
    <v>NASDAQ Stockholm</v>
    <v>49</v>
    <v>319.60000000000002</v>
    <v>956.5</v>
    <v>315.39999999999998</v>
    <v>140.30000000000001</v>
    <v>SEK</v>
    <v>Lifco</v>
    <v>Lifco</v>
    <v>37.405700000000003</v>
    <v>317.2</v>
    <v>317.2</v>
    <v>Consumer Goods Conglomerates</v>
    <v>Verkmastaregatan 1, ENKOPING, UPPSALA, 745 85 SE</v>
    <v>LIFCO B</v>
    <v>Acciones</v>
    <v>Lifco (XSTO:LIFCO B)</v>
    <v>252931</v>
    <v>300770</v>
  </rv>
  <rv s="2">
    <v>50</v>
  </rv>
  <rv s="0">
    <v>https://www.bing.com/financeapi/forcetrigger?t=af9n8m&amp;q=XFRA%3aEVD&amp;form=skydnc</v>
    <v>Learn more on Bing</v>
  </rv>
  <rv s="1">
    <v>es-ES</v>
    <v>af9n8m</v>
    <v>268435456</v>
    <v>1</v>
    <v>Con tecnología de Refinitiv</v>
    <v>0</v>
    <v>1</v>
    <v>Eventim (XFRA:EVD)</v>
    <v>3</v>
    <v>12</v>
    <v>Finance</v>
    <v>13</v>
    <v>XFRA</v>
    <v>96000000</v>
    <v>2014</v>
    <v>61.45</v>
    <v>1.3953</v>
    <v>-1</v>
    <v>-1.6639000000000001E-2</v>
    <v>5836800000</v>
    <v>60.1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46259.81527777778</v>
    <v>Deutsche Boerse AG</v>
    <v>52</v>
    <v>61.5</v>
    <v>113.8</v>
    <v>59.1</v>
    <v>25.98</v>
    <v>EUR</v>
    <v>Eventim</v>
    <v>Eventim</v>
    <v>18.468800000000002</v>
    <v>59.1</v>
    <v>Software &amp; IT Services</v>
    <v>Contrescarpe 75 A, BREMEN, BREMEN, 28195 DE</v>
    <v>EVD</v>
    <v>Acciones</v>
    <v>Eventim (XFRA:EVD)</v>
    <v>603</v>
    <v>219770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48.82</v>
    <v>0.52370000000000005</v>
    <v>-7.4999999999999997E-2</v>
    <v>-1.5329999999999999E-3</v>
    <v>95541601520</v>
    <v>48.92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46259.829009710156</v>
    <v>Nasdaq Stock Market</v>
    <v>55</v>
    <v>49.24</v>
    <v>50.17</v>
    <v>48.34</v>
    <v>30.484999999999999</v>
    <v>USD</v>
    <v>MONSTER BEVERAGE CORPORATION</v>
    <v>MONSTER BEVERAGE CORPORATION</v>
    <v>45.331800000000001</v>
    <v>48.844999999999999</v>
    <v>Beverages</v>
    <v>1 Monster Way, CORONA, CA, 92879-7101 US</v>
    <v>MNST</v>
    <v>Acciones</v>
    <v>MONSTER BEVERAGE CORPORATION (XNAS:MNST)</v>
    <v>4476151</v>
    <v>11028559</v>
  </rv>
  <rv s="2">
    <v>56</v>
  </rv>
  <rv s="0">
    <v>https://www.bing.com/financeapi/forcetrigger?t=bwvem7&amp;q=XNAS%3aABNB&amp;form=skydnc</v>
    <v>Learn more on Bing</v>
  </rv>
  <rv s="1">
    <v>es-ES</v>
    <v>bwvem7</v>
    <v>268435456</v>
    <v>1</v>
    <v>Con tecnología de Refinitiv</v>
    <v>0</v>
    <v>1</v>
    <v>AIRBNB, INC. (XNAS:ABNB)</v>
    <v>3</v>
    <v>4</v>
    <v>Finance</v>
    <v>5</v>
    <v>XNAS</v>
    <v>589585700</v>
    <v>2008</v>
    <v>190.13</v>
    <v>1.1597999999999999</v>
    <v>-0.1</v>
    <v>-5.2570000000000004E-4</v>
    <v>112086137427</v>
    <v>190.21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46259.828997175784</v>
    <v>Nasdaq Stock Market</v>
    <v>58</v>
    <v>191.3595</v>
    <v>193.4529</v>
    <v>189.03</v>
    <v>110.81</v>
    <v>USD</v>
    <v>AIRBNB, INC.</v>
    <v>AIRBNB, INC.</v>
    <v>43.227400000000003</v>
    <v>190.11</v>
    <v>Software &amp; IT Services</v>
    <v>888 Brannan St., SAN FRANCISCO, CA, 94103 US</v>
    <v>ABNB</v>
    <v>Acciones</v>
    <v>AIRBNB, INC. (XNAS:ABNB)</v>
    <v>2482826</v>
    <v>4988542</v>
  </rv>
  <rv s="2">
    <v>59</v>
  </rv>
  <rv s="0">
    <v>https://www.bing.com/financeapi/forcetrigger?t=aqbzjc&amp;q=XWAR%3aDNP&amp;form=skydnc</v>
    <v>Learn more on Bing</v>
  </rv>
  <rv s="1">
    <v>es-ES</v>
    <v>aqbzjc</v>
    <v>268435456</v>
    <v>1</v>
    <v>Con tecnología de Refinitiv</v>
    <v>0</v>
    <v>1</v>
    <v>Dino Polska (XWAR:DNP)</v>
    <v>3</v>
    <v>22</v>
    <v>Finance</v>
    <v>23</v>
    <v>XWAR</v>
    <v>980400000</v>
    <v>2012</v>
    <v>35.049999999999997</v>
    <v>1.0213000000000001</v>
    <v>1.1299999999999999</v>
    <v>3.2240000000000005E-2</v>
    <v>34363020000</v>
    <v>35.049999999999997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46259.628376411718</v>
    <v>Warsaw Stock Exchange</v>
    <v>61</v>
    <v>36.450000000000003</v>
    <v>48.21</v>
    <v>34.520000000000003</v>
    <v>26.89</v>
    <v>PLN</v>
    <v>Dino Polska</v>
    <v>Dino Polska</v>
    <v>22.6281</v>
    <v>36.18</v>
    <v>Food &amp; Drug Retailing</v>
    <v>ul. Ostrowska 122, KROTOSZYN, WOJ. WIELKOPOLSKIE, 63-700 PL</v>
    <v>DNP</v>
    <v>Acciones</v>
    <v>Dino Polska (XWAR:DNP)</v>
    <v>5864181</v>
    <v>5461920</v>
  </rv>
  <rv s="2">
    <v>62</v>
  </rv>
  <rv s="7">
    <v>es-ES</v>
    <v>caydcw</v>
    <v>268435456</v>
    <v>1</v>
    <v>Con tecnología de Refinitiv</v>
    <v>24</v>
    <v>25</v>
    <v>VERALTO CORPORATION (XNYS:VLTO)</v>
    <v>26</v>
    <v>4</v>
    <v>Finance</v>
    <v>5</v>
    <v>XNYS</v>
    <v>243793300</v>
    <v>2022</v>
    <v>99.11</v>
    <v>0.68899999999999995</v>
    <v>-0.52500000000000002</v>
    <v>-5.2829999999999995E-3</v>
    <v>24097748738</v>
    <v>99.37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46259.828968414062</v>
    <v>New York Stock Exchange</v>
    <v>99.69</v>
    <v>109.86</v>
    <v>98.09</v>
    <v>80.03</v>
    <v>USD</v>
    <v>VERALTO CORPORATION</v>
    <v>VERALTO CORPORATION</v>
    <v>24.916799999999999</v>
    <v>98.844999999999999</v>
    <v>Professional &amp; Commercial Services</v>
    <v>225 Wyman Street, Suite 250, WALTHAM, MA, 02451 US</v>
    <v>VLTO</v>
    <v>Acciones</v>
    <v>VERALTO CORPORATION (XNYS:VLTO)</v>
    <v>801832</v>
    <v>1598214</v>
  </rv>
  <rv s="2">
    <v>64</v>
  </rv>
  <rv s="0">
    <v>https://www.bing.com/financeapi/forcetrigger?t=ae94vh&amp;q=XPAR%3aLR&amp;form=skydnc</v>
    <v>Learn more on Bing</v>
  </rv>
  <rv s="1">
    <v>es-ES</v>
    <v>ae94vh</v>
    <v>268435456</v>
    <v>1</v>
    <v>Con tecnología de Refinitiv</v>
    <v>0</v>
    <v>1</v>
    <v>Legrand SA (XPAR:LR)</v>
    <v>3</v>
    <v>12</v>
    <v>Finance</v>
    <v>13</v>
    <v>XPAR</v>
    <v>262245700</v>
    <v>1998</v>
    <v>134.1</v>
    <v>1.2539</v>
    <v>3.3</v>
    <v>2.4775000000000002E-2</v>
    <v>34931130000</v>
    <v>133.19999999999999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46259.666666666664</v>
    <v>Euronext Paris</v>
    <v>66</v>
    <v>137.05000000000001</v>
    <v>166.95</v>
    <v>134.1</v>
    <v>121.95</v>
    <v>EUR</v>
    <v>Legrand SA</v>
    <v>Legrand SA</v>
    <v>26.524899999999999</v>
    <v>136.5</v>
    <v>Machinery, Equipment &amp; Components</v>
    <v>128, av. du Marechal de Lattre de Tassigny, LIMOGES, NOUVELLE-AQUITAINE, 87000 FR</v>
    <v>LR</v>
    <v>Acciones</v>
    <v>Legrand SA (XPAR:LR)</v>
    <v>471768</v>
    <v>356710</v>
  </rv>
  <rv s="2">
    <v>67</v>
  </rv>
  <rv s="0">
    <v>https://www.bing.com/financeapi/forcetrigger?t=aoaorw&amp;q=XLON%3aJDG&amp;form=skydnc</v>
    <v>Learn more on Bing</v>
  </rv>
  <rv s="1">
    <v>es-ES</v>
    <v>aoaorw</v>
    <v>268435456</v>
    <v>1</v>
    <v>Con tecnología de Refinitiv</v>
    <v>0</v>
    <v>1</v>
    <v>Judges (XLON:JDG)</v>
    <v>3</v>
    <v>16</v>
    <v>Finance</v>
    <v>17</v>
    <v>XLON</v>
    <v>6660690</v>
    <v>2002</v>
    <v>3925</v>
    <v>0.76480000000000004</v>
    <v>100</v>
    <v>2.5316000000000002E-2</v>
    <v>263097400</v>
    <v>3950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46259.328709409376</v>
    <v>London Stock Exchange</v>
    <v>69</v>
    <v>4050</v>
    <v>7000</v>
    <v>3950</v>
    <v>3480</v>
    <v>GBp</v>
    <v>Judges</v>
    <v>Judges</v>
    <v>47.721800000000002</v>
    <v>4050</v>
    <v>Machinery, Equipment &amp; Components</v>
    <v>52c Borough High Street, LONDON, SE1 1XN GB</v>
    <v>JDG</v>
    <v>Acciones</v>
    <v>Judges (XLON:JDG)</v>
    <v>16570</v>
    <v>9410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93.32</v>
    <v>1.3734</v>
    <v>-1.36</v>
    <v>1.9659999999999999E-3</v>
    <v>-1.4638999999999999E-2</v>
    <v>0.18</v>
    <v>14813390000</v>
    <v>92.9</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46259.726388888892</v>
    <v>SIX Swiss Exchange</v>
    <v>72</v>
    <v>93.44</v>
    <v>109.8</v>
    <v>91.48</v>
    <v>73.02</v>
    <v>CHF</v>
    <v>Straumann Holding Ltd</v>
    <v>Straumann Holding Ltd</v>
    <v>39.456899999999997</v>
    <v>91.54</v>
    <v>91.72</v>
    <v>Healthcare Equipment &amp; Supplies</v>
    <v>Peter Merian-Weg 12, BASEL, BASEL-STADT, 4002 CH</v>
    <v>STMN</v>
    <v>Acciones</v>
    <v>Straumann Holding Ltd (XSWX:STMN)</v>
    <v>443674</v>
    <v>393000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563.29999999999995</v>
    <v>1.2408999999999999</v>
    <v>9.68</v>
    <v>1.7316000000000002E-2</v>
    <v>1448766662200</v>
    <v>559.02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46259.829016318748</v>
    <v>Nasdaq Stock Market</v>
    <v>75</v>
    <v>570.79999999999995</v>
    <v>790.8</v>
    <v>561.40009999999995</v>
    <v>520.26</v>
    <v>USD</v>
    <v>META PLATFORMS, INC.</v>
    <v>META PLATFORMS, INC.</v>
    <v>19.693000000000001</v>
    <v>568.70000000000005</v>
    <v>Software &amp; IT Services</v>
    <v>1 Meta Way, MENLO PARK, CA, 94025 US</v>
    <v>META</v>
    <v>Acciones</v>
    <v>META PLATFORMS, INC. (XNAS:META)</v>
    <v>7154819</v>
    <v>16293971</v>
  </rv>
  <rv s="2">
    <v>76</v>
  </rv>
  <rv s="0">
    <v>https://www.bing.com/financeapi/forcetrigger?t=a1wj9c&amp;q=XNYS%3aKKR&amp;form=skydnc</v>
    <v>Learn more on Bing</v>
  </rv>
  <rv s="1">
    <v>es-ES</v>
    <v>a1wj9c</v>
    <v>268435456</v>
    <v>1</v>
    <v>Con tecnología de Refinitiv</v>
    <v>0</v>
    <v>1</v>
    <v>KKR &amp; CO. INC. (XNYS:KKR)</v>
    <v>3</v>
    <v>4</v>
    <v>Finance</v>
    <v>5</v>
    <v>XNYS</v>
    <v>897635600</v>
    <v>2021</v>
    <v>106.78</v>
    <v>1.7875000000000001</v>
    <v>0.40500000000000003</v>
    <v>3.774E-3</v>
    <v>96697795010</v>
    <v>107.32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46259.828982707812</v>
    <v>New York Stock Exchange</v>
    <v>78</v>
    <v>108.02</v>
    <v>152.095</v>
    <v>105.92</v>
    <v>82.67</v>
    <v>USD</v>
    <v>KKR &amp; CO. INC.</v>
    <v>KKR &amp; CO. INC.</v>
    <v>34.342300000000002</v>
    <v>107.72499999999999</v>
    <v>Investment Banking &amp; Investment Services</v>
    <v>30 Hudson Yards, NEW YORK, NY, 10001 US</v>
    <v>KKR</v>
    <v>Acciones</v>
    <v>KKR &amp; CO. INC. (XNYS:KKR)</v>
    <v>1407436</v>
    <v>4782292</v>
  </rv>
  <rv s="2">
    <v>79</v>
  </rv>
  <rv s="0">
    <v>https://www.bing.com/financeapi/forcetrigger?t=brh6oc&amp;q=XNYS%3aNET&amp;form=skydnc</v>
    <v>Learn more on Bing</v>
  </rv>
  <rv s="1">
    <v>es-ES</v>
    <v>brh6oc</v>
    <v>268435456</v>
    <v>1</v>
    <v>Con tecnología de Refinitiv</v>
    <v>0</v>
    <v>1</v>
    <v>CLOUDFLARE, INC. (XNYS:NET)</v>
    <v>3</v>
    <v>4</v>
    <v>Finance</v>
    <v>5</v>
    <v>XNYS</v>
    <v>356079700</v>
    <v>2009</v>
    <v>285.42</v>
    <v>1.6548</v>
    <v>-2.96</v>
    <v>-1.0558000000000001E-2</v>
    <v>98772947983</v>
    <v>280.35000000000002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46259.828989062502</v>
    <v>New York Stock Exchange</v>
    <v>81</v>
    <v>287</v>
    <v>332.22</v>
    <v>273.21010000000001</v>
    <v>158.83000000000001</v>
    <v>USD</v>
    <v>CLOUDFLARE, INC.</v>
    <v>CLOUDFLARE, INC.</v>
    <v>0</v>
    <v>277.39</v>
    <v>Software &amp; IT Services</v>
    <v>101 Townsend St, SAN FRANCISCO, CA, 94107-1934 US</v>
    <v>NET</v>
    <v>Acciones</v>
    <v>CLOUDFLARE, INC. (XNYS:NET)</v>
    <v>1385138</v>
    <v>3817041</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191.25</v>
    <v>1.2294</v>
    <v>-5.4749999999999996</v>
    <v>-2.8713000000000002E-2</v>
    <v>188598326010</v>
    <v>190.68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46259.829008263281</v>
    <v>Nasdaq Stock Market</v>
    <v>84</v>
    <v>194.45</v>
    <v>227.5</v>
    <v>182.35</v>
    <v>85.68</v>
    <v>USD</v>
    <v>CROWDSTRIKE HOLDINGS, INC.</v>
    <v>CROWDSTRIKE HOLDINGS, INC.</v>
    <v>0</v>
    <v>185.20500000000001</v>
    <v>Software &amp; IT Services</v>
    <v>206 E. 9TH STREET, SUITE 1400, AUSTIN, TX, 78701 US</v>
    <v>CRWD</v>
    <v>Acciones</v>
    <v>CROWDSTRIKE HOLDINGS, INC. (XNAS:CRWD)</v>
    <v>6664502</v>
    <v>7663469</v>
  </rv>
  <rv s="2">
    <v>85</v>
  </rv>
  <rv s="0">
    <v>https://www.bing.com/financeapi/forcetrigger?t=a1u3p2&amp;q=XNAS%3aGOOG&amp;form=skydnc</v>
    <v>Learn more on Bing</v>
  </rv>
  <rv s="1">
    <v>es-ES</v>
    <v>a1u3p2</v>
    <v>268435456</v>
    <v>1</v>
    <v>Con tecnología de Refinitiv</v>
    <v>0</v>
    <v>1</v>
    <v>ALPHABET INC. (XNAS:GOOG)</v>
    <v>3</v>
    <v>4</v>
    <v>Finance</v>
    <v>5</v>
    <v>XNAS</v>
    <v>12230000000</v>
    <v>2015</v>
    <v>345.61</v>
    <v>1.2306999999999999</v>
    <v>-0.82489999999999997</v>
    <v>-2.3939999999999999E-3</v>
    <v>4204247173000</v>
    <v>344.59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46259.829016642965</v>
    <v>Nasdaq Stock Market</v>
    <v>87</v>
    <v>346.7</v>
    <v>404.47</v>
    <v>342.14499999999998</v>
    <v>205.95</v>
    <v>USD</v>
    <v>ALPHABET INC.</v>
    <v>ALPHABET INC.</v>
    <v>17.279900000000001</v>
    <v>343.76510000000002</v>
    <v>Software &amp; IT Services</v>
    <v>1600 Amphitheatre Parkway, MOUNTAIN VIEW, CA, 94043 US</v>
    <v>GOOG</v>
    <v>Acciones</v>
    <v>ALPHABET INC. (XNAS:GOOG)</v>
    <v>7457351</v>
    <v>19444835</v>
  </rv>
  <rv s="2">
    <v>88</v>
  </rv>
  <rv s="8">
    <v>es-ES</v>
    <v>cjjy9c</v>
    <v>268435456</v>
    <v>1</v>
    <v>Con tecnología de Refinitiv</v>
    <v>29</v>
    <v>30</v>
    <v>Abb Ltd (XSWX:ABBNE)</v>
    <v>26</v>
    <v>31</v>
    <v>Finance</v>
    <v>13</v>
    <v>XSWX</v>
    <v>1823154000</v>
    <v>1999</v>
    <v>79.52</v>
    <v>1.1416999999999999</v>
    <v>1.48</v>
    <v>1.8881999999999999E-2</v>
    <v>142783400000</v>
    <v>78.38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46259.63559027778</v>
    <v>SIX Swiss Exchange</v>
    <v>80.400000000000006</v>
    <v>79.16</v>
    <v>CHF</v>
    <v>Abb Ltd</v>
    <v>Abb Ltd</v>
    <v>79.86</v>
    <v>Machinery, Equipment &amp; Components</v>
    <v>Affolternstrasse 44, ZUERICH, ZUERICH, 8050 CH</v>
    <v>ABBNE</v>
    <v>Acciones</v>
    <v>Abb Ltd (XSWX:ABBNE)</v>
    <v>74553</v>
    <v>1683890</v>
  </rv>
  <rv s="2">
    <v>90</v>
  </rv>
  <rv s="0">
    <v>https://www.bing.com/financeapi/forcetrigger?t=a1u6sm&amp;q=XNYS%3aGRMN&amp;form=skydnc</v>
    <v>Learn more on Bing</v>
  </rv>
  <rv s="1">
    <v>es-ES</v>
    <v>a1u6sm</v>
    <v>268435456</v>
    <v>1</v>
    <v>Con tecnología de Refinitiv</v>
    <v>0</v>
    <v>1</v>
    <v>Garmin Ltd. (XNYS:GRMN)</v>
    <v>3</v>
    <v>4</v>
    <v>Finance</v>
    <v>5</v>
    <v>XNYS</v>
    <v>192852500</v>
    <v>2010</v>
    <v>292.01</v>
    <v>0.87039999999999995</v>
    <v>-2.2349999999999999</v>
    <v>-7.6739999999999994E-3</v>
    <v>55737265287</v>
    <v>291.25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46259.82903050859</v>
    <v>New York Stock Exchange</v>
    <v>92</v>
    <v>294.99</v>
    <v>314.27999999999997</v>
    <v>286.95</v>
    <v>186.67</v>
    <v>USD</v>
    <v>Garmin Ltd.</v>
    <v>Garmin Ltd.</v>
    <v>29.805199999999999</v>
    <v>289.01499999999999</v>
    <v>Communications &amp; Networking</v>
    <v>Muehlentalstrasse 2, SCHAFFHAUSEN, SCHAFFHAUSEN, 8200 CH</v>
    <v>GRMN</v>
    <v>Acciones</v>
    <v>Garmin Ltd. (XNYS:GRMN)</v>
    <v>382888</v>
    <v>1036306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98.6</v>
    <v>1.2549999999999999</v>
    <v>-0.6</v>
    <v>-5.8370000000000002E-3</v>
    <v>18181290000</v>
    <v>102.8</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46259.754861111112</v>
    <v>Deutsche Boerse AG</v>
    <v>95</v>
    <v>102.2</v>
    <v>108.4</v>
    <v>98.6</v>
    <v>32.01</v>
    <v>EUR</v>
    <v>KINGSPAN GROUP PUBLIC LIMITED COMPANY</v>
    <v>KINGSPAN GROUP PUBLIC LIMITED COMPANY</v>
    <v>27.036999999999999</v>
    <v>102.2</v>
    <v>Homebuilding &amp; Construction Supplies</v>
    <v>Dublin Road,, KINGSCOURT, CAVAN, A82 XY31 IE</v>
    <v>KRX</v>
    <v>Acciones</v>
    <v>KINGSPAN GROUP PUBLIC LIMITED COMPANY (XFRA:KRX)</v>
    <v>114</v>
    <v>447680</v>
  </rv>
  <rv s="2">
    <v>96</v>
  </rv>
  <rv s="0">
    <v>https://www.bing.com/financeapi/forcetrigger?t=bpiour&amp;q=OTCM%3aKAKZF&amp;form=skydnc</v>
    <v>Learn more on Bing</v>
  </rv>
  <rv s="1">
    <v>es-ES</v>
    <v>bpiour</v>
    <v>268435456</v>
    <v>1</v>
    <v>Con tecnología de Refinitiv</v>
    <v>0</v>
    <v>1</v>
    <v>Kaspi.kz AO (XNAS:KSPI)</v>
    <v>3</v>
    <v>4</v>
    <v>Finance</v>
    <v>5</v>
    <v>XNAS</v>
    <v>189333500</v>
    <v>2008</v>
    <v>106.5</v>
    <v>0.20369999999999999</v>
    <v>2.33</v>
    <v>2.1886000000000003E-2</v>
    <v>20597591465</v>
    <v>106.46</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46259.828997939061</v>
    <v>Nasdaq Stock Market</v>
    <v>98</v>
    <v>108.79</v>
    <v>108.79</v>
    <v>105.1</v>
    <v>68.59</v>
    <v>USD</v>
    <v>Kaspi.kz AO</v>
    <v>Kaspi.kz AO</v>
    <v>9.3363999999999994</v>
    <v>108.79</v>
    <v>Financial Technology (Fintech) &amp; Infrastructure</v>
    <v>Bostandykskiy Rayon, Ul. Nauryzbay Batyra, 154A, ALMATY, ALMATY, 050013 KZ</v>
    <v>KSPI</v>
    <v>Acciones</v>
    <v>Kaspi.kz AO (XNAS:KSPI)</v>
    <v>643071</v>
    <v>542477</v>
  </rv>
  <rv s="2">
    <v>99</v>
  </rv>
  <rv s="0">
    <v>https://www.bing.com/financeapi/forcetrigger?t=amft3m&amp;q=BMEX%3aCBAV&amp;form=skydnc</v>
    <v>Learn more on Bing</v>
  </rv>
  <rv s="9">
    <v>es-ES</v>
    <v>amft3m</v>
    <v>268435456</v>
    <v>1</v>
    <v>Con tecnología de Refinitiv</v>
    <v>32</v>
    <v>33</v>
    <v>CLINICA BAVIERA S.A (BMEX:CBAV)</v>
    <v>3</v>
    <v>34</v>
    <v>Finance</v>
    <v>13</v>
    <v>BMEX</v>
    <v>16307580</v>
    <v>58.2</v>
    <v>0.70199999999999996</v>
    <v>0.2</v>
    <v>3.4009999999999999E-3</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46259.666666666664</v>
    <v>Bolsas y Mercados Espanoles</v>
    <v>101</v>
    <v>59</v>
    <v>62</v>
    <v>58.2</v>
    <v>40.1</v>
    <v>EUR</v>
    <v>CLINICA BAVIERA S.A</v>
    <v>CLINICA BAVIERA S.A</v>
    <v>20.5962</v>
    <v>59</v>
    <v>Healthcare Providers &amp; Services</v>
    <v>Paseo de la Castellana 20, MADRID, MADRID, 28046 ES</v>
    <v>CBAV</v>
    <v>Acciones</v>
    <v>CLINICA BAVIERA S.A (BMEX:CBAV)</v>
    <v>133</v>
    <v>1660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210.8</v>
    <v>2.2109999999999999</v>
    <v>4.2350000000000003</v>
    <v>2.0314000000000002E-2</v>
    <v>5147703000000</v>
    <v>208.48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46259.829004640625</v>
    <v>Nasdaq Stock Market</v>
    <v>104</v>
    <v>214.72909999999999</v>
    <v>236.54</v>
    <v>210.11</v>
    <v>164.07</v>
    <v>USD</v>
    <v>NVIDIA CORPORATION</v>
    <v>NVIDIA CORPORATION</v>
    <v>32.575000000000003</v>
    <v>212.715</v>
    <v>Semiconductors &amp; Semiconductor Equipment</v>
    <v>2788 San Tomas Expressway, SANTA CLARA, CA, 95051 US</v>
    <v>NVDA</v>
    <v>Acciones</v>
    <v>NVIDIA CORPORATION (XNAS:NVDA)</v>
    <v>88410411</v>
    <v>117539452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6.99</v>
    <v>0.43309999999999998</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46259.666666666664</v>
    <v>Euronext Lisbon</v>
    <v>107</v>
    <v>7.09</v>
    <v>7.9</v>
    <v>6.99</v>
    <v>6.04</v>
    <v>EUR</v>
    <v>Corticeira Amori</v>
    <v>Corticeira Amori</v>
    <v>21.4069</v>
    <v>7.06</v>
    <v>Paper &amp; Forest Products</v>
    <v>Rua Comendador Americo Ferreira Amorim, N 380, Apartado 20, Mozelos, AVEIRO, 4536-902 PT</v>
    <v>COR</v>
    <v>Acciones</v>
    <v>Corticeira Amori (XLIS:COR)</v>
    <v>122430</v>
    <v>114900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414.91</v>
    <v>1.3940999999999999</v>
    <v>6.35</v>
    <v>1.5483E-2</v>
    <v>2160010826780</v>
    <v>410.12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46259.829015207812</v>
    <v>New York Stock Exchange</v>
    <v>110</v>
    <v>419.76949999999999</v>
    <v>479</v>
    <v>414.03</v>
    <v>225.6301</v>
    <v>USD</v>
    <v>Taiwan Semiconductor Manufacturing Company Limited</v>
    <v>Taiwan Semiconductor Manufacturing Company Limited</v>
    <v>30.291399999999999</v>
    <v>416.47</v>
    <v>Semiconductors &amp; Semiconductor Equipment</v>
    <v>No.8, Li-Hsin 6th Road, Hsinchu Science Park, HSINCHU, HSINCHU, 300 TW</v>
    <v>TSM</v>
    <v>Acciones</v>
    <v>Taiwan Semiconductor Manufacturing Company Limited (XNYS:TSM)</v>
    <v>5714738</v>
    <v>12203006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532.49</v>
    <v>1.5842000000000001</v>
    <v>12.88</v>
    <v>2.3948000000000001E-2</v>
    <v>113191794624</v>
    <v>537.84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46259.82901400391</v>
    <v>New York Stock Exchange</v>
    <v>113</v>
    <v>554.21</v>
    <v>745</v>
    <v>532.49</v>
    <v>405</v>
    <v>USD</v>
    <v>Spotify Technology S.A.</v>
    <v>Spotify Technology S.A.</v>
    <v>30.428999999999998</v>
    <v>550.72</v>
    <v>Software &amp; IT Services</v>
    <v>33, Boulevard Prince Henri, LUXEMBOURG, 1724 LU</v>
    <v>SPOT</v>
    <v>Acciones</v>
    <v>Spotify Technology S.A. (XNYS:SPOT)</v>
    <v>1051649</v>
    <v>2048995</v>
  </rv>
  <rv s="2">
    <v>114</v>
  </rv>
  <rv s="0">
    <v>https://www.bing.com/financeapi/forcetrigger?t=ajg6ec&amp;q=XMIL%3aPRY&amp;form=skydnc</v>
    <v>Learn more on Bing</v>
  </rv>
  <rv s="9">
    <v>es-ES</v>
    <v>ajg6ec</v>
    <v>268435456</v>
    <v>1</v>
    <v>Con tecnología de Refinitiv</v>
    <v>32</v>
    <v>33</v>
    <v>Prysmian S.p.A. (XMIL:PRY)</v>
    <v>3</v>
    <v>34</v>
    <v>Finance</v>
    <v>35</v>
    <v>XMIL</v>
    <v>301836800</v>
    <v>119.9</v>
    <v>0.98719999999999997</v>
    <v>3.4</v>
    <v>2.8912E-2</v>
    <v>35496010000</v>
    <v>117.6</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46259.666666666664</v>
    <v>Borsa Italiana</v>
    <v>116</v>
    <v>123.25</v>
    <v>157.25</v>
    <v>119.8</v>
    <v>73.12</v>
    <v>EUR</v>
    <v>Prysmian S.p.A.</v>
    <v>Prysmian S.p.A.</v>
    <v>24.757000000000001</v>
    <v>121</v>
    <v>Machinery, Equipment &amp; Components</v>
    <v>Via Chiese 6, MILANO, MILANO, 20126 IT</v>
    <v>PRY</v>
    <v>Acciones</v>
    <v>Prysmian S.p.A. (XMIL:PRY)</v>
    <v>1043254</v>
    <v>1037820</v>
  </rv>
  <rv s="2">
    <v>117</v>
  </rv>
  <rv s="0">
    <v>https://www.bing.com/financeapi/forcetrigger?t=an2bf2&amp;q=XSWX%3aJFN&amp;form=skydnc</v>
    <v>Learn more on Bing</v>
  </rv>
  <rv s="6">
    <v>es-ES</v>
    <v>an2bf2</v>
    <v>268435456</v>
    <v>1</v>
    <v>Con tecnología de Refinitiv</v>
    <v>18</v>
    <v>19</v>
    <v>Jungfraubahn (XSWX:JFN)</v>
    <v>3</v>
    <v>27</v>
    <v>Finance</v>
    <v>28</v>
    <v>XSWX</v>
    <v>5835000</v>
    <v>1952</v>
    <v>251</v>
    <v>0.56010000000000004</v>
    <v>3.5</v>
    <v>-3.9290000000000002E-3</v>
    <v>1.3944000000000002E-2</v>
    <v>-1</v>
    <v>1464585000</v>
    <v>251</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46259.652777777781</v>
    <v>SIX Swiss Exchange</v>
    <v>119</v>
    <v>255</v>
    <v>327</v>
    <v>251</v>
    <v>201</v>
    <v>CHF</v>
    <v>Jungfraubahn</v>
    <v>Jungfraubahn</v>
    <v>18.713200000000001</v>
    <v>254.5</v>
    <v>253.5</v>
    <v>Hotels &amp; Entertainment Services</v>
    <v>Harderstrasse 14, BERN, 3800 CH</v>
    <v>JFN</v>
    <v>Acciones</v>
    <v>Jungfraubahn (XSWX:JFN)</v>
    <v>5603</v>
    <v>6270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5.9740000000000002</v>
    <v>0.32779999999999998</v>
    <v>-7.1999999999999995E-2</v>
    <v>-1.2052E-2</v>
    <v>7355593000</v>
    <v>5.9740000000000002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46259.666666666664</v>
    <v>Borsa Italiana</v>
    <v>122</v>
    <v>6</v>
    <v>6.82</v>
    <v>5.8920000000000003</v>
    <v>5.27</v>
    <v>EUR</v>
    <v>Davide Campari Milano NV</v>
    <v>Davide Campari Milano NV</v>
    <v>25.897300000000001</v>
    <v>5.9020000000000001</v>
    <v>Beverages</v>
    <v>Via Sacchetti, 20, SESTO SAN GIOVANNI, MILANO, 20099 IT</v>
    <v>CPR</v>
    <v>Acciones</v>
    <v>Davide Campari Milano NV (XMIL:CPR)</v>
    <v>3135656</v>
    <v>3856410</v>
  </rv>
  <rv s="2">
    <v>123</v>
  </rv>
  <rv s="0">
    <v>https://www.bing.com/financeapi/forcetrigger?t=b1lbp2&amp;q=XSWX%3aSIKA&amp;form=skydnc</v>
    <v>Learn more on Bing</v>
  </rv>
  <rv s="6">
    <v>es-ES</v>
    <v>b1lbp2</v>
    <v>268435456</v>
    <v>1</v>
    <v>Con tecnología de Refinitiv</v>
    <v>18</v>
    <v>19</v>
    <v>Sika Ltd (XSWX:SIKA)</v>
    <v>3</v>
    <v>27</v>
    <v>Finance</v>
    <v>28</v>
    <v>XSWX</v>
    <v>160479300</v>
    <v>1971</v>
    <v>188</v>
    <v>1.6383000000000001</v>
    <v>2.85</v>
    <v>-1.5759999999999999E-3</v>
    <v>1.52E-2</v>
    <v>-0.3</v>
    <v>30089870000</v>
    <v>187.5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46259.818414351852</v>
    <v>SIX Swiss Exchange</v>
    <v>125</v>
    <v>191.5</v>
    <v>197.6</v>
    <v>187.1</v>
    <v>120.35</v>
    <v>CHF</v>
    <v>Sika Ltd</v>
    <v>Sika Ltd</v>
    <v>29.375</v>
    <v>190.35</v>
    <v>190.05</v>
    <v>Chemicals</v>
    <v>Zugerstrasse 50, BAAR, ZUG, 6340 CH</v>
    <v>SIKA</v>
    <v>Acciones</v>
    <v>Sika Ltd (XSWX:SIKA)</v>
    <v>293223</v>
    <v>313960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129.80000000000001</v>
    <v>0.49270000000000003</v>
    <v>-0.89</v>
    <v>-6.8200000000000005E-3</v>
    <v>13233258766</v>
    <v>130.5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46259.828961157029</v>
    <v>Nasdaq Stock Market</v>
    <v>128</v>
    <v>130.35</v>
    <v>210.66</v>
    <v>127.645</v>
    <v>112.23</v>
    <v>USD</v>
    <v>CHECK POINT SOFTWARE TECHNOLOGIES LTD.</v>
    <v>CHECK POINT SOFTWARE TECHNOLOGIES LTD.</v>
    <v>13.2774</v>
    <v>129.61000000000001</v>
    <v>Software &amp; IT Services</v>
    <v>5 Shlomo Kaplan Street, TEL AVIV, TEL AVIV, 6789159 IL</v>
    <v>CHKP</v>
    <v>Acciones</v>
    <v>CHECK POINT SOFTWARE TECHNOLOGIES LTD. (XNAS:CHKP)</v>
    <v>584269</v>
    <v>1187282</v>
  </rv>
  <rv s="2">
    <v>129</v>
  </rv>
  <rv s="0">
    <v>https://www.bing.com/financeapi/forcetrigger?t=ajgoa2&amp;q=XMIL%3aTGYM&amp;form=skydnc</v>
    <v>Learn more on Bing</v>
  </rv>
  <rv s="9">
    <v>es-ES</v>
    <v>ajgoa2</v>
    <v>268435456</v>
    <v>1</v>
    <v>Con tecnología de Refinitiv</v>
    <v>32</v>
    <v>33</v>
    <v>Technogym S.p.A. (XMIL:TGYM)</v>
    <v>3</v>
    <v>34</v>
    <v>Finance</v>
    <v>35</v>
    <v>XMIL</v>
    <v>201327500</v>
    <v>13.04</v>
    <v>0.84530000000000005</v>
    <v>0.04</v>
    <v>3.094E-3</v>
    <v>2603165000</v>
    <v>12.93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46259.666666666664</v>
    <v>Borsa Italiana</v>
    <v>131</v>
    <v>13.13</v>
    <v>21.82</v>
    <v>12.96</v>
    <v>12.92</v>
    <v>EUR</v>
    <v>Technogym S.p.A.</v>
    <v>Technogym S.p.A.</v>
    <v>22.5213</v>
    <v>12.97</v>
    <v>Leisure Products</v>
    <v>Via Calcinaro, 2861, CESENA, FORLI CESENA, 47521 IT</v>
    <v>TGYM</v>
    <v>Acciones</v>
    <v>Technogym S.p.A. (XMIL:TGYM)</v>
    <v>168721</v>
    <v>321200</v>
  </rv>
  <rv s="2">
    <v>132</v>
  </rv>
  <rv s="0">
    <v>https://www.bing.com/financeapi/forcetrigger?t=amg4gh&amp;q=BMEX%3aVID&amp;form=skydnc</v>
    <v>Learn more on Bing</v>
  </rv>
  <rv s="9">
    <v>es-ES</v>
    <v>amg4gh</v>
    <v>268435456</v>
    <v>1</v>
    <v>Con tecnología de Refinitiv</v>
    <v>32</v>
    <v>33</v>
    <v>VIDRALA, S.A. (BMEX:VID)</v>
    <v>3</v>
    <v>34</v>
    <v>Finance</v>
    <v>13</v>
    <v>BMEX</v>
    <v>35206260</v>
    <v>90</v>
    <v>1.0364</v>
    <v>0</v>
    <v>0</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46259.666666666664</v>
    <v>Bolsas y Mercados Espanoles</v>
    <v>134</v>
    <v>91</v>
    <v>92.8</v>
    <v>89.9</v>
    <v>70.400000000000006</v>
    <v>EUR</v>
    <v>VIDRALA, S.A.</v>
    <v>VIDRALA, S.A.</v>
    <v>14.5563</v>
    <v>90.9</v>
    <v>Containers &amp; Packaging</v>
    <v>Barrio Munegazo, 22, LLODIO, ALAVA, 01400 ES</v>
    <v>VID</v>
    <v>Acciones</v>
    <v>VIDRALA, S.A. (BMEX:VID)</v>
    <v>22124</v>
    <v>21130</v>
  </rv>
  <rv s="2">
    <v>135</v>
  </rv>
  <rv s="0">
    <v>https://www.bing.com/financeapi/forcetrigger?t=c276a2&amp;q=XTSE%3aTFPM&amp;form=skydnc</v>
    <v>Learn more on Bing</v>
  </rv>
  <rv s="1">
    <v>es-ES</v>
    <v>c276a2</v>
    <v>268435456</v>
    <v>1</v>
    <v>Con tecnología de Refinitiv</v>
    <v>0</v>
    <v>1</v>
    <v>Triple Flag Prec (XTSE:TFPM)</v>
    <v>3</v>
    <v>36</v>
    <v>Finance</v>
    <v>37</v>
    <v>XTSE</v>
    <v>206003000</v>
    <v>2019</v>
    <v>47.25</v>
    <v>0.3654</v>
    <v>1.2</v>
    <v>2.4958000000000001E-2</v>
    <v>10151827840</v>
    <v>48.08</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46259.818495370368</v>
    <v>Toronto Stock Exchange</v>
    <v>137</v>
    <v>49.365000000000002</v>
    <v>57.26</v>
    <v>47.15</v>
    <v>35.950000000000003</v>
    <v>CAD</v>
    <v>Triple Flag Prec</v>
    <v>Triple Flag Prec</v>
    <v>17.436199999999999</v>
    <v>49.28</v>
    <v>Metals &amp; Mining</v>
    <v>TD Canada Trust Tower, 161 Bay Street, Suite 4535, Toronto, ON, M5J 2S1 CA</v>
    <v>TFPM</v>
    <v>Acciones</v>
    <v>Triple Flag Prec (XTSE:TFPM)</v>
    <v>126600</v>
    <v>238650</v>
  </rv>
  <rv s="2">
    <v>138</v>
  </rv>
  <rv s="0">
    <v>https://www.bing.com/financeapi/forcetrigger?t=a1ygoc&amp;q=XNAS%3aNFLX&amp;form=skydnc</v>
    <v>Learn more on Bing</v>
  </rv>
  <rv s="1">
    <v>es-ES</v>
    <v>a1ygoc</v>
    <v>268435456</v>
    <v>1</v>
    <v>Con tecnología de Refinitiv</v>
    <v>0</v>
    <v>1</v>
    <v>NETFLIX, INC. (XNAS:NFLX)</v>
    <v>3</v>
    <v>4</v>
    <v>Finance</v>
    <v>5</v>
    <v>XNAS</v>
    <v>4163939000</v>
    <v>1997</v>
    <v>79.510000000000005</v>
    <v>1.5216000000000001</v>
    <v>2.335</v>
    <v>2.9184000000000002E-2</v>
    <v>342879556955</v>
    <v>80.010000000000005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46259.829037823438</v>
    <v>Nasdaq Stock Market</v>
    <v>140</v>
    <v>82.454999999999998</v>
    <v>126.71</v>
    <v>79.400000000000006</v>
    <v>65.08</v>
    <v>USD</v>
    <v>NETFLIX, INC.</v>
    <v>NETFLIX, INC.</v>
    <v>25.942</v>
    <v>82.344999999999999</v>
    <v>Software &amp; IT Services</v>
    <v>121 Albright Way, LOS GATOS, CA, 95032 US</v>
    <v>NFLX</v>
    <v>Acciones</v>
    <v>NETFLIX, INC. (XNAS:NFLX)</v>
    <v>22268965</v>
    <v>35113398</v>
  </rv>
  <rv s="2">
    <v>141</v>
  </rv>
  <rv s="0">
    <v>https://www.bing.com/financeapi/forcetrigger?t=a1yjxm&amp;q=XNYS%3aNKE&amp;form=skydnc</v>
    <v>Learn more on Bing</v>
  </rv>
  <rv s="1">
    <v>es-ES</v>
    <v>a1yjxm</v>
    <v>268435456</v>
    <v>1</v>
    <v>Con tecnología de Refinitiv</v>
    <v>0</v>
    <v>1</v>
    <v>NIKE, INC. (XNYS:NKE)</v>
    <v>3</v>
    <v>4</v>
    <v>Finance</v>
    <v>5</v>
    <v>XNYS</v>
    <v>1483499000</v>
    <v>1969</v>
    <v>39.6</v>
    <v>1.1161000000000001</v>
    <v>-1.28</v>
    <v>-3.1410999999999994E-2</v>
    <v>58553705530</v>
    <v>40.75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46259.829026145315</v>
    <v>New York Stock Exchange</v>
    <v>143</v>
    <v>39.865000000000002</v>
    <v>80.165000000000006</v>
    <v>39.03</v>
    <v>38.86</v>
    <v>USD</v>
    <v>NIKE, INC.</v>
    <v>NIKE, INC.</v>
    <v>18.811399999999999</v>
    <v>39.47</v>
    <v>Textiles &amp; Apparel</v>
    <v>One Bowerman Dr, BEAVERTON, OR, 97005-6453 US</v>
    <v>NKE</v>
    <v>Acciones</v>
    <v>NIKE, INC. (XNYS:NKE)</v>
    <v>33114441</v>
    <v>23006900</v>
  </rv>
  <rv s="2">
    <v>144</v>
  </rv>
  <rv s="0">
    <v>https://www.bing.com/financeapi/forcetrigger?t=amwwgh&amp;q=XSTO%3aMIPS&amp;form=skydnc</v>
    <v>Learn more on Bing</v>
  </rv>
  <rv s="10">
    <v>es-ES</v>
    <v>amwwgh</v>
    <v>268435456</v>
    <v>1</v>
    <v>Con tecnología de Refinitiv</v>
    <v>38</v>
    <v>39</v>
    <v>MIPS (XSTO:MIPS)</v>
    <v>3</v>
    <v>40</v>
    <v>Finance</v>
    <v>21</v>
    <v>XSTO</v>
    <v>26491120</v>
    <v>2001</v>
    <v>366.2</v>
    <v>2.0165999999999999</v>
    <v>3.4</v>
    <v>0</v>
    <v>9.3610000000000013E-3</v>
    <v>0</v>
    <v>9621575000</v>
    <v>363.2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46259.666666666664</v>
    <v>NASDAQ Stockholm</v>
    <v>146</v>
    <v>372</v>
    <v>360.6</v>
    <v>SEK</v>
    <v>MIPS</v>
    <v>MIPS</v>
    <v>58.655999999999999</v>
    <v>366.6</v>
    <v>366.6</v>
    <v>Leisure Products</v>
    <v>Kemistvagen 1B, STOCKHOLM, 183 79 SE</v>
    <v>MIPS</v>
    <v>Acciones</v>
    <v>MIPS (XSTO:MIPS)</v>
    <v>65660</v>
    <v>92810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237.21</v>
    <v>1.1198999999999999</v>
    <v>-3.9950000000000001</v>
    <v>-1.6896000000000001E-2</v>
    <v>44969047378</v>
    <v>236.45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46259.828951863281</v>
    <v>New York Stock Exchange</v>
    <v>149</v>
    <v>237.76499999999999</v>
    <v>271.64</v>
    <v>232.1901</v>
    <v>207.64</v>
    <v>USD</v>
    <v>FERGUSON ENTERPRISES INC.</v>
    <v>FERGUSON ENTERPRISES INC.</v>
    <v>22.874700000000001</v>
    <v>232.45500000000001</v>
    <v>Homebuilding &amp; Construction Supplies</v>
    <v>751 Lakefront Commons, NEWPORT NEWS, VA, 23606 US</v>
    <v>FERG</v>
    <v>Acciones</v>
    <v>FERGUSON ENTERPRISES INC. (XNYS:FERG)</v>
    <v>1241057</v>
    <v>3782353</v>
  </rv>
  <rv s="2">
    <v>150</v>
  </rv>
  <rv s="0">
    <v>https://www.bing.com/financeapi/forcetrigger?t=c2kadm&amp;q=XNYS%3aS&amp;form=skydnc</v>
    <v>Learn more on Bing</v>
  </rv>
  <rv s="1">
    <v>es-ES</v>
    <v>c2kadm</v>
    <v>268435456</v>
    <v>1</v>
    <v>Con tecnología de Refinitiv</v>
    <v>0</v>
    <v>1</v>
    <v>SENTINELONE, INC. (XNYS:S)</v>
    <v>3</v>
    <v>4</v>
    <v>Finance</v>
    <v>5</v>
    <v>XNYS</v>
    <v>342803700</v>
    <v>2013</v>
    <v>20.76</v>
    <v>0.76</v>
    <v>-0.56499999999999995</v>
    <v>-2.7136999999999998E-2</v>
    <v>6943488943</v>
    <v>20.82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46259.829034039059</v>
    <v>New York Stock Exchange</v>
    <v>152</v>
    <v>20.91</v>
    <v>23.95</v>
    <v>19.934999999999999</v>
    <v>11.81</v>
    <v>USD</v>
    <v>SENTINELONE, INC.</v>
    <v>SENTINELONE, INC.</v>
    <v>0</v>
    <v>20.254999999999999</v>
    <v>Software &amp; IT Services</v>
    <v>444 Castro Street, Suite 400, MOUNTAIN VIEW, CA, 94041 US</v>
    <v>S</v>
    <v>Acciones</v>
    <v>SENTINELONE, INC. (XNYS:S)</v>
    <v>3458387</v>
    <v>6492375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47.75</v>
    <v>1.4733000000000001</v>
    <v>-0.49</v>
    <v>-1.0366E-2</v>
    <v>4765254056</v>
    <v>47.27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46259.82898721016</v>
    <v>New York Stock Exchange</v>
    <v>155</v>
    <v>48</v>
    <v>66.055000000000007</v>
    <v>46.486800000000002</v>
    <v>29.77</v>
    <v>USD</v>
    <v>TREX COMPANY, INC.</v>
    <v>TREX COMPANY, INC.</v>
    <v>27.608599999999999</v>
    <v>46.78</v>
    <v>Homebuilding &amp; Construction Supplies</v>
    <v>2500 TREX WAY, WINCHESTER, VA, 22601 US</v>
    <v>TREX</v>
    <v>Acciones</v>
    <v>TREX COMPANY, INC. (XNYS:TREX)</v>
    <v>856422</v>
    <v>2039791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1.4041999999999999</v>
    <v>1.02</v>
    <v>1.2712000000000001E-2</v>
    <v>39705480000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46259.666666666664</v>
    <v>Euronext Paris</v>
    <v>158</v>
    <v>81.64</v>
    <v>97.84</v>
    <v>80.08</v>
    <v>65.88</v>
    <v>EUR</v>
    <v>Compagnie de Saint Gobain SA</v>
    <v>Compagnie de Saint Gobain SA</v>
    <v>14.949</v>
    <v>81.260000000000005</v>
    <v>Homebuilding &amp; Construction Supplies</v>
    <v>Tour Saint-Gobain, 12 place de l'Iris, La Defense Cedex, 92096 FR</v>
    <v>SGO</v>
    <v>Acciones</v>
    <v>Compagnie de Saint Gobain SA (XPAR:SGO)</v>
    <v>673629</v>
    <v>833630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0.56579999999999997</v>
    <v>-0.12</v>
    <v>-7.143E-3</v>
    <v>364224000</v>
    <v>16.8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46259.666666666664</v>
    <v>Euronext Paris</v>
    <v>161</v>
    <v>16.899999999999999</v>
    <v>20</v>
    <v>16.68</v>
    <v>14.65</v>
    <v>EUR</v>
    <v>Tonnellerie FF</v>
    <v>Tonnellerie FF</v>
    <v>15.438700000000001</v>
    <v>16.68</v>
    <v>Containers &amp; Packaging</v>
    <v>Route departementale 17, Saint-Romain, SAINT-ROMAIN-AU-MONT-D OR, AUVERGNE-RHONE-ALPES, 21190 FR</v>
    <v>TFF</v>
    <v>Acciones</v>
    <v>Tonnellerie FF (XPAR:TFF)</v>
    <v>510</v>
    <v>6040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v>
    <v>0.93210000000000004</v>
    <v>0.47</v>
    <v>1.3416999999999998E-2</v>
    <v>8982742500</v>
    <v>35.03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46259.829011515627</v>
    <v>Nasdaq Stock Market</v>
    <v>164</v>
    <v>35.65</v>
    <v>66.739999999999995</v>
    <v>34.590000000000003</v>
    <v>23.555</v>
    <v>USD</v>
    <v>CELSIUS HOLDINGS, INC.</v>
    <v>CELSIUS HOLDINGS, INC.</v>
    <v>152.6225</v>
    <v>35.5</v>
    <v>Beverages</v>
    <v>2424 N. Federal Hwy, Suite 208, BOCA RATON, FL, 33431 US</v>
    <v>CELH</v>
    <v>Acciones</v>
    <v>CELSIUS HOLDINGS, INC. (XNAS:CELH)</v>
    <v>6020025</v>
    <v>12600191</v>
  </rv>
  <rv s="2">
    <v>165</v>
  </rv>
  <rv s="0">
    <v>https://www.bing.com/financeapi/forcetrigger?t=alo1ar&amp;q=XAMS%3aBFIT&amp;form=skydnc</v>
    <v>Learn more on Bing</v>
  </rv>
  <rv s="1">
    <v>es-ES</v>
    <v>alo1ar</v>
    <v>268435456</v>
    <v>1</v>
    <v>Con tecnología de Refinitiv</v>
    <v>0</v>
    <v>1</v>
    <v>Basic-Fit N.V. (XAMS:BFIT)</v>
    <v>3</v>
    <v>12</v>
    <v>Finance</v>
    <v>13</v>
    <v>XAMS</v>
    <v>66000000</v>
    <v>2016</v>
    <v>34</v>
    <v>0.86470000000000002</v>
    <v>-0.18</v>
    <v>-5.3220000000000003E-3</v>
    <v>2232120000</v>
    <v>33.82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46259.666666666664</v>
    <v>Euronext Amsterdam</v>
    <v>167</v>
    <v>34.020000000000003</v>
    <v>36.700000000000003</v>
    <v>33.64</v>
    <v>22.84</v>
    <v>EUR</v>
    <v>Basic-Fit N.V.</v>
    <v>Basic-Fit N.V.</v>
    <v>47.433700000000002</v>
    <v>33.64</v>
    <v>Hotels &amp; Entertainment Services</v>
    <v>Wegalaan 60, HOOFDDORP, NOORD-HOLLAND, 2132JC NL</v>
    <v>BFIT</v>
    <v>Acciones</v>
    <v>Basic-Fit N.V. (XAMS:BFIT)</v>
    <v>75847</v>
    <v>96200</v>
  </rv>
  <rv s="2">
    <v>168</v>
  </rv>
  <rv s="0">
    <v>https://www.bing.com/financeapi/forcetrigger?t=bscvur&amp;q=XWBO%3aVRLA&amp;form=skydnc</v>
    <v>Learn more on Bing</v>
  </rv>
  <rv s="11">
    <v>es-ES</v>
    <v>bscvur</v>
    <v>268435456</v>
    <v>1</v>
    <v>Con tecnología de Refinitiv</v>
    <v>41</v>
    <v>42</v>
    <v>Verallia SA (XWBO:VRLA)</v>
    <v>3</v>
    <v>43</v>
    <v>Finance</v>
    <v>13</v>
    <v>XWBO</v>
    <v>127587300</v>
    <v>2015</v>
    <v>18.45</v>
    <v>1.1122000000000001</v>
    <v>-0.96</v>
    <v>-4.9611999999999996E-2</v>
    <v>2467538000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47.34</v>
    <v>18.39</v>
    <v>Containers &amp; Packaging</v>
    <v>TOUR CARPE DIEM - ESPLANADE NORD, 31 PLACE DES COROLLES, COURBEVOIE, ILE-DE-FRANCE, 92400 FR</v>
    <v>VRLA</v>
    <v>Acciones</v>
    <v>Verallia SA (XWBO:VRLA)</v>
    <v>798</v>
    <v>28540</v>
  </rv>
  <rv s="2">
    <v>171</v>
  </rv>
  <rv s="7">
    <v>es-ES</v>
    <v>c8f4a2</v>
    <v>268435456</v>
    <v>1</v>
    <v>Con tecnología de Refinitiv</v>
    <v>24</v>
    <v>25</v>
    <v>Kistos Holdings (XLON:KIST)</v>
    <v>26</v>
    <v>16</v>
    <v>Finance</v>
    <v>17</v>
    <v>XLON</v>
    <v>83117650</v>
    <v>2022</v>
    <v>287.5</v>
    <v>1.1780999999999999</v>
    <v>-5</v>
    <v>-1.7391E-2</v>
    <v>239018600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46259.631193066409</v>
    <v>London Stock Exchange</v>
    <v>280</v>
    <v>335</v>
    <v>280</v>
    <v>145</v>
    <v>GBp</v>
    <v>Kistos Holdings</v>
    <v>Kistos Holdings</v>
    <v>0</v>
    <v>282.5</v>
    <v>Oil &amp; Gas</v>
    <v>2nd Floor, 3 St James Square, NaN, LONDON, ENGLAND, SW1Y 4JU GB</v>
    <v>KIST</v>
    <v>Acciones</v>
    <v>Kistos Holdings (XLON:KIST)</v>
    <v>54971</v>
    <v>227200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675.5</v>
    <v>2.4213</v>
    <v>6</v>
    <v>8.8370000000000011E-3</v>
    <v>1584118000</v>
    <v>679</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46259.65185256875</v>
    <v>London Stock Exchange</v>
    <v>175</v>
    <v>696.5</v>
    <v>801.5</v>
    <v>675.5</v>
    <v>316.2</v>
    <v>GBp</v>
    <v>Watches of CH</v>
    <v>Watches of CH</v>
    <v>16.239599999999999</v>
    <v>685</v>
    <v>Specialty Retailers</v>
    <v>Aurum House, 2 Elland Road, LEICESTER, LEICESTERSHIRE, LE3 1TT GB</v>
    <v>WOSG</v>
    <v>Acciones</v>
    <v>Watches of CH (XLON:WOSG)</v>
    <v>607013</v>
    <v>447060</v>
  </rv>
  <rv s="2">
    <v>176</v>
  </rv>
  <rv s="0">
    <v>https://www.bing.com/financeapi/forcetrigger?t=aayx5r&amp;q=XTSE%3aIPCO&amp;form=skydnc</v>
    <v>Learn more on Bing</v>
  </rv>
  <rv s="1">
    <v>es-ES</v>
    <v>aayx5r</v>
    <v>268435456</v>
    <v>1</v>
    <v>Con tecnología de Refinitiv</v>
    <v>0</v>
    <v>1</v>
    <v>INTERNATIONAL PETROLEUM CORPORATION (XTSE:IPCO)</v>
    <v>3</v>
    <v>44</v>
    <v>Finance</v>
    <v>37</v>
    <v>XTSE</v>
    <v>112826800</v>
    <v>2017</v>
    <v>34.56</v>
    <v>0.3357</v>
    <v>-0.27</v>
    <v>-7.6659999999999992E-3</v>
    <v>27016750000</v>
    <v>35.22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46259.817511574074</v>
    <v>Toronto Stock Exchange</v>
    <v>178</v>
    <v>35.35</v>
    <v>39.47</v>
    <v>34.450000000000003</v>
    <v>20.74</v>
    <v>CAD</v>
    <v>INTERNATIONAL PETROLEUM CORPORATION</v>
    <v>INTERNATIONAL PETROLEUM CORPORATION</v>
    <v>133.65199999999999</v>
    <v>34.950000000000003</v>
    <v>Oil &amp; Gas</v>
    <v>Suite 2800, 1055 Dunsmuir Street, VANCOUVER, BC, V7X 1L2 CA</v>
    <v>IPCO</v>
    <v>Acciones</v>
    <v>INTERNATIONAL PETROLEUM CORPORATION (XTSE:IPCO)</v>
    <v>121836</v>
    <v>159030</v>
  </rv>
  <rv s="2">
    <v>179</v>
  </rv>
  <rv s="0">
    <v>https://www.bing.com/financeapi/forcetrigger?t=c1w41h&amp;q=XNAS%3aOTLY&amp;form=skydnc</v>
    <v>Learn more on Bing</v>
  </rv>
  <rv s="1">
    <v>es-ES</v>
    <v>c1w41h</v>
    <v>268435456</v>
    <v>1</v>
    <v>Con tecnología de Refinitiv</v>
    <v>0</v>
    <v>1</v>
    <v>Oatly Group (XNAS:OTLY)</v>
    <v>3</v>
    <v>4</v>
    <v>Finance</v>
    <v>5</v>
    <v>XNAS</v>
    <v>31912260</v>
    <v>2016</v>
    <v>15.9</v>
    <v>1.8165</v>
    <v>-0.32</v>
    <v>-2.0131999999999997E-2</v>
    <v>497033449</v>
    <v>15.895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46259.828983517968</v>
    <v>Nasdaq Stock Market</v>
    <v>181</v>
    <v>16.2</v>
    <v>18.84</v>
    <v>15.505000000000001</v>
    <v>8.01</v>
    <v>USD</v>
    <v>Oatly Group</v>
    <v>Oatly Group</v>
    <v>0</v>
    <v>15.574999999999999</v>
    <v>Food &amp; Tobacco</v>
    <v>Angfarjekajen 8, MALMO, SKANE, 211 36 SE</v>
    <v>OTLY</v>
    <v>Acciones</v>
    <v>Oatly Group (XNAS:OTLY)</v>
    <v>109722</v>
    <v>207028</v>
  </rv>
  <rv s="2">
    <v>182</v>
  </rv>
  <rv s="0">
    <v>https://www.bing.com/financeapi/forcetrigger?t=aaxn6h&amp;q=XTSE%3aCSU&amp;form=skydnc</v>
    <v>Learn more on Bing</v>
  </rv>
  <rv s="1">
    <v>es-ES</v>
    <v>aaxn6h</v>
    <v>268435456</v>
    <v>1</v>
    <v>Con tecnología de Refinitiv</v>
    <v>0</v>
    <v>1</v>
    <v>Constellation Software Inc. (XTSE:CSU)</v>
    <v>3</v>
    <v>36</v>
    <v>Finance</v>
    <v>37</v>
    <v>XTSE</v>
    <v>21191530</v>
    <v>2002</v>
    <v>3106.02</v>
    <v>0.69550000000000001</v>
    <v>-43.69</v>
    <v>-1.41E-2</v>
    <v>64739700319</v>
    <v>3098.67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46259.816851851851</v>
    <v>Toronto Stock Exchange</v>
    <v>184</v>
    <v>3106.02</v>
    <v>4634.9799999999996</v>
    <v>3014.7150000000001</v>
    <v>2196</v>
    <v>CAD</v>
    <v>Constellation Software Inc.</v>
    <v>Constellation Software Inc.</v>
    <v>47.458300000000001</v>
    <v>3054.98</v>
    <v>Software &amp; IT Services</v>
    <v>#66 Wellington Street West, Suite 5300, TD Bank Tower, TORONTO, ON, M5K 1E6 CA</v>
    <v>CSU</v>
    <v>Acciones</v>
    <v>Constellation Software Inc. (XTSE:CSU)</v>
    <v>22539</v>
    <v>53640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79.38</v>
    <v>1.1629</v>
    <v>0.82499999999999996</v>
    <v>1.0404999999999999E-2</v>
    <v>163639694400</v>
    <v>79.290000000000006</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46259.829024513281</v>
    <v>New York Stock Exchange</v>
    <v>187</v>
    <v>80.290000000000006</v>
    <v>101.99</v>
    <v>78.61</v>
    <v>65.41</v>
    <v>USD</v>
    <v>UBER TECHNOLOGIES, INC.</v>
    <v>UBER TECHNOLOGIES, INC.</v>
    <v>17.585999999999999</v>
    <v>80.114999999999995</v>
    <v>Software &amp; IT Services</v>
    <v>1725 3Rd Street, SAN FRANCISCO, CA, 94158 US</v>
    <v>UBER</v>
    <v>Acciones</v>
    <v>UBER TECHNOLOGIES, INC. (XNYS:UBER)</v>
    <v>10572650</v>
    <v>19803871</v>
  </rv>
  <rv s="2">
    <v>188</v>
  </rv>
  <rv s="0">
    <v>https://www.bing.com/financeapi/forcetrigger?t=aodtkr&amp;q=XLON%3aSOM&amp;form=skydnc</v>
    <v>Learn more on Bing</v>
  </rv>
  <rv s="1">
    <v>es-ES</v>
    <v>aodtkr</v>
    <v>268435456</v>
    <v>1</v>
    <v>Con tecnología de Refinitiv</v>
    <v>0</v>
    <v>1</v>
    <v>Somero (XLON:SOM)</v>
    <v>3</v>
    <v>16</v>
    <v>Finance</v>
    <v>17</v>
    <v>XLON</v>
    <v>51776020</v>
    <v>2002</v>
    <v>240</v>
    <v>0.86370000000000002</v>
    <v>0</v>
    <v>0</v>
    <v>124291200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46259.641760925784</v>
    <v>London Stock Exchange</v>
    <v>190</v>
    <v>245</v>
    <v>250</v>
    <v>245</v>
    <v>170</v>
    <v>GBp</v>
    <v>Somero</v>
    <v>Somero</v>
    <v>17.103400000000001</v>
    <v>240</v>
    <v>Machinery, Equipment &amp; Components</v>
    <v>14530 Global Pkwy, FORT MYERS, FL, 33913 US</v>
    <v>SOM</v>
    <v>Acciones</v>
    <v>Somero (XLON:SOM)</v>
    <v>28224</v>
    <v>47850</v>
  </rv>
  <rv s="2">
    <v>191</v>
  </rv>
  <rv s="0">
    <v>https://www.bing.com/financeapi/forcetrigger?t=ajflbh&amp;q=XMIL%3aIP&amp;form=skydnc</v>
    <v>Learn more on Bing</v>
  </rv>
  <rv s="9">
    <v>es-ES</v>
    <v>ajflbh</v>
    <v>268435456</v>
    <v>1</v>
    <v>Con tecnología de Refinitiv</v>
    <v>32</v>
    <v>33</v>
    <v>Interpump Group S.p.A. (XMIL:IP)</v>
    <v>3</v>
    <v>34</v>
    <v>Finance</v>
    <v>35</v>
    <v>XMIL</v>
    <v>108879300</v>
    <v>37.5</v>
    <v>1.2612000000000001</v>
    <v>0.54</v>
    <v>1.4477E-2</v>
    <v>4061198000</v>
    <v>37.299999999999997</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46259.666666666664</v>
    <v>Borsa Italiana</v>
    <v>193</v>
    <v>38</v>
    <v>51.3</v>
    <v>37.340000000000003</v>
    <v>30.1</v>
    <v>EUR</v>
    <v>Interpump Group S.p.A.</v>
    <v>Interpump Group S.p.A.</v>
    <v>18.860600000000002</v>
    <v>37.840000000000003</v>
    <v>Machinery, Equipment &amp; Components</v>
    <v>Via E. Fermi, 25, SANT'ILARIO D'ENZA, REGGIO EMILIA, 42049 IT</v>
    <v>IP</v>
    <v>Acciones</v>
    <v>Interpump Group S.p.A. (XMIL:IP)</v>
    <v>70543</v>
    <v>122450</v>
  </rv>
  <rv s="2">
    <v>194</v>
  </rv>
  <rv s="0">
    <v>https://www.bing.com/financeapi/forcetrigger?t=ae9vtc&amp;q=XPAR%3aRBT&amp;form=skydnc</v>
    <v>Learn more on Bing</v>
  </rv>
  <rv s="1">
    <v>es-ES</v>
    <v>ae9vtc</v>
    <v>268435456</v>
    <v>1</v>
    <v>Con tecnología de Refinitiv</v>
    <v>0</v>
    <v>1</v>
    <v>Robertet (XPAR:RBT)</v>
    <v>3</v>
    <v>12</v>
    <v>Finance</v>
    <v>13</v>
    <v>XPAR</v>
    <v>2169300</v>
    <v>1957</v>
    <v>801</v>
    <v>0.42430000000000001</v>
    <v>-1</v>
    <v>-1.2520000000000001E-3</v>
    <v>1717833000</v>
    <v>799</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46259.666666666664</v>
    <v>Euronext Paris</v>
    <v>196</v>
    <v>802</v>
    <v>922</v>
    <v>790</v>
    <v>743</v>
    <v>EUR</v>
    <v>Robertet</v>
    <v>Robertet</v>
    <v>16.690000000000001</v>
    <v>798</v>
    <v>Chemicals</v>
    <v>37 Avenue Sidi Brahim, Bp 52100, GRASSE, PACA, 06130 FR</v>
    <v>RBT</v>
    <v>Acciones</v>
    <v>Robertet (XPAR:RBT)</v>
    <v>631</v>
    <v>710</v>
  </rv>
  <rv s="2">
    <v>197</v>
  </rv>
  <rv s="12">
    <v>es-ES</v>
    <v>cg32pr</v>
    <v>268435456</v>
    <v>1</v>
    <v>Con tecnología de Refinitiv</v>
    <v>45</v>
    <v>46</v>
    <v>Roko (XSTO:ROKO B)</v>
    <v>26</v>
    <v>40</v>
    <v>Finance</v>
    <v>21</v>
    <v>XSTO</v>
    <v>12136500</v>
    <v>2019</v>
    <v>1882</v>
    <v>0.74</v>
    <v>4</v>
    <v>0</v>
    <v>2.1279999999999997E-3</v>
    <v>0</v>
    <v>22816620000</v>
    <v>1880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46259.666666666664</v>
    <v>NASDAQ Stockholm</v>
    <v>1908</v>
    <v>1878</v>
    <v>SEK</v>
    <v>Roko</v>
    <v>Roko</v>
    <v>35.155799999999999</v>
    <v>1884</v>
    <v>1884</v>
    <v>Investment Banking &amp; Investment Services</v>
    <v>Ostermalmsgatan 33, STOCKSUND, STOCKHOLM, 114 26 SE</v>
    <v>ROKO B</v>
    <v>Acciones</v>
    <v>Roko (XSTO:ROKO B)</v>
    <v>5335</v>
    <v>6010</v>
  </rv>
  <rv s="2">
    <v>199</v>
  </rv>
  <rv s="0">
    <v>https://www.bing.com/financeapi/forcetrigger?t=a253tc&amp;q=XNYS%3aUSPH&amp;form=skydnc</v>
    <v>Learn more on Bing</v>
  </rv>
  <rv s="1">
    <v>es-ES</v>
    <v>a253tc</v>
    <v>268435456</v>
    <v>1</v>
    <v>Con tecnología de Refinitiv</v>
    <v>0</v>
    <v>1</v>
    <v>US Physical (XNYS:USPH)</v>
    <v>3</v>
    <v>4</v>
    <v>Finance</v>
    <v>5</v>
    <v>XNYS</v>
    <v>14922700</v>
    <v>1992</v>
    <v>78.254999999999995</v>
    <v>1.1266</v>
    <v>0.28000000000000003</v>
    <v>3.6189999999999998E-3</v>
    <v>1158896882</v>
    <v>77.38</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46259.828895381252</v>
    <v>New York Stock Exchange</v>
    <v>201</v>
    <v>78.499899999999997</v>
    <v>93.5</v>
    <v>76.650000000000006</v>
    <v>58.19</v>
    <v>USD</v>
    <v>US Physical</v>
    <v>US Physical</v>
    <v>442.0034</v>
    <v>77.66</v>
    <v>Healthcare Providers &amp; Services</v>
    <v>1300 West Sam Houston Parkway South, Suite 300, HOUSTON, TX, 77043 US</v>
    <v>USPH</v>
    <v>Acciones</v>
    <v>US Physical (XNYS:USPH)</v>
    <v>92360</v>
    <v>237137</v>
  </rv>
  <rv s="2">
    <v>202</v>
  </rv>
  <rv s="13">
    <v>es-ES</v>
    <v>av8wim</v>
    <v>268435456</v>
    <v>1</v>
    <v>Con tecnología de Refinitiv</v>
    <v>47</v>
    <v>48</v>
    <v>EUR/JPY</v>
    <v>49</v>
    <v>50</v>
    <v>Finance</v>
    <v>51</v>
    <v>185.52</v>
    <v>0.2</v>
    <v>1.078E-3</v>
    <v>185.52</v>
    <v>EUR</v>
    <v>46259.829027777778</v>
    <v>185.94</v>
    <v>187.93</v>
    <v>185.53</v>
    <v>171.06</v>
    <v>JPY</v>
    <v>Euro/Japanese Yen FX Cross Rate</v>
    <v>185.72</v>
    <v>EURJPY</v>
    <v>Par de divisa</v>
    <v>EUR/JPY</v>
  </rv>
  <rv s="2">
    <v>204</v>
  </rv>
  <rv s="13">
    <v>es-ES</v>
    <v>avv7r7</v>
    <v>268435456</v>
    <v>1</v>
    <v>Con tecnología de Refinitiv</v>
    <v>47</v>
    <v>48</v>
    <v>CHF/USD</v>
    <v>49</v>
    <v>52</v>
    <v>Finance</v>
    <v>51</v>
    <v>1.2458</v>
    <v>1.4E-3</v>
    <v>1.124E-3</v>
    <v>1.2461</v>
    <v>CHF</v>
    <v>46259.829027777778</v>
    <v>1.2478</v>
    <v>1.3149</v>
    <v>1.2435</v>
    <v>1.2181999999999999</v>
    <v>USD</v>
    <v>Swiss Franc/US Dollar FX Cross Rate</v>
    <v>1.2475000000000001</v>
    <v>CHFUSD</v>
    <v>Par de divisa</v>
    <v>CHF/USD</v>
  </rv>
  <rv s="2">
    <v>206</v>
  </rv>
  <rv s="13">
    <v>es-ES</v>
    <v>avyosm</v>
    <v>268435456</v>
    <v>1</v>
    <v>Con tecnología de Refinitiv</v>
    <v>47</v>
    <v>48</v>
    <v>USD/KZT</v>
    <v>49</v>
    <v>53</v>
    <v>Finance</v>
    <v>51</v>
    <v>457.19</v>
    <v>0.66</v>
    <v>1.444E-3</v>
    <v>457.15</v>
    <v>USD</v>
    <v>46259.77611111111</v>
    <v>459.69</v>
    <v>549.66</v>
    <v>456.73</v>
    <v>453.81</v>
    <v>KZT</v>
    <v>US Dollar/Kazakhstan Tenge FX Spot Rate</v>
    <v>457.81</v>
    <v>USDKZT</v>
    <v>Par de divisa</v>
    <v>USD/KZT</v>
  </rv>
  <rv s="2">
    <v>208</v>
  </rv>
  <rv s="13">
    <v>es-ES</v>
    <v>av3wnm</v>
    <v>268435456</v>
    <v>1</v>
    <v>Con tecnología de Refinitiv</v>
    <v>47</v>
    <v>48</v>
    <v>CAD/USD</v>
    <v>49</v>
    <v>52</v>
    <v>Finance</v>
    <v>51</v>
    <v>0.72209999999999996</v>
    <v>6.9999999999999999E-4</v>
    <v>9.6909999999999997E-4</v>
    <v>0.72230000000000005</v>
    <v>CAD</v>
    <v>46259.829016203701</v>
    <v>0.72330000000000005</v>
    <v>0.74170000000000003</v>
    <v>0.72109999999999996</v>
    <v>0.70169999999999999</v>
    <v>USD</v>
    <v>Canadian Dollar/US Dollar FX Cross Rate</v>
    <v>0.72299999999999998</v>
    <v>CADUSD</v>
    <v>Par de divisa</v>
    <v>CAD/USD</v>
  </rv>
  <rv s="2">
    <v>210</v>
  </rv>
  <rv s="13">
    <v>es-ES</v>
    <v>avyn9c</v>
    <v>268435456</v>
    <v>1</v>
    <v>Con tecnología de Refinitiv</v>
    <v>47</v>
    <v>48</v>
    <v>USD/EUR</v>
    <v>49</v>
    <v>54</v>
    <v>Finance</v>
    <v>51</v>
    <v>0.85729999999999995</v>
    <v>-8.0000000000000004E-4</v>
    <v>-9.3320000000000002E-4</v>
    <v>0.85729999999999995</v>
    <v>USD</v>
    <v>46259.828981481478</v>
    <v>0.85819999999999996</v>
    <v>0.88300000000000001</v>
    <v>0.85629999999999995</v>
    <v>0.82779999999999998</v>
    <v>EUR</v>
    <v>US Dollar/Euro FX Cross Rate</v>
    <v>0.85650000000000004</v>
    <v>USDEUR</v>
    <v>Par de divisa</v>
    <v>USD/EUR</v>
  </rv>
  <rv s="2">
    <v>212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5">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8</v>
      <v>Name</v>
    </spb>
    <spb s="28">
      <v>Change</v>
      <v>Currency</v>
      <v>High</v>
      <v>Low</v>
      <v>Name</v>
      <v>Price</v>
      <v>Open</v>
      <v>Change (%)</v>
      <v>UniqueName</v>
      <v>From currency</v>
      <v>%ProviderInfo</v>
      <v>Previous close</v>
      <v>Ticker symbol</v>
      <v>Instrument type</v>
      <v>52 week high</v>
      <v>52 week low</v>
      <v>Last trade time</v>
    </spb>
    <spb s="16">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BA52" activePane="bottomRight" state="frozen"/>
      <selection pane="topRight" activeCell="C1" sqref="C1"/>
      <selection pane="bottomLeft" activeCell="A4" sqref="A4"/>
      <selection pane="bottomRight" activeCell="BH58" sqref="BH58"/>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6" t="s">
        <v>0</v>
      </c>
      <c r="B1" s="102"/>
      <c r="C1" s="102"/>
      <c r="D1" s="102"/>
      <c r="E1" s="102"/>
      <c r="F1" s="102"/>
      <c r="G1" s="102"/>
      <c r="H1" s="102"/>
      <c r="I1" s="102"/>
      <c r="J1" s="102"/>
      <c r="K1" s="102"/>
      <c r="L1" s="102"/>
      <c r="M1" s="102"/>
      <c r="N1" s="102"/>
      <c r="O1" s="102"/>
      <c r="P1" s="102"/>
      <c r="Q1" s="102"/>
      <c r="R1" s="102"/>
      <c r="S1" s="102"/>
      <c r="T1" s="102"/>
      <c r="U1" s="102"/>
      <c r="V1" s="102"/>
      <c r="W1" s="10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row>
    <row r="2" spans="1:68" ht="21.75" customHeight="1" x14ac:dyDescent="0.35">
      <c r="A2" s="109" t="s">
        <v>1</v>
      </c>
      <c r="B2" s="102"/>
      <c r="C2" s="102"/>
      <c r="D2" s="102"/>
      <c r="E2" s="102"/>
      <c r="F2" s="102"/>
      <c r="G2" s="102"/>
      <c r="H2" s="102"/>
      <c r="I2" s="102"/>
      <c r="J2" s="104" t="s">
        <v>2</v>
      </c>
      <c r="K2" s="102"/>
      <c r="L2" s="102"/>
      <c r="M2" s="102"/>
      <c r="N2" s="102"/>
      <c r="O2" s="102"/>
      <c r="P2" s="102"/>
      <c r="Q2" s="102"/>
      <c r="R2" s="102"/>
      <c r="S2" s="102"/>
      <c r="T2" s="103" t="s">
        <v>3</v>
      </c>
      <c r="U2" s="102"/>
      <c r="V2" s="102"/>
      <c r="W2" s="102"/>
      <c r="X2" s="102"/>
      <c r="Y2" s="102"/>
      <c r="Z2" s="102"/>
      <c r="AA2" s="102"/>
      <c r="AB2" s="102"/>
      <c r="AC2" s="102"/>
      <c r="AD2" s="107" t="s">
        <v>4</v>
      </c>
      <c r="AE2" s="102"/>
      <c r="AF2" s="102"/>
      <c r="AG2" s="102"/>
      <c r="AH2" s="102"/>
      <c r="AI2" s="102"/>
      <c r="AJ2" s="102"/>
      <c r="AK2" s="102"/>
      <c r="AL2" s="102"/>
      <c r="AM2" s="102"/>
      <c r="AN2" s="105" t="s">
        <v>5</v>
      </c>
      <c r="AO2" s="110" t="s">
        <v>6</v>
      </c>
      <c r="AP2" s="102"/>
      <c r="AQ2" s="102"/>
      <c r="AR2" s="102"/>
      <c r="AS2" s="102"/>
      <c r="AT2" s="102"/>
      <c r="AU2" s="102"/>
      <c r="AV2" s="102"/>
      <c r="AW2" s="102"/>
      <c r="AX2" s="102"/>
      <c r="AY2" s="102"/>
      <c r="AZ2" s="102"/>
      <c r="BA2" s="102"/>
      <c r="BB2" s="102"/>
      <c r="BC2" s="102"/>
      <c r="BD2" s="102"/>
      <c r="BE2" s="102"/>
      <c r="BF2" s="102"/>
      <c r="BG2" s="1"/>
      <c r="BH2" s="1"/>
      <c r="BI2" s="1"/>
      <c r="BJ2" s="108" t="s">
        <v>7</v>
      </c>
      <c r="BK2" s="102"/>
      <c r="BL2" s="102"/>
      <c r="BM2" s="102"/>
      <c r="BN2" s="101" t="s">
        <v>8</v>
      </c>
      <c r="BO2" s="102"/>
      <c r="BP2" s="102"/>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2"/>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245.75</v>
      </c>
      <c r="H4" s="13" cm="1">
        <f t="array" aca="1" ref="H4" ca="1">_FV(A4,"Acciones en circulación",TRUE)/1000000</f>
        <v>162.44329999999999</v>
      </c>
      <c r="I4" s="14">
        <f t="shared" ref="I4:I16" ca="1" si="0">G4*H4</f>
        <v>39920.440974999998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32707.440974999998</v>
      </c>
      <c r="AS4" s="19">
        <v>1640</v>
      </c>
      <c r="AT4" s="19">
        <v>810</v>
      </c>
      <c r="AU4" s="19">
        <v>1050</v>
      </c>
      <c r="AV4" s="19">
        <v>3319</v>
      </c>
      <c r="AW4" s="20">
        <f t="shared" ref="AW4:AW35" ca="1" si="9">AR4/AS4</f>
        <v>19.94356157012195</v>
      </c>
      <c r="AX4" s="20">
        <f t="shared" ref="AX4:AX35" ca="1" si="10">AR4/AU4</f>
        <v>31.149943785714285</v>
      </c>
      <c r="AY4" s="20">
        <f t="shared" ref="AY4:AY35" ca="1" si="11">AR4/AV4</f>
        <v>9.8546071030430848</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-3.0691628302968677E-2</v>
      </c>
      <c r="BM4" s="23">
        <f t="shared" ref="BM4:BM35" ca="1" si="19">IF(BK4&lt;=0,-0.99,MAX(-0.99,(BK4/G4)^(1/5)-1))</f>
        <v>0.21535056770391781</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491.01499999999999</v>
      </c>
      <c r="H5" s="13">
        <f t="array" aca="1" ref="H5" ca="1">_FV(A5,"Acciones en circulación",TRUE())/1000000</f>
        <v>7425.5450000000001</v>
      </c>
      <c r="I5" s="14">
        <f t="shared" ca="1" si="0"/>
        <v>3646053.9781749998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3609504.9781749998</v>
      </c>
      <c r="AS5" s="19">
        <v>124961</v>
      </c>
      <c r="AT5" s="19">
        <v>125127</v>
      </c>
      <c r="AU5" s="19">
        <v>193771</v>
      </c>
      <c r="AV5" s="19">
        <v>331839</v>
      </c>
      <c r="AW5" s="20">
        <f t="shared" ca="1" si="9"/>
        <v>28.885051961612021</v>
      </c>
      <c r="AX5" s="20">
        <f t="shared" ca="1" si="10"/>
        <v>18.627684112560701</v>
      </c>
      <c r="AY5" s="20">
        <f t="shared" ca="1" si="11"/>
        <v>10.877277770771368</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-4.2358779191663531E-2</v>
      </c>
      <c r="BM5" s="23">
        <f t="shared" ca="1" si="19"/>
        <v>0.12725933974662795</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1079</v>
      </c>
      <c r="H6" s="13">
        <f t="array" aca="1" ref="H6" ca="1">_FV(A6,"Acciones en circulación",TRUE())/1000000</f>
        <v>31.68355</v>
      </c>
      <c r="I6" s="14">
        <f t="shared" ca="1" si="0"/>
        <v>34186.550450000002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31186.550450000002</v>
      </c>
      <c r="AS6" s="19">
        <v>1036</v>
      </c>
      <c r="AT6" s="19">
        <v>600</v>
      </c>
      <c r="AU6" s="19">
        <v>1144</v>
      </c>
      <c r="AV6" s="19">
        <v>2258</v>
      </c>
      <c r="AW6" s="20">
        <f t="shared" ca="1" si="9"/>
        <v>30.102847924710428</v>
      </c>
      <c r="AX6" s="20">
        <f t="shared" ca="1" si="10"/>
        <v>27.260970673076926</v>
      </c>
      <c r="AY6" s="20">
        <f t="shared" ca="1" si="11"/>
        <v>13.811581244464129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-7.5205385336348685E-2</v>
      </c>
      <c r="BM6" s="23">
        <f t="shared" ca="1" si="19"/>
        <v>0.21268691268480011</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42.12</v>
      </c>
      <c r="H7" s="13">
        <f t="array" aca="1" ref="H7" ca="1">_FV(A7,"Acciones en circulación",TRUE())/1000000</f>
        <v>2451.915</v>
      </c>
      <c r="I7" s="14">
        <f t="shared" ca="1" si="0"/>
        <v>103274.65979999999</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111089.65979999999</v>
      </c>
      <c r="AS7" s="19">
        <v>6200</v>
      </c>
      <c r="AT7" s="19">
        <v>5700</v>
      </c>
      <c r="AU7" s="19">
        <v>5700</v>
      </c>
      <c r="AV7" s="19">
        <v>80690</v>
      </c>
      <c r="AW7" s="20">
        <f t="shared" ca="1" si="9"/>
        <v>17.917687064516127</v>
      </c>
      <c r="AX7" s="20">
        <f t="shared" ca="1" si="10"/>
        <v>19.489414</v>
      </c>
      <c r="AY7" s="20">
        <f t="shared" ca="1" si="11"/>
        <v>1.3767463105713222</v>
      </c>
      <c r="AZ7" s="21">
        <v>90000</v>
      </c>
      <c r="BA7" s="22">
        <f t="shared" si="12"/>
        <v>7.0640723757590784E-2</v>
      </c>
      <c r="BB7" s="22">
        <f t="shared" si="13"/>
        <v>0.89655555555555555</v>
      </c>
      <c r="BC7" s="23">
        <f t="shared" si="14"/>
        <v>6.3333333333333339E-2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1.6303731954826928E-2</v>
      </c>
      <c r="BM7" s="23">
        <f t="shared" ca="1" si="19"/>
        <v>0.21874186412022789</v>
      </c>
      <c r="BN7" s="96" t="s">
        <v>678</v>
      </c>
      <c r="BO7" t="s">
        <v>88</v>
      </c>
      <c r="BP7" s="96" t="s">
        <v>677</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961.36</v>
      </c>
      <c r="H8" s="13">
        <f t="array" aca="1" ref="H8" ca="1">_FV(A8,"Acciones en circulación",TRUE())/1000000</f>
        <v>443.47879999999998</v>
      </c>
      <c r="I8" s="14">
        <f t="shared" ca="1" si="0"/>
        <v>426342.77916799998</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20000</v>
      </c>
      <c r="AQ8" s="19">
        <v>8230</v>
      </c>
      <c r="AR8" s="19">
        <f t="shared" ca="1" si="8"/>
        <v>414572.77916799998</v>
      </c>
      <c r="AS8" s="19">
        <v>11905</v>
      </c>
      <c r="AT8" s="19">
        <v>8445</v>
      </c>
      <c r="AU8" s="19">
        <v>13790</v>
      </c>
      <c r="AV8" s="19">
        <v>293590</v>
      </c>
      <c r="AW8" s="20">
        <f t="shared" ca="1" si="9"/>
        <v>34.823416981772361</v>
      </c>
      <c r="AX8" s="20">
        <f t="shared" ca="1" si="10"/>
        <v>30.06329073009427</v>
      </c>
      <c r="AY8" s="20">
        <f t="shared" ca="1" si="11"/>
        <v>1.4120807219864435</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-4.9707554230484341E-2</v>
      </c>
      <c r="BM8" s="23">
        <f t="shared" ca="1" si="19"/>
        <v>8.5040896509370301E-2</v>
      </c>
      <c r="BN8" s="96" t="s">
        <v>678</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77.48</v>
      </c>
      <c r="H9" s="13">
        <f t="array" aca="1" ref="H9" ca="1">_FV(A9,"Acciones en circulación",TRUE())/1000000</f>
        <v>85.653660000000002</v>
      </c>
      <c r="I9" s="14">
        <f t="shared" ca="1" si="0"/>
        <v>6636.4455768000007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6267.5455768000011</v>
      </c>
      <c r="AS9" s="19">
        <v>281</v>
      </c>
      <c r="AT9" s="19">
        <v>176</v>
      </c>
      <c r="AU9" s="19">
        <v>320</v>
      </c>
      <c r="AV9" s="19">
        <v>754</v>
      </c>
      <c r="AW9" s="20">
        <f t="shared" ca="1" si="9"/>
        <v>22.304432657651251</v>
      </c>
      <c r="AX9" s="20">
        <f t="shared" ca="1" si="10"/>
        <v>19.586079927500002</v>
      </c>
      <c r="AY9" s="20">
        <f t="shared" ca="1" si="11"/>
        <v>8.3123946641909825</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-3.7117638736870018E-2</v>
      </c>
      <c r="BM9" s="23">
        <f t="shared" ca="1" si="19"/>
        <v>0.19690295456465767</v>
      </c>
      <c r="BN9" s="96" t="s">
        <v>678</v>
      </c>
      <c r="BO9" t="s">
        <v>80</v>
      </c>
      <c r="BP9" s="96" t="s">
        <v>679</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633.5</v>
      </c>
      <c r="H10" s="13">
        <f t="array" aca="1" ref="H10" ca="1">_FV(A10,"Acciones en circulación",TRUE())/1000000</f>
        <v>11.37</v>
      </c>
      <c r="I10" s="14">
        <f t="shared" ca="1" si="0"/>
        <v>7202.8949999999995</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6942.8949999999995</v>
      </c>
      <c r="AS10" s="19">
        <v>260</v>
      </c>
      <c r="AT10" s="19">
        <v>230</v>
      </c>
      <c r="AU10" s="19">
        <v>350</v>
      </c>
      <c r="AV10" s="19">
        <v>1296</v>
      </c>
      <c r="AW10" s="20">
        <f t="shared" ca="1" si="9"/>
        <v>26.703442307692306</v>
      </c>
      <c r="AX10" s="20">
        <f t="shared" ca="1" si="10"/>
        <v>19.836842857142855</v>
      </c>
      <c r="AY10" s="20">
        <f t="shared" ca="1" si="11"/>
        <v>5.3571720679012342</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-6.165003828172777E-2</v>
      </c>
      <c r="BM10" s="23">
        <f t="shared" ca="1" si="19"/>
        <v>0.12867081613737774</v>
      </c>
      <c r="BN10" s="95" t="s">
        <v>678</v>
      </c>
      <c r="BO10" s="95" t="s">
        <v>125</v>
      </c>
      <c r="BP10" s="95" t="s">
        <v>144</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168.54</v>
      </c>
      <c r="H11" s="13">
        <f t="array" aca="1" ref="H11" ca="1">_FV(A11,"Acciones en circulación",TRUE())/1000000</f>
        <v>161.70949999999999</v>
      </c>
      <c r="I11" s="14">
        <f t="shared" ca="1" si="0"/>
        <v>27254.519129999997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25584.519129999997</v>
      </c>
      <c r="AS11" s="19">
        <v>963</v>
      </c>
      <c r="AT11" s="19">
        <v>-135</v>
      </c>
      <c r="AU11" s="19">
        <v>-61</v>
      </c>
      <c r="AV11" s="19">
        <v>3170</v>
      </c>
      <c r="AW11" s="20">
        <f t="shared" ca="1" si="9"/>
        <v>26.567517268951192</v>
      </c>
      <c r="AX11" s="20">
        <f t="shared" ca="1" si="10"/>
        <v>-419.41834639344256</v>
      </c>
      <c r="AY11" s="20">
        <f t="shared" ca="1" si="11"/>
        <v>8.0708262239747626</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-2.430135078832063E-2</v>
      </c>
      <c r="BM11" s="23">
        <f t="shared" ca="1" si="19"/>
        <v>0.25943228470250812</v>
      </c>
      <c r="BN11" s="96" t="s">
        <v>678</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50.1</v>
      </c>
      <c r="H12" s="13">
        <f t="array" aca="1" ref="H12" ca="1">_FV(A12,"Acciones en circulación",TRUE())/1000000</f>
        <v>1287.26</v>
      </c>
      <c r="I12" s="14">
        <f t="shared" ca="1" si="0"/>
        <v>64491.726000000002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10009495.35272</v>
      </c>
      <c r="AS12" s="19">
        <v>262620</v>
      </c>
      <c r="AT12" s="19">
        <v>325400</v>
      </c>
      <c r="AU12" s="19">
        <v>461600</v>
      </c>
      <c r="AV12" s="19">
        <v>2258501</v>
      </c>
      <c r="AW12" s="20">
        <f t="shared" ca="1" si="9"/>
        <v>38.113987330439414</v>
      </c>
      <c r="AX12" s="20">
        <f t="shared" ca="1" si="10"/>
        <v>21.684348684402078</v>
      </c>
      <c r="AY12" s="20">
        <f t="shared" ca="1" si="11"/>
        <v>4.431919823245595</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24.709122009554029</v>
      </c>
      <c r="BK12" s="25">
        <f ca="1">((BF12*BI12+$AP12-$AQ12)/$H12)/'Framework Notes'!E4</f>
        <v>53.76996032314014</v>
      </c>
      <c r="BL12" s="23">
        <f t="shared" ca="1" si="18"/>
        <v>-0.13183171301735208</v>
      </c>
      <c r="BM12" s="23">
        <f t="shared" ca="1" si="19"/>
        <v>1.423921438264375E-2</v>
      </c>
      <c r="BN12" s="95" t="s">
        <v>678</v>
      </c>
      <c r="BO12" s="100" t="s">
        <v>125</v>
      </c>
      <c r="BP12" s="95" t="s">
        <v>144</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260.75</v>
      </c>
      <c r="H13" s="13">
        <f t="array" aca="1" ref="H13" ca="1">_FV(A13,"Acciones en circulación",TRUE())/1000000</f>
        <v>10786.31</v>
      </c>
      <c r="I13" s="14">
        <f t="shared" ca="1" si="0"/>
        <v>2812530.3325</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2863211.3325</v>
      </c>
      <c r="AS13" s="19">
        <v>76899</v>
      </c>
      <c r="AT13" s="19">
        <v>55000</v>
      </c>
      <c r="AU13" s="19">
        <v>138000</v>
      </c>
      <c r="AV13" s="19">
        <v>775656</v>
      </c>
      <c r="AW13" s="20">
        <f t="shared" ca="1" si="9"/>
        <v>37.233401377131045</v>
      </c>
      <c r="AX13" s="20">
        <f t="shared" ca="1" si="10"/>
        <v>20.747908206521739</v>
      </c>
      <c r="AY13" s="20">
        <f t="shared" ca="1" si="11"/>
        <v>3.6913416933537548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-6.1009353645609887E-2</v>
      </c>
      <c r="BM13" s="23">
        <f t="shared" ca="1" si="19"/>
        <v>0.11256640658534334</v>
      </c>
      <c r="BN13" s="95" t="s">
        <v>678</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296.25</v>
      </c>
      <c r="H14" s="13">
        <f t="array" aca="1" ref="H14" ca="1">_FV(A14,"Acciones en circulación",TRUE())/1000000</f>
        <v>578.60530000000006</v>
      </c>
      <c r="I14" s="14">
        <f t="shared" ca="1" si="0"/>
        <v>171411.82012500003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4520</v>
      </c>
      <c r="AQ14" s="19">
        <v>20810</v>
      </c>
      <c r="AR14" s="19">
        <f t="shared" ca="1" si="21"/>
        <v>187701.82012500003</v>
      </c>
      <c r="AS14" s="19">
        <v>6190</v>
      </c>
      <c r="AT14" s="19">
        <v>5727</v>
      </c>
      <c r="AU14" s="19">
        <v>8520</v>
      </c>
      <c r="AV14" s="19">
        <v>42040</v>
      </c>
      <c r="AW14" s="20">
        <f t="shared" ca="1" si="9"/>
        <v>30.323395819870765</v>
      </c>
      <c r="AX14" s="20">
        <f t="shared" ca="1" si="10"/>
        <v>22.030730061619721</v>
      </c>
      <c r="AY14" s="20">
        <f t="shared" ca="1" si="11"/>
        <v>4.4648387279971464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-6.5815112928822916E-2</v>
      </c>
      <c r="BM14" s="23">
        <f t="shared" ca="1" si="19"/>
        <v>9.4174490275463096E-2</v>
      </c>
      <c r="BN14" s="95" t="s">
        <v>678</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58.28</v>
      </c>
      <c r="H15" s="13">
        <f t="array" aca="1" ref="H15" ca="1">_FV(A15,"Acciones en circulación",TRUE())/1000000</f>
        <v>3116.652</v>
      </c>
      <c r="I15" s="14">
        <f t="shared" ca="1" si="0"/>
        <v>181638.47856000002</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87</v>
      </c>
      <c r="AP15" s="19">
        <v>10800</v>
      </c>
      <c r="AQ15" s="19">
        <v>6040</v>
      </c>
      <c r="AR15" s="19">
        <f t="shared" ca="1" si="21"/>
        <v>176878.47856000002</v>
      </c>
      <c r="AS15" s="19">
        <v>7040</v>
      </c>
      <c r="AT15" s="19">
        <v>6327</v>
      </c>
      <c r="AU15" s="19">
        <v>9510</v>
      </c>
      <c r="AV15" s="19">
        <v>40340</v>
      </c>
      <c r="AW15" s="20">
        <f t="shared" ca="1" si="9"/>
        <v>25.124783886363637</v>
      </c>
      <c r="AX15" s="20">
        <f t="shared" ca="1" si="10"/>
        <v>18.5992091019979</v>
      </c>
      <c r="AY15" s="20">
        <f t="shared" ca="1" si="11"/>
        <v>4.3846920813088754</v>
      </c>
      <c r="AZ15" s="21">
        <v>24023</v>
      </c>
      <c r="BA15" s="22">
        <f t="shared" si="12"/>
        <v>0.15684184432325235</v>
      </c>
      <c r="BB15" s="22">
        <f t="shared" si="13"/>
        <v>1.679224076926279</v>
      </c>
      <c r="BC15" s="23">
        <f t="shared" si="14"/>
        <v>0.26337260125712858</v>
      </c>
      <c r="BD15" s="98">
        <v>8565</v>
      </c>
      <c r="BE15" s="23">
        <f t="shared" si="15"/>
        <v>3.9994258350512402E-2</v>
      </c>
      <c r="BF15">
        <v>12406.6</v>
      </c>
      <c r="BG15" s="23">
        <f t="shared" si="16"/>
        <v>0.11999484630306445</v>
      </c>
      <c r="BH15" s="24">
        <v>16</v>
      </c>
      <c r="BI15" s="24">
        <v>24</v>
      </c>
      <c r="BJ15" s="25">
        <f ca="1">(BD15*BH15+$AP15-$AQ15)/$H15</f>
        <v>45.497540309280602</v>
      </c>
      <c r="BK15" s="25">
        <f ca="1">(BF15*BI15+$AP15-$AQ15)/$H15</f>
        <v>97.065184050063991</v>
      </c>
      <c r="BL15" s="23">
        <f t="shared" ca="1" si="18"/>
        <v>-4.8314012051720368E-2</v>
      </c>
      <c r="BM15" s="23">
        <f t="shared" ca="1" si="19"/>
        <v>0.10741088468091919</v>
      </c>
      <c r="BN15" s="96" t="s">
        <v>678</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13100</v>
      </c>
      <c r="H16" s="13">
        <f t="array" aca="1" ref="H16" ca="1">_FV(A16,"Acciones en circulación",TRUE())/1000000</f>
        <v>0.81601000000000001</v>
      </c>
      <c r="I16" s="14">
        <f t="shared" ca="1" si="0"/>
        <v>10689.731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10824.731</v>
      </c>
      <c r="AS16" s="19">
        <v>131.69999999999999</v>
      </c>
      <c r="AT16" s="19">
        <v>190</v>
      </c>
      <c r="AU16" s="19">
        <v>291</v>
      </c>
      <c r="AV16" s="19">
        <v>1450</v>
      </c>
      <c r="AW16" s="20">
        <f t="shared" ca="1" si="9"/>
        <v>82.192338648443439</v>
      </c>
      <c r="AX16" s="20">
        <f t="shared" ca="1" si="10"/>
        <v>37.198388316151203</v>
      </c>
      <c r="AY16" s="20">
        <f t="shared" ca="1" si="11"/>
        <v>7.4653317241379309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-0.24399019156889146</v>
      </c>
      <c r="BM16" s="23">
        <f t="shared" ca="1" si="19"/>
        <v>-0.11087272348127619</v>
      </c>
      <c r="BN16" s="95" t="s">
        <v>678</v>
      </c>
      <c r="BO16" s="95" t="s">
        <v>104</v>
      </c>
      <c r="BP16" s="95" t="s">
        <v>680</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3576</v>
      </c>
      <c r="H17" s="13">
        <f t="array" aca="1" ref="H17" ca="1">_FV(A17,"Acciones en circulación",TRUE())/1000000</f>
        <v>379.64530000000002</v>
      </c>
      <c r="I17" s="14">
        <f ca="1">G17/100*H17</f>
        <v>13576.115927999999</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113</v>
      </c>
      <c r="AP17" s="19">
        <v>100</v>
      </c>
      <c r="AQ17" s="19">
        <v>400</v>
      </c>
      <c r="AR17" s="19">
        <f t="shared" ca="1" si="21"/>
        <v>13876.115927999999</v>
      </c>
      <c r="AS17" s="19">
        <v>400</v>
      </c>
      <c r="AT17" s="19">
        <v>370</v>
      </c>
      <c r="AU17" s="19">
        <v>515</v>
      </c>
      <c r="AV17" s="19">
        <v>2340</v>
      </c>
      <c r="AW17" s="20">
        <f t="shared" ca="1" si="9"/>
        <v>34.690289819999997</v>
      </c>
      <c r="AX17" s="20">
        <f t="shared" ca="1" si="10"/>
        <v>26.943914423300971</v>
      </c>
      <c r="AY17" s="20">
        <f t="shared" ca="1" si="11"/>
        <v>5.9299640717948714</v>
      </c>
      <c r="AZ17" s="21">
        <v>2100</v>
      </c>
      <c r="BA17" s="22">
        <f t="shared" si="12"/>
        <v>0.15811965811965811</v>
      </c>
      <c r="BB17" s="22">
        <f t="shared" si="13"/>
        <v>1.1142857142857143</v>
      </c>
      <c r="BC17" s="23">
        <f t="shared" si="14"/>
        <v>0.1761904761904762</v>
      </c>
      <c r="BD17" s="98">
        <v>511</v>
      </c>
      <c r="BE17" s="23">
        <f t="shared" si="15"/>
        <v>5.0200405794756708E-2</v>
      </c>
      <c r="BF17" t="s">
        <v>114</v>
      </c>
      <c r="BG17" s="23">
        <f t="shared" si="16"/>
        <v>0.13000795103795748</v>
      </c>
      <c r="BH17" s="24">
        <v>18</v>
      </c>
      <c r="BI17" s="24">
        <v>28</v>
      </c>
      <c r="BJ17" s="25">
        <f ca="1">(BD17*BH17+$AP17-$AQ17)/$H17*100</f>
        <v>2343.766668519273</v>
      </c>
      <c r="BK17" s="25">
        <f ca="1">(BF17*BI17+$AP17-$AQ17)/$H17*100</f>
        <v>5356.5788908752456</v>
      </c>
      <c r="BL17" s="23">
        <f t="shared" ca="1" si="18"/>
        <v>-8.1025685978894257E-2</v>
      </c>
      <c r="BM17" s="23">
        <f t="shared" ca="1" si="19"/>
        <v>8.4171531047791737E-2</v>
      </c>
      <c r="BN17" s="93" t="s">
        <v>97</v>
      </c>
      <c r="BO17" s="94" t="s">
        <v>115</v>
      </c>
      <c r="BP17" s="93" t="s">
        <v>116</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1137.27</v>
      </c>
      <c r="H18" s="13">
        <f t="array" aca="1" ref="H18" ca="1">_FV(A18,"Acciones en circulación",TRUE())/1000000</f>
        <v>21.597639999999998</v>
      </c>
      <c r="I18" s="14">
        <f t="shared" ref="I18:I25" ca="1" si="22">G18*H18</f>
        <v>24562.348042799997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26762.348042799997</v>
      </c>
      <c r="AS18" s="19">
        <v>730</v>
      </c>
      <c r="AT18" s="19">
        <v>640</v>
      </c>
      <c r="AU18" s="19">
        <v>875</v>
      </c>
      <c r="AV18" s="19">
        <v>1720</v>
      </c>
      <c r="AW18" s="20">
        <f t="shared" ca="1" si="9"/>
        <v>36.660750743561643</v>
      </c>
      <c r="AX18" s="20">
        <f t="shared" ca="1" si="10"/>
        <v>30.585540620342854</v>
      </c>
      <c r="AY18" s="20">
        <f t="shared" ca="1" si="11"/>
        <v>15.55950467604651</v>
      </c>
      <c r="AZ18" s="21">
        <v>2200</v>
      </c>
      <c r="BA18" s="22">
        <f t="shared" si="12"/>
        <v>0.37209302325581395</v>
      </c>
      <c r="BB18" s="22">
        <f t="shared" si="13"/>
        <v>0.78181818181818186</v>
      </c>
      <c r="BC18" s="23">
        <f t="shared" si="14"/>
        <v>0.29090909090909089</v>
      </c>
      <c r="BD18" s="98">
        <v>1073</v>
      </c>
      <c r="BE18" s="23">
        <f t="shared" si="15"/>
        <v>8.0078627468473051E-2</v>
      </c>
      <c r="BF18" t="s">
        <v>117</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8"/>
        <v>-6.9714333956378272E-2</v>
      </c>
      <c r="BM18" s="23">
        <f t="shared" ca="1" si="19"/>
        <v>0.10909212414512681</v>
      </c>
      <c r="BN18" s="93" t="s">
        <v>83</v>
      </c>
      <c r="BO18" s="93" t="s">
        <v>84</v>
      </c>
      <c r="BP18" s="93" t="s">
        <v>118</v>
      </c>
    </row>
    <row r="19" spans="1:68" ht="15" customHeight="1" x14ac:dyDescent="0.35">
      <c r="A19" s="86" t="e" vm="16">
        <v>#VALUE!</v>
      </c>
      <c r="B19" s="10" t="str">
        <f t="array" aca="1" ref="B19" ca="1">_FV(A19,"Símbolo bursátil",TRUE())</f>
        <v>LIFCO B</v>
      </c>
      <c r="C19" s="88" t="s">
        <v>119</v>
      </c>
      <c r="D19" s="88" t="s">
        <v>77</v>
      </c>
      <c r="E19" s="11" t="str">
        <f t="array" aca="1" ref="E19" ca="1">_FV(A19,"Abreviatura de intercambio",TRUE())</f>
        <v>XSTO</v>
      </c>
      <c r="F19" s="11" t="str">
        <f t="array" aca="1" ref="F19" ca="1">_FV(A19,"Moneda")</f>
        <v>SEK</v>
      </c>
      <c r="G19" s="12">
        <f t="array" aca="1" ref="G19" ca="1">_FV(A19,"Precio")</f>
        <v>317.2</v>
      </c>
      <c r="H19" s="13">
        <f t="array" aca="1" ref="H19" ca="1">_FV(A19,"Acciones en circulación",TRUE())/1000000</f>
        <v>423.8365</v>
      </c>
      <c r="I19" s="14">
        <f t="shared" ca="1" si="22"/>
        <v>134440.93779999999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120</v>
      </c>
      <c r="AP19" s="19">
        <v>3000</v>
      </c>
      <c r="AQ19" s="19">
        <v>12500</v>
      </c>
      <c r="AR19" s="19">
        <f t="shared" ca="1" si="21"/>
        <v>143940.93779999999</v>
      </c>
      <c r="AS19" s="19">
        <v>3800</v>
      </c>
      <c r="AT19" s="19">
        <v>3400</v>
      </c>
      <c r="AU19" s="19">
        <v>6627</v>
      </c>
      <c r="AV19" s="19">
        <v>29251</v>
      </c>
      <c r="AW19" s="20">
        <f t="shared" ca="1" si="9"/>
        <v>37.87919415789473</v>
      </c>
      <c r="AX19" s="20">
        <f t="shared" ca="1" si="10"/>
        <v>21.720376912630147</v>
      </c>
      <c r="AY19" s="20">
        <f t="shared" ca="1" si="11"/>
        <v>4.9208894670267682</v>
      </c>
      <c r="AZ19" s="21">
        <v>22000</v>
      </c>
      <c r="BA19" s="22">
        <f t="shared" si="12"/>
        <v>0.11623534238145704</v>
      </c>
      <c r="BB19" s="22">
        <f t="shared" si="13"/>
        <v>1.329590909090909</v>
      </c>
      <c r="BC19" s="23">
        <f t="shared" si="14"/>
        <v>0.15454545454545454</v>
      </c>
      <c r="BD19" s="98">
        <v>5330</v>
      </c>
      <c r="BE19" s="23">
        <f t="shared" si="15"/>
        <v>7.001218289169242E-2</v>
      </c>
      <c r="BF19" t="s">
        <v>121</v>
      </c>
      <c r="BG19" s="23">
        <f t="shared" si="16"/>
        <v>0.1699915026044907</v>
      </c>
      <c r="BH19" s="24">
        <v>16</v>
      </c>
      <c r="BI19" s="24">
        <v>26</v>
      </c>
      <c r="BJ19" s="25">
        <f t="shared" ca="1" si="23"/>
        <v>178.79536094696894</v>
      </c>
      <c r="BK19" s="25">
        <f t="shared" ca="1" si="24"/>
        <v>488.64597551178343</v>
      </c>
      <c r="BL19" s="23">
        <f t="shared" ca="1" si="18"/>
        <v>-0.10832905889492062</v>
      </c>
      <c r="BM19" s="23">
        <f t="shared" ca="1" si="19"/>
        <v>9.0265399313141259E-2</v>
      </c>
      <c r="BN19" s="99">
        <v>46256</v>
      </c>
      <c r="BO19" s="93" t="s">
        <v>122</v>
      </c>
      <c r="BP19" s="93" t="s">
        <v>123</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59.1</v>
      </c>
      <c r="H20" s="13">
        <f t="array" aca="1" ref="H20" ca="1">_FV(A20,"Acciones en circulación",TRUE())/1000000</f>
        <v>96</v>
      </c>
      <c r="I20" s="14">
        <f t="shared" ca="1" si="22"/>
        <v>5673.6</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4433.6000000000004</v>
      </c>
      <c r="AS20" s="19">
        <v>274</v>
      </c>
      <c r="AT20" s="19">
        <v>332</v>
      </c>
      <c r="AU20" s="19">
        <v>529</v>
      </c>
      <c r="AV20" s="19">
        <v>3300</v>
      </c>
      <c r="AW20" s="20">
        <f t="shared" ca="1" si="9"/>
        <v>16.181021897810222</v>
      </c>
      <c r="AX20" s="20">
        <f t="shared" ca="1" si="10"/>
        <v>8.3810964083175818</v>
      </c>
      <c r="AY20" s="20">
        <f t="shared" ca="1" si="11"/>
        <v>1.3435151515151516</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-3.7608819307332841E-2</v>
      </c>
      <c r="BM20" s="23">
        <f t="shared" ca="1" si="19"/>
        <v>0.15744814854748856</v>
      </c>
      <c r="BN20" s="96" t="s">
        <v>678</v>
      </c>
      <c r="BO20" t="s">
        <v>92</v>
      </c>
      <c r="BP20" t="s">
        <v>124</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48.844999999999999</v>
      </c>
      <c r="H21" s="13">
        <f t="array" aca="1" ref="H21" ca="1">_FV(A21,"Acciones en circulación",TRUE())/1000000</f>
        <v>1956.0160000000001</v>
      </c>
      <c r="I21" s="14">
        <f t="shared" ca="1" si="22"/>
        <v>95541.601519999997</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92215.601519999997</v>
      </c>
      <c r="AS21" s="19">
        <v>2100</v>
      </c>
      <c r="AT21" s="19">
        <v>2154</v>
      </c>
      <c r="AU21" s="19">
        <v>2930</v>
      </c>
      <c r="AV21" s="19">
        <v>9220</v>
      </c>
      <c r="AW21" s="20">
        <f t="shared" ca="1" si="9"/>
        <v>43.912191199999995</v>
      </c>
      <c r="AX21" s="20">
        <f t="shared" ca="1" si="10"/>
        <v>31.472901542662115</v>
      </c>
      <c r="AY21" s="20">
        <f t="shared" ca="1" si="11"/>
        <v>10.001692138828632</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-0.12388913665846968</v>
      </c>
      <c r="BM21" s="23">
        <f t="shared" ca="1" si="19"/>
        <v>9.8849409169941005E-3</v>
      </c>
      <c r="BN21" s="95" t="s">
        <v>678</v>
      </c>
      <c r="BO21" s="93" t="s">
        <v>125</v>
      </c>
      <c r="BP21" s="95" t="s">
        <v>144</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190.11</v>
      </c>
      <c r="H22" s="13">
        <f t="array" aca="1" ref="H22" ca="1">_FV(A22,"Acciones en circulación",TRUE())/1000000</f>
        <v>589.58569999999997</v>
      </c>
      <c r="I22" s="14">
        <f t="shared" ca="1" si="22"/>
        <v>112086.13742700001</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12069</v>
      </c>
      <c r="AQ22" s="19">
        <v>2496</v>
      </c>
      <c r="AR22" s="19">
        <f t="shared" ca="1" si="21"/>
        <v>102513.13742700001</v>
      </c>
      <c r="AS22" s="19">
        <v>4800</v>
      </c>
      <c r="AT22" s="19">
        <v>2081</v>
      </c>
      <c r="AU22" s="19">
        <v>2874</v>
      </c>
      <c r="AV22" s="19">
        <v>13159</v>
      </c>
      <c r="AW22" s="20">
        <f t="shared" ca="1" si="9"/>
        <v>21.356903630625002</v>
      </c>
      <c r="AX22" s="20">
        <f t="shared" ca="1" si="10"/>
        <v>35.669150113778706</v>
      </c>
      <c r="AY22" s="20">
        <f t="shared" ca="1" si="11"/>
        <v>7.7903440555513344</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-4.0460475765684678E-2</v>
      </c>
      <c r="BM22" s="23">
        <f t="shared" ca="1" si="19"/>
        <v>0.1657315857896311</v>
      </c>
      <c r="BN22" s="95" t="s">
        <v>678</v>
      </c>
      <c r="BO22" s="95" t="s">
        <v>125</v>
      </c>
      <c r="BP22" s="95" t="s">
        <v>144</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36.18</v>
      </c>
      <c r="H23" s="13">
        <f t="array" aca="1" ref="H23" ca="1">_FV(A23,"Acciones en circulación",TRUE())/1000000</f>
        <v>980.4</v>
      </c>
      <c r="I23" s="14">
        <f t="shared" ca="1" si="22"/>
        <v>35470.871999999996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126</v>
      </c>
      <c r="AP23" s="19">
        <v>771</v>
      </c>
      <c r="AQ23" s="19">
        <v>852</v>
      </c>
      <c r="AR23" s="19">
        <f t="shared" ca="1" si="21"/>
        <v>35551.871999999996</v>
      </c>
      <c r="AS23" s="19">
        <v>1681</v>
      </c>
      <c r="AT23" s="19">
        <v>1656</v>
      </c>
      <c r="AU23" s="19">
        <v>2609</v>
      </c>
      <c r="AV23" s="19">
        <v>35628</v>
      </c>
      <c r="AW23" s="20">
        <f t="shared" ca="1" si="9"/>
        <v>21.149239738251037</v>
      </c>
      <c r="AX23" s="20">
        <f t="shared" ca="1" si="10"/>
        <v>13.626627826753543</v>
      </c>
      <c r="AY23" s="20">
        <f t="shared" ca="1" si="11"/>
        <v>0.99786325362074757</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-4.3362534677412246E-2</v>
      </c>
      <c r="BM23" s="23">
        <f t="shared" ca="1" si="19"/>
        <v>0.13746109747208712</v>
      </c>
      <c r="BN23" s="96" t="s">
        <v>678</v>
      </c>
      <c r="BO23" s="96" t="s">
        <v>88</v>
      </c>
      <c r="BP23" s="96" t="s">
        <v>677</v>
      </c>
    </row>
    <row r="24" spans="1:68" ht="15" customHeight="1" x14ac:dyDescent="0.35">
      <c r="A24" s="86" t="e" vm="21">
        <v>#VALUE!</v>
      </c>
      <c r="B24" s="10" t="str">
        <f t="array" aca="1" ref="B24" ca="1">_FV(A24,"Símbolo bursátil",TRUE())</f>
        <v>VLTO</v>
      </c>
      <c r="C24" s="88" t="s">
        <v>119</v>
      </c>
      <c r="D24" s="88" t="s">
        <v>77</v>
      </c>
      <c r="E24" s="11" t="str">
        <f t="array" aca="1" ref="E24" ca="1">_FV(A24,"Abreviatura de intercambio",TRUE())</f>
        <v>XNYS</v>
      </c>
      <c r="F24" s="11" t="str">
        <f t="array" aca="1" ref="F24" ca="1">_FV(A24,"Moneda")</f>
        <v>USD</v>
      </c>
      <c r="G24" s="12">
        <f t="array" aca="1" ref="G24" ca="1">_FV(A24,"Precio")</f>
        <v>98.844999999999999</v>
      </c>
      <c r="H24" s="13">
        <f t="array" aca="1" ref="H24" ca="1">_FV(A24,"Acciones en circulación",TRUE())/1000000</f>
        <v>243.79329999999999</v>
      </c>
      <c r="I24" s="14">
        <f t="shared" ca="1" si="22"/>
        <v>24097.748738499999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2120</v>
      </c>
      <c r="AQ24" s="19">
        <v>3590</v>
      </c>
      <c r="AR24" s="19">
        <f t="shared" ca="1" si="21"/>
        <v>25567.748738499999</v>
      </c>
      <c r="AS24" s="19">
        <v>1050</v>
      </c>
      <c r="AT24" s="19">
        <v>1062</v>
      </c>
      <c r="AU24" s="19">
        <v>1390</v>
      </c>
      <c r="AV24" s="19">
        <v>5700</v>
      </c>
      <c r="AW24" s="20">
        <f t="shared" ca="1" si="9"/>
        <v>24.350236893809523</v>
      </c>
      <c r="AX24" s="20">
        <f t="shared" ca="1" si="10"/>
        <v>18.39406384064748</v>
      </c>
      <c r="AY24" s="20">
        <f t="shared" ca="1" si="11"/>
        <v>4.4855699541228065</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-9.6666014737439077E-2</v>
      </c>
      <c r="BM24" s="23">
        <f t="shared" ca="1" si="19"/>
        <v>8.0855756616710517E-2</v>
      </c>
      <c r="BN24" s="95" t="s">
        <v>678</v>
      </c>
      <c r="BO24" s="93" t="s">
        <v>128</v>
      </c>
      <c r="BP24" s="93" t="s">
        <v>129</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136.5</v>
      </c>
      <c r="H25" s="13">
        <f t="array" aca="1" ref="H25" ca="1">_FV(A25,"Acciones en circulación",TRUE())/1000000</f>
        <v>262.2457</v>
      </c>
      <c r="I25" s="14">
        <f t="shared" ca="1" si="22"/>
        <v>35796.538050000003</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1971</v>
      </c>
      <c r="AQ25" s="19">
        <v>7724</v>
      </c>
      <c r="AR25" s="19">
        <f t="shared" ca="1" si="21"/>
        <v>41549.538050000003</v>
      </c>
      <c r="AS25" s="19">
        <v>1340</v>
      </c>
      <c r="AT25" s="19">
        <v>1409</v>
      </c>
      <c r="AU25" s="19">
        <v>2319</v>
      </c>
      <c r="AV25" s="19">
        <v>10107</v>
      </c>
      <c r="AW25" s="20">
        <f t="shared" ca="1" si="9"/>
        <v>31.007117947761195</v>
      </c>
      <c r="AX25" s="20">
        <f t="shared" ca="1" si="10"/>
        <v>17.917006489866324</v>
      </c>
      <c r="AY25" s="20">
        <f t="shared" ca="1" si="11"/>
        <v>4.1109664638369452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-0.13267632141108832</v>
      </c>
      <c r="BM25" s="23">
        <f t="shared" ca="1" si="19"/>
        <v>0.10491795222211375</v>
      </c>
      <c r="BN25" s="95" t="s">
        <v>678</v>
      </c>
      <c r="BO25" s="95" t="s">
        <v>125</v>
      </c>
      <c r="BP25" s="95" t="s">
        <v>144</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4050</v>
      </c>
      <c r="H26" s="13">
        <f t="array" aca="1" ref="H26" ca="1">_FV(A26,"Acciones en circulación",TRUE())/1000000</f>
        <v>6.6606899999999998</v>
      </c>
      <c r="I26" s="14">
        <f ca="1">G26/100*H26</f>
        <v>269.75794500000001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315.55794500000002</v>
      </c>
      <c r="AS26" s="19">
        <v>24.2</v>
      </c>
      <c r="AT26" s="19">
        <v>8.4</v>
      </c>
      <c r="AU26" s="19">
        <v>29.2</v>
      </c>
      <c r="AV26" s="19">
        <v>145.80000000000001</v>
      </c>
      <c r="AW26" s="20">
        <f t="shared" ca="1" si="9"/>
        <v>13.039584504132232</v>
      </c>
      <c r="AX26" s="20">
        <f t="shared" ca="1" si="10"/>
        <v>10.806778938356166</v>
      </c>
      <c r="AY26" s="20">
        <f t="shared" ca="1" si="11"/>
        <v>2.1643206104252402</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-4.596877066919991E-2</v>
      </c>
      <c r="BM26" s="23">
        <f t="shared" ca="1" si="19"/>
        <v>0.31684805256802173</v>
      </c>
      <c r="BN26" s="95" t="s">
        <v>678</v>
      </c>
      <c r="BO26" s="95" t="s">
        <v>147</v>
      </c>
      <c r="BP26" s="95" t="s">
        <v>681</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91.54</v>
      </c>
      <c r="H27" s="13">
        <f t="array" aca="1" ref="H27" ca="1">_FV(A27,"Acciones en circulación",TRUE())/1000000</f>
        <v>159.45519999999999</v>
      </c>
      <c r="I27" s="14">
        <f t="shared" ref="I27:I60" ca="1" si="25">G27*H27</f>
        <v>14596.529008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130</v>
      </c>
      <c r="AP27" s="19">
        <v>415</v>
      </c>
      <c r="AQ27" s="19">
        <v>475</v>
      </c>
      <c r="AR27" s="19">
        <f t="shared" ca="1" si="21"/>
        <v>14656.529008</v>
      </c>
      <c r="AS27" s="19">
        <v>384</v>
      </c>
      <c r="AT27" s="19">
        <v>528</v>
      </c>
      <c r="AU27" s="19">
        <v>779</v>
      </c>
      <c r="AV27" s="19">
        <v>2637</v>
      </c>
      <c r="AW27" s="20">
        <f t="shared" ca="1" si="9"/>
        <v>38.168044291666668</v>
      </c>
      <c r="AX27" s="20">
        <f t="shared" ca="1" si="10"/>
        <v>18.814543014120666</v>
      </c>
      <c r="AY27" s="20">
        <f t="shared" ca="1" si="11"/>
        <v>5.5580314781949181</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-8.8341712743059575E-2</v>
      </c>
      <c r="BM27" s="23">
        <f t="shared" ca="1" si="19"/>
        <v>6.6237833093061527E-2</v>
      </c>
      <c r="BN27" s="95" t="s">
        <v>678</v>
      </c>
      <c r="BO27" s="100" t="s">
        <v>131</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568.70000000000005</v>
      </c>
      <c r="H28" s="13">
        <f t="array" aca="1" ref="H28" ca="1">_FV(A28,"Acciones en circulación",TRUE())/1000000</f>
        <v>2547.5059999999999</v>
      </c>
      <c r="I28" s="14">
        <f t="shared" ca="1" si="25"/>
        <v>1448766.6622000001</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90260</v>
      </c>
      <c r="AQ28" s="19">
        <v>112320</v>
      </c>
      <c r="AR28" s="19">
        <f t="shared" ca="1" si="21"/>
        <v>1470826.6622000001</v>
      </c>
      <c r="AS28" s="19">
        <v>85640</v>
      </c>
      <c r="AT28" s="19">
        <v>67631</v>
      </c>
      <c r="AU28" s="19">
        <v>109660</v>
      </c>
      <c r="AV28" s="19">
        <v>228250</v>
      </c>
      <c r="AW28" s="20">
        <f t="shared" ca="1" si="9"/>
        <v>17.174528984119572</v>
      </c>
      <c r="AX28" s="20">
        <f t="shared" ca="1" si="10"/>
        <v>13.412608628488055</v>
      </c>
      <c r="AY28" s="20">
        <f t="shared" ca="1" si="11"/>
        <v>6.4439284214676897</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-4.5352960331777936E-2</v>
      </c>
      <c r="BM28" s="23">
        <f t="shared" ca="1" si="19"/>
        <v>0.26292494641153241</v>
      </c>
      <c r="BN28" s="95" t="s">
        <v>678</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107.72499999999999</v>
      </c>
      <c r="H29" s="13">
        <f t="array" aca="1" ref="H29" ca="1">_FV(A29,"Acciones en circulación",TRUE())/1000000</f>
        <v>897.63559999999995</v>
      </c>
      <c r="I29" s="14">
        <f t="shared" ca="1" si="25"/>
        <v>96697.795009999987</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21080</v>
      </c>
      <c r="AQ29" s="19">
        <v>56164</v>
      </c>
      <c r="AR29" s="19">
        <f t="shared" ca="1" si="21"/>
        <v>131781.79501</v>
      </c>
      <c r="AS29" s="19">
        <v>5000</v>
      </c>
      <c r="AT29" s="19">
        <v>5176</v>
      </c>
      <c r="AU29" s="19">
        <v>6752</v>
      </c>
      <c r="AV29" s="19">
        <v>25833</v>
      </c>
      <c r="AW29" s="20">
        <f t="shared" ca="1" si="9"/>
        <v>26.356359002000001</v>
      </c>
      <c r="AX29" s="20">
        <f t="shared" ca="1" si="10"/>
        <v>19.517445943424171</v>
      </c>
      <c r="AY29" s="20">
        <f t="shared" ca="1" si="11"/>
        <v>5.101296597762552</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-6.2278403886486977E-2</v>
      </c>
      <c r="BM29" s="23">
        <f t="shared" ca="1" si="19"/>
        <v>0.23335415587377817</v>
      </c>
      <c r="BN29" s="95" t="s">
        <v>678</v>
      </c>
      <c r="BO29" s="95" t="s">
        <v>106</v>
      </c>
      <c r="BP29" s="95" t="s">
        <v>167</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277.39</v>
      </c>
      <c r="H30" s="13">
        <f t="array" aca="1" ref="H30" ca="1">_FV(A30,"Acciones en circulación",TRUE())/1000000</f>
        <v>356.0797</v>
      </c>
      <c r="I30" s="14">
        <f t="shared" ca="1" si="25"/>
        <v>98772.947982999991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98138.947982999991</v>
      </c>
      <c r="AS30" s="19">
        <v>342</v>
      </c>
      <c r="AT30" s="19">
        <v>-195</v>
      </c>
      <c r="AU30" s="19">
        <v>-2</v>
      </c>
      <c r="AV30" s="19">
        <v>2512</v>
      </c>
      <c r="AW30" s="20">
        <f t="shared" ca="1" si="9"/>
        <v>286.95598825438594</v>
      </c>
      <c r="AX30" s="20">
        <f t="shared" ca="1" si="10"/>
        <v>-49069.473991499995</v>
      </c>
      <c r="AY30" s="20">
        <f t="shared" ca="1" si="11"/>
        <v>39.068052541003183</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-0.325455755361031</v>
      </c>
      <c r="BM30" s="23">
        <f t="shared" ca="1" si="19"/>
        <v>-0.18331878464113061</v>
      </c>
      <c r="BN30" s="95" t="s">
        <v>678</v>
      </c>
      <c r="BO30" s="95" t="s">
        <v>125</v>
      </c>
      <c r="BP30" s="95" t="s">
        <v>144</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185.20500000000001</v>
      </c>
      <c r="H31" s="13">
        <f t="array" aca="1" ref="H31" ca="1">_FV(A31,"Acciones en circulación",TRUE())/1000000</f>
        <v>1018.322</v>
      </c>
      <c r="I31" s="14">
        <f t="shared" ca="1" si="25"/>
        <v>188598.32601000002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184869.32601000002</v>
      </c>
      <c r="AS31" s="19">
        <v>1510</v>
      </c>
      <c r="AT31" s="19">
        <v>-160</v>
      </c>
      <c r="AU31" s="19">
        <v>59</v>
      </c>
      <c r="AV31" s="19">
        <v>5090</v>
      </c>
      <c r="AW31" s="20">
        <f t="shared" ca="1" si="9"/>
        <v>122.43001722516557</v>
      </c>
      <c r="AX31" s="20">
        <f t="shared" ca="1" si="10"/>
        <v>3133.378406949153</v>
      </c>
      <c r="AY31" s="20">
        <f t="shared" ca="1" si="11"/>
        <v>36.32010334184676</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-0.21295084941557374</v>
      </c>
      <c r="BM31" s="23">
        <f t="shared" ca="1" si="19"/>
        <v>-4.784824146586153E-2</v>
      </c>
      <c r="BN31" s="96" t="s">
        <v>678</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343.76510000000002</v>
      </c>
      <c r="H32" s="13">
        <f t="array" aca="1" ref="H32" ca="1">_FV(A32,"Acciones en circulación",TRUE())/1000000</f>
        <v>12230</v>
      </c>
      <c r="I32" s="14">
        <f t="shared" ca="1" si="25"/>
        <v>4204247.1730000004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242470</v>
      </c>
      <c r="AQ32" s="19">
        <v>120790</v>
      </c>
      <c r="AR32" s="19">
        <f t="shared" ca="1" si="21"/>
        <v>4082567.1730000004</v>
      </c>
      <c r="AS32" s="19">
        <v>119475</v>
      </c>
      <c r="AT32" s="19">
        <v>120466</v>
      </c>
      <c r="AU32" s="19">
        <v>173160</v>
      </c>
      <c r="AV32" s="19">
        <v>445870</v>
      </c>
      <c r="AW32" s="20">
        <f t="shared" ca="1" si="9"/>
        <v>34.170890755388157</v>
      </c>
      <c r="AX32" s="20">
        <f t="shared" ca="1" si="10"/>
        <v>23.576849000924003</v>
      </c>
      <c r="AY32" s="20">
        <f t="shared" ca="1" si="11"/>
        <v>9.1564069639132484</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-5.4827142402877116E-2</v>
      </c>
      <c r="BM32" s="23">
        <f t="shared" ca="1" si="19"/>
        <v>0.11761896695055585</v>
      </c>
      <c r="BN32" s="95" t="s">
        <v>678</v>
      </c>
      <c r="BO32" s="93" t="s">
        <v>133</v>
      </c>
      <c r="BP32" s="93" t="s">
        <v>129</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79.86</v>
      </c>
      <c r="H33" s="13">
        <f t="array" aca="1" ref="H33" ca="1">_FV(A33,"Acciones en circulación",TRUE())/1000000</f>
        <v>1823.154</v>
      </c>
      <c r="I33" s="14">
        <f t="shared" ca="1" si="25"/>
        <v>145597.07844000001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184922.35535390003</v>
      </c>
      <c r="AS33" s="19">
        <v>4870</v>
      </c>
      <c r="AT33" s="19">
        <v>4811</v>
      </c>
      <c r="AU33" s="19">
        <v>7150</v>
      </c>
      <c r="AV33" s="19">
        <v>35750</v>
      </c>
      <c r="AW33" s="20">
        <f t="shared" ca="1" si="9"/>
        <v>37.971736212299803</v>
      </c>
      <c r="AX33" s="20">
        <f t="shared" ca="1" si="10"/>
        <v>25.86326648306294</v>
      </c>
      <c r="AY33" s="20">
        <f t="shared" ca="1" si="11"/>
        <v>5.1726532966125882</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35.02608990344406</v>
      </c>
      <c r="BK33" s="25">
        <f ca="1">((BF33*BI33+$AP33-$AQ33)/$H33)/'Framework Notes'!E5</f>
        <v>92.895457789578813</v>
      </c>
      <c r="BL33" s="23">
        <f t="shared" ca="1" si="18"/>
        <v>-0.15196755084126234</v>
      </c>
      <c r="BM33" s="23">
        <f t="shared" ca="1" si="19"/>
        <v>3.0701800457267003E-2</v>
      </c>
      <c r="BN33" s="95" t="s">
        <v>678</v>
      </c>
      <c r="BO33" s="93" t="s">
        <v>134</v>
      </c>
      <c r="BP33" s="93" t="s">
        <v>123</v>
      </c>
    </row>
    <row r="34" spans="1:68" ht="15" customHeight="1" x14ac:dyDescent="0.35">
      <c r="A34" s="86" t="e" vm="31">
        <v>#VALUE!</v>
      </c>
      <c r="B34" s="10" t="str">
        <f t="array" aca="1" ref="B34" ca="1">_FV(A34,"Símbolo bursátil",TRUE())</f>
        <v>GRMN</v>
      </c>
      <c r="C34" s="88" t="s">
        <v>135</v>
      </c>
      <c r="D34" s="88" t="s">
        <v>77</v>
      </c>
      <c r="E34" s="11" t="str">
        <f t="array" aca="1" ref="E34" ca="1">_FV(A34,"Abreviatura de intercambio",TRUE())</f>
        <v>XNYS</v>
      </c>
      <c r="F34" s="11" t="str">
        <f t="array" aca="1" ref="F34" ca="1">_FV(A34,"Moneda")</f>
        <v>USD</v>
      </c>
      <c r="G34" s="12">
        <f t="array" aca="1" ref="G34" ca="1">_FV(A34,"Precio")</f>
        <v>289.01499999999999</v>
      </c>
      <c r="H34" s="13">
        <f t="array" aca="1" ref="H34" ca="1">_FV(A34,"Acciones en circulación",TRUE())/1000000</f>
        <v>192.85249999999999</v>
      </c>
      <c r="I34" s="14">
        <f t="shared" ca="1" si="25"/>
        <v>55737.265287499999</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53294.265287499999</v>
      </c>
      <c r="AS34" s="19">
        <v>1600</v>
      </c>
      <c r="AT34" s="19">
        <v>1754</v>
      </c>
      <c r="AU34" s="19">
        <v>2310</v>
      </c>
      <c r="AV34" s="19">
        <v>7670</v>
      </c>
      <c r="AW34" s="20">
        <f t="shared" ca="1" si="9"/>
        <v>33.308915804687501</v>
      </c>
      <c r="AX34" s="20">
        <f t="shared" ca="1" si="10"/>
        <v>23.071110514069264</v>
      </c>
      <c r="AY34" s="20">
        <f t="shared" ca="1" si="11"/>
        <v>6.9484048614732723</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-7.6247109723681095E-2</v>
      </c>
      <c r="BM34" s="23">
        <f t="shared" ca="1" si="19"/>
        <v>7.2476329076016865E-2</v>
      </c>
      <c r="BN34" s="95" t="s">
        <v>678</v>
      </c>
      <c r="BO34" s="93" t="s">
        <v>84</v>
      </c>
      <c r="BP34" s="93" t="s">
        <v>108</v>
      </c>
    </row>
    <row r="35" spans="1:68" ht="15" customHeight="1" x14ac:dyDescent="0.35">
      <c r="A35" s="86" t="e" vm="32">
        <v>#VALUE!</v>
      </c>
      <c r="B35" s="10" t="str">
        <f t="array" aca="1" ref="B35" ca="1">_FV(A35,"Símbolo bursátil",TRUE())</f>
        <v>KRX</v>
      </c>
      <c r="C35" s="88" t="s">
        <v>136</v>
      </c>
      <c r="D35" s="88" t="s">
        <v>77</v>
      </c>
      <c r="E35" s="11" t="s">
        <v>603</v>
      </c>
      <c r="F35" s="11" t="str">
        <f t="array" aca="1" ref="F35" ca="1">_FV(A35,"Moneda")</f>
        <v>EUR</v>
      </c>
      <c r="G35" s="12">
        <f t="array" aca="1" ref="G35" ca="1">_FV(A35,"Precio")</f>
        <v>102.2</v>
      </c>
      <c r="H35" s="13">
        <f t="array" aca="1" ref="H35" ca="1">_FV(A35,"Acciones en circulación",TRUE())/1000000</f>
        <v>180.3699</v>
      </c>
      <c r="I35" s="14">
        <f t="shared" ca="1" si="25"/>
        <v>18433.803780000002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11</v>
      </c>
      <c r="Z35" s="91">
        <v>8</v>
      </c>
      <c r="AA35" s="91">
        <v>-9</v>
      </c>
      <c r="AB35" s="26">
        <f t="shared" si="3"/>
        <v>65</v>
      </c>
      <c r="AC35" s="16">
        <f t="shared" si="4"/>
        <v>6.5</v>
      </c>
      <c r="AD35" s="91">
        <v>12</v>
      </c>
      <c r="AE35" s="91">
        <v>-2</v>
      </c>
      <c r="AF35" s="91">
        <v>4</v>
      </c>
      <c r="AG35" s="91">
        <v>11</v>
      </c>
      <c r="AH35" s="91">
        <v>2</v>
      </c>
      <c r="AI35" s="91">
        <v>8</v>
      </c>
      <c r="AJ35" s="91">
        <v>10</v>
      </c>
      <c r="AK35" s="91">
        <v>-4</v>
      </c>
      <c r="AL35" s="26">
        <f t="shared" si="5"/>
        <v>41</v>
      </c>
      <c r="AM35" s="16">
        <f t="shared" si="6"/>
        <v>5.86</v>
      </c>
      <c r="AN35" s="17">
        <f t="shared" si="7"/>
        <v>6.19</v>
      </c>
      <c r="AO35" s="18" t="s">
        <v>87</v>
      </c>
      <c r="AP35" s="19">
        <v>590</v>
      </c>
      <c r="AQ35" s="19">
        <v>2450</v>
      </c>
      <c r="AR35" s="19">
        <f ca="1">I35-AP35+AQ35</f>
        <v>20293.803780000002</v>
      </c>
      <c r="AS35" s="19">
        <v>594</v>
      </c>
      <c r="AT35" s="19">
        <v>780</v>
      </c>
      <c r="AU35" s="19">
        <v>1277</v>
      </c>
      <c r="AV35" s="19">
        <v>9561</v>
      </c>
      <c r="AW35" s="20">
        <f t="shared" ca="1" si="9"/>
        <v>34.164652828282833</v>
      </c>
      <c r="AX35" s="20">
        <f t="shared" ca="1" si="10"/>
        <v>15.891780563821458</v>
      </c>
      <c r="AY35" s="20">
        <f t="shared" ca="1" si="11"/>
        <v>2.1225607969877629</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-0.14828548995806867</v>
      </c>
      <c r="BM35" s="23">
        <f t="shared" ca="1" si="19"/>
        <v>5.7941616311690369E-2</v>
      </c>
      <c r="BN35" s="95" t="s">
        <v>678</v>
      </c>
      <c r="BO35" s="95" t="s">
        <v>104</v>
      </c>
      <c r="BP35" s="95" t="s">
        <v>682</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108.79</v>
      </c>
      <c r="H36" s="13">
        <f t="array" aca="1" ref="H36" ca="1">_FV(A36,"Acciones en circulación",TRUE())/1000000</f>
        <v>189.33349999999999</v>
      </c>
      <c r="I36" s="14">
        <f t="shared" ca="1" si="25"/>
        <v>20597.591465000001</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137</v>
      </c>
      <c r="AP36" s="19">
        <v>900000</v>
      </c>
      <c r="AQ36" s="19">
        <v>100000</v>
      </c>
      <c r="AR36" s="19">
        <f ca="1">I36*'Framework Notes'!E6-AP36+AQ36</f>
        <v>8629783.3485916499</v>
      </c>
      <c r="AS36" s="19">
        <v>940085</v>
      </c>
      <c r="AT36" s="19">
        <v>1065825</v>
      </c>
      <c r="AU36" s="19">
        <v>1606052</v>
      </c>
      <c r="AV36" s="19">
        <v>4449504</v>
      </c>
      <c r="AW36" s="20">
        <f t="shared" ref="AW36:AW66" ca="1" si="35">AR36/AS36</f>
        <v>9.1797904961696553</v>
      </c>
      <c r="AX36" s="20">
        <f t="shared" ref="AX36:AX66" ca="1" si="36">AR36/AU36</f>
        <v>5.3732901229796104</v>
      </c>
      <c r="AY36" s="20">
        <f t="shared" ref="AY36:AY66" ca="1" si="37">AR36/AV36</f>
        <v>1.9394933342214435</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81.680900984330179</v>
      </c>
      <c r="BK36" s="25">
        <f ca="1">((BF36*BI36+$AP36-$AQ36)/$H36)/'Framework Notes'!E6</f>
        <v>482.52876887988839</v>
      </c>
      <c r="BL36" s="23">
        <f t="shared" ref="BL36:BL71" ca="1" si="43">IF($BJ36&lt;=0,-0.99,MAX(-0.99,($BJ36/G36)^(1/5)-1))</f>
        <v>-5.5708003930611705E-2</v>
      </c>
      <c r="BM36" s="23">
        <f t="shared" ref="BM36:BM71" ca="1" si="44">IF(BK36&lt;=0,-0.99,MAX(-0.99,(BK36/G36)^(1/5)-1))</f>
        <v>0.34705971061379648</v>
      </c>
      <c r="BN36" s="96" t="s">
        <v>678</v>
      </c>
      <c r="BO36" t="s">
        <v>138</v>
      </c>
      <c r="BP36" s="96" t="s">
        <v>683</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980.54722000000004</v>
      </c>
      <c r="AS37" s="19">
        <v>42</v>
      </c>
      <c r="AT37" s="19">
        <v>50</v>
      </c>
      <c r="AU37" s="19">
        <v>95</v>
      </c>
      <c r="AV37" s="19">
        <v>320</v>
      </c>
      <c r="AW37" s="20">
        <f t="shared" ca="1" si="35"/>
        <v>23.346362380952382</v>
      </c>
      <c r="AX37" s="20">
        <f t="shared" ca="1" si="36"/>
        <v>10.321549684210527</v>
      </c>
      <c r="AY37" s="20">
        <f t="shared" ca="1" si="37"/>
        <v>3.0642100624999999</v>
      </c>
      <c r="AZ37" s="21">
        <v>220</v>
      </c>
      <c r="BA37" s="22">
        <f t="shared" si="38"/>
        <v>0.15625</v>
      </c>
      <c r="BB37" s="22">
        <f t="shared" si="39"/>
        <v>1.4545454545454546</v>
      </c>
      <c r="BC37" s="23">
        <f t="shared" si="40"/>
        <v>0.22727272727272729</v>
      </c>
      <c r="BD37" s="98">
        <v>56</v>
      </c>
      <c r="BE37" s="23">
        <f t="shared" si="41"/>
        <v>5.9223841048812176E-2</v>
      </c>
      <c r="BF37" t="s">
        <v>139</v>
      </c>
      <c r="BG37" s="23">
        <f t="shared" si="42"/>
        <v>0.16978946918768023</v>
      </c>
      <c r="BH37" s="24">
        <v>12</v>
      </c>
      <c r="BI37" s="24">
        <v>16.5</v>
      </c>
      <c r="BJ37" s="25">
        <f ca="1">(BD37*BH37+$AP37-$AQ37)/$H37</f>
        <v>40.07952130236368</v>
      </c>
      <c r="BK37" s="25">
        <f ca="1">(BF37*BI37+$AP37-$AQ37)/$H37</f>
        <v>91.957237063991087</v>
      </c>
      <c r="BL37" s="23">
        <f t="shared" ca="1" si="43"/>
        <v>-7.441969937976034E-2</v>
      </c>
      <c r="BM37" s="23">
        <f t="shared" ca="1" si="44"/>
        <v>9.2815334580940823E-2</v>
      </c>
      <c r="BN37" s="95" t="s">
        <v>678</v>
      </c>
      <c r="BO37" s="100" t="s">
        <v>84</v>
      </c>
      <c r="BP37" s="95" t="s">
        <v>680</v>
      </c>
    </row>
    <row r="38" spans="1:68" ht="15" customHeight="1" x14ac:dyDescent="0.35">
      <c r="A38" s="86" t="e" vm="35">
        <v>#VALUE!</v>
      </c>
      <c r="B38" s="10" t="str">
        <f t="array" aca="1" ref="B38" ca="1">_FV(A38,"Símbolo bursátil",TRUE())</f>
        <v>NVDA</v>
      </c>
      <c r="C38" s="88" t="s">
        <v>140</v>
      </c>
      <c r="D38" s="88" t="s">
        <v>100</v>
      </c>
      <c r="E38" s="11" t="str">
        <f t="array" aca="1" ref="E38" ca="1">_FV(A38,"Abreviatura de intercambio",TRUE())</f>
        <v>XNAS</v>
      </c>
      <c r="F38" s="11" t="str">
        <f t="array" aca="1" ref="F38" ca="1">_FV(A38,"Moneda")</f>
        <v>USD</v>
      </c>
      <c r="G38" s="12">
        <f t="array" aca="1" ref="G38" ca="1">_FV(A38,"Precio")</f>
        <v>212.715</v>
      </c>
      <c r="H38" s="13">
        <f t="array" aca="1" ref="H38" ca="1">_FV(A38,"Acciones en circulación",TRUE())/1000000</f>
        <v>24200</v>
      </c>
      <c r="I38" s="14">
        <f t="shared" ca="1" si="25"/>
        <v>5147703</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5107343</v>
      </c>
      <c r="AS38" s="19">
        <v>122365</v>
      </c>
      <c r="AT38" s="19">
        <v>136729</v>
      </c>
      <c r="AU38" s="19">
        <v>165510</v>
      </c>
      <c r="AV38" s="19">
        <v>253490</v>
      </c>
      <c r="AW38" s="20">
        <f t="shared" ca="1" si="35"/>
        <v>41.738593552077802</v>
      </c>
      <c r="AX38" s="20">
        <f t="shared" ca="1" si="36"/>
        <v>30.858214005196061</v>
      </c>
      <c r="AY38" s="20">
        <f t="shared" ca="1" si="37"/>
        <v>20.148104461714468</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-6.715757490375629E-2</v>
      </c>
      <c r="BM38" s="23">
        <f t="shared" ca="1" si="44"/>
        <v>0.10390432610734335</v>
      </c>
      <c r="BN38" s="96" t="s">
        <v>678</v>
      </c>
      <c r="BO38" t="s">
        <v>141</v>
      </c>
      <c r="BP38" t="s">
        <v>81</v>
      </c>
    </row>
    <row r="39" spans="1:68" ht="15" customHeight="1" x14ac:dyDescent="0.35">
      <c r="A39" s="86" t="e" vm="36">
        <v>#VALUE!</v>
      </c>
      <c r="B39" s="10" t="str">
        <f t="array" aca="1" ref="B39" ca="1">_FV(A39,"Símbolo bursátil",TRUE())</f>
        <v>COR</v>
      </c>
      <c r="C39" s="88" t="s">
        <v>142</v>
      </c>
      <c r="D39" s="88" t="s">
        <v>90</v>
      </c>
      <c r="E39" s="11" t="str">
        <f t="array" aca="1" ref="E39" ca="1">_FV(A39,"Abreviatura de intercambio",TRUE())</f>
        <v>XLIS</v>
      </c>
      <c r="F39" s="11" t="str">
        <f t="array" aca="1" ref="F39" ca="1">_FV(A39,"Moneda")</f>
        <v>EUR</v>
      </c>
      <c r="G39" s="12">
        <f t="array" aca="1" ref="G39" ca="1">_FV(A39,"Precio")</f>
        <v>7.06</v>
      </c>
      <c r="H39" s="13">
        <f t="array" aca="1" ref="H39" ca="1">_FV(A39,"Acciones en circulación",TRUE())/1000000</f>
        <v>133</v>
      </c>
      <c r="I39" s="14">
        <f t="shared" ca="1" si="25"/>
        <v>938.9799999999999</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1038.98</v>
      </c>
      <c r="AS39" s="19">
        <v>80</v>
      </c>
      <c r="AT39" s="19">
        <v>100</v>
      </c>
      <c r="AU39" s="19">
        <v>170</v>
      </c>
      <c r="AV39" s="19">
        <v>900</v>
      </c>
      <c r="AW39" s="20">
        <f t="shared" ca="1" si="35"/>
        <v>12.98725</v>
      </c>
      <c r="AX39" s="20">
        <f t="shared" ca="1" si="36"/>
        <v>6.1116470588235297</v>
      </c>
      <c r="AY39" s="20">
        <f t="shared" ca="1" si="37"/>
        <v>1.1544222222222222</v>
      </c>
      <c r="AZ39" s="21">
        <v>750</v>
      </c>
      <c r="BA39" s="22">
        <f t="shared" si="38"/>
        <v>0.1111111111111111</v>
      </c>
      <c r="BB39" s="22">
        <f t="shared" si="39"/>
        <v>1.2</v>
      </c>
      <c r="BC39" s="23">
        <f t="shared" si="40"/>
        <v>0.13333333333333333</v>
      </c>
      <c r="BD39" s="98">
        <v>80</v>
      </c>
      <c r="BE39" s="23">
        <f t="shared" si="41"/>
        <v>0</v>
      </c>
      <c r="BF39" t="s">
        <v>143</v>
      </c>
      <c r="BG39" s="23">
        <f t="shared" si="42"/>
        <v>8.9840705850404712E-2</v>
      </c>
      <c r="BH39" s="24">
        <v>8.5</v>
      </c>
      <c r="BI39" s="24">
        <v>12</v>
      </c>
      <c r="BJ39" s="25">
        <f ca="1">(BD39*BH39+$AP39-$AQ39)/$H39</f>
        <v>4.3609022556390977</v>
      </c>
      <c r="BK39" s="25">
        <f ca="1">(BF39*BI39+$AP39-$AQ39)/$H39</f>
        <v>10.345864661654135</v>
      </c>
      <c r="BL39" s="23">
        <f t="shared" ca="1" si="43"/>
        <v>-9.1856810600527417E-2</v>
      </c>
      <c r="BM39" s="23">
        <f t="shared" ca="1" si="44"/>
        <v>7.9424865939422329E-2</v>
      </c>
      <c r="BN39" s="93" t="s">
        <v>127</v>
      </c>
      <c r="BO39" s="94" t="s">
        <v>84</v>
      </c>
      <c r="BP39" s="93" t="s">
        <v>144</v>
      </c>
    </row>
    <row r="40" spans="1:68" ht="15" customHeight="1" x14ac:dyDescent="0.35">
      <c r="A40" s="86" t="e" vm="37">
        <v>#VALUE!</v>
      </c>
      <c r="B40" s="10" t="str">
        <f t="array" aca="1" ref="B40" ca="1">_FV(A40,"Símbolo bursátil",TRUE())</f>
        <v>TSM</v>
      </c>
      <c r="C40" s="88" t="s">
        <v>140</v>
      </c>
      <c r="D40" s="88" t="s">
        <v>77</v>
      </c>
      <c r="E40" s="11" t="str">
        <f t="array" aca="1" ref="E40" ca="1">_FV(A40,"Abreviatura de intercambio",TRUE())</f>
        <v>XNYS</v>
      </c>
      <c r="F40" s="11" t="str">
        <f t="array" aca="1" ref="F40" ca="1">_FV(A40,"Moneda")</f>
        <v>USD</v>
      </c>
      <c r="G40" s="12">
        <f t="array" aca="1" ref="G40" ca="1">_FV(A40,"Precio")</f>
        <v>416.47</v>
      </c>
      <c r="H40" s="13">
        <f t="array" aca="1" ref="H40" ca="1">_FV(A40,"Acciones en circulación",TRUE())/1000000</f>
        <v>5186.4740000000002</v>
      </c>
      <c r="I40" s="14">
        <f t="shared" ca="1" si="25"/>
        <v>2160010.8267800002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2083020.8267800002</v>
      </c>
      <c r="AS40" s="19">
        <v>59255</v>
      </c>
      <c r="AT40" s="19">
        <v>65027</v>
      </c>
      <c r="AU40" s="19">
        <v>99560</v>
      </c>
      <c r="AV40" s="19">
        <v>139570</v>
      </c>
      <c r="AW40" s="20">
        <f t="shared" ca="1" si="35"/>
        <v>35.153503109948531</v>
      </c>
      <c r="AX40" s="20">
        <f t="shared" ca="1" si="36"/>
        <v>20.922266239252714</v>
      </c>
      <c r="AY40" s="20">
        <f t="shared" ca="1" si="37"/>
        <v>14.924559911012397</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-9.7135948059777655E-2</v>
      </c>
      <c r="BM40" s="23">
        <f t="shared" ca="1" si="44"/>
        <v>5.4398961280961888E-2</v>
      </c>
      <c r="BN40" s="95" t="s">
        <v>678</v>
      </c>
      <c r="BO40" s="93" t="s">
        <v>134</v>
      </c>
      <c r="BP40" s="93" t="s">
        <v>145</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550.72</v>
      </c>
      <c r="H41" s="13">
        <f t="array" aca="1" ref="H41" ca="1">_FV(A41,"Acciones en circulación",TRUE())/1000000</f>
        <v>205.5342</v>
      </c>
      <c r="I41" s="14">
        <f t="shared" ca="1" si="25"/>
        <v>113191.794624</v>
      </c>
      <c r="J41" s="91">
        <v>1</v>
      </c>
      <c r="K41" s="91">
        <v>4</v>
      </c>
      <c r="L41" s="91">
        <v>2</v>
      </c>
      <c r="M41" s="91">
        <v>0</v>
      </c>
      <c r="N41" s="91">
        <v>-2</v>
      </c>
      <c r="O41" s="91">
        <v>0</v>
      </c>
      <c r="P41" s="91">
        <v>1</v>
      </c>
      <c r="Q41" s="91">
        <v>1</v>
      </c>
      <c r="R41" s="26">
        <f t="shared" si="28"/>
        <v>7</v>
      </c>
      <c r="S41" s="16">
        <f t="shared" si="29"/>
        <v>4.38</v>
      </c>
      <c r="T41" s="91">
        <v>13</v>
      </c>
      <c r="U41" s="91">
        <v>11</v>
      </c>
      <c r="V41" s="91">
        <v>12</v>
      </c>
      <c r="W41" s="91">
        <v>9</v>
      </c>
      <c r="X41" s="91">
        <v>7</v>
      </c>
      <c r="Y41" s="91">
        <v>11</v>
      </c>
      <c r="Z41" s="91">
        <v>8</v>
      </c>
      <c r="AA41" s="91">
        <v>-12</v>
      </c>
      <c r="AB41" s="26">
        <f t="shared" si="30"/>
        <v>59</v>
      </c>
      <c r="AC41" s="16">
        <f t="shared" si="31"/>
        <v>5.9</v>
      </c>
      <c r="AD41" s="91">
        <v>10</v>
      </c>
      <c r="AE41" s="91">
        <v>-3</v>
      </c>
      <c r="AF41" s="91">
        <v>7</v>
      </c>
      <c r="AG41" s="91">
        <v>9</v>
      </c>
      <c r="AH41" s="91">
        <v>2</v>
      </c>
      <c r="AI41" s="91">
        <v>8</v>
      </c>
      <c r="AJ41" s="91">
        <v>9</v>
      </c>
      <c r="AK41" s="91">
        <v>-5</v>
      </c>
      <c r="AL41" s="26">
        <f t="shared" si="32"/>
        <v>37</v>
      </c>
      <c r="AM41" s="16">
        <f t="shared" si="33"/>
        <v>5.29</v>
      </c>
      <c r="AN41" s="17">
        <f t="shared" si="34"/>
        <v>5.35</v>
      </c>
      <c r="AO41" s="18" t="s">
        <v>87</v>
      </c>
      <c r="AP41" s="19">
        <v>6985</v>
      </c>
      <c r="AQ41" s="19">
        <v>466</v>
      </c>
      <c r="AR41" s="19">
        <f ca="1">I41*'Framework Notes'!E8-AP41+AQ41</f>
        <v>90429.772095456006</v>
      </c>
      <c r="AS41" s="19">
        <v>3267</v>
      </c>
      <c r="AT41" s="19">
        <v>2122</v>
      </c>
      <c r="AU41" s="19">
        <v>2750</v>
      </c>
      <c r="AV41" s="19">
        <v>18113</v>
      </c>
      <c r="AW41" s="20">
        <f t="shared" ca="1" si="35"/>
        <v>27.679758829340681</v>
      </c>
      <c r="AX41" s="20">
        <f t="shared" ca="1" si="36"/>
        <v>32.883553489256727</v>
      </c>
      <c r="AY41" s="20">
        <f t="shared" ca="1" si="37"/>
        <v>4.9925342072244252</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424.25006847433599</v>
      </c>
      <c r="BK41" s="25">
        <f ca="1">((BF41*BI41+$AP41-$AQ41)/$H41)/'Framework Notes'!E8</f>
        <v>784.30451501885375</v>
      </c>
      <c r="BL41" s="23">
        <f t="shared" ca="1" si="43"/>
        <v>-5.0842651420662355E-2</v>
      </c>
      <c r="BM41" s="23">
        <f t="shared" ca="1" si="44"/>
        <v>7.3274406694289196E-2</v>
      </c>
      <c r="BN41" s="95" t="s">
        <v>678</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v>
      </c>
      <c r="H42" s="13">
        <f t="array" aca="1" ref="H42" ca="1">_FV(A42,"Acciones en circulación",TRUE())/1000000</f>
        <v>301.83679999999998</v>
      </c>
      <c r="I42" s="14">
        <f t="shared" ca="1" si="25"/>
        <v>36522.252799999995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38839.252799999995</v>
      </c>
      <c r="AS42" s="19">
        <v>1171</v>
      </c>
      <c r="AT42" s="19">
        <v>1419</v>
      </c>
      <c r="AU42" s="19">
        <v>2398</v>
      </c>
      <c r="AV42" s="19">
        <v>19650</v>
      </c>
      <c r="AW42" s="20">
        <f t="shared" ca="1" si="35"/>
        <v>33.167594192997434</v>
      </c>
      <c r="AX42" s="20">
        <f t="shared" ca="1" si="36"/>
        <v>16.196519099249372</v>
      </c>
      <c r="AY42" s="20">
        <f t="shared" ca="1" si="37"/>
        <v>1.9765523053435112</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-4.9726004990056971E-2</v>
      </c>
      <c r="BM42" s="23">
        <f t="shared" ca="1" si="44"/>
        <v>0.15889031327299175</v>
      </c>
      <c r="BN42" s="95" t="s">
        <v>525</v>
      </c>
      <c r="BO42" s="93" t="s">
        <v>106</v>
      </c>
      <c r="BP42" s="93" t="s">
        <v>144</v>
      </c>
    </row>
    <row r="43" spans="1:68" ht="15" customHeight="1" x14ac:dyDescent="0.35">
      <c r="A43" s="86" t="e" vm="40">
        <v>#VALUE!</v>
      </c>
      <c r="B43" s="10" t="str">
        <f t="array" aca="1" ref="B43" ca="1">_FV(A43,"Símbolo bursátil",TRUE())</f>
        <v>JFN</v>
      </c>
      <c r="C43" s="88" t="s">
        <v>135</v>
      </c>
      <c r="D43" s="88" t="s">
        <v>90</v>
      </c>
      <c r="E43" s="11" t="str">
        <f t="array" aca="1" ref="E43" ca="1">_FV(A43,"Abreviatura de intercambio",TRUE())</f>
        <v>XSWX</v>
      </c>
      <c r="F43" s="11" t="str">
        <f t="array" aca="1" ref="F43" ca="1">_FV(A43,"Moneda")</f>
        <v>CHF</v>
      </c>
      <c r="G43" s="12">
        <f t="array" aca="1" ref="G43" ca="1">_FV(A43,"Precio")</f>
        <v>254.5</v>
      </c>
      <c r="H43" s="13">
        <f t="array" aca="1" ref="H43" ca="1">_FV(A43,"Acciones en circulación",TRUE())/1000000</f>
        <v>5.835</v>
      </c>
      <c r="I43" s="14">
        <f t="shared" ca="1" si="25"/>
        <v>1485.0074999999999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130</v>
      </c>
      <c r="AP43" s="19">
        <v>75</v>
      </c>
      <c r="AQ43" s="19">
        <v>0</v>
      </c>
      <c r="AR43" s="19">
        <f t="shared" ca="1" si="45"/>
        <v>1410.0074999999999</v>
      </c>
      <c r="AS43" s="19">
        <v>75</v>
      </c>
      <c r="AT43" s="19">
        <v>78</v>
      </c>
      <c r="AU43" s="19">
        <v>138</v>
      </c>
      <c r="AV43" s="19">
        <v>306</v>
      </c>
      <c r="AW43" s="20">
        <f t="shared" ca="1" si="35"/>
        <v>18.8001</v>
      </c>
      <c r="AX43" s="20">
        <f t="shared" ca="1" si="36"/>
        <v>10.217445652173913</v>
      </c>
      <c r="AY43" s="20">
        <f t="shared" ca="1" si="37"/>
        <v>4.6078676470588231</v>
      </c>
      <c r="AZ43" s="21">
        <v>450</v>
      </c>
      <c r="BA43" s="22">
        <f t="shared" si="38"/>
        <v>0.25490196078431371</v>
      </c>
      <c r="BB43" s="22">
        <f t="shared" si="39"/>
        <v>0.68</v>
      </c>
      <c r="BC43" s="23">
        <f t="shared" si="40"/>
        <v>0.17333333333333334</v>
      </c>
      <c r="BD43" s="98">
        <v>55</v>
      </c>
      <c r="BE43" s="23">
        <f t="shared" si="41"/>
        <v>-6.0146235650011426E-2</v>
      </c>
      <c r="BF43" t="s">
        <v>146</v>
      </c>
      <c r="BG43" s="23">
        <f t="shared" si="42"/>
        <v>5.2773380130115566E-3</v>
      </c>
      <c r="BH43" s="24">
        <v>15</v>
      </c>
      <c r="BI43" s="24">
        <v>22</v>
      </c>
      <c r="BJ43" s="25">
        <f t="shared" ca="1" si="46"/>
        <v>154.24164524421593</v>
      </c>
      <c r="BK43" s="25">
        <f t="shared" ca="1" si="47"/>
        <v>303.17052270779777</v>
      </c>
      <c r="BL43" s="23">
        <f t="shared" ca="1" si="43"/>
        <v>-9.5303786822472536E-2</v>
      </c>
      <c r="BM43" s="23">
        <f t="shared" ca="1" si="44"/>
        <v>3.561858876315771E-2</v>
      </c>
      <c r="BN43" s="93" t="s">
        <v>105</v>
      </c>
      <c r="BO43" s="93" t="s">
        <v>147</v>
      </c>
      <c r="BP43" s="93" t="s">
        <v>148</v>
      </c>
    </row>
    <row r="44" spans="1:68" ht="15" customHeight="1" x14ac:dyDescent="0.35">
      <c r="A44" s="86" t="e" vm="41">
        <v>#VALUE!</v>
      </c>
      <c r="B44" s="10" t="str">
        <f t="array" aca="1" ref="B44" ca="1">_FV(A44,"Símbolo bursátil",TRUE())</f>
        <v>CPR</v>
      </c>
      <c r="C44" s="88" t="s">
        <v>142</v>
      </c>
      <c r="D44" s="88" t="s">
        <v>90</v>
      </c>
      <c r="E44" s="11" t="str">
        <f t="array" aca="1" ref="E44" ca="1">_FV(A44,"Abreviatura de intercambio",TRUE())</f>
        <v>XMIL</v>
      </c>
      <c r="F44" s="11" t="str">
        <f t="array" aca="1" ref="F44" ca="1">_FV(A44,"Moneda")</f>
        <v>EUR</v>
      </c>
      <c r="G44" s="12">
        <f t="array" aca="1" ref="G44" ca="1">_FV(A44,"Precio")</f>
        <v>5.9020000000000001</v>
      </c>
      <c r="H44" s="13">
        <f t="array" aca="1" ref="H44" ca="1">_FV(A44,"Acciones en circulación",TRUE())/1000000</f>
        <v>1231.268</v>
      </c>
      <c r="I44" s="14">
        <f t="shared" ca="1" si="25"/>
        <v>7266.9437360000002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9361.9437360000011</v>
      </c>
      <c r="AS44" s="19">
        <v>434</v>
      </c>
      <c r="AT44" s="19">
        <v>412</v>
      </c>
      <c r="AU44" s="19">
        <v>664</v>
      </c>
      <c r="AV44" s="19">
        <v>3035</v>
      </c>
      <c r="AW44" s="20">
        <f t="shared" ca="1" si="35"/>
        <v>21.571298930875578</v>
      </c>
      <c r="AX44" s="20">
        <f t="shared" ca="1" si="36"/>
        <v>14.099312855421688</v>
      </c>
      <c r="AY44" s="20">
        <f t="shared" ca="1" si="37"/>
        <v>3.0846602095551896</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-5.5919687926566208E-2</v>
      </c>
      <c r="BM44" s="23">
        <f t="shared" ca="1" si="44"/>
        <v>0.11502649565910006</v>
      </c>
      <c r="BN44" s="95" t="s">
        <v>678</v>
      </c>
      <c r="BO44" s="95" t="s">
        <v>84</v>
      </c>
      <c r="BP44" s="95" t="s">
        <v>85</v>
      </c>
    </row>
    <row r="45" spans="1:68" ht="15" customHeight="1" x14ac:dyDescent="0.35">
      <c r="A45" s="86" t="e" vm="42">
        <v>#VALUE!</v>
      </c>
      <c r="B45" s="10" t="str">
        <f t="array" aca="1" ref="B45" ca="1">_FV(A45,"Símbolo bursátil",TRUE())</f>
        <v>SIKA</v>
      </c>
      <c r="C45" s="88" t="s">
        <v>136</v>
      </c>
      <c r="D45" s="88" t="s">
        <v>77</v>
      </c>
      <c r="E45" s="11" t="str">
        <f t="array" aca="1" ref="E45" ca="1">_FV(A45,"Abreviatura de intercambio",TRUE())</f>
        <v>XSWX</v>
      </c>
      <c r="F45" s="11" t="str">
        <f t="array" aca="1" ref="F45" ca="1">_FV(A45,"Moneda")</f>
        <v>CHF</v>
      </c>
      <c r="G45" s="12">
        <f t="array" aca="1" ref="G45" ca="1">_FV(A45,"Precio")</f>
        <v>190.35</v>
      </c>
      <c r="H45" s="13">
        <f t="array" aca="1" ref="H45" ca="1">_FV(A45,"Acciones en circulación",TRUE())/1000000</f>
        <v>160.47929999999999</v>
      </c>
      <c r="I45" s="14">
        <f t="shared" ca="1" si="25"/>
        <v>30547.234754999998</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130</v>
      </c>
      <c r="AP45" s="19">
        <v>625</v>
      </c>
      <c r="AQ45" s="19">
        <v>6080</v>
      </c>
      <c r="AR45" s="19">
        <f t="shared" ca="1" si="45"/>
        <v>36002.234754999998</v>
      </c>
      <c r="AS45" s="19">
        <v>1320</v>
      </c>
      <c r="AT45" s="19">
        <v>1173</v>
      </c>
      <c r="AU45" s="19">
        <v>1940</v>
      </c>
      <c r="AV45" s="19">
        <v>11110</v>
      </c>
      <c r="AW45" s="20">
        <f t="shared" ca="1" si="35"/>
        <v>27.274420268939391</v>
      </c>
      <c r="AX45" s="20">
        <f t="shared" ca="1" si="36"/>
        <v>18.557852966494846</v>
      </c>
      <c r="AY45" s="20">
        <f t="shared" ca="1" si="37"/>
        <v>3.2405251804680466</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-6.2815493539605138E-2</v>
      </c>
      <c r="BM45" s="23">
        <f t="shared" ca="1" si="44"/>
        <v>7.8644748935160935E-2</v>
      </c>
      <c r="BN45" s="95" t="s">
        <v>678</v>
      </c>
      <c r="BO45" s="93" t="s">
        <v>128</v>
      </c>
      <c r="BP45" s="93" t="s">
        <v>123</v>
      </c>
    </row>
    <row r="46" spans="1:68" ht="15" customHeight="1" x14ac:dyDescent="0.35">
      <c r="A46" s="86" t="e" vm="43">
        <v>#VALUE!</v>
      </c>
      <c r="B46" s="10" t="str">
        <f t="array" aca="1" ref="B46" ca="1">_FV(A46,"Símbolo bursátil",TRUE())</f>
        <v>CHKP</v>
      </c>
      <c r="C46" s="88" t="s">
        <v>99</v>
      </c>
      <c r="D46" s="88" t="s">
        <v>149</v>
      </c>
      <c r="E46" s="11" t="str">
        <f t="array" aca="1" ref="E46" ca="1">_FV(A46,"Abreviatura de intercambio",TRUE())</f>
        <v>XNAS</v>
      </c>
      <c r="F46" s="11" t="str">
        <f t="array" aca="1" ref="F46" ca="1">_FV(A46,"Moneda")</f>
        <v>USD</v>
      </c>
      <c r="G46" s="12">
        <f t="array" aca="1" ref="G46" ca="1">_FV(A46,"Precio")</f>
        <v>129.61000000000001</v>
      </c>
      <c r="H46" s="13">
        <f t="array" aca="1" ref="H46" ca="1">_FV(A46,"Acciones en circulación",TRUE())/1000000</f>
        <v>102.1006</v>
      </c>
      <c r="I46" s="14">
        <f t="shared" ca="1" si="25"/>
        <v>13233.258766000001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12923.258766000001</v>
      </c>
      <c r="AS46" s="19">
        <v>1100</v>
      </c>
      <c r="AT46" s="19">
        <v>682</v>
      </c>
      <c r="AU46" s="19">
        <v>846</v>
      </c>
      <c r="AV46" s="19">
        <v>2760</v>
      </c>
      <c r="AW46" s="20">
        <f t="shared" ca="1" si="35"/>
        <v>11.748417060000001</v>
      </c>
      <c r="AX46" s="20">
        <f t="shared" ca="1" si="36"/>
        <v>15.275719581560285</v>
      </c>
      <c r="AY46" s="20">
        <f t="shared" ca="1" si="37"/>
        <v>4.6823401326086955</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-0.10510005394753019</v>
      </c>
      <c r="BM46" s="23">
        <f t="shared" ca="1" si="44"/>
        <v>0.15232532991387693</v>
      </c>
      <c r="BN46" s="95" t="s">
        <v>678</v>
      </c>
      <c r="BO46" s="93" t="s">
        <v>106</v>
      </c>
      <c r="BP46" s="93" t="s">
        <v>85</v>
      </c>
    </row>
    <row r="47" spans="1:68" ht="15" customHeight="1" x14ac:dyDescent="0.35">
      <c r="A47" s="86" t="e" vm="44">
        <v>#VALUE!</v>
      </c>
      <c r="B47" s="10" t="str">
        <f t="array" aca="1" ref="B47" ca="1">_FV(A47,"Símbolo bursátil",TRUE())</f>
        <v>TGYM</v>
      </c>
      <c r="C47" s="88" t="s">
        <v>135</v>
      </c>
      <c r="D47" s="88" t="s">
        <v>77</v>
      </c>
      <c r="E47" s="11" t="str">
        <f t="array" aca="1" ref="E47" ca="1">_FV(A47,"Abreviatura de intercambio",TRUE())</f>
        <v>XMIL</v>
      </c>
      <c r="F47" s="11" t="str">
        <f t="array" aca="1" ref="F47" ca="1">_FV(A47,"Moneda")</f>
        <v>EUR</v>
      </c>
      <c r="G47" s="12">
        <f t="array" aca="1" ref="G47" ca="1">_FV(A47,"Precio")</f>
        <v>12.97</v>
      </c>
      <c r="H47" s="13">
        <f t="array" aca="1" ref="H47" ca="1">_FV(A47,"Acciones en circulación",TRUE())/1000000</f>
        <v>201.32749999999999</v>
      </c>
      <c r="I47" s="14">
        <f t="shared" ca="1" si="25"/>
        <v>2611.2176749999999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2561.2176749999999</v>
      </c>
      <c r="AS47" s="19">
        <v>95</v>
      </c>
      <c r="AT47" s="19">
        <v>90</v>
      </c>
      <c r="AU47" s="19">
        <v>140</v>
      </c>
      <c r="AV47" s="19">
        <v>840</v>
      </c>
      <c r="AW47" s="20">
        <f t="shared" ca="1" si="35"/>
        <v>26.960186052631578</v>
      </c>
      <c r="AX47" s="20">
        <f t="shared" ca="1" si="36"/>
        <v>18.294411964285715</v>
      </c>
      <c r="AY47" s="20">
        <f t="shared" ca="1" si="37"/>
        <v>3.0490686607142856</v>
      </c>
      <c r="AZ47" s="21">
        <v>450</v>
      </c>
      <c r="BA47" s="22">
        <f t="shared" si="38"/>
        <v>0.10714285714285714</v>
      </c>
      <c r="BB47" s="22">
        <f t="shared" si="39"/>
        <v>1.8666666666666667</v>
      </c>
      <c r="BC47" s="23">
        <f t="shared" si="40"/>
        <v>0.19999999999999998</v>
      </c>
      <c r="BD47" s="98">
        <v>116</v>
      </c>
      <c r="BE47" s="23">
        <f t="shared" si="41"/>
        <v>4.0751095710728658E-2</v>
      </c>
      <c r="BF47" t="s">
        <v>150</v>
      </c>
      <c r="BG47" s="23">
        <f t="shared" si="42"/>
        <v>0.1401066974124392</v>
      </c>
      <c r="BH47" s="24">
        <v>15</v>
      </c>
      <c r="BI47" s="24">
        <v>22.5</v>
      </c>
      <c r="BJ47" s="25">
        <f t="shared" ca="1" si="46"/>
        <v>8.8909860798946987</v>
      </c>
      <c r="BK47" s="25">
        <f t="shared" ca="1" si="47"/>
        <v>20.700103065900091</v>
      </c>
      <c r="BL47" s="23">
        <f t="shared" ca="1" si="43"/>
        <v>-7.2739006786783911E-2</v>
      </c>
      <c r="BM47" s="23">
        <f t="shared" ca="1" si="44"/>
        <v>9.8010533279345724E-2</v>
      </c>
      <c r="BN47" s="93" t="s">
        <v>83</v>
      </c>
      <c r="BO47" s="93" t="s">
        <v>106</v>
      </c>
      <c r="BP47" s="93" t="s">
        <v>144</v>
      </c>
    </row>
    <row r="48" spans="1:68" ht="15" customHeight="1" x14ac:dyDescent="0.35">
      <c r="A48" s="86" t="e" vm="45">
        <v>#VALUE!</v>
      </c>
      <c r="B48" s="10" t="str">
        <f t="array" aca="1" ref="B48" ca="1">_FV(A48,"Símbolo bursátil",TRUE())</f>
        <v>VID</v>
      </c>
      <c r="C48" s="88" t="s">
        <v>142</v>
      </c>
      <c r="D48" s="88" t="s">
        <v>90</v>
      </c>
      <c r="E48" s="11" t="str">
        <f t="array" aca="1" ref="E48" ca="1">_FV(A48,"Abreviatura de intercambio",TRUE())</f>
        <v>BMEX</v>
      </c>
      <c r="F48" s="11" t="str">
        <f t="array" aca="1" ref="F48" ca="1">_FV(A48,"Moneda")</f>
        <v>EUR</v>
      </c>
      <c r="G48" s="12">
        <f t="array" aca="1" ref="G48" ca="1">_FV(A48,"Precio")</f>
        <v>90.9</v>
      </c>
      <c r="H48" s="13">
        <f t="array" aca="1" ref="H48" ca="1">_FV(A48,"Acciones en circulación",TRUE())/1000000</f>
        <v>35.20626</v>
      </c>
      <c r="I48" s="14">
        <f t="shared" ca="1" si="25"/>
        <v>3200.2490340000004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3305.2490340000004</v>
      </c>
      <c r="AS48" s="19">
        <v>200</v>
      </c>
      <c r="AT48" s="19">
        <v>210</v>
      </c>
      <c r="AU48" s="19">
        <v>385</v>
      </c>
      <c r="AV48" s="19">
        <v>1465</v>
      </c>
      <c r="AW48" s="20">
        <f t="shared" ca="1" si="35"/>
        <v>16.526245170000003</v>
      </c>
      <c r="AX48" s="20">
        <f t="shared" ca="1" si="36"/>
        <v>8.5850624259740265</v>
      </c>
      <c r="AY48" s="20">
        <f t="shared" ca="1" si="37"/>
        <v>2.2561426853242326</v>
      </c>
      <c r="AZ48" s="21">
        <v>1200</v>
      </c>
      <c r="BA48" s="22">
        <f t="shared" si="38"/>
        <v>0.14334470989761092</v>
      </c>
      <c r="BB48" s="22">
        <f t="shared" si="39"/>
        <v>1.2208333333333334</v>
      </c>
      <c r="BC48" s="23">
        <f t="shared" si="40"/>
        <v>0.17500000000000002</v>
      </c>
      <c r="BD48" s="98">
        <v>210</v>
      </c>
      <c r="BE48" s="23">
        <f t="shared" si="41"/>
        <v>9.805797673485328E-3</v>
      </c>
      <c r="BF48" t="s">
        <v>151</v>
      </c>
      <c r="BG48" s="23">
        <f t="shared" si="42"/>
        <v>9.0194895299878342E-2</v>
      </c>
      <c r="BH48" s="24">
        <v>10</v>
      </c>
      <c r="BI48" s="24">
        <v>18</v>
      </c>
      <c r="BJ48" s="25">
        <f t="shared" ca="1" si="46"/>
        <v>56.666058820221174</v>
      </c>
      <c r="BK48" s="25">
        <f t="shared" ca="1" si="47"/>
        <v>154.48957088881352</v>
      </c>
      <c r="BL48" s="23">
        <f t="shared" ca="1" si="43"/>
        <v>-9.0187655809836231E-2</v>
      </c>
      <c r="BM48" s="23">
        <f t="shared" ca="1" si="44"/>
        <v>0.11190339617094747</v>
      </c>
      <c r="BN48" s="93" t="s">
        <v>127</v>
      </c>
      <c r="BO48" s="94" t="s">
        <v>152</v>
      </c>
      <c r="BP48" s="93" t="s">
        <v>123</v>
      </c>
    </row>
    <row r="49" spans="1:68" ht="15" customHeight="1" x14ac:dyDescent="0.35">
      <c r="A49" s="86" t="e" vm="46">
        <v>#VALUE!</v>
      </c>
      <c r="B49" s="10" t="str">
        <f t="array" aca="1" ref="B49" ca="1">_FV(A49,"Símbolo bursátil",TRUE())</f>
        <v>TFPM</v>
      </c>
      <c r="C49" s="88" t="s">
        <v>153</v>
      </c>
      <c r="D49" s="88" t="s">
        <v>154</v>
      </c>
      <c r="E49" s="11" t="str">
        <f t="array" aca="1" ref="E49" ca="1">_FV(A49,"Abreviatura de intercambio",TRUE())</f>
        <v>XTSE</v>
      </c>
      <c r="F49" s="11" t="str">
        <f t="array" aca="1" ref="F49" ca="1">_FV(A49,"Moneda")</f>
        <v>CAD</v>
      </c>
      <c r="G49" s="12">
        <f t="array" aca="1" ref="G49" ca="1">_FV(A49,"Precio")</f>
        <v>49.28</v>
      </c>
      <c r="H49" s="13">
        <f t="array" aca="1" ref="H49" ca="1">_FV(A49,"Acciones en circulación",TRUE())/1000000</f>
        <v>206.00299999999999</v>
      </c>
      <c r="I49" s="14">
        <f t="shared" ca="1" si="25"/>
        <v>10151.82784</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7540.7715283199996</v>
      </c>
      <c r="AS49" s="19">
        <v>395</v>
      </c>
      <c r="AT49" s="19">
        <v>257</v>
      </c>
      <c r="AU49" s="19">
        <v>377</v>
      </c>
      <c r="AV49" s="19">
        <v>489</v>
      </c>
      <c r="AW49" s="20">
        <f t="shared" ca="1" si="35"/>
        <v>19.090560831189872</v>
      </c>
      <c r="AX49" s="20">
        <f t="shared" ca="1" si="36"/>
        <v>20.002046494217506</v>
      </c>
      <c r="AY49" s="20">
        <f t="shared" ca="1" si="37"/>
        <v>15.420800671411042</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38.532251161874271</v>
      </c>
      <c r="BK49" s="25">
        <f ca="1">((BF49*BI49+$AP49-$AQ49)/$H49)/'Framework Notes'!E7</f>
        <v>88.458339267763293</v>
      </c>
      <c r="BL49" s="23">
        <f t="shared" ca="1" si="43"/>
        <v>-4.8013616383375313E-2</v>
      </c>
      <c r="BM49" s="23">
        <f t="shared" ca="1" si="44"/>
        <v>0.12412243766219344</v>
      </c>
      <c r="BN49" s="95" t="s">
        <v>678</v>
      </c>
      <c r="BO49" s="95" t="s">
        <v>98</v>
      </c>
      <c r="BP49" s="95" t="s">
        <v>167</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82.344999999999999</v>
      </c>
      <c r="H50" s="13">
        <f t="array" aca="1" ref="H50" ca="1">_FV(A50,"Acciones en circulación",TRUE())/1000000</f>
        <v>4163.9390000000003</v>
      </c>
      <c r="I50" s="14">
        <f t="shared" ca="1" si="25"/>
        <v>342879.55695500004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348109.55695500004</v>
      </c>
      <c r="AS50" s="19">
        <v>11560</v>
      </c>
      <c r="AT50" s="19">
        <v>11876</v>
      </c>
      <c r="AU50" s="19">
        <v>14730</v>
      </c>
      <c r="AV50" s="19">
        <v>48370</v>
      </c>
      <c r="AW50" s="20">
        <f t="shared" ca="1" si="35"/>
        <v>30.113283473615919</v>
      </c>
      <c r="AX50" s="20">
        <f t="shared" ca="1" si="36"/>
        <v>23.632692257637476</v>
      </c>
      <c r="AY50" s="20">
        <f t="shared" ca="1" si="37"/>
        <v>7.1968070488939428</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-7.3385620156376619E-2</v>
      </c>
      <c r="BM50" s="23">
        <f t="shared" ca="1" si="44"/>
        <v>6.9812451532479836E-2</v>
      </c>
      <c r="BN50" s="95" t="s">
        <v>678</v>
      </c>
      <c r="BO50" s="93" t="s">
        <v>134</v>
      </c>
      <c r="BP50" s="93" t="s">
        <v>155</v>
      </c>
    </row>
    <row r="51" spans="1:68" ht="15" customHeight="1" x14ac:dyDescent="0.35">
      <c r="A51" s="86" t="e" vm="48">
        <v>#VALUE!</v>
      </c>
      <c r="B51" s="10" t="str">
        <f t="array" aca="1" ref="B51" ca="1">_FV(A51,"Símbolo bursátil",TRUE())</f>
        <v>NKE</v>
      </c>
      <c r="C51" s="88" t="s">
        <v>109</v>
      </c>
      <c r="D51" s="88" t="s">
        <v>149</v>
      </c>
      <c r="E51" s="11" t="str">
        <f t="array" aca="1" ref="E51" ca="1">_FV(A51,"Abreviatura de intercambio",TRUE())</f>
        <v>XNYS</v>
      </c>
      <c r="F51" s="11" t="str">
        <f t="array" aca="1" ref="F51" ca="1">_FV(A51,"Moneda")</f>
        <v>USD</v>
      </c>
      <c r="G51" s="12">
        <f t="array" aca="1" ref="G51" ca="1">_FV(A51,"Precio")</f>
        <v>39.47</v>
      </c>
      <c r="H51" s="13">
        <f t="array" aca="1" ref="H51" ca="1">_FV(A51,"Acciones en circulación",TRUE())/1000000</f>
        <v>1483.499</v>
      </c>
      <c r="I51" s="14">
        <f t="shared" ca="1" si="25"/>
        <v>58553.705529999999</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60563.705529999999</v>
      </c>
      <c r="AS51" s="19">
        <v>2180</v>
      </c>
      <c r="AT51" s="19">
        <v>3331</v>
      </c>
      <c r="AU51" s="19">
        <v>4930</v>
      </c>
      <c r="AV51" s="19">
        <v>46400</v>
      </c>
      <c r="AW51" s="20">
        <f t="shared" ca="1" si="35"/>
        <v>27.781516298165137</v>
      </c>
      <c r="AX51" s="20">
        <f t="shared" ca="1" si="36"/>
        <v>12.284727288032455</v>
      </c>
      <c r="AY51" s="20">
        <f t="shared" ca="1" si="37"/>
        <v>1.3052522743534483</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-0.13405847403815352</v>
      </c>
      <c r="BM51" s="23">
        <f t="shared" ca="1" si="44"/>
        <v>3.165260867597719E-2</v>
      </c>
      <c r="BN51" s="95" t="s">
        <v>678</v>
      </c>
      <c r="BO51" s="93" t="s">
        <v>156</v>
      </c>
      <c r="BP51" s="93" t="s">
        <v>157</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366.6</v>
      </c>
      <c r="H52" s="13">
        <f t="array" aca="1" ref="H52" ca="1">_FV(A52,"Acciones en circulación",TRUE())/1000000</f>
        <v>26.491119999999999</v>
      </c>
      <c r="I52" s="14">
        <f t="shared" ca="1" si="25"/>
        <v>9711.6445920000006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120</v>
      </c>
      <c r="AP52" s="19">
        <v>187</v>
      </c>
      <c r="AQ52" s="19">
        <v>331</v>
      </c>
      <c r="AR52" s="19">
        <f t="shared" ca="1" si="48"/>
        <v>9855.6445920000006</v>
      </c>
      <c r="AS52" s="19">
        <v>168</v>
      </c>
      <c r="AT52" s="19">
        <v>191</v>
      </c>
      <c r="AU52" s="19">
        <v>259</v>
      </c>
      <c r="AV52" s="19">
        <v>664</v>
      </c>
      <c r="AW52" s="20">
        <f t="shared" ca="1" si="35"/>
        <v>58.66455114285715</v>
      </c>
      <c r="AX52" s="20">
        <f t="shared" ca="1" si="36"/>
        <v>38.052681822393822</v>
      </c>
      <c r="AY52" s="20">
        <f t="shared" ca="1" si="37"/>
        <v>14.842838240963856</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-0.31818057414402756</v>
      </c>
      <c r="BM52" s="23">
        <f t="shared" ca="1" si="44"/>
        <v>-9.391898935410159E-2</v>
      </c>
      <c r="BN52" s="95" t="s">
        <v>678</v>
      </c>
      <c r="BO52" s="93" t="s">
        <v>134</v>
      </c>
      <c r="BP52" s="93" t="s">
        <v>158</v>
      </c>
    </row>
    <row r="53" spans="1:68" ht="15" customHeight="1" x14ac:dyDescent="0.35">
      <c r="A53" s="86" t="e" vm="50">
        <v>#VALUE!</v>
      </c>
      <c r="B53" s="10" t="str">
        <f t="array" aca="1" ref="B53" ca="1">_FV(A53,"Símbolo bursátil",TRUE())</f>
        <v>FERG</v>
      </c>
      <c r="C53" s="88" t="s">
        <v>136</v>
      </c>
      <c r="D53" s="88" t="s">
        <v>90</v>
      </c>
      <c r="E53" s="11" t="str">
        <f t="array" aca="1" ref="E53" ca="1">_FV(A53,"Abreviatura de intercambio",TRUE())</f>
        <v>XNYS</v>
      </c>
      <c r="F53" s="11" t="str">
        <f t="array" aca="1" ref="F53" ca="1">_FV(A53,"Moneda")</f>
        <v>USD</v>
      </c>
      <c r="G53" s="12">
        <f t="array" aca="1" ref="G53" ca="1">_FV(A53,"Precio")</f>
        <v>232.45500000000001</v>
      </c>
      <c r="H53" s="13">
        <f t="array" aca="1" ref="H53" ca="1">_FV(A53,"Acciones en circulación",TRUE())/1000000</f>
        <v>193.45269999999999</v>
      </c>
      <c r="I53" s="14">
        <f t="shared" ca="1" si="25"/>
        <v>44969.047378499999</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51419.047378499999</v>
      </c>
      <c r="AS53" s="19">
        <v>1118</v>
      </c>
      <c r="AT53" s="19">
        <v>2015</v>
      </c>
      <c r="AU53" s="19">
        <v>3071</v>
      </c>
      <c r="AV53" s="19">
        <v>31446</v>
      </c>
      <c r="AW53" s="20">
        <f t="shared" ca="1" si="35"/>
        <v>45.991992288461539</v>
      </c>
      <c r="AX53" s="20">
        <f t="shared" ca="1" si="36"/>
        <v>16.743421484369911</v>
      </c>
      <c r="AY53" s="20">
        <f t="shared" ca="1" si="37"/>
        <v>1.635153831282198</v>
      </c>
      <c r="AZ53" s="21">
        <v>12926</v>
      </c>
      <c r="BA53" s="22">
        <f t="shared" si="38"/>
        <v>6.4078102143356866E-2</v>
      </c>
      <c r="BB53" s="22">
        <f t="shared" si="39"/>
        <v>2.4327711589045333</v>
      </c>
      <c r="BC53" s="23">
        <f t="shared" si="40"/>
        <v>0.15588735881169735</v>
      </c>
      <c r="BD53" s="98">
        <v>2522</v>
      </c>
      <c r="BE53" s="23">
        <f t="shared" si="41"/>
        <v>0.17668618806379421</v>
      </c>
      <c r="BF53" t="s">
        <v>159</v>
      </c>
      <c r="BG53" s="23">
        <f t="shared" si="42"/>
        <v>0.29322433620445487</v>
      </c>
      <c r="BH53" s="24">
        <v>12</v>
      </c>
      <c r="BI53" s="24">
        <v>18</v>
      </c>
      <c r="BJ53" s="25">
        <f t="shared" ca="1" si="49"/>
        <v>123.09985851838718</v>
      </c>
      <c r="BK53" s="25">
        <f t="shared" ca="1" si="50"/>
        <v>342.93654211081054</v>
      </c>
      <c r="BL53" s="23">
        <f t="shared" ca="1" si="43"/>
        <v>-0.1193897578117874</v>
      </c>
      <c r="BM53" s="23">
        <f t="shared" ca="1" si="44"/>
        <v>8.0873761799334032E-2</v>
      </c>
      <c r="BN53" s="95" t="s">
        <v>678</v>
      </c>
      <c r="BO53" s="95" t="s">
        <v>132</v>
      </c>
      <c r="BP53" s="95" t="s">
        <v>684</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20.254999999999999</v>
      </c>
      <c r="H54" s="13">
        <f t="array" aca="1" ref="H54" ca="1">_FV(A54,"Acciones en circulación",TRUE())/1000000</f>
        <v>342.80369999999999</v>
      </c>
      <c r="I54" s="14">
        <f t="shared" ca="1" si="25"/>
        <v>6943.4889434999996</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0</v>
      </c>
      <c r="AI54" s="90">
        <v>1</v>
      </c>
      <c r="AJ54" s="90">
        <v>9</v>
      </c>
      <c r="AK54" s="90">
        <v>-8</v>
      </c>
      <c r="AL54" s="15">
        <f t="shared" si="32"/>
        <v>20</v>
      </c>
      <c r="AM54" s="16">
        <f t="shared" si="33"/>
        <v>2.86</v>
      </c>
      <c r="AN54" s="17">
        <f t="shared" si="34"/>
        <v>3.7</v>
      </c>
      <c r="AO54" s="18" t="s">
        <v>78</v>
      </c>
      <c r="AP54" s="19">
        <v>657</v>
      </c>
      <c r="AQ54" s="19">
        <v>0</v>
      </c>
      <c r="AR54" s="19">
        <f t="shared" ca="1" si="48"/>
        <v>6286.4889434999996</v>
      </c>
      <c r="AS54" s="19">
        <v>62</v>
      </c>
      <c r="AT54" s="19">
        <v>-301</v>
      </c>
      <c r="AU54" s="19">
        <v>-259</v>
      </c>
      <c r="AV54" s="19">
        <v>1050</v>
      </c>
      <c r="AW54" s="20">
        <f t="shared" ca="1" si="35"/>
        <v>101.39498295967741</v>
      </c>
      <c r="AX54" s="20">
        <f t="shared" ca="1" si="36"/>
        <v>-24.272158083011583</v>
      </c>
      <c r="AY54" s="20">
        <f t="shared" ca="1" si="37"/>
        <v>5.9871323271428567</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-0.19924493283260303</v>
      </c>
      <c r="BM54" s="23">
        <f t="shared" ca="1" si="44"/>
        <v>-8.5227976924998616E-3</v>
      </c>
      <c r="BN54" s="96" t="s">
        <v>678</v>
      </c>
      <c r="BO54" t="s">
        <v>92</v>
      </c>
      <c r="BP54" t="s">
        <v>124</v>
      </c>
    </row>
    <row r="55" spans="1:68" ht="15" customHeight="1" x14ac:dyDescent="0.35">
      <c r="A55" s="86" t="e" vm="52">
        <v>#VALUE!</v>
      </c>
      <c r="B55" s="10" t="str">
        <f t="array" aca="1" ref="B55" ca="1">_FV(A55,"Símbolo bursátil",TRUE())</f>
        <v>TREX</v>
      </c>
      <c r="C55" s="88" t="s">
        <v>136</v>
      </c>
      <c r="D55" s="88" t="s">
        <v>77</v>
      </c>
      <c r="E55" s="11" t="str">
        <f t="array" aca="1" ref="E55" ca="1">_FV(A55,"Abreviatura de intercambio",TRUE())</f>
        <v>XNYS</v>
      </c>
      <c r="F55" s="11" t="str">
        <f t="array" aca="1" ref="F55" ca="1">_FV(A55,"Moneda")</f>
        <v>USD</v>
      </c>
      <c r="G55" s="12">
        <f t="array" aca="1" ref="G55" ca="1">_FV(A55,"Precio")</f>
        <v>46.78</v>
      </c>
      <c r="H55" s="13">
        <f t="array" aca="1" ref="H55" ca="1">_FV(A55,"Acciones en circulación",TRUE())/1000000</f>
        <v>101.8652</v>
      </c>
      <c r="I55" s="14">
        <f t="shared" ca="1" si="25"/>
        <v>4765.2540559999998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5061.7540559999998</v>
      </c>
      <c r="AS55" s="19">
        <v>283</v>
      </c>
      <c r="AT55" s="19">
        <v>183</v>
      </c>
      <c r="AU55" s="19">
        <v>313</v>
      </c>
      <c r="AV55" s="19">
        <v>1208</v>
      </c>
      <c r="AW55" s="20">
        <f t="shared" ca="1" si="35"/>
        <v>17.886056734982333</v>
      </c>
      <c r="AX55" s="20">
        <f t="shared" ca="1" si="36"/>
        <v>16.171738198083066</v>
      </c>
      <c r="AY55" s="20">
        <f t="shared" ca="1" si="37"/>
        <v>4.1901937549668871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-8.2425963820944581E-2</v>
      </c>
      <c r="BM55" s="23">
        <f t="shared" ca="1" si="44"/>
        <v>0.14828806938793271</v>
      </c>
      <c r="BN55" s="95" t="s">
        <v>678</v>
      </c>
      <c r="BO55" s="95" t="s">
        <v>132</v>
      </c>
      <c r="BP55" s="95" t="s">
        <v>684</v>
      </c>
    </row>
    <row r="56" spans="1:68" ht="15" customHeight="1" x14ac:dyDescent="0.35">
      <c r="A56" s="86" t="e" vm="53">
        <v>#VALUE!</v>
      </c>
      <c r="B56" s="10" t="str">
        <f t="array" aca="1" ref="B56" ca="1">_FV(A56,"Símbolo bursátil",TRUE())</f>
        <v>SGO</v>
      </c>
      <c r="C56" s="88" t="s">
        <v>136</v>
      </c>
      <c r="D56" s="88" t="s">
        <v>149</v>
      </c>
      <c r="E56" s="11" t="str">
        <f t="array" aca="1" ref="E56" ca="1">_FV(A56,"Abreviatura de intercambio",TRUE())</f>
        <v>XPAR</v>
      </c>
      <c r="F56" s="11" t="str">
        <f t="array" aca="1" ref="F56" ca="1">_FV(A56,"Moneda")</f>
        <v>EUR</v>
      </c>
      <c r="G56" s="12">
        <f t="array" aca="1" ref="G56" ca="1">_FV(A56,"Precio")</f>
        <v>81.260000000000005</v>
      </c>
      <c r="H56" s="13">
        <f t="array" aca="1" ref="H56" ca="1">_FV(A56,"Acciones en circulación",TRUE())/1000000</f>
        <v>494.834</v>
      </c>
      <c r="I56" s="14">
        <f t="shared" ca="1" si="25"/>
        <v>40210.21084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51729.21084</v>
      </c>
      <c r="AS56" s="19">
        <v>3378</v>
      </c>
      <c r="AT56" s="19">
        <v>3632</v>
      </c>
      <c r="AU56" s="19">
        <v>7337</v>
      </c>
      <c r="AV56" s="19">
        <v>46226</v>
      </c>
      <c r="AW56" s="20">
        <f t="shared" ca="1" si="35"/>
        <v>15.313561527531084</v>
      </c>
      <c r="AX56" s="20">
        <f t="shared" ca="1" si="36"/>
        <v>7.0504580673299717</v>
      </c>
      <c r="AY56" s="20">
        <f t="shared" ca="1" si="37"/>
        <v>1.1190501198459741</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-5.0200959300861658E-2</v>
      </c>
      <c r="BM56" s="23">
        <f t="shared" ca="1" si="44"/>
        <v>0.12247003636339482</v>
      </c>
      <c r="BN56" s="95" t="s">
        <v>678</v>
      </c>
      <c r="BO56" s="95" t="s">
        <v>106</v>
      </c>
      <c r="BP56" s="95" t="s">
        <v>108</v>
      </c>
    </row>
    <row r="57" spans="1:68" ht="15" customHeight="1" x14ac:dyDescent="0.35">
      <c r="A57" s="86" t="e" vm="54">
        <v>#VALUE!</v>
      </c>
      <c r="B57" s="10" t="str">
        <f t="array" aca="1" ref="B57" ca="1">_FV(A57,"Símbolo bursátil",TRUE())</f>
        <v>TFF</v>
      </c>
      <c r="C57" s="88" t="s">
        <v>142</v>
      </c>
      <c r="D57" s="88" t="s">
        <v>149</v>
      </c>
      <c r="E57" s="11" t="str">
        <f t="array" aca="1" ref="E57" ca="1">_FV(A57,"Abreviatura de intercambio",TRUE())</f>
        <v>XPAR</v>
      </c>
      <c r="F57" s="11" t="str">
        <f t="array" aca="1" ref="F57" ca="1">_FV(A57,"Moneda")</f>
        <v>EUR</v>
      </c>
      <c r="G57" s="12">
        <f t="array" aca="1" ref="G57" ca="1">_FV(A57,"Precio")</f>
        <v>16.68</v>
      </c>
      <c r="H57" s="13">
        <f t="array" aca="1" ref="H57" ca="1">_FV(A57,"Acciones en circulación",TRUE())/1000000</f>
        <v>21.68</v>
      </c>
      <c r="I57" s="14">
        <f t="shared" ca="1" si="25"/>
        <v>361.62239999999997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646.62239999999997</v>
      </c>
      <c r="AS57" s="19">
        <v>59</v>
      </c>
      <c r="AT57" s="19">
        <v>21</v>
      </c>
      <c r="AU57" s="19">
        <v>48</v>
      </c>
      <c r="AV57" s="19">
        <v>313</v>
      </c>
      <c r="AW57" s="20">
        <f t="shared" ca="1" si="35"/>
        <v>10.959701694915253</v>
      </c>
      <c r="AX57" s="20">
        <f t="shared" ca="1" si="36"/>
        <v>13.471299999999999</v>
      </c>
      <c r="AY57" s="20">
        <f t="shared" ca="1" si="37"/>
        <v>2.0658862619808307</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-7.8720975150120442E-2</v>
      </c>
      <c r="BN57" s="95" t="s">
        <v>678</v>
      </c>
      <c r="BO57" s="93" t="s">
        <v>160</v>
      </c>
      <c r="BP57" s="93" t="s">
        <v>161</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35.5</v>
      </c>
      <c r="H58" s="13">
        <f t="array" aca="1" ref="H58" ca="1">_FV(A58,"Acciones en circulación",TRUE())/1000000</f>
        <v>253.035</v>
      </c>
      <c r="I58" s="14">
        <f t="shared" ca="1" si="25"/>
        <v>8982.7425000000003</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9019.7425000000003</v>
      </c>
      <c r="AS58" s="19">
        <v>447</v>
      </c>
      <c r="AT58" s="19">
        <v>430</v>
      </c>
      <c r="AU58" s="19">
        <v>719</v>
      </c>
      <c r="AV58" s="19">
        <v>3047</v>
      </c>
      <c r="AW58" s="20">
        <f t="shared" ca="1" si="35"/>
        <v>20.178394854586131</v>
      </c>
      <c r="AX58" s="20">
        <f t="shared" ca="1" si="36"/>
        <v>12.544843532684284</v>
      </c>
      <c r="AY58" s="20">
        <f t="shared" ca="1" si="37"/>
        <v>2.9602042993107975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-5.4294092037257102E-2</v>
      </c>
      <c r="BM58" s="23">
        <f t="shared" ca="1" si="44"/>
        <v>0.29700997630797055</v>
      </c>
      <c r="BN58" s="96" t="s">
        <v>678</v>
      </c>
      <c r="BO58" t="s">
        <v>125</v>
      </c>
      <c r="BP58" s="96" t="s">
        <v>144</v>
      </c>
    </row>
    <row r="59" spans="1:68" ht="15" customHeight="1" x14ac:dyDescent="0.35">
      <c r="A59" s="86" t="e" vm="56">
        <v>#VALUE!</v>
      </c>
      <c r="B59" s="10" t="str">
        <f t="array" aca="1" ref="B59" ca="1">_FV(A59,"Símbolo bursátil",TRUE())</f>
        <v>BFIT</v>
      </c>
      <c r="C59" s="88" t="s">
        <v>135</v>
      </c>
      <c r="D59" s="88" t="s">
        <v>100</v>
      </c>
      <c r="E59" s="11" t="str">
        <f t="array" aca="1" ref="E59" ca="1">_FV(A59,"Abreviatura de intercambio",TRUE())</f>
        <v>XAMS</v>
      </c>
      <c r="F59" s="11" t="str">
        <f t="array" aca="1" ref="F59" ca="1">_FV(A59,"Moneda")</f>
        <v>EUR</v>
      </c>
      <c r="G59" s="12">
        <f t="array" aca="1" ref="G59" ca="1">_FV(A59,"Precio")</f>
        <v>33.64</v>
      </c>
      <c r="H59" s="13">
        <f t="array" aca="1" ref="H59" ca="1">_FV(A59,"Acciones en circulación",TRUE())/1000000</f>
        <v>66</v>
      </c>
      <c r="I59" s="14">
        <f t="shared" ca="1" si="25"/>
        <v>2220.2400000000002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2920.2400000000002</v>
      </c>
      <c r="AS59" s="19">
        <v>80</v>
      </c>
      <c r="AT59" s="19">
        <v>50</v>
      </c>
      <c r="AU59" s="19">
        <v>260</v>
      </c>
      <c r="AV59" s="19">
        <v>1250</v>
      </c>
      <c r="AW59" s="20">
        <f t="shared" ca="1" si="35"/>
        <v>36.503</v>
      </c>
      <c r="AX59" s="20">
        <f t="shared" ca="1" si="36"/>
        <v>11.231692307692308</v>
      </c>
      <c r="AY59" s="20">
        <f t="shared" ca="1" si="37"/>
        <v>2.336192</v>
      </c>
      <c r="AZ59" s="21">
        <v>1500</v>
      </c>
      <c r="BA59" s="22">
        <f t="shared" si="38"/>
        <v>0.04</v>
      </c>
      <c r="BB59" s="22">
        <f t="shared" si="39"/>
        <v>0.83333333333333337</v>
      </c>
      <c r="BC59" s="23">
        <f t="shared" si="40"/>
        <v>3.3333333333333333E-2</v>
      </c>
      <c r="BD59" s="98">
        <v>88</v>
      </c>
      <c r="BE59" s="23">
        <f t="shared" si="41"/>
        <v>1.9244876491456564E-2</v>
      </c>
      <c r="BF59" t="s">
        <v>162</v>
      </c>
      <c r="BG59" s="23">
        <f t="shared" si="42"/>
        <v>0.15996225865400127</v>
      </c>
      <c r="BH59" s="24">
        <v>12</v>
      </c>
      <c r="BI59" s="24">
        <v>18</v>
      </c>
      <c r="BJ59" s="25">
        <f t="shared" ca="1" si="49"/>
        <v>5.3939393939393936</v>
      </c>
      <c r="BK59" s="25">
        <f t="shared" ca="1" si="50"/>
        <v>35.212121212121211</v>
      </c>
      <c r="BL59" s="23">
        <f t="shared" ca="1" si="43"/>
        <v>-0.30655820303229342</v>
      </c>
      <c r="BM59" s="23">
        <f t="shared" ca="1" si="44"/>
        <v>9.176758778506322E-3</v>
      </c>
      <c r="BN59" s="93" t="s">
        <v>127</v>
      </c>
      <c r="BO59" s="93" t="s">
        <v>128</v>
      </c>
      <c r="BP59" s="93" t="s">
        <v>129</v>
      </c>
    </row>
    <row r="60" spans="1:68" ht="15" customHeight="1" x14ac:dyDescent="0.35">
      <c r="A60" s="86" t="e" vm="57">
        <v>#VALUE!</v>
      </c>
      <c r="B60" s="10" t="str">
        <f t="array" aca="1" ref="B60" ca="1">_FV(A60,"Símbolo bursátil",TRUE())</f>
        <v>VRLA</v>
      </c>
      <c r="C60" s="88" t="s">
        <v>142</v>
      </c>
      <c r="D60" s="88" t="s">
        <v>149</v>
      </c>
      <c r="E60" s="11" t="s">
        <v>602</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127</v>
      </c>
      <c r="BO60" s="93" t="s">
        <v>128</v>
      </c>
      <c r="BP60" s="93" t="s">
        <v>85</v>
      </c>
    </row>
    <row r="61" spans="1:68" ht="15" customHeight="1" x14ac:dyDescent="0.35">
      <c r="A61" s="86" t="e" vm="58">
        <v>#VALUE!</v>
      </c>
      <c r="B61" s="10" t="str">
        <f t="array" aca="1" ref="B61" ca="1">_FV(A61,"Símbolo bursátil",TRUE())</f>
        <v>KIST</v>
      </c>
      <c r="C61" s="88" t="s">
        <v>153</v>
      </c>
      <c r="D61" s="88" t="s">
        <v>154</v>
      </c>
      <c r="E61" s="11" t="str">
        <f t="array" aca="1" ref="E61" ca="1">_FV(A61,"Abreviatura de intercambio",TRUE())</f>
        <v>XLON</v>
      </c>
      <c r="F61" s="11" t="str">
        <f t="array" aca="1" ref="F61" ca="1">_FV(A61,"Moneda")</f>
        <v>GBp</v>
      </c>
      <c r="G61" s="12">
        <f t="array" aca="1" ref="G61" ca="1">_FV(A61,"Precio")</f>
        <v>282.5</v>
      </c>
      <c r="H61" s="13">
        <f t="array" aca="1" ref="H61" ca="1">_FV(A61,"Acciones en circulación",TRUE())/1000000</f>
        <v>83.117649999999998</v>
      </c>
      <c r="I61" s="14">
        <f ca="1">G61/100*H61</f>
        <v>234.80736125000001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553.30072148112504</v>
      </c>
      <c r="AS61" s="19">
        <v>55</v>
      </c>
      <c r="AT61" s="19">
        <f>390-230</f>
        <v>160</v>
      </c>
      <c r="AU61" s="19">
        <v>400</v>
      </c>
      <c r="AV61" s="19">
        <v>480</v>
      </c>
      <c r="AW61" s="20">
        <f t="shared" ca="1" si="35"/>
        <v>10.060013117838636</v>
      </c>
      <c r="AX61" s="20">
        <f t="shared" ca="1" si="36"/>
        <v>1.3832518037028125</v>
      </c>
      <c r="AY61" s="20">
        <f t="shared" ca="1" si="37"/>
        <v>1.1527098364190105</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-0.21251414167426375</v>
      </c>
      <c r="BM61" s="23">
        <f t="shared" ca="1" si="44"/>
        <v>0.1648761782657362</v>
      </c>
      <c r="BN61" s="93" t="s">
        <v>105</v>
      </c>
      <c r="BO61" s="93" t="s">
        <v>163</v>
      </c>
      <c r="BP61" s="93" t="s">
        <v>157</v>
      </c>
    </row>
    <row r="62" spans="1:68" ht="15" customHeight="1" x14ac:dyDescent="0.35">
      <c r="A62" s="86" t="e" vm="59">
        <v>#VALUE!</v>
      </c>
      <c r="B62" s="10" t="str">
        <f t="array" aca="1" ref="B62" ca="1">_FV(A62,"Símbolo bursátil",TRUE())</f>
        <v>WOSG</v>
      </c>
      <c r="C62" s="88" t="s">
        <v>109</v>
      </c>
      <c r="D62" s="88" t="s">
        <v>149</v>
      </c>
      <c r="E62" s="11" t="str">
        <f t="array" aca="1" ref="E62" ca="1">_FV(A62,"Abreviatura de intercambio",TRUE())</f>
        <v>XLON</v>
      </c>
      <c r="F62" s="11" t="str">
        <f t="array" aca="1" ref="F62" ca="1">_FV(A62,"Moneda")</f>
        <v>GBp</v>
      </c>
      <c r="G62" s="12">
        <f t="array" aca="1" ref="G62" ca="1">_FV(A62,"Precio")</f>
        <v>685</v>
      </c>
      <c r="H62" s="13">
        <f t="array" aca="1" ref="H62" ca="1">_FV(A62,"Acciones en circulación",TRUE())/1000000</f>
        <v>233.30160000000001</v>
      </c>
      <c r="I62" s="14">
        <f ca="1">G62/100*H62</f>
        <v>1598.1159599999999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1798.1159599999999</v>
      </c>
      <c r="AS62" s="19">
        <v>90</v>
      </c>
      <c r="AT62" s="19">
        <v>80</v>
      </c>
      <c r="AU62" s="19">
        <v>170</v>
      </c>
      <c r="AV62" s="19">
        <v>1700</v>
      </c>
      <c r="AW62" s="20">
        <f t="shared" ca="1" si="35"/>
        <v>19.979066222222222</v>
      </c>
      <c r="AX62" s="20">
        <f t="shared" ca="1" si="36"/>
        <v>10.577152705882352</v>
      </c>
      <c r="AY62" s="20">
        <f t="shared" ca="1" si="37"/>
        <v>1.0577152705882351</v>
      </c>
      <c r="AZ62" s="21">
        <v>900</v>
      </c>
      <c r="BA62" s="22">
        <f t="shared" si="38"/>
        <v>4.7058823529411764E-2</v>
      </c>
      <c r="BB62" s="22">
        <f t="shared" si="39"/>
        <v>1.8888888888888888</v>
      </c>
      <c r="BC62" s="23">
        <f t="shared" si="40"/>
        <v>8.8888888888888878E-2</v>
      </c>
      <c r="BD62" s="98">
        <v>90</v>
      </c>
      <c r="BE62" s="23">
        <f t="shared" si="41"/>
        <v>0</v>
      </c>
      <c r="BF62" t="s">
        <v>164</v>
      </c>
      <c r="BG62" s="23">
        <f t="shared" si="42"/>
        <v>0.1396217223413001</v>
      </c>
      <c r="BH62" s="24">
        <v>8</v>
      </c>
      <c r="BI62" s="24">
        <v>14</v>
      </c>
      <c r="BJ62" s="25">
        <f ca="1">(BD62*BH62+$AP62-$AQ62)/$H62*100</f>
        <v>222.88745555109779</v>
      </c>
      <c r="BK62" s="25">
        <f ca="1">(BF62*BI62+$AP62-$AQ62)/$H62*100</f>
        <v>952.41524275872939</v>
      </c>
      <c r="BL62" s="23">
        <f t="shared" ca="1" si="43"/>
        <v>-0.20112466810997442</v>
      </c>
      <c r="BM62" s="23">
        <f t="shared" ca="1" si="44"/>
        <v>6.8137477131613222E-2</v>
      </c>
      <c r="BN62" t="s">
        <v>105</v>
      </c>
      <c r="BO62" t="s">
        <v>122</v>
      </c>
      <c r="BP62" t="s">
        <v>165</v>
      </c>
    </row>
    <row r="63" spans="1:68" ht="15" customHeight="1" x14ac:dyDescent="0.35">
      <c r="A63" s="86" t="e" vm="60">
        <v>#VALUE!</v>
      </c>
      <c r="B63" s="10" t="str">
        <f t="array" aca="1" ref="B63" ca="1">_FV(A63,"Símbolo bursátil",TRUE())</f>
        <v>IPCO</v>
      </c>
      <c r="C63" s="88" t="s">
        <v>153</v>
      </c>
      <c r="D63" s="88" t="s">
        <v>154</v>
      </c>
      <c r="E63" s="11" t="str">
        <f t="array" aca="1" ref="E63" ca="1">_FV(A63,"Abreviatura de intercambio",TRUE())</f>
        <v>XTSE</v>
      </c>
      <c r="F63" s="11" t="str">
        <f t="array" aca="1" ref="F63" ca="1">_FV(A63,"Moneda")</f>
        <v>CAD</v>
      </c>
      <c r="G63" s="12">
        <f t="array" aca="1" ref="G63" ca="1">_FV(A63,"Precio")</f>
        <v>34.950000000000003</v>
      </c>
      <c r="H63" s="13">
        <f t="array" aca="1" ref="H63" ca="1">_FV(A63,"Acciones en circulación",TRUE())/1000000</f>
        <v>112.82680000000001</v>
      </c>
      <c r="I63" s="14">
        <f ca="1">G63*H63</f>
        <v>3943.2966600000004</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3356.7034851799999</v>
      </c>
      <c r="AS63" s="19">
        <v>18.600000000000001</v>
      </c>
      <c r="AT63" s="19">
        <v>76</v>
      </c>
      <c r="AU63" s="19">
        <v>253</v>
      </c>
      <c r="AV63" s="19">
        <v>707</v>
      </c>
      <c r="AW63" s="20">
        <f t="shared" ca="1" si="35"/>
        <v>180.46792931075268</v>
      </c>
      <c r="AX63" s="20">
        <f t="shared" ca="1" si="36"/>
        <v>13.267602708221343</v>
      </c>
      <c r="AY63" s="20">
        <f t="shared" ca="1" si="37"/>
        <v>4.7478125674398868</v>
      </c>
      <c r="AZ63" s="21">
        <v>1833</v>
      </c>
      <c r="BA63" s="22">
        <f t="shared" si="38"/>
        <v>0.1074964639321075</v>
      </c>
      <c r="BB63" s="22">
        <f t="shared" si="39"/>
        <v>0.38570649208947083</v>
      </c>
      <c r="BC63" s="23">
        <f t="shared" si="40"/>
        <v>4.1462084015275506E-2</v>
      </c>
      <c r="BD63" s="98">
        <v>178</v>
      </c>
      <c r="BE63" s="23">
        <f t="shared" si="41"/>
        <v>0.57101890653493736</v>
      </c>
      <c r="BF63" t="s">
        <v>166</v>
      </c>
      <c r="BG63" s="23">
        <f t="shared" si="42"/>
        <v>0.85177584943680928</v>
      </c>
      <c r="BH63" s="24">
        <v>10</v>
      </c>
      <c r="BI63" s="24">
        <v>15</v>
      </c>
      <c r="BJ63" s="25">
        <f ca="1">((BD63*BH63+$AP63-$AQ63)/$H63)/'Framework Notes'!$E$7</f>
        <v>15.621441794620653</v>
      </c>
      <c r="BK63" s="25">
        <f ca="1">((BF63*BI63+$AP63-$AQ63)/$H63)/'Framework Notes'!$E$7</f>
        <v>68.273166276999774</v>
      </c>
      <c r="BL63" s="23">
        <f t="shared" ca="1" si="43"/>
        <v>-0.14875458252908824</v>
      </c>
      <c r="BM63" s="23">
        <f t="shared" ca="1" si="44"/>
        <v>0.14330097239812867</v>
      </c>
      <c r="BN63" s="95" t="s">
        <v>678</v>
      </c>
      <c r="BO63" s="95" t="s">
        <v>132</v>
      </c>
      <c r="BP63" s="95" t="s">
        <v>684</v>
      </c>
    </row>
    <row r="64" spans="1:68" ht="15" customHeight="1" x14ac:dyDescent="0.35">
      <c r="A64" s="86" t="e" vm="61">
        <v>#VALUE!</v>
      </c>
      <c r="B64" s="10" t="str">
        <f t="array" aca="1" ref="B64" ca="1">_FV(A64,"Símbolo bursátil",TRUE())</f>
        <v>OTLY</v>
      </c>
      <c r="C64" s="88" t="s">
        <v>109</v>
      </c>
      <c r="D64" s="88" t="s">
        <v>149</v>
      </c>
      <c r="E64" s="11" t="str">
        <f t="array" aca="1" ref="E64" ca="1">_FV(A64,"Abreviatura de intercambio",TRUE())</f>
        <v>XNAS</v>
      </c>
      <c r="F64" s="11" t="str">
        <f t="array" aca="1" ref="F64" ca="1">_FV(A64,"Moneda")</f>
        <v>USD</v>
      </c>
      <c r="G64" s="12">
        <f t="array" aca="1" ref="G64" ca="1">_FV(A64,"Precio")</f>
        <v>15.574999999999999</v>
      </c>
      <c r="H64" s="13">
        <f t="array" aca="1" ref="H64" ca="1">_FV(A64,"Acciones en circulación",TRUE())/1000000</f>
        <v>31.91226</v>
      </c>
      <c r="I64" s="14">
        <f ca="1">G64*H64</f>
        <v>497.03344949999996</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1001.4334494999999</v>
      </c>
      <c r="AS64" s="19">
        <v>-21.9</v>
      </c>
      <c r="AT64" s="19">
        <v>-49</v>
      </c>
      <c r="AU64" s="19">
        <v>-14</v>
      </c>
      <c r="AV64" s="19">
        <v>925</v>
      </c>
      <c r="AW64" s="20">
        <f t="shared" ca="1" si="35"/>
        <v>-45.727554771689498</v>
      </c>
      <c r="AX64" s="20">
        <f t="shared" ca="1" si="36"/>
        <v>-71.530960678571418</v>
      </c>
      <c r="AY64" s="20">
        <f t="shared" ca="1" si="37"/>
        <v>1.0826307562162161</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0.21565779158195664</v>
      </c>
      <c r="BN64" s="95" t="s">
        <v>678</v>
      </c>
      <c r="BO64" s="93" t="s">
        <v>133</v>
      </c>
      <c r="BP64" s="93" t="s">
        <v>167</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3054.98</v>
      </c>
      <c r="H65" s="13">
        <f t="array" aca="1" ref="H65" ca="1">_FV(A65,"Acciones en circulación",TRUE())/1000000</f>
        <v>21.19153</v>
      </c>
      <c r="I65" s="14">
        <f ca="1">G65*H65</f>
        <v>64739.700319399999</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47848.803330926195</v>
      </c>
      <c r="AS65" s="19">
        <v>2700</v>
      </c>
      <c r="AT65" s="19">
        <v>1400</v>
      </c>
      <c r="AU65" s="19">
        <v>3428</v>
      </c>
      <c r="AV65" s="19">
        <v>12641</v>
      </c>
      <c r="AW65" s="20">
        <f t="shared" ca="1" si="35"/>
        <v>17.721779011454146</v>
      </c>
      <c r="AX65" s="20">
        <f t="shared" ca="1" si="36"/>
        <v>13.958227342743932</v>
      </c>
      <c r="AY65" s="20">
        <f t="shared" ca="1" si="37"/>
        <v>3.7852071300471635</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2359.9553692874292</v>
      </c>
      <c r="BK65" s="25">
        <f ca="1">((BF65*BI65+$AP65-$AQ65)/$H65)/'Framework Notes'!$E$7</f>
        <v>7398.6343479087436</v>
      </c>
      <c r="BL65" s="23">
        <f t="shared" ca="1" si="43"/>
        <v>-5.0316082036399479E-2</v>
      </c>
      <c r="BM65" s="23">
        <f t="shared" ca="1" si="44"/>
        <v>0.19351708045783256</v>
      </c>
      <c r="BN65" s="95" t="s">
        <v>678</v>
      </c>
      <c r="BO65" s="95" t="s">
        <v>685</v>
      </c>
      <c r="BP65" s="95" t="s">
        <v>144</v>
      </c>
    </row>
    <row r="66" spans="1:68" x14ac:dyDescent="0.35">
      <c r="A66" s="86" t="e" vm="63">
        <v>#VALUE!</v>
      </c>
      <c r="B66" s="10" t="str">
        <f t="array" aca="1" ref="B66" ca="1">_FV(A66,"Símbolo bursátil",TRUE())</f>
        <v>UBER</v>
      </c>
      <c r="C66" s="88" t="s">
        <v>171</v>
      </c>
      <c r="D66" s="88" t="s">
        <v>77</v>
      </c>
      <c r="E66" s="11" t="str">
        <f t="array" aca="1" ref="E66" ca="1">_FV(A66,"Abreviatura de intercambio",TRUE())</f>
        <v>XNYS</v>
      </c>
      <c r="F66" s="11" t="str">
        <f t="array" aca="1" ref="F66" ca="1">_FV(A66,"Moneda")</f>
        <v>USD</v>
      </c>
      <c r="G66" s="12">
        <f t="array" aca="1" ref="G66" ca="1">_FV(A66,"Precio")</f>
        <v>80.114999999999995</v>
      </c>
      <c r="H66" s="13">
        <f t="array" aca="1" ref="H66" ca="1">_FV(A66,"Acciones en circulación",TRUE())/1000000</f>
        <v>2042.56</v>
      </c>
      <c r="I66" s="14">
        <f ca="1">G66*H66</f>
        <v>163639.69439999998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172979.69439999998</v>
      </c>
      <c r="AS66" s="19">
        <v>10116</v>
      </c>
      <c r="AT66" s="19">
        <v>5025</v>
      </c>
      <c r="AU66" s="19">
        <v>7475</v>
      </c>
      <c r="AV66" s="19">
        <v>55227</v>
      </c>
      <c r="AW66" s="20">
        <f t="shared" ca="1" si="35"/>
        <v>17.099613918544879</v>
      </c>
      <c r="AX66" s="20">
        <f t="shared" ca="1" si="36"/>
        <v>23.141096240802671</v>
      </c>
      <c r="AY66" s="20">
        <f t="shared" ca="1" si="37"/>
        <v>3.1321580820975243</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-6.6115024826753577E-2</v>
      </c>
      <c r="BM66" s="23">
        <f t="shared" ca="1" si="44"/>
        <v>0.31204639489277164</v>
      </c>
      <c r="BN66" s="95" t="s">
        <v>678</v>
      </c>
      <c r="BO66" s="95" t="s">
        <v>98</v>
      </c>
      <c r="BP66" s="95" t="s">
        <v>684</v>
      </c>
    </row>
    <row r="67" spans="1:68" x14ac:dyDescent="0.35">
      <c r="A67" s="86" t="e" vm="64">
        <v>#VALUE!</v>
      </c>
      <c r="B67" s="10" t="str">
        <f t="array" aca="1" ref="B67" ca="1">_FV(A67,"Símbolo bursátil",TRUE())</f>
        <v>SOM</v>
      </c>
      <c r="C67" s="88" t="s">
        <v>136</v>
      </c>
      <c r="D67" s="88" t="s">
        <v>149</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ca="1">AR67/AS67</f>
        <v>12.59883806126496</v>
      </c>
      <c r="AX67" s="20">
        <f ca="1">AR67/AU67</f>
        <v>11.516125415375003</v>
      </c>
      <c r="AY67" s="20">
        <f ca="1">AR67/AV67</f>
        <v>2.2712851358520805</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525</v>
      </c>
      <c r="BO67" s="96" t="s">
        <v>533</v>
      </c>
      <c r="BP67" s="96" t="s">
        <v>534</v>
      </c>
    </row>
    <row r="68" spans="1:68" x14ac:dyDescent="0.35">
      <c r="A68" s="86" t="e" vm="65">
        <v>#VALUE!</v>
      </c>
      <c r="B68" s="10" t="str">
        <f t="array" aca="1" ref="B68" ca="1">_FV(A68,"Símbolo bursátil",TRUE())</f>
        <v>IP</v>
      </c>
      <c r="C68" s="88" t="s">
        <v>119</v>
      </c>
      <c r="D68" s="88" t="s">
        <v>77</v>
      </c>
      <c r="E68" s="11" t="str">
        <f t="shared" ref="E68:E71" ca="1" si="52">_FV(A68,"Abreviatura de intercambio",TRUE)</f>
        <v>XMIL</v>
      </c>
      <c r="F68" s="11" t="str">
        <f t="shared" ref="F68:F71" ca="1" si="53">_FV(A68,"Moneda")</f>
        <v>EUR</v>
      </c>
      <c r="G68" s="12">
        <f t="shared" ref="G68:G71" ca="1" si="54">_FV(A68,"Precio")</f>
        <v>37.840000000000003</v>
      </c>
      <c r="H68" s="13">
        <f t="shared" ref="H68:H71" ca="1" si="55">_FV(A68,"Acciones en circulación",TRUE)/1000000</f>
        <v>108.8793</v>
      </c>
      <c r="I68" s="14">
        <f ca="1">G68*H68</f>
        <v>4119.9927120000002</v>
      </c>
      <c r="J68" s="90">
        <v>1</v>
      </c>
      <c r="K68" s="90">
        <v>5</v>
      </c>
      <c r="L68" s="90">
        <v>1</v>
      </c>
      <c r="M68" s="90">
        <v>1</v>
      </c>
      <c r="N68" s="90">
        <v>-1</v>
      </c>
      <c r="O68" s="90">
        <v>0</v>
      </c>
      <c r="P68" s="90">
        <v>1</v>
      </c>
      <c r="Q68" s="90">
        <v>1</v>
      </c>
      <c r="R68" s="15">
        <f t="shared" ref="R68:R71" si="56">SUM(J68:N68)+SUM(P68:Q68)</f>
        <v>9</v>
      </c>
      <c r="S68" s="16">
        <f t="shared" ref="S68:S71" si="57">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8">ROUND(S68*0.2+AC68*0.4+AM68*0.4,2)</f>
        <v>5.38</v>
      </c>
      <c r="AO68" s="18" t="s">
        <v>87</v>
      </c>
      <c r="AP68" s="19">
        <v>370</v>
      </c>
      <c r="AQ68" s="19">
        <v>675</v>
      </c>
      <c r="AR68" s="19">
        <f t="shared" ca="1" si="51"/>
        <v>4424.9927120000002</v>
      </c>
      <c r="AS68" s="19">
        <v>263</v>
      </c>
      <c r="AT68" s="19">
        <v>229</v>
      </c>
      <c r="AU68" s="19">
        <v>446</v>
      </c>
      <c r="AV68" s="19">
        <v>2080</v>
      </c>
      <c r="AW68" s="20">
        <f ca="1">AR68/AS68</f>
        <v>16.825067346007604</v>
      </c>
      <c r="AX68" s="20">
        <f ca="1">AR68/AU68</f>
        <v>9.9215083228699559</v>
      </c>
      <c r="AY68" s="20">
        <f ca="1">AR68/AV68</f>
        <v>2.1274003423076926</v>
      </c>
      <c r="AZ68" s="21">
        <v>2401.1</v>
      </c>
      <c r="BA68" s="22">
        <f>AT68/AV68</f>
        <v>0.11009615384615384</v>
      </c>
      <c r="BB68" s="22">
        <f>AV68/AZ68</f>
        <v>0.86626962642122363</v>
      </c>
      <c r="BC68" s="23">
        <f>BA68*BB68</f>
        <v>9.5372954062721255E-2</v>
      </c>
      <c r="BD68" s="98">
        <v>225.5</v>
      </c>
      <c r="BE68" s="23">
        <f>(BD68/AS68)^(1/5)-1</f>
        <v>-3.0298294272315895E-2</v>
      </c>
      <c r="BF68">
        <v>548.9</v>
      </c>
      <c r="BG68" s="23">
        <f>(BF68/AS68)^(1/5)-1</f>
        <v>0.15853056601851723</v>
      </c>
      <c r="BH68" s="24">
        <v>16</v>
      </c>
      <c r="BI68" s="24">
        <v>20.5</v>
      </c>
      <c r="BJ68" s="25">
        <f ca="1">(BD68*BH68+$AP68-$AQ68)/$H68</f>
        <v>30.336344925068403</v>
      </c>
      <c r="BK68" s="25">
        <f ca="1">(BF68*BI68+$AP68-$AQ68)/$H68</f>
        <v>100.54666038448079</v>
      </c>
      <c r="BL68" s="23">
        <f t="shared" ca="1" si="43"/>
        <v>-4.3241288682237089E-2</v>
      </c>
      <c r="BM68" s="23">
        <f t="shared" ca="1" si="44"/>
        <v>0.21585925378268067</v>
      </c>
      <c r="BN68" s="96" t="s">
        <v>678</v>
      </c>
      <c r="BO68" s="96" t="s">
        <v>125</v>
      </c>
      <c r="BP68" s="96" t="s">
        <v>543</v>
      </c>
    </row>
    <row r="69" spans="1:68" x14ac:dyDescent="0.35">
      <c r="A69" s="86" t="e" vm="66">
        <v>#VALUE!</v>
      </c>
      <c r="B69" s="10" t="str">
        <f t="array" aca="1" ref="B69" ca="1">_FV(A69,"Símbolo bursátil",TRUE())</f>
        <v>RBT</v>
      </c>
      <c r="C69" s="88" t="s">
        <v>109</v>
      </c>
      <c r="D69" s="88" t="s">
        <v>77</v>
      </c>
      <c r="E69" s="11" t="str">
        <f t="shared" ca="1" si="52"/>
        <v>XPAR</v>
      </c>
      <c r="F69" s="11" t="str">
        <f t="shared" ca="1" si="53"/>
        <v>EUR</v>
      </c>
      <c r="G69" s="12">
        <f t="shared" ca="1" si="54"/>
        <v>798</v>
      </c>
      <c r="H69" s="13">
        <f t="shared" ca="1" si="55"/>
        <v>2.1692999999999998</v>
      </c>
      <c r="I69" s="14">
        <f ca="1">G69*H69</f>
        <v>1731.1013999999998</v>
      </c>
      <c r="J69" s="90">
        <v>2</v>
      </c>
      <c r="K69" s="90">
        <v>6</v>
      </c>
      <c r="L69" s="90">
        <v>2</v>
      </c>
      <c r="M69" s="90">
        <v>1</v>
      </c>
      <c r="N69" s="90">
        <v>0</v>
      </c>
      <c r="O69" s="90">
        <v>0</v>
      </c>
      <c r="P69" s="90">
        <v>1</v>
      </c>
      <c r="Q69" s="90">
        <v>1</v>
      </c>
      <c r="R69" s="15">
        <f t="shared" si="56"/>
        <v>13</v>
      </c>
      <c r="S69" s="16">
        <f t="shared" si="57"/>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8"/>
        <v>6.97</v>
      </c>
      <c r="AO69" s="18" t="s">
        <v>87</v>
      </c>
      <c r="AP69" s="19">
        <v>181</v>
      </c>
      <c r="AQ69" s="19">
        <v>253</v>
      </c>
      <c r="AR69" s="19">
        <f t="shared" ca="1" si="51"/>
        <v>1803.1013999999998</v>
      </c>
      <c r="AS69" s="19">
        <v>66.7</v>
      </c>
      <c r="AT69" s="19">
        <v>108.5</v>
      </c>
      <c r="AU69" s="19">
        <v>167</v>
      </c>
      <c r="AV69" s="19">
        <v>844</v>
      </c>
      <c r="AW69" s="20">
        <f ca="1">AR69/AS69</f>
        <v>27.033004497751119</v>
      </c>
      <c r="AX69" s="20">
        <f ca="1">AR69/AU69</f>
        <v>10.797014371257484</v>
      </c>
      <c r="AY69" s="20">
        <f ca="1">AR69/AV69</f>
        <v>2.1363760663507105</v>
      </c>
      <c r="AZ69" s="21">
        <v>713.6</v>
      </c>
      <c r="BA69" s="22">
        <f>AT69/AV69</f>
        <v>0.12855450236966826</v>
      </c>
      <c r="BB69" s="22">
        <f>AV69/AZ69</f>
        <v>1.1827354260089686</v>
      </c>
      <c r="BC69" s="23">
        <f>BA69*BB69</f>
        <v>0.15204596412556054</v>
      </c>
      <c r="BD69" s="98">
        <v>82.1</v>
      </c>
      <c r="BE69" s="23">
        <f>(BD69/AS69)^(1/5)-1</f>
        <v>4.242175081905053E-2</v>
      </c>
      <c r="BF69">
        <v>145</v>
      </c>
      <c r="BG69" s="23">
        <f>(BF69/AS69)^(1/5)-1</f>
        <v>0.16801503633750126</v>
      </c>
      <c r="BH69" s="24">
        <v>18</v>
      </c>
      <c r="BI69" s="24">
        <v>26</v>
      </c>
      <c r="BJ69" s="25">
        <f ca="1">(BD69*BH69+$AP69-$AQ69)/$H69</f>
        <v>648.04314755912048</v>
      </c>
      <c r="BK69" s="25">
        <f ca="1">(BF69*BI69+$AP69-$AQ69)/$H69</f>
        <v>1704.6973678145025</v>
      </c>
      <c r="BL69" s="23">
        <f t="shared" ca="1" si="43"/>
        <v>-4.0775624735993499E-2</v>
      </c>
      <c r="BM69" s="23">
        <f t="shared" ca="1" si="44"/>
        <v>0.16393540749423563</v>
      </c>
      <c r="BN69" s="96" t="s">
        <v>678</v>
      </c>
      <c r="BO69" s="96" t="s">
        <v>125</v>
      </c>
      <c r="BP69" s="96" t="s">
        <v>545</v>
      </c>
    </row>
    <row r="70" spans="1:68" x14ac:dyDescent="0.35">
      <c r="A70" s="86" t="e" vm="67">
        <v>#VALUE!</v>
      </c>
      <c r="B70" s="10" t="str">
        <f t="array" aca="1" ref="B70" ca="1">_FV(A70,"Símbolo bursátil",TRUE())</f>
        <v>ROKO B</v>
      </c>
      <c r="C70" s="88" t="s">
        <v>119</v>
      </c>
      <c r="D70" s="88" t="s">
        <v>77</v>
      </c>
      <c r="E70" s="11" t="str">
        <f t="shared" ca="1" si="52"/>
        <v>XSTO</v>
      </c>
      <c r="F70" s="11" t="str">
        <f t="shared" ca="1" si="53"/>
        <v>SEK</v>
      </c>
      <c r="G70" s="12">
        <f t="shared" ca="1" si="54"/>
        <v>1884</v>
      </c>
      <c r="H70" s="13">
        <f t="shared" ca="1" si="55"/>
        <v>12.1365</v>
      </c>
      <c r="I70" s="14">
        <f ca="1">G70*H70</f>
        <v>22865.166000000001</v>
      </c>
      <c r="J70" s="90">
        <v>1</v>
      </c>
      <c r="K70" s="90">
        <v>5</v>
      </c>
      <c r="L70" s="90">
        <v>3</v>
      </c>
      <c r="M70" s="90">
        <v>0</v>
      </c>
      <c r="N70" s="90">
        <v>0</v>
      </c>
      <c r="O70" s="90">
        <v>0</v>
      </c>
      <c r="P70" s="90">
        <v>1</v>
      </c>
      <c r="Q70" s="90">
        <v>1</v>
      </c>
      <c r="R70" s="15">
        <f t="shared" si="56"/>
        <v>11</v>
      </c>
      <c r="S70" s="16">
        <f t="shared" si="57"/>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8"/>
        <v>6.2</v>
      </c>
      <c r="AO70" s="18" t="s">
        <v>120</v>
      </c>
      <c r="AP70" s="19">
        <v>435</v>
      </c>
      <c r="AQ70" s="19">
        <v>3020</v>
      </c>
      <c r="AR70" s="19">
        <f t="shared" ca="1" si="51"/>
        <v>25450.166000000001</v>
      </c>
      <c r="AS70" s="19">
        <v>1150</v>
      </c>
      <c r="AT70" s="19">
        <v>893</v>
      </c>
      <c r="AU70" s="19">
        <v>1560</v>
      </c>
      <c r="AV70" s="19">
        <v>7090</v>
      </c>
      <c r="AW70" s="20">
        <f ca="1">AR70/AS70</f>
        <v>22.130579130434782</v>
      </c>
      <c r="AX70" s="20">
        <f ca="1">AR70/AU70</f>
        <v>16.314208974358976</v>
      </c>
      <c r="AY70" s="20">
        <f ca="1">AR70/AV70</f>
        <v>3.5895861777150917</v>
      </c>
      <c r="AZ70" s="21">
        <v>9895</v>
      </c>
      <c r="BA70" s="22">
        <f>AT70/AV70</f>
        <v>0.12595204513399152</v>
      </c>
      <c r="BB70" s="22">
        <f>AV70/AZ70</f>
        <v>0.71652349671551285</v>
      </c>
      <c r="BC70" s="23">
        <f>BA70*BB70</f>
        <v>9.0247599797877706E-2</v>
      </c>
      <c r="BD70" s="98">
        <v>1150</v>
      </c>
      <c r="BE70" s="23">
        <f>(BD70/AS70)^(1/5)-1</f>
        <v>0</v>
      </c>
      <c r="BF70">
        <v>1900</v>
      </c>
      <c r="BG70" s="23">
        <f>(BF70/AS70)^(1/5)-1</f>
        <v>0.10563340590814718</v>
      </c>
      <c r="BH70" s="24">
        <v>22</v>
      </c>
      <c r="BI70" s="24">
        <v>30</v>
      </c>
      <c r="BJ70" s="25">
        <f ca="1">(BD70*BH70+$AP70-$AQ70)/$H70</f>
        <v>1871.6269105590575</v>
      </c>
      <c r="BK70" s="25">
        <f ca="1">(BF70*BI70+$AP70-$AQ70)/$H70</f>
        <v>4483.5825814691225</v>
      </c>
      <c r="BL70" s="23">
        <f t="shared" ca="1" si="43"/>
        <v>-1.3169556271558358E-3</v>
      </c>
      <c r="BM70" s="23">
        <f t="shared" ca="1" si="44"/>
        <v>0.18934774904737917</v>
      </c>
      <c r="BN70" s="96" t="s">
        <v>678</v>
      </c>
      <c r="BO70" s="96" t="s">
        <v>547</v>
      </c>
      <c r="BP70" s="96" t="s">
        <v>123</v>
      </c>
    </row>
    <row r="71" spans="1:68" x14ac:dyDescent="0.35">
      <c r="A71" s="86" t="e" vm="68">
        <v>#VALUE!</v>
      </c>
      <c r="B71" s="10" t="str">
        <f t="array" aca="1" ref="B71" ca="1">_FV(A71,"Símbolo bursátil",TRUE())</f>
        <v>USPH</v>
      </c>
      <c r="C71" s="88" t="s">
        <v>112</v>
      </c>
      <c r="D71" s="88" t="s">
        <v>77</v>
      </c>
      <c r="E71" s="11" t="str">
        <f t="shared" ca="1" si="52"/>
        <v>XNYS</v>
      </c>
      <c r="F71" s="11" t="str">
        <f t="shared" ca="1" si="53"/>
        <v>USD</v>
      </c>
      <c r="G71" s="12">
        <f t="shared" ca="1" si="54"/>
        <v>77.66</v>
      </c>
      <c r="H71" s="13">
        <f t="shared" ca="1" si="55"/>
        <v>14.922700000000001</v>
      </c>
      <c r="I71" s="14">
        <f ca="1">G71*H71</f>
        <v>1158.896882</v>
      </c>
      <c r="J71" s="90">
        <v>2</v>
      </c>
      <c r="K71" s="90">
        <v>4</v>
      </c>
      <c r="L71" s="90">
        <v>2</v>
      </c>
      <c r="M71" s="90">
        <v>-1</v>
      </c>
      <c r="N71" s="90">
        <v>-1</v>
      </c>
      <c r="O71" s="90">
        <v>0</v>
      </c>
      <c r="P71" s="90">
        <v>0</v>
      </c>
      <c r="Q71" s="90">
        <v>-1</v>
      </c>
      <c r="R71" s="15">
        <f t="shared" si="56"/>
        <v>5</v>
      </c>
      <c r="S71" s="16">
        <f t="shared" si="57"/>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8"/>
        <v>3.21</v>
      </c>
      <c r="AO71" s="18" t="s">
        <v>78</v>
      </c>
      <c r="AP71" s="19">
        <v>24.9</v>
      </c>
      <c r="AQ71" s="19">
        <v>385.8</v>
      </c>
      <c r="AR71" s="19">
        <f t="shared" ca="1" si="51"/>
        <v>1519.7968819999999</v>
      </c>
      <c r="AS71" s="19">
        <v>62</v>
      </c>
      <c r="AT71" s="19">
        <v>57</v>
      </c>
      <c r="AU71" s="19">
        <v>96</v>
      </c>
      <c r="AV71" s="19">
        <v>804.3</v>
      </c>
      <c r="AW71" s="20">
        <f ca="1">AR71/AS71</f>
        <v>24.51285293548387</v>
      </c>
      <c r="AX71" s="20">
        <f ca="1">AR71/AU71</f>
        <v>15.831217520833333</v>
      </c>
      <c r="AY71" s="20">
        <f ca="1">AR71/AV71</f>
        <v>1.8895895586224045</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t="shared" ca="1" si="43"/>
        <v>-7.6345220215282117E-2</v>
      </c>
      <c r="BM71" s="23">
        <f t="shared" ca="1" si="44"/>
        <v>0.15373938858146485</v>
      </c>
      <c r="BN71" s="96" t="s">
        <v>542</v>
      </c>
      <c r="BO71" s="96" t="s">
        <v>98</v>
      </c>
      <c r="BP71" s="96" t="s">
        <v>144</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6" t="s">
        <v>172</v>
      </c>
      <c r="B1" s="102"/>
      <c r="C1" s="102"/>
      <c r="D1" s="102"/>
      <c r="E1" s="102"/>
      <c r="F1" s="102"/>
    </row>
    <row r="3" spans="1:6" ht="15" customHeight="1" x14ac:dyDescent="0.35">
      <c r="A3" s="27" t="s">
        <v>173</v>
      </c>
    </row>
    <row r="4" spans="1:6" ht="15" customHeight="1" x14ac:dyDescent="0.35">
      <c r="A4" s="28" t="s">
        <v>174</v>
      </c>
      <c r="D4" t="e" vm="69">
        <v>#VALUE!</v>
      </c>
      <c r="E4" s="29">
        <f t="array" aca="1" ref="E4" ca="1">_FV(D4,"Precio")</f>
        <v>185.72</v>
      </c>
    </row>
    <row r="5" spans="1:6" ht="15" customHeight="1" x14ac:dyDescent="0.35">
      <c r="A5" s="28" t="s">
        <v>175</v>
      </c>
      <c r="D5" t="e" vm="70">
        <v>#VALUE!</v>
      </c>
      <c r="E5" s="30">
        <f t="array" aca="1" ref="E5" ca="1">_FV(D5,"Precio")</f>
        <v>1.2475000000000001</v>
      </c>
    </row>
    <row r="6" spans="1:6" ht="15" customHeight="1" x14ac:dyDescent="0.35">
      <c r="A6" s="28" t="s">
        <v>176</v>
      </c>
      <c r="D6" t="e" vm="71">
        <v>#VALUE!</v>
      </c>
      <c r="E6" s="31">
        <f t="array" aca="1" ref="E6" ca="1">_FV(D6,"Precio")</f>
        <v>457.81</v>
      </c>
    </row>
    <row r="7" spans="1:6" ht="15" customHeight="1" x14ac:dyDescent="0.35">
      <c r="D7" t="e" vm="72">
        <v>#VALUE!</v>
      </c>
      <c r="E7" s="30">
        <f t="array" aca="1" ref="E7" ca="1">_FV(D7,"Precio")</f>
        <v>0.72299999999999998</v>
      </c>
    </row>
    <row r="8" spans="1:6" ht="15" customHeight="1" x14ac:dyDescent="0.35">
      <c r="A8" s="27" t="s">
        <v>593</v>
      </c>
      <c r="D8" t="e" vm="73">
        <v>#VALUE!</v>
      </c>
      <c r="E8" s="87">
        <f t="array" aca="1" ref="E8" ca="1">_FV(D8,"Precio")</f>
        <v>0.85650000000000004</v>
      </c>
    </row>
    <row r="9" spans="1:6" ht="15" customHeight="1" x14ac:dyDescent="0.35">
      <c r="A9" s="28" t="s">
        <v>177</v>
      </c>
      <c r="C9" t="s">
        <v>601</v>
      </c>
      <c r="E9">
        <v>1.3641000000000001</v>
      </c>
    </row>
    <row r="10" spans="1:6" ht="15" customHeight="1" x14ac:dyDescent="0.35">
      <c r="A10" s="28" t="s">
        <v>178</v>
      </c>
    </row>
    <row r="11" spans="1:6" ht="15" customHeight="1" x14ac:dyDescent="0.35">
      <c r="A11" s="28" t="s">
        <v>179</v>
      </c>
    </row>
    <row r="12" spans="1:6" ht="15" customHeight="1" x14ac:dyDescent="0.35">
      <c r="A12" s="28" t="s">
        <v>180</v>
      </c>
    </row>
    <row r="13" spans="1:6" ht="15" customHeight="1" x14ac:dyDescent="0.35">
      <c r="A13" s="28" t="s">
        <v>181</v>
      </c>
    </row>
    <row r="14" spans="1:6" ht="15" customHeight="1" x14ac:dyDescent="0.35">
      <c r="A14" s="28" t="s">
        <v>594</v>
      </c>
    </row>
    <row r="15" spans="1:6" ht="15" customHeight="1" x14ac:dyDescent="0.35">
      <c r="A15" s="28" t="s">
        <v>182</v>
      </c>
    </row>
    <row r="16" spans="1:6" ht="15" customHeight="1" x14ac:dyDescent="0.35">
      <c r="A16" s="28" t="s">
        <v>183</v>
      </c>
    </row>
    <row r="18" spans="1:1" ht="15" customHeight="1" x14ac:dyDescent="0.35">
      <c r="A18" s="27" t="s">
        <v>184</v>
      </c>
    </row>
    <row r="19" spans="1:1" ht="15" customHeight="1" x14ac:dyDescent="0.35">
      <c r="A19" s="28" t="s">
        <v>185</v>
      </c>
    </row>
    <row r="20" spans="1:1" ht="15" customHeight="1" x14ac:dyDescent="0.35">
      <c r="A20" s="28" t="s">
        <v>186</v>
      </c>
    </row>
    <row r="21" spans="1:1" ht="15" customHeight="1" x14ac:dyDescent="0.35">
      <c r="A21" s="28" t="s">
        <v>187</v>
      </c>
    </row>
    <row r="22" spans="1:1" ht="15" customHeight="1" x14ac:dyDescent="0.35">
      <c r="A22" s="28" t="s">
        <v>188</v>
      </c>
    </row>
    <row r="23" spans="1:1" ht="15" customHeight="1" x14ac:dyDescent="0.35">
      <c r="A23" s="28" t="s">
        <v>189</v>
      </c>
    </row>
    <row r="24" spans="1:1" ht="15" customHeight="1" x14ac:dyDescent="0.35">
      <c r="A24" s="28" t="s">
        <v>190</v>
      </c>
    </row>
    <row r="25" spans="1:1" ht="15" customHeight="1" x14ac:dyDescent="0.35">
      <c r="A25" s="28" t="s">
        <v>191</v>
      </c>
    </row>
    <row r="26" spans="1:1" ht="15" customHeight="1" x14ac:dyDescent="0.35">
      <c r="A26" s="28" t="s">
        <v>192</v>
      </c>
    </row>
    <row r="28" spans="1:1" ht="15" customHeight="1" x14ac:dyDescent="0.35">
      <c r="A28" s="27" t="s">
        <v>193</v>
      </c>
    </row>
    <row r="29" spans="1:1" ht="15" customHeight="1" x14ac:dyDescent="0.35">
      <c r="A29" s="28" t="s">
        <v>194</v>
      </c>
    </row>
    <row r="30" spans="1:1" ht="15" customHeight="1" x14ac:dyDescent="0.35">
      <c r="A30" s="28" t="s">
        <v>195</v>
      </c>
    </row>
    <row r="31" spans="1:1" ht="15" customHeight="1" x14ac:dyDescent="0.35">
      <c r="A31" s="28" t="s">
        <v>196</v>
      </c>
    </row>
    <row r="32" spans="1:1" ht="15" customHeight="1" x14ac:dyDescent="0.35">
      <c r="A32" s="28" t="s">
        <v>197</v>
      </c>
    </row>
    <row r="33" spans="1:1" ht="15" customHeight="1" x14ac:dyDescent="0.35">
      <c r="A33" s="28" t="s">
        <v>198</v>
      </c>
    </row>
    <row r="34" spans="1:1" ht="15" customHeight="1" x14ac:dyDescent="0.35">
      <c r="A34" s="28" t="s">
        <v>199</v>
      </c>
    </row>
    <row r="35" spans="1:1" ht="15" customHeight="1" x14ac:dyDescent="0.35">
      <c r="A35" s="28" t="s">
        <v>200</v>
      </c>
    </row>
    <row r="36" spans="1:1" ht="15" customHeight="1" x14ac:dyDescent="0.35">
      <c r="A36" s="28" t="s">
        <v>201</v>
      </c>
    </row>
    <row r="38" spans="1:1" ht="15" customHeight="1" x14ac:dyDescent="0.35">
      <c r="A38" s="27" t="s">
        <v>202</v>
      </c>
    </row>
    <row r="39" spans="1:1" ht="15" customHeight="1" x14ac:dyDescent="0.35">
      <c r="A39" s="28" t="s">
        <v>595</v>
      </c>
    </row>
    <row r="40" spans="1:1" ht="15" customHeight="1" x14ac:dyDescent="0.35">
      <c r="A40" s="28" t="s">
        <v>596</v>
      </c>
    </row>
    <row r="41" spans="1:1" x14ac:dyDescent="0.35">
      <c r="A41" t="s">
        <v>597</v>
      </c>
    </row>
    <row r="42" spans="1:1" ht="15" customHeight="1" x14ac:dyDescent="0.35">
      <c r="A42" s="27" t="s">
        <v>203</v>
      </c>
    </row>
    <row r="43" spans="1:1" ht="15" customHeight="1" x14ac:dyDescent="0.35">
      <c r="A43" s="28" t="s">
        <v>204</v>
      </c>
    </row>
    <row r="44" spans="1:1" ht="15" customHeight="1" x14ac:dyDescent="0.35">
      <c r="A44" s="28" t="s">
        <v>205</v>
      </c>
    </row>
    <row r="45" spans="1:1" ht="15" customHeight="1" x14ac:dyDescent="0.35">
      <c r="A45" s="28" t="s">
        <v>206</v>
      </c>
    </row>
    <row r="46" spans="1:1" ht="15" customHeight="1" x14ac:dyDescent="0.35">
      <c r="A46" s="28" t="s">
        <v>207</v>
      </c>
    </row>
    <row r="47" spans="1:1" ht="15" customHeight="1" x14ac:dyDescent="0.35">
      <c r="A47" s="28" t="s">
        <v>208</v>
      </c>
    </row>
    <row r="49" spans="1:1" ht="15" customHeight="1" x14ac:dyDescent="0.35">
      <c r="A49" s="27"/>
    </row>
    <row r="50" spans="1:1" ht="15" customHeight="1" x14ac:dyDescent="0.35">
      <c r="A50" s="28" t="s">
        <v>631</v>
      </c>
    </row>
    <row r="51" spans="1:1" ht="15" customHeight="1" x14ac:dyDescent="0.35">
      <c r="A51" s="28" t="s">
        <v>632</v>
      </c>
    </row>
    <row r="52" spans="1:1" ht="15" customHeight="1" x14ac:dyDescent="0.35">
      <c r="A52" s="28" t="s">
        <v>633</v>
      </c>
    </row>
    <row r="53" spans="1:1" x14ac:dyDescent="0.35">
      <c r="A53" t="s">
        <v>634</v>
      </c>
    </row>
    <row r="54" spans="1:1" x14ac:dyDescent="0.35">
      <c r="A54" t="s">
        <v>635</v>
      </c>
    </row>
    <row r="55" spans="1:1" x14ac:dyDescent="0.35">
      <c r="A55" t="s">
        <v>636</v>
      </c>
    </row>
    <row r="56" spans="1:1" x14ac:dyDescent="0.35">
      <c r="A56" t="s">
        <v>637</v>
      </c>
    </row>
    <row r="57" spans="1:1" x14ac:dyDescent="0.35">
      <c r="A57" t="s">
        <v>638</v>
      </c>
    </row>
    <row r="58" spans="1:1" x14ac:dyDescent="0.35">
      <c r="A58" t="s">
        <v>798</v>
      </c>
    </row>
    <row r="59" spans="1:1" x14ac:dyDescent="0.35">
      <c r="A59" t="s">
        <v>799</v>
      </c>
    </row>
    <row r="62" spans="1:1" x14ac:dyDescent="0.35">
      <c r="A62" t="s">
        <v>653</v>
      </c>
    </row>
    <row r="63" spans="1:1" x14ac:dyDescent="0.35">
      <c r="A63" t="s">
        <v>654</v>
      </c>
    </row>
    <row r="64" spans="1:1" x14ac:dyDescent="0.35">
      <c r="A64" t="s">
        <v>655</v>
      </c>
    </row>
    <row r="65" spans="1:1" x14ac:dyDescent="0.35">
      <c r="A65" t="s">
        <v>656</v>
      </c>
    </row>
    <row r="66" spans="1:1" x14ac:dyDescent="0.35">
      <c r="A66" t="s">
        <v>657</v>
      </c>
    </row>
    <row r="67" spans="1:1" x14ac:dyDescent="0.35">
      <c r="A67" t="s">
        <v>658</v>
      </c>
    </row>
    <row r="68" spans="1:1" x14ac:dyDescent="0.35">
      <c r="A68" t="s">
        <v>659</v>
      </c>
    </row>
    <row r="69" spans="1:1" x14ac:dyDescent="0.35">
      <c r="A69" t="s">
        <v>660</v>
      </c>
    </row>
    <row r="70" spans="1:1" x14ac:dyDescent="0.35">
      <c r="A70" t="s">
        <v>661</v>
      </c>
    </row>
    <row r="71" spans="1:1" x14ac:dyDescent="0.35">
      <c r="A71" t="s">
        <v>662</v>
      </c>
    </row>
    <row r="72" spans="1:1" x14ac:dyDescent="0.35">
      <c r="A72" t="s">
        <v>777</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9" t="s">
        <v>209</v>
      </c>
      <c r="B1" s="102"/>
      <c r="C1" s="102"/>
      <c r="D1" s="102"/>
      <c r="E1" s="102"/>
      <c r="F1" s="102"/>
      <c r="G1" s="102"/>
      <c r="H1" s="102"/>
      <c r="I1" s="102"/>
      <c r="J1" s="102"/>
      <c r="K1" s="102"/>
      <c r="L1" s="102"/>
      <c r="M1" s="32"/>
      <c r="N1" s="32"/>
      <c r="O1" s="32"/>
      <c r="P1" s="32"/>
      <c r="Q1" s="32"/>
      <c r="R1" s="32"/>
    </row>
    <row r="2" spans="1:47" ht="24.75" customHeight="1" x14ac:dyDescent="0.35">
      <c r="A2" s="157" t="s">
        <v>210</v>
      </c>
      <c r="B2" s="158"/>
      <c r="C2" s="158"/>
      <c r="D2" s="158"/>
      <c r="E2" s="158"/>
      <c r="F2" s="158"/>
      <c r="G2" s="158"/>
      <c r="H2" s="158"/>
      <c r="I2" s="158"/>
      <c r="J2" s="158"/>
      <c r="K2" s="158"/>
      <c r="L2" s="158"/>
    </row>
    <row r="3" spans="1:47" ht="24.75" customHeight="1" x14ac:dyDescent="0.35">
      <c r="A3" s="162" t="s">
        <v>211</v>
      </c>
      <c r="B3" s="130"/>
      <c r="C3" s="129" t="s">
        <v>212</v>
      </c>
      <c r="D3" s="130"/>
      <c r="E3" s="131" t="s">
        <v>213</v>
      </c>
      <c r="F3" s="130"/>
      <c r="G3" s="177" t="s">
        <v>214</v>
      </c>
      <c r="H3" s="130"/>
      <c r="I3" s="178" t="s">
        <v>215</v>
      </c>
      <c r="J3" s="130"/>
      <c r="K3" s="141" t="s">
        <v>216</v>
      </c>
      <c r="L3" s="142"/>
    </row>
    <row r="4" spans="1:47" ht="49.5" customHeight="1" x14ac:dyDescent="0.35">
      <c r="A4" s="166">
        <f ca="1">COUNTA('Watchlist Ratings'!B4:B71)</f>
        <v>68</v>
      </c>
      <c r="B4" s="136"/>
      <c r="C4" s="137">
        <f>ROUND(AVERAGE('Watchlist Ratings'!AN4:AN71),2)</f>
        <v>5.98</v>
      </c>
      <c r="D4" s="136"/>
      <c r="E4" s="138" t="str">
        <f>TEXT(AVERAGE('Watchlist Ratings'!BC4:BC71),"0.0%")</f>
        <v>15.6%</v>
      </c>
      <c r="F4" s="136"/>
      <c r="G4" s="138" t="str">
        <f ca="1">TEXT(AVERAGE('Watchlist Ratings'!AW4:AW71),"0.0x")</f>
        <v>34.4x</v>
      </c>
      <c r="H4" s="136"/>
      <c r="I4" s="138">
        <f ca="1">COUNTIF('Watchlist Ratings'!BM4:BM71,"&gt;0")</f>
        <v>62</v>
      </c>
      <c r="J4" s="136"/>
      <c r="K4" s="170">
        <f>COUNTIF('Watchlist Ratings'!AN4:AN71,"&gt;7.5")</f>
        <v>16</v>
      </c>
      <c r="L4" s="144"/>
    </row>
    <row r="5" spans="1:47" ht="19.5" customHeight="1" x14ac:dyDescent="0.35">
      <c r="A5" s="164" t="s">
        <v>217</v>
      </c>
      <c r="B5" s="136"/>
      <c r="C5" s="135" t="s">
        <v>218</v>
      </c>
      <c r="D5" s="136"/>
      <c r="E5" s="135" t="s">
        <v>219</v>
      </c>
      <c r="F5" s="136"/>
      <c r="G5" s="135" t="s">
        <v>220</v>
      </c>
      <c r="H5" s="136"/>
      <c r="I5" s="135" t="s">
        <v>221</v>
      </c>
      <c r="J5" s="136"/>
      <c r="K5" s="143" t="s">
        <v>222</v>
      </c>
      <c r="L5" s="144"/>
    </row>
    <row r="6" spans="1:47" ht="18" customHeight="1" x14ac:dyDescent="0.35">
      <c r="A6" s="174" t="s">
        <v>223</v>
      </c>
      <c r="B6" s="134"/>
      <c r="C6" s="133" t="s">
        <v>224</v>
      </c>
      <c r="D6" s="134"/>
      <c r="E6" s="133" t="s">
        <v>225</v>
      </c>
      <c r="F6" s="134"/>
      <c r="G6" s="176" t="s">
        <v>226</v>
      </c>
      <c r="H6" s="134"/>
      <c r="I6" s="133" t="s">
        <v>227</v>
      </c>
      <c r="J6" s="134"/>
      <c r="K6" s="139" t="s">
        <v>228</v>
      </c>
      <c r="L6" s="140"/>
      <c r="O6" t="s">
        <v>229</v>
      </c>
      <c r="S6" t="s">
        <v>230</v>
      </c>
      <c r="V6" t="s">
        <v>231</v>
      </c>
      <c r="Y6" t="s">
        <v>232</v>
      </c>
      <c r="AA6" t="s">
        <v>233</v>
      </c>
      <c r="AE6" t="s">
        <v>234</v>
      </c>
      <c r="AF6" t="s">
        <v>235</v>
      </c>
      <c r="AH6" t="s">
        <v>234</v>
      </c>
      <c r="AI6" t="s">
        <v>235</v>
      </c>
      <c r="AJ6" t="s">
        <v>234</v>
      </c>
      <c r="AK6" t="s">
        <v>236</v>
      </c>
      <c r="AL6" t="s">
        <v>237</v>
      </c>
      <c r="AM6" t="s">
        <v>234</v>
      </c>
      <c r="AN6" t="s">
        <v>238</v>
      </c>
      <c r="AO6" t="s">
        <v>234</v>
      </c>
      <c r="AP6" t="s">
        <v>239</v>
      </c>
      <c r="AQ6" t="s">
        <v>240</v>
      </c>
      <c r="AS6" t="s">
        <v>234</v>
      </c>
      <c r="AT6" t="s">
        <v>238</v>
      </c>
      <c r="AU6" t="s">
        <v>240</v>
      </c>
    </row>
    <row r="7" spans="1:47" ht="15.75" customHeight="1" x14ac:dyDescent="0.35">
      <c r="A7" s="33" t="s">
        <v>241</v>
      </c>
      <c r="B7" s="34" t="s">
        <v>234</v>
      </c>
      <c r="C7" s="34" t="s">
        <v>242</v>
      </c>
      <c r="D7" s="34" t="s">
        <v>243</v>
      </c>
      <c r="E7" s="34" t="s">
        <v>244</v>
      </c>
      <c r="F7" s="34" t="s">
        <v>245</v>
      </c>
      <c r="G7" s="34" t="s">
        <v>236</v>
      </c>
      <c r="H7" s="34" t="s">
        <v>246</v>
      </c>
      <c r="I7" s="34" t="s">
        <v>62</v>
      </c>
      <c r="J7" s="35" t="s">
        <v>238</v>
      </c>
      <c r="K7" s="36"/>
      <c r="O7" t="s">
        <v>234</v>
      </c>
      <c r="P7" t="s">
        <v>245</v>
      </c>
      <c r="Q7" t="s">
        <v>247</v>
      </c>
      <c r="S7" t="s">
        <v>234</v>
      </c>
      <c r="T7" t="s">
        <v>62</v>
      </c>
      <c r="V7" t="s">
        <v>234</v>
      </c>
      <c r="W7" t="s">
        <v>236</v>
      </c>
      <c r="X7" t="s">
        <v>237</v>
      </c>
      <c r="Y7" t="s">
        <v>234</v>
      </c>
      <c r="Z7" t="s">
        <v>238</v>
      </c>
      <c r="AA7" t="s">
        <v>234</v>
      </c>
      <c r="AB7" t="s">
        <v>248</v>
      </c>
      <c r="AC7" t="s">
        <v>247</v>
      </c>
      <c r="AE7" t="s">
        <v>249</v>
      </c>
      <c r="AF7">
        <v>83.3333333333333</v>
      </c>
      <c r="AH7" t="s">
        <v>249</v>
      </c>
      <c r="AI7">
        <v>83.3</v>
      </c>
      <c r="AJ7" t="s">
        <v>250</v>
      </c>
      <c r="AK7">
        <v>8</v>
      </c>
      <c r="AL7">
        <v>3</v>
      </c>
      <c r="AM7" t="s">
        <v>251</v>
      </c>
      <c r="AN7">
        <v>52.2</v>
      </c>
      <c r="AO7" t="s">
        <v>250</v>
      </c>
      <c r="AP7">
        <v>4.5</v>
      </c>
      <c r="AQ7">
        <v>33.6</v>
      </c>
      <c r="AS7" t="s">
        <v>250</v>
      </c>
      <c r="AT7">
        <v>20.173600073636401</v>
      </c>
      <c r="AU7">
        <v>33.701681153345</v>
      </c>
    </row>
    <row r="8" spans="1:47" ht="30" customHeight="1" x14ac:dyDescent="0.35">
      <c r="A8" s="175" t="s">
        <v>252</v>
      </c>
      <c r="B8" s="102"/>
      <c r="C8" s="102"/>
      <c r="D8" s="102"/>
      <c r="E8" s="102"/>
      <c r="F8" s="102"/>
      <c r="G8" s="102"/>
      <c r="H8" s="102"/>
      <c r="I8" s="102"/>
      <c r="J8" s="102"/>
      <c r="K8" s="102"/>
      <c r="L8" s="102"/>
      <c r="O8" t="str">
        <f ca="1">'Watchlist Ratings'!B4</f>
        <v>VEEV</v>
      </c>
      <c r="P8" s="37">
        <f>'Watchlist Ratings'!AN4</f>
        <v>8.33</v>
      </c>
      <c r="Q8" s="23">
        <f ca="1">'Watchlist Ratings'!BM4</f>
        <v>0.21535056770391781</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19.94356157012195</v>
      </c>
      <c r="AA8" t="str">
        <f ca="1">'Watchlist Ratings'!B4</f>
        <v>VEEV</v>
      </c>
      <c r="AB8">
        <f ca="1">'Watchlist Ratings'!BL4</f>
        <v>-3.0691628302968677E-2</v>
      </c>
      <c r="AC8">
        <f ca="1">'Watchlist Ratings'!BM4</f>
        <v>0.21535056770391781</v>
      </c>
      <c r="AE8" t="s">
        <v>253</v>
      </c>
      <c r="AF8">
        <v>83.3333333333333</v>
      </c>
      <c r="AH8" t="s">
        <v>253</v>
      </c>
      <c r="AI8">
        <v>83.3</v>
      </c>
      <c r="AJ8" t="s">
        <v>254</v>
      </c>
      <c r="AK8">
        <v>8</v>
      </c>
      <c r="AL8">
        <v>3</v>
      </c>
      <c r="AM8" t="s">
        <v>255</v>
      </c>
      <c r="AN8">
        <v>51.1</v>
      </c>
      <c r="AO8" t="s">
        <v>256</v>
      </c>
      <c r="AP8">
        <v>3.7</v>
      </c>
      <c r="AQ8">
        <v>32.4</v>
      </c>
      <c r="AS8" t="s">
        <v>254</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28.885051961612021</v>
      </c>
      <c r="O9" t="str">
        <f ca="1">'Watchlist Ratings'!B5</f>
        <v>MSFT</v>
      </c>
      <c r="P9" s="37">
        <f>'Watchlist Ratings'!AN5</f>
        <v>7.86</v>
      </c>
      <c r="Q9" s="23">
        <f ca="1">'Watchlist Ratings'!BM5</f>
        <v>0.12725933974662795</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28.885051961612021</v>
      </c>
      <c r="AA9" t="str">
        <f ca="1">'Watchlist Ratings'!B5</f>
        <v>MSFT</v>
      </c>
      <c r="AB9">
        <f ca="1">'Watchlist Ratings'!BL5</f>
        <v>-4.2358779191663531E-2</v>
      </c>
      <c r="AC9">
        <f ca="1">'Watchlist Ratings'!BM5</f>
        <v>0.12725933974662795</v>
      </c>
      <c r="AE9" t="s">
        <v>257</v>
      </c>
      <c r="AF9">
        <v>59.375</v>
      </c>
      <c r="AH9" t="s">
        <v>257</v>
      </c>
      <c r="AI9">
        <v>59.4</v>
      </c>
      <c r="AJ9" t="s">
        <v>255</v>
      </c>
      <c r="AK9">
        <v>8</v>
      </c>
      <c r="AL9">
        <v>1</v>
      </c>
      <c r="AM9" t="s">
        <v>258</v>
      </c>
      <c r="AN9">
        <v>45.6</v>
      </c>
      <c r="AO9" t="s">
        <v>259</v>
      </c>
      <c r="AP9">
        <v>1.1000000000000001</v>
      </c>
      <c r="AQ9">
        <v>28.4</v>
      </c>
      <c r="AS9" t="s">
        <v>259</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30.102847924710428</v>
      </c>
      <c r="O10" t="str">
        <f ca="1">'Watchlist Ratings'!B6</f>
        <v>ADYEN</v>
      </c>
      <c r="P10" s="37">
        <f>'Watchlist Ratings'!AN6</f>
        <v>7.8</v>
      </c>
      <c r="Q10" s="23">
        <f ca="1">'Watchlist Ratings'!BM6</f>
        <v>0.21268691268480011</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30.102847924710428</v>
      </c>
      <c r="AA10" t="str">
        <f ca="1">'Watchlist Ratings'!B6</f>
        <v>ADYEN</v>
      </c>
      <c r="AB10">
        <f ca="1">'Watchlist Ratings'!BL6</f>
        <v>-7.5205385336348685E-2</v>
      </c>
      <c r="AC10">
        <f ca="1">'Watchlist Ratings'!BM6</f>
        <v>0.21268691268480011</v>
      </c>
      <c r="AE10" t="s">
        <v>250</v>
      </c>
      <c r="AF10">
        <v>54</v>
      </c>
      <c r="AH10" t="s">
        <v>250</v>
      </c>
      <c r="AI10">
        <v>54</v>
      </c>
      <c r="AJ10" t="s">
        <v>251</v>
      </c>
      <c r="AK10">
        <v>8</v>
      </c>
      <c r="AL10">
        <v>3</v>
      </c>
      <c r="AM10" t="s">
        <v>254</v>
      </c>
      <c r="AN10">
        <v>44.8</v>
      </c>
      <c r="AO10" t="s">
        <v>260</v>
      </c>
      <c r="AP10">
        <v>1.8</v>
      </c>
      <c r="AQ10">
        <v>25</v>
      </c>
      <c r="AS10" t="s">
        <v>261</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6.3333333333333339E-2</v>
      </c>
      <c r="J11" s="44">
        <f ca="1">'Watchlist Ratings'!AW7</f>
        <v>17.917687064516127</v>
      </c>
      <c r="O11" t="str">
        <f ca="1">'Watchlist Ratings'!B7</f>
        <v>BN</v>
      </c>
      <c r="P11" s="37">
        <f>'Watchlist Ratings'!AN7</f>
        <v>7.97</v>
      </c>
      <c r="Q11" s="23">
        <f ca="1">'Watchlist Ratings'!BM7</f>
        <v>0.21874186412022789</v>
      </c>
      <c r="S11" t="str">
        <f ca="1">'Watchlist Ratings'!B7</f>
        <v>BN</v>
      </c>
      <c r="T11" s="23">
        <f>'Watchlist Ratings'!BC7</f>
        <v>6.3333333333333339E-2</v>
      </c>
      <c r="V11" t="str">
        <f ca="1">'Watchlist Ratings'!B7</f>
        <v>BN</v>
      </c>
      <c r="W11" s="38">
        <f>'Watchlist Ratings'!K7</f>
        <v>7</v>
      </c>
      <c r="X11" s="38">
        <f>'Watchlist Ratings'!L7</f>
        <v>3</v>
      </c>
      <c r="Y11" t="str">
        <f ca="1">'Watchlist Ratings'!B7</f>
        <v>BN</v>
      </c>
      <c r="Z11">
        <f ca="1">'Watchlist Ratings'!AW7</f>
        <v>17.917687064516127</v>
      </c>
      <c r="AA11" t="str">
        <f ca="1">'Watchlist Ratings'!B7</f>
        <v>BN</v>
      </c>
      <c r="AB11">
        <f ca="1">'Watchlist Ratings'!BL7</f>
        <v>1.6303731954826928E-2</v>
      </c>
      <c r="AC11">
        <f ca="1">'Watchlist Ratings'!BM7</f>
        <v>0.21874186412022789</v>
      </c>
      <c r="AE11" t="s">
        <v>262</v>
      </c>
      <c r="AF11">
        <v>41.6666666666667</v>
      </c>
      <c r="AH11" t="s">
        <v>262</v>
      </c>
      <c r="AI11">
        <v>41.7</v>
      </c>
      <c r="AJ11" t="s">
        <v>263</v>
      </c>
      <c r="AK11">
        <v>8</v>
      </c>
      <c r="AL11">
        <v>2</v>
      </c>
      <c r="AM11" t="s">
        <v>264</v>
      </c>
      <c r="AN11">
        <v>43.6</v>
      </c>
      <c r="AO11" t="s">
        <v>261</v>
      </c>
      <c r="AP11">
        <v>0.6</v>
      </c>
      <c r="AQ11">
        <v>23.3</v>
      </c>
      <c r="AS11" t="s">
        <v>255</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0.19061054057104165</v>
      </c>
      <c r="J12" s="50">
        <f ca="1">'Watchlist Ratings'!AW8</f>
        <v>34.823416981772361</v>
      </c>
      <c r="O12" t="str">
        <f ca="1">'Watchlist Ratings'!B8</f>
        <v>COST</v>
      </c>
      <c r="P12" s="37">
        <f>'Watchlist Ratings'!AN8</f>
        <v>8.0500000000000007</v>
      </c>
      <c r="Q12" s="23">
        <f ca="1">'Watchlist Ratings'!BM8</f>
        <v>8.5040896509370301E-2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34.823416981772361</v>
      </c>
      <c r="AA12" t="str">
        <f ca="1">'Watchlist Ratings'!B8</f>
        <v>COST</v>
      </c>
      <c r="AB12">
        <f ca="1">'Watchlist Ratings'!BL8</f>
        <v>-4.9707554230484341E-2</v>
      </c>
      <c r="AC12">
        <f ca="1">'Watchlist Ratings'!BM8</f>
        <v>8.5040896509370301E-2</v>
      </c>
      <c r="AE12" t="s">
        <v>265</v>
      </c>
      <c r="AF12">
        <v>38.3333333333333</v>
      </c>
      <c r="AH12" t="s">
        <v>265</v>
      </c>
      <c r="AI12">
        <v>38.299999999999997</v>
      </c>
      <c r="AJ12" t="s">
        <v>259</v>
      </c>
      <c r="AK12">
        <v>7</v>
      </c>
      <c r="AL12">
        <v>3</v>
      </c>
      <c r="AM12" t="s">
        <v>257</v>
      </c>
      <c r="AN12">
        <v>40.299999999999997</v>
      </c>
      <c r="AO12" t="s">
        <v>266</v>
      </c>
      <c r="AP12">
        <v>-0.1</v>
      </c>
      <c r="AQ12">
        <v>20.8</v>
      </c>
      <c r="AS12" t="s">
        <v>266</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22.304432657651251</v>
      </c>
      <c r="L13" s="36" t="s">
        <v>267</v>
      </c>
      <c r="M13" t="s">
        <v>268</v>
      </c>
      <c r="O13" t="str">
        <f ca="1">'Watchlist Ratings'!B9</f>
        <v>DSGX</v>
      </c>
      <c r="P13" s="37">
        <f>'Watchlist Ratings'!AN9</f>
        <v>7.92</v>
      </c>
      <c r="Q13" s="23">
        <f ca="1">'Watchlist Ratings'!BM9</f>
        <v>0.19690295456465767</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22.304432657651251</v>
      </c>
      <c r="AA13" t="str">
        <f ca="1">'Watchlist Ratings'!B9</f>
        <v>DSGX</v>
      </c>
      <c r="AB13">
        <f ca="1">'Watchlist Ratings'!BL9</f>
        <v>-3.7117638736870018E-2</v>
      </c>
      <c r="AC13">
        <f ca="1">'Watchlist Ratings'!BM9</f>
        <v>0.19690295456465767</v>
      </c>
      <c r="AE13" t="s">
        <v>260</v>
      </c>
      <c r="AF13">
        <v>37.5</v>
      </c>
      <c r="AH13" t="s">
        <v>260</v>
      </c>
      <c r="AI13">
        <v>37.5</v>
      </c>
      <c r="AJ13" t="s">
        <v>261</v>
      </c>
      <c r="AK13">
        <v>7</v>
      </c>
      <c r="AL13">
        <v>3</v>
      </c>
      <c r="AM13" t="s">
        <v>269</v>
      </c>
      <c r="AN13">
        <v>38.9</v>
      </c>
      <c r="AO13" t="s">
        <v>270</v>
      </c>
      <c r="AP13">
        <v>4.7</v>
      </c>
      <c r="AQ13">
        <v>32.9</v>
      </c>
      <c r="AS13" t="s">
        <v>265</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26.703442307692306</v>
      </c>
      <c r="L14" t="s">
        <v>271</v>
      </c>
      <c r="M14">
        <f>COUNTIF('Watchlist Ratings'!AN4:AN71,"&gt;=8")</f>
        <v>3</v>
      </c>
      <c r="O14" t="str">
        <f ca="1">'Watchlist Ratings'!B10</f>
        <v>RAA</v>
      </c>
      <c r="P14" s="37">
        <f>'Watchlist Ratings'!AN10</f>
        <v>7.78</v>
      </c>
      <c r="Q14" s="23">
        <f ca="1">'Watchlist Ratings'!BM10</f>
        <v>0.12867081613737774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26.703442307692306</v>
      </c>
      <c r="AA14" t="str">
        <f ca="1">'Watchlist Ratings'!B10</f>
        <v>RAA</v>
      </c>
      <c r="AB14">
        <f ca="1">'Watchlist Ratings'!BL10</f>
        <v>-6.165003828172777E-2</v>
      </c>
      <c r="AC14">
        <f ca="1">'Watchlist Ratings'!BM10</f>
        <v>0.12867081613737774</v>
      </c>
      <c r="AE14" t="s">
        <v>272</v>
      </c>
      <c r="AF14">
        <v>37.142857142857103</v>
      </c>
      <c r="AH14" t="s">
        <v>272</v>
      </c>
      <c r="AI14">
        <v>37.1</v>
      </c>
      <c r="AJ14" t="s">
        <v>266</v>
      </c>
      <c r="AK14">
        <v>7</v>
      </c>
      <c r="AL14">
        <v>2</v>
      </c>
      <c r="AM14" t="s">
        <v>263</v>
      </c>
      <c r="AN14">
        <v>38.5</v>
      </c>
      <c r="AO14" t="s">
        <v>273</v>
      </c>
      <c r="AP14">
        <v>-4.2</v>
      </c>
      <c r="AQ14">
        <v>13.7</v>
      </c>
      <c r="AS14" t="s">
        <v>256</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26.567517268951192</v>
      </c>
      <c r="L15" t="s">
        <v>274</v>
      </c>
      <c r="M15">
        <f>COUNTIFS('Watchlist Ratings'!AN4:AN71,"&gt;=7",'Watchlist Ratings'!AN4:AN71,"&lt;8")</f>
        <v>18</v>
      </c>
      <c r="O15" t="str">
        <f ca="1">'Watchlist Ratings'!B11</f>
        <v>ZS</v>
      </c>
      <c r="P15" s="37">
        <f>'Watchlist Ratings'!AN11</f>
        <v>7.22</v>
      </c>
      <c r="Q15" s="23">
        <f ca="1">'Watchlist Ratings'!BM11</f>
        <v>0.25943228470250812</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26.567517268951192</v>
      </c>
      <c r="AA15" t="str">
        <f ca="1">'Watchlist Ratings'!B11</f>
        <v>ZS</v>
      </c>
      <c r="AB15">
        <f ca="1">'Watchlist Ratings'!BL11</f>
        <v>-2.430135078832063E-2</v>
      </c>
      <c r="AC15">
        <f ca="1">'Watchlist Ratings'!BM11</f>
        <v>0.25943228470250812</v>
      </c>
      <c r="AE15" t="s">
        <v>273</v>
      </c>
      <c r="AF15">
        <v>36.1111111111111</v>
      </c>
      <c r="AH15" t="s">
        <v>273</v>
      </c>
      <c r="AI15">
        <v>36.1</v>
      </c>
      <c r="AJ15" t="s">
        <v>265</v>
      </c>
      <c r="AK15">
        <v>7</v>
      </c>
      <c r="AL15">
        <v>2</v>
      </c>
      <c r="AM15" t="s">
        <v>275</v>
      </c>
      <c r="AN15">
        <v>37.700000000000003</v>
      </c>
      <c r="AO15" t="s">
        <v>265</v>
      </c>
      <c r="AP15">
        <v>-8</v>
      </c>
      <c r="AQ15">
        <v>13.5</v>
      </c>
      <c r="AS15" t="s">
        <v>276</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38.113987330439414</v>
      </c>
      <c r="L16" t="s">
        <v>277</v>
      </c>
      <c r="M16">
        <f>COUNTIFS('Watchlist Ratings'!AN4:AN71,"&gt;=6",'Watchlist Ratings'!AN4:AN71,"&lt;7")</f>
        <v>16</v>
      </c>
      <c r="O16" t="str">
        <f ca="1">'Watchlist Ratings'!B12</f>
        <v>NTO</v>
      </c>
      <c r="P16" s="37">
        <f>'Watchlist Ratings'!AN12</f>
        <v>7.76</v>
      </c>
      <c r="Q16" s="23">
        <f ca="1">'Watchlist Ratings'!BM12</f>
        <v>1.423921438264375E-2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38.113987330439414</v>
      </c>
      <c r="AA16" t="str">
        <f ca="1">'Watchlist Ratings'!B12</f>
        <v>NTO</v>
      </c>
      <c r="AB16">
        <f ca="1">'Watchlist Ratings'!BL12</f>
        <v>-0.13183171301735208</v>
      </c>
      <c r="AC16">
        <f ca="1">'Watchlist Ratings'!BM12</f>
        <v>1.423921438264375E-2</v>
      </c>
      <c r="AE16" t="s">
        <v>254</v>
      </c>
      <c r="AF16">
        <v>32.142857142857103</v>
      </c>
      <c r="AH16" t="s">
        <v>254</v>
      </c>
      <c r="AI16">
        <v>32.1</v>
      </c>
      <c r="AJ16" t="s">
        <v>276</v>
      </c>
      <c r="AK16">
        <v>7</v>
      </c>
      <c r="AL16">
        <v>3</v>
      </c>
      <c r="AM16" t="s">
        <v>265</v>
      </c>
      <c r="AN16">
        <v>29.6</v>
      </c>
      <c r="AO16" t="s">
        <v>263</v>
      </c>
      <c r="AP16">
        <v>-7.9</v>
      </c>
      <c r="AQ16">
        <v>12.3</v>
      </c>
      <c r="AS16" t="s">
        <v>251</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37.233401377131045</v>
      </c>
      <c r="L17" t="s">
        <v>278</v>
      </c>
      <c r="M17">
        <f>COUNTIF('Watchlist Ratings'!AN4:AN71,"&lt;6")</f>
        <v>31</v>
      </c>
      <c r="O17" t="str">
        <f ca="1">'Watchlist Ratings'!B13</f>
        <v>AMZN</v>
      </c>
      <c r="P17" s="37">
        <f>'Watchlist Ratings'!AN13</f>
        <v>7.81</v>
      </c>
      <c r="Q17" s="23">
        <f ca="1">'Watchlist Ratings'!BM13</f>
        <v>0.11256640658534334</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37.233401377131045</v>
      </c>
      <c r="AA17" t="str">
        <f ca="1">'Watchlist Ratings'!B13</f>
        <v>AMZN</v>
      </c>
      <c r="AB17">
        <f ca="1">'Watchlist Ratings'!BL13</f>
        <v>-6.1009353645609887E-2</v>
      </c>
      <c r="AC17">
        <f ca="1">'Watchlist Ratings'!BM13</f>
        <v>0.11256640658534334</v>
      </c>
      <c r="AS17" t="s">
        <v>275</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0.13238863589079727</v>
      </c>
      <c r="J18" s="50">
        <f ca="1">'Watchlist Ratings'!AW14</f>
        <v>30.323395819870765</v>
      </c>
      <c r="O18" t="str">
        <f ca="1">'Watchlist Ratings'!B14</f>
        <v>SU</v>
      </c>
      <c r="P18" s="37">
        <f>'Watchlist Ratings'!AN14</f>
        <v>7.79</v>
      </c>
      <c r="Q18" s="23">
        <f ca="1">'Watchlist Ratings'!BM14</f>
        <v>9.4174490275463096E-2</v>
      </c>
      <c r="V18" t="str">
        <f ca="1">'Watchlist Ratings'!B14</f>
        <v>SU</v>
      </c>
      <c r="W18" s="38">
        <f>'Watchlist Ratings'!K14</f>
        <v>7</v>
      </c>
      <c r="X18" s="38">
        <f>'Watchlist Ratings'!L14</f>
        <v>3</v>
      </c>
      <c r="Y18" t="str">
        <f ca="1">'Watchlist Ratings'!B14</f>
        <v>SU</v>
      </c>
      <c r="Z18">
        <f ca="1">'Watchlist Ratings'!AW14</f>
        <v>30.323395819870765</v>
      </c>
      <c r="AA18" t="str">
        <f ca="1">'Watchlist Ratings'!B14</f>
        <v>SU</v>
      </c>
      <c r="AB18">
        <f ca="1">'Watchlist Ratings'!BL14</f>
        <v>-6.5815112928822916E-2</v>
      </c>
      <c r="AC18">
        <f ca="1">'Watchlist Ratings'!BM14</f>
        <v>9.4174490275463096E-2</v>
      </c>
      <c r="AS18" t="s">
        <v>273</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0.26337260125712858</v>
      </c>
      <c r="J19" s="44">
        <f ca="1">'Watchlist Ratings'!AW15</f>
        <v>25.124783886363637</v>
      </c>
      <c r="O19" t="str">
        <f ca="1">'Watchlist Ratings'!B15</f>
        <v>ITX</v>
      </c>
      <c r="P19" s="37">
        <f>'Watchlist Ratings'!AN15</f>
        <v>7.77</v>
      </c>
      <c r="Q19" s="23">
        <f ca="1">'Watchlist Ratings'!BM15</f>
        <v>0.10741088468091919</v>
      </c>
      <c r="V19" t="str">
        <f ca="1">'Watchlist Ratings'!B15</f>
        <v>ITX</v>
      </c>
      <c r="W19" s="38">
        <f>'Watchlist Ratings'!K15</f>
        <v>6.5</v>
      </c>
      <c r="X19" s="38">
        <f>'Watchlist Ratings'!L15</f>
        <v>2</v>
      </c>
      <c r="Y19" t="str">
        <f ca="1">'Watchlist Ratings'!B15</f>
        <v>ITX</v>
      </c>
      <c r="Z19">
        <f ca="1">'Watchlist Ratings'!AW15</f>
        <v>25.124783886363637</v>
      </c>
      <c r="AA19" t="str">
        <f ca="1">'Watchlist Ratings'!B15</f>
        <v>ITX</v>
      </c>
      <c r="AB19">
        <f ca="1">'Watchlist Ratings'!BL15</f>
        <v>-4.8314012051720368E-2</v>
      </c>
      <c r="AC19">
        <f ca="1">'Watchlist Ratings'!BM15</f>
        <v>0.10741088468091919</v>
      </c>
      <c r="AS19" t="s">
        <v>258</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82.192338648443439</v>
      </c>
      <c r="O20" t="str">
        <f ca="1">'Watchlist Ratings'!B16</f>
        <v>LOTB</v>
      </c>
      <c r="P20" s="37">
        <f>'Watchlist Ratings'!AN16</f>
        <v>7.84</v>
      </c>
      <c r="Q20" s="23">
        <f ca="1">'Watchlist Ratings'!BM16</f>
        <v>-0.11087272348127619</v>
      </c>
      <c r="V20" t="str">
        <f ca="1">'Watchlist Ratings'!B16</f>
        <v>LOTB</v>
      </c>
      <c r="W20" s="38">
        <f>'Watchlist Ratings'!K16</f>
        <v>7</v>
      </c>
      <c r="X20" s="38">
        <f>'Watchlist Ratings'!L16</f>
        <v>3</v>
      </c>
      <c r="Y20" t="str">
        <f ca="1">'Watchlist Ratings'!B16</f>
        <v>LOTB</v>
      </c>
      <c r="Z20">
        <f ca="1">'Watchlist Ratings'!AW16</f>
        <v>82.192338648443439</v>
      </c>
      <c r="AA20" t="str">
        <f ca="1">'Watchlist Ratings'!B16</f>
        <v>LOTB</v>
      </c>
      <c r="AB20">
        <f ca="1">'Watchlist Ratings'!BL16</f>
        <v>-0.24399019156889146</v>
      </c>
      <c r="AC20">
        <f ca="1">'Watchlist Ratings'!BM16</f>
        <v>-0.11087272348127619</v>
      </c>
      <c r="AS20" t="s">
        <v>264</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34.690289819999997</v>
      </c>
      <c r="O21" t="str">
        <f ca="1">'Watchlist Ratings'!B17</f>
        <v>HLMA</v>
      </c>
      <c r="P21" s="37">
        <f>'Watchlist Ratings'!AN17</f>
        <v>7.82</v>
      </c>
      <c r="Q21" s="23">
        <f ca="1">'Watchlist Ratings'!BM17</f>
        <v>8.4171531047791737E-2</v>
      </c>
      <c r="V21" t="str">
        <f ca="1">'Watchlist Ratings'!B17</f>
        <v>HLMA</v>
      </c>
      <c r="W21" s="38">
        <f>'Watchlist Ratings'!K17</f>
        <v>6</v>
      </c>
      <c r="X21" s="38">
        <f>'Watchlist Ratings'!L17</f>
        <v>3</v>
      </c>
      <c r="Y21" t="str">
        <f ca="1">'Watchlist Ratings'!B17</f>
        <v>HLMA</v>
      </c>
      <c r="Z21">
        <f ca="1">'Watchlist Ratings'!AW17</f>
        <v>34.690289819999997</v>
      </c>
      <c r="AA21" t="str">
        <f ca="1">'Watchlist Ratings'!B17</f>
        <v>HLMA</v>
      </c>
      <c r="AB21">
        <f ca="1">'Watchlist Ratings'!BL17</f>
        <v>-8.1025685978894257E-2</v>
      </c>
      <c r="AC21">
        <f ca="1">'Watchlist Ratings'!BM17</f>
        <v>8.4171531047791737E-2</v>
      </c>
      <c r="AS21" t="s">
        <v>263</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36.660750743561643</v>
      </c>
      <c r="O22" t="str">
        <f ca="1">'Watchlist Ratings'!B18</f>
        <v>FICO</v>
      </c>
      <c r="P22" s="37">
        <f>'Watchlist Ratings'!AN18</f>
        <v>7.19</v>
      </c>
      <c r="Q22" s="23">
        <f ca="1">'Watchlist Ratings'!BM18</f>
        <v>0.10909212414512681</v>
      </c>
      <c r="V22" t="str">
        <f ca="1">'Watchlist Ratings'!B18</f>
        <v>FICO</v>
      </c>
      <c r="W22" s="38">
        <f>'Watchlist Ratings'!K18</f>
        <v>8</v>
      </c>
      <c r="X22" s="38">
        <f>'Watchlist Ratings'!L18</f>
        <v>2</v>
      </c>
      <c r="Y22" t="str">
        <f ca="1">'Watchlist Ratings'!B18</f>
        <v>FICO</v>
      </c>
      <c r="Z22">
        <f ca="1">'Watchlist Ratings'!AW18</f>
        <v>36.660750743561643</v>
      </c>
      <c r="AA22" t="str">
        <f ca="1">'Watchlist Ratings'!B18</f>
        <v>FICO</v>
      </c>
      <c r="AB22">
        <f ca="1">'Watchlist Ratings'!BL18</f>
        <v>-6.9714333956378272E-2</v>
      </c>
      <c r="AC22">
        <f ca="1">'Watchlist Ratings'!BM18</f>
        <v>0.10909212414512681</v>
      </c>
    </row>
    <row r="23" spans="1:47" ht="15" customHeight="1" x14ac:dyDescent="0.35">
      <c r="O23" t="str">
        <f ca="1">'Watchlist Ratings'!B19</f>
        <v>LIFCO B</v>
      </c>
      <c r="P23" s="37">
        <f>'Watchlist Ratings'!AN19</f>
        <v>7.94</v>
      </c>
      <c r="Q23" s="23">
        <f ca="1">'Watchlist Ratings'!BM19</f>
        <v>9.0265399313141259E-2</v>
      </c>
    </row>
    <row r="24" spans="1:47" ht="30" customHeight="1" x14ac:dyDescent="0.4">
      <c r="A24" s="146" t="s">
        <v>279</v>
      </c>
      <c r="B24" s="102"/>
      <c r="C24" s="102"/>
      <c r="D24" s="102"/>
      <c r="E24" s="102"/>
      <c r="F24" s="102"/>
      <c r="G24" s="102"/>
      <c r="H24" s="102"/>
      <c r="I24" s="102"/>
      <c r="J24" s="102"/>
      <c r="K24" s="102"/>
      <c r="L24" s="102"/>
      <c r="M24" s="102"/>
      <c r="N24" s="102"/>
      <c r="O24" s="102"/>
      <c r="P24" s="102"/>
      <c r="Q24" s="102"/>
      <c r="R24" s="102"/>
    </row>
    <row r="25" spans="1:47" ht="4.5" customHeight="1" x14ac:dyDescent="0.35">
      <c r="O25" t="str">
        <f ca="1">'Watchlist Ratings'!B21</f>
        <v>MNST</v>
      </c>
      <c r="P25" s="37">
        <f>'Watchlist Ratings'!AN21</f>
        <v>7.58</v>
      </c>
      <c r="Q25">
        <f ca="1">'Watchlist Ratings'!BM21</f>
        <v>9.8849409169941005E-3</v>
      </c>
    </row>
    <row r="26" spans="1:47" ht="19.5" customHeight="1" x14ac:dyDescent="0.35">
      <c r="O26" t="str">
        <f ca="1">'Watchlist Ratings'!B22</f>
        <v>ABNB</v>
      </c>
      <c r="P26" s="37">
        <f>'Watchlist Ratings'!AN22</f>
        <v>7.26</v>
      </c>
      <c r="Q26">
        <f ca="1">'Watchlist Ratings'!BM22</f>
        <v>0.1657315857896311</v>
      </c>
    </row>
    <row r="27" spans="1:47" ht="19.5" customHeight="1" x14ac:dyDescent="0.35">
      <c r="O27" t="str">
        <f ca="1">'Watchlist Ratings'!B23</f>
        <v>DNP</v>
      </c>
      <c r="P27" s="37">
        <f>'Watchlist Ratings'!AN23</f>
        <v>7.48</v>
      </c>
      <c r="Q27">
        <f ca="1">'Watchlist Ratings'!BM23</f>
        <v>0.13746109747208712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5"/>
      <c r="M40" s="102"/>
      <c r="N40" s="102"/>
      <c r="O40" s="102"/>
      <c r="P40" s="102"/>
      <c r="Q40" s="102"/>
      <c r="R40" s="102"/>
    </row>
    <row r="41" spans="2:18" ht="19.5" customHeight="1" x14ac:dyDescent="0.35">
      <c r="L41" s="57"/>
      <c r="M41" s="57"/>
      <c r="N41" s="57"/>
      <c r="O41" s="57"/>
      <c r="P41" s="57"/>
      <c r="Q41" s="57"/>
    </row>
    <row r="42" spans="2:18" ht="19.5" customHeight="1" x14ac:dyDescent="0.35">
      <c r="J42" s="119"/>
      <c r="K42" s="102"/>
      <c r="L42" s="102"/>
      <c r="M42" s="102"/>
      <c r="N42" s="102"/>
      <c r="O42" s="102"/>
      <c r="P42" s="102"/>
      <c r="Q42" s="102"/>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9" t="s">
        <v>280</v>
      </c>
      <c r="B62" s="102"/>
      <c r="C62" s="102"/>
      <c r="D62" s="102"/>
      <c r="E62" s="102"/>
      <c r="F62" s="102"/>
      <c r="G62" s="102"/>
      <c r="H62" s="102"/>
      <c r="J62" s="154" t="s">
        <v>281</v>
      </c>
      <c r="K62" s="102"/>
      <c r="L62" s="102"/>
      <c r="M62" s="102"/>
      <c r="N62" s="102"/>
      <c r="O62" s="102"/>
      <c r="P62" s="102"/>
      <c r="Q62" s="102"/>
    </row>
    <row r="63" spans="1:17" ht="4.5" customHeight="1" x14ac:dyDescent="0.35">
      <c r="A63" s="61" t="s">
        <v>234</v>
      </c>
      <c r="B63" s="61" t="s">
        <v>282</v>
      </c>
      <c r="C63" s="61" t="s">
        <v>283</v>
      </c>
      <c r="D63" s="61" t="s">
        <v>284</v>
      </c>
      <c r="E63" s="61" t="s">
        <v>248</v>
      </c>
      <c r="F63" s="61" t="s">
        <v>247</v>
      </c>
      <c r="G63" s="61" t="s">
        <v>285</v>
      </c>
      <c r="H63" s="61" t="s">
        <v>286</v>
      </c>
      <c r="J63" s="62" t="s">
        <v>234</v>
      </c>
      <c r="K63" s="62" t="s">
        <v>287</v>
      </c>
      <c r="L63" s="62" t="s">
        <v>288</v>
      </c>
      <c r="M63" s="62" t="s">
        <v>289</v>
      </c>
      <c r="N63" s="62" t="s">
        <v>290</v>
      </c>
      <c r="O63" s="62" t="s">
        <v>236</v>
      </c>
      <c r="P63" s="62" t="s">
        <v>291</v>
      </c>
      <c r="Q63" s="62" t="s">
        <v>292</v>
      </c>
    </row>
    <row r="64" spans="1:17" ht="4.5" customHeight="1" x14ac:dyDescent="0.35">
      <c r="A64" s="63" t="str">
        <f ca="1">'Watchlist Ratings'!B4</f>
        <v>VEEV</v>
      </c>
      <c r="B64" s="64">
        <f ca="1">'Watchlist Ratings'!G4</f>
        <v>245.75</v>
      </c>
      <c r="C64" s="64">
        <f ca="1">'Watchlist Ratings'!BJ4</f>
        <v>210.28260322217045</v>
      </c>
      <c r="D64" s="64">
        <f ca="1">'Watchlist Ratings'!BK4</f>
        <v>651.6304458232504</v>
      </c>
      <c r="E64" s="65">
        <f ca="1">'Watchlist Ratings'!BL4</f>
        <v>-3.0691628302968677E-2</v>
      </c>
      <c r="F64" s="65">
        <f ca="1">'Watchlist Ratings'!BM4</f>
        <v>0.21535056770391781</v>
      </c>
      <c r="G64" s="65">
        <f t="shared" ref="G64:G71" ca="1" si="0">F64-E64</f>
        <v>0.24604219600688648</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491.01499999999999</v>
      </c>
      <c r="C65" s="64">
        <f ca="1">'Watchlist Ratings'!BJ5</f>
        <v>395.4657873597157</v>
      </c>
      <c r="D65" s="64">
        <f ca="1">'Watchlist Ratings'!BK5</f>
        <v>893.74571159423317</v>
      </c>
      <c r="E65" s="65">
        <f ca="1">'Watchlist Ratings'!BL5</f>
        <v>-4.2358779191663531E-2</v>
      </c>
      <c r="F65" s="65">
        <f ca="1">'Watchlist Ratings'!BM5</f>
        <v>0.12725933974662795</v>
      </c>
      <c r="G65" s="65">
        <f t="shared" ca="1" si="0"/>
        <v>0.16961811893829148</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1079</v>
      </c>
      <c r="C66" s="64">
        <f ca="1">'Watchlist Ratings'!BJ6</f>
        <v>729.87401979891774</v>
      </c>
      <c r="D66" s="64">
        <f ca="1">'Watchlist Ratings'!BK6</f>
        <v>2829.85965903442</v>
      </c>
      <c r="E66" s="65">
        <f ca="1">'Watchlist Ratings'!BL6</f>
        <v>-7.5205385336348685E-2</v>
      </c>
      <c r="F66" s="65">
        <f ca="1">'Watchlist Ratings'!BM6</f>
        <v>0.21268691268480011</v>
      </c>
      <c r="G66" s="65">
        <f t="shared" ca="1" si="0"/>
        <v>0.2878922980211488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42.12</v>
      </c>
      <c r="C67" s="64">
        <f ca="1">'Watchlist Ratings'!BJ7</f>
        <v>45.66736611995114</v>
      </c>
      <c r="D67" s="64">
        <f ca="1">'Watchlist Ratings'!BK7</f>
        <v>113.25229463500978</v>
      </c>
      <c r="E67" s="65">
        <f ca="1">'Watchlist Ratings'!BL7</f>
        <v>1.6303731954826928E-2</v>
      </c>
      <c r="F67" s="65">
        <f ca="1">'Watchlist Ratings'!BM7</f>
        <v>0.21874186412022789</v>
      </c>
      <c r="G67" s="65">
        <f t="shared" ca="1" si="0"/>
        <v>0.20243813216540096</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961.36</v>
      </c>
      <c r="C68" s="64">
        <f ca="1">'Watchlist Ratings'!BJ8</f>
        <v>745.02772173100504</v>
      </c>
      <c r="D68" s="64">
        <f ca="1">'Watchlist Ratings'!BK8</f>
        <v>1445.8278501700645</v>
      </c>
      <c r="E68" s="65">
        <f ca="1">'Watchlist Ratings'!BL8</f>
        <v>-4.9707554230484341E-2</v>
      </c>
      <c r="F68" s="65">
        <f ca="1">'Watchlist Ratings'!BM8</f>
        <v>8.5040896509370301E-2</v>
      </c>
      <c r="G68" s="65">
        <f t="shared" ca="1" si="0"/>
        <v>0.13474845073985464</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77.48</v>
      </c>
      <c r="C69" s="64">
        <f ca="1">'Watchlist Ratings'!BJ9</f>
        <v>64.129191910771823</v>
      </c>
      <c r="D69" s="64">
        <f ca="1">'Watchlist Ratings'!BK9</f>
        <v>190.31994663158585</v>
      </c>
      <c r="E69" s="65">
        <f ca="1">'Watchlist Ratings'!BL9</f>
        <v>-3.7117638736870018E-2</v>
      </c>
      <c r="F69" s="65">
        <f ca="1">'Watchlist Ratings'!BM9</f>
        <v>0.19690295456465767</v>
      </c>
      <c r="G69" s="65">
        <f t="shared" ca="1" si="0"/>
        <v>0.23402059330152769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633.5</v>
      </c>
      <c r="C70" s="64">
        <f ca="1">'Watchlist Ratings'!BJ10</f>
        <v>460.86191732629732</v>
      </c>
      <c r="D70" s="64">
        <f ca="1">'Watchlist Ratings'!BK10</f>
        <v>1160.3342128408092</v>
      </c>
      <c r="E70" s="65">
        <f ca="1">'Watchlist Ratings'!BL10</f>
        <v>-6.165003828172777E-2</v>
      </c>
      <c r="F70" s="65">
        <f ca="1">'Watchlist Ratings'!BM10</f>
        <v>0.12867081613737774</v>
      </c>
      <c r="G70" s="65">
        <f t="shared" ca="1" si="0"/>
        <v>0.19032085441910551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168.54</v>
      </c>
      <c r="C71" s="64">
        <f ca="1">'Watchlist Ratings'!BJ11</f>
        <v>149.03267897062327</v>
      </c>
      <c r="D71" s="64">
        <f ca="1">'Watchlist Ratings'!BK11</f>
        <v>534.04407285904665</v>
      </c>
      <c r="E71" s="65">
        <f ca="1">'Watchlist Ratings'!BL11</f>
        <v>-2.430135078832063E-2</v>
      </c>
      <c r="F71" s="65">
        <f ca="1">'Watchlist Ratings'!BM11</f>
        <v>0.25943228470250812</v>
      </c>
      <c r="G71" s="65">
        <f t="shared" ca="1" si="0"/>
        <v>0.28373363549082875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5" t="str">
        <f ca="1">'Watchlist Ratings'!B12</f>
        <v>NTO</v>
      </c>
      <c r="B72" s="113"/>
      <c r="C72" s="113"/>
      <c r="D72" s="113"/>
      <c r="E72" s="113"/>
      <c r="F72" s="113"/>
      <c r="G72" s="113"/>
      <c r="H72" s="113"/>
      <c r="I72" s="114"/>
      <c r="J72" s="112" t="str">
        <f ca="1">'Watchlist Ratings'!B12</f>
        <v>NTO</v>
      </c>
      <c r="K72" s="113"/>
      <c r="L72" s="113"/>
      <c r="M72" s="113"/>
      <c r="N72" s="113"/>
      <c r="O72" s="113"/>
      <c r="P72" s="113"/>
      <c r="Q72" s="114"/>
    </row>
    <row r="73" spans="1:17" ht="19.5" customHeight="1" x14ac:dyDescent="0.35">
      <c r="A73" s="68" t="str">
        <f ca="1">'Watchlist Ratings'!B13</f>
        <v>AMZN</v>
      </c>
      <c r="B73" s="69">
        <f ca="1">'Watchlist Ratings'!G13</f>
        <v>260.75</v>
      </c>
      <c r="C73" s="69">
        <f ca="1">'Watchlist Ratings'!BJ13</f>
        <v>190.34025537927243</v>
      </c>
      <c r="D73" s="69">
        <f ca="1">'Watchlist Ratings'!BK13</f>
        <v>444.48184782376921</v>
      </c>
      <c r="E73" s="70">
        <f ca="1">'Watchlist Ratings'!BL13</f>
        <v>-6.1009353645609887E-2</v>
      </c>
      <c r="F73" s="70">
        <f ca="1">'Watchlist Ratings'!BM13</f>
        <v>0.11256640658534334</v>
      </c>
      <c r="G73" s="70">
        <f ca="1">F73-E73</f>
        <v>0.17357576023095322</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250</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0.21535056770391781</v>
      </c>
      <c r="G74" s="77">
        <f ca="1">F74-E74</f>
        <v>-210.06725265446653</v>
      </c>
      <c r="H74" s="75" t="str">
        <f ca="1">IF(E74&gt;0,"🟢 BUY",IF(E74&gt;-0.05,"🟡 HOLD","🔴 PASS"))</f>
        <v>🟢 BUY</v>
      </c>
      <c r="J74" s="78" t="s">
        <v>250</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39920.440974999998</v>
      </c>
      <c r="P74" s="78">
        <f ca="1">VLOOKUP(J74,'Watchlist Ratings'!$B$4:$BM$71,9,FALSE())</f>
        <v>1.5</v>
      </c>
      <c r="Q74" s="78" t="str">
        <f ca="1">IF(K74&gt;=8.5,"🟢 ALTO",IF(K74&gt;=7.5,"🟡 MEDIO","🔴 BAJO"))</f>
        <v>🔴 BAJO</v>
      </c>
    </row>
    <row r="75" spans="1:17" ht="19.5" customHeight="1" x14ac:dyDescent="0.35">
      <c r="A75" s="79" t="s">
        <v>254</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0.12725933974662795</v>
      </c>
      <c r="G75" s="81">
        <f ca="1">F75-E75</f>
        <v>-395.33852801996909</v>
      </c>
      <c r="H75" s="79" t="str">
        <f ca="1">IF(E75&gt;0,"🟢 BUY",IF(E75&gt;-0.05,"🟡 HOLD","🔴 PASS"))</f>
        <v>🟢 BUY</v>
      </c>
      <c r="J75" s="79" t="s">
        <v>254</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3646053.9781749998</v>
      </c>
      <c r="P75" s="79">
        <f ca="1">VLOOKUP(J75,'Watchlist Ratings'!$B$4:$BM$71,9,FALSE())</f>
        <v>1</v>
      </c>
      <c r="Q75" s="79" t="str">
        <f ca="1">IF(K75&gt;=8.5,"🟢 ALTO",IF(K75&gt;=7.5,"🟡 MEDIO","🔴 BAJO"))</f>
        <v>🔴 BAJO</v>
      </c>
    </row>
    <row r="76" spans="1:17" ht="19.5" customHeight="1" x14ac:dyDescent="0.45">
      <c r="A76" s="165" t="s">
        <v>293</v>
      </c>
      <c r="B76" s="102"/>
      <c r="C76" s="102"/>
      <c r="D76" s="102"/>
      <c r="E76" s="102"/>
      <c r="F76" s="102"/>
      <c r="G76" s="102"/>
      <c r="H76" s="102"/>
      <c r="I76" s="102"/>
      <c r="J76" s="102"/>
      <c r="K76" s="102"/>
      <c r="L76" s="102"/>
      <c r="M76" s="102"/>
      <c r="N76" s="102"/>
      <c r="O76" s="102"/>
      <c r="P76" s="102"/>
      <c r="Q76" s="102"/>
    </row>
    <row r="77" spans="1:17" ht="19.5" customHeight="1" x14ac:dyDescent="0.35">
      <c r="A77" s="79" t="s">
        <v>261</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0.21874186412022789</v>
      </c>
      <c r="G77" s="81">
        <f ca="1">F77-E77</f>
        <v>-45.448624255830914</v>
      </c>
      <c r="H77" s="79" t="str">
        <f ca="1">IF(E77&gt;0,"🟢 BUY",IF(E77&gt;-0.05,"🟡 HOLD","🔴 PASS"))</f>
        <v>🟢 BUY</v>
      </c>
      <c r="J77" s="79" t="s">
        <v>261</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103274.65979999999</v>
      </c>
      <c r="P77" s="79">
        <f ca="1">VLOOKUP(J77,'Watchlist Ratings'!$B$4:$BM$71,9,FALSE())</f>
        <v>1</v>
      </c>
      <c r="Q77" s="79" t="str">
        <f ca="1">IF(K77&gt;=8.5,"🟢 ALTO",IF(K77&gt;=7.5,"🟡 MEDIO","🔴 BAJO"))</f>
        <v>🔴 BAJO</v>
      </c>
    </row>
    <row r="78" spans="1:17" ht="19.5" customHeight="1" x14ac:dyDescent="0.35">
      <c r="A78" s="132" t="s">
        <v>294</v>
      </c>
      <c r="B78" s="121"/>
      <c r="C78" s="171" t="s">
        <v>295</v>
      </c>
      <c r="D78" s="121"/>
      <c r="E78" s="161" t="s">
        <v>296</v>
      </c>
      <c r="F78" s="121"/>
      <c r="G78" s="161" t="s">
        <v>297</v>
      </c>
      <c r="H78" s="121"/>
      <c r="I78" s="168" t="s">
        <v>298</v>
      </c>
      <c r="J78" s="102"/>
      <c r="K78" s="132" t="s">
        <v>299</v>
      </c>
      <c r="L78" s="121"/>
      <c r="M78" s="132" t="s">
        <v>300</v>
      </c>
      <c r="N78" s="121"/>
      <c r="O78" s="132" t="s">
        <v>301</v>
      </c>
      <c r="P78" s="121"/>
      <c r="Q78" s="82" t="str">
        <f>IF(K78&gt;=8.5,"🟢 ALTO",IF(K78&gt;=7.5,"🟡 MEDIO","🔴 BAJO"))</f>
        <v>🟢 ALTO</v>
      </c>
    </row>
    <row r="79" spans="1:17" ht="19.5" customHeight="1" x14ac:dyDescent="0.35">
      <c r="A79" s="120" t="str">
        <f ca="1">INDEX('Watchlist Ratings'!B:B,MATCH(MAX('Watchlist Ratings'!AN:AN),'Watchlist Ratings'!AN:AN,0))</f>
        <v>CSU</v>
      </c>
      <c r="B79" s="121"/>
      <c r="C79" s="122" t="str">
        <f ca="1">INDEX('Watchlist Ratings'!B:B,MATCH(MAX('Watchlist Ratings'!BM:BM),'Watchlist Ratings'!BM:BM,0))</f>
        <v>KSPI</v>
      </c>
      <c r="D79" s="121"/>
      <c r="E79" s="123" t="str">
        <f ca="1">INDEX('Watchlist Ratings'!B:B,MATCH(MAX('Watchlist Ratings'!BC:BC),'Watchlist Ratings'!BC:BC,0))</f>
        <v>NVDA</v>
      </c>
      <c r="F79" s="121"/>
      <c r="G79" s="123" t="str">
        <f ca="1">INDEX('Watchlist Ratings'!B:B,MATCH(MAX('Watchlist Ratings'!K:K),'Watchlist Ratings'!K:K,0))</f>
        <v>VEEV</v>
      </c>
      <c r="H79" s="121"/>
      <c r="I79" s="153" t="str">
        <f ca="1">INDEX('Watchlist Ratings'!B:B,MATCH(MAX('Watchlist Ratings'!L:L),'Watchlist Ratings'!L:L,0))</f>
        <v>MSFT</v>
      </c>
      <c r="J79" s="102"/>
      <c r="K79" s="120" t="str">
        <f ca="1">INDEX('Watchlist Ratings'!B:B,MATCH(MAX('Watchlist Ratings'!AM:AM),'Watchlist Ratings'!AM:AM,0))</f>
        <v>DSGX</v>
      </c>
      <c r="L79" s="121"/>
      <c r="M79" s="120" t="str">
        <f t="array" aca="1" ref="M79" ca="1">INDEX('Watchlist Ratings'!B:B,MATCH(MIN('Watchlist Ratings'!AW4:AW64),'Watchlist Ratings'!AW4:AW64,0)+3)</f>
        <v>OTLY</v>
      </c>
      <c r="N79" s="121"/>
      <c r="O79" s="120"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35">
      <c r="A80" s="159">
        <f>MAX('Watchlist Ratings'!AN:AN)</f>
        <v>8.4499999999999993</v>
      </c>
      <c r="B80" s="121"/>
      <c r="C80" s="160">
        <f ca="1">MAX('Watchlist Ratings'!BM:BM)</f>
        <v>0.34705971061379648</v>
      </c>
      <c r="D80" s="121"/>
      <c r="E80" s="163">
        <f>MAX('Watchlist Ratings'!BC:BC)</f>
        <v>0.63420845122686575</v>
      </c>
      <c r="F80" s="121"/>
      <c r="G80" s="163" t="str">
        <f>MAX('Watchlist Ratings'!K:K)&amp;"/8"</f>
        <v>8/8</v>
      </c>
      <c r="H80" s="121"/>
      <c r="I80" s="125" t="str">
        <f>MAX('Watchlist Ratings'!L:L)&amp;"/3"</f>
        <v>3/3</v>
      </c>
      <c r="J80" s="102"/>
      <c r="K80" s="126">
        <f>MAX('Watchlist Ratings'!AM:AM)</f>
        <v>8.7100000000000009</v>
      </c>
      <c r="L80" s="121"/>
      <c r="M80" s="126" t="str">
        <f ca="1">MIN('Watchlist Ratings'!AW4:AW64)&amp;"x"</f>
        <v>-45.7275547716895x</v>
      </c>
      <c r="N80" s="121"/>
      <c r="O80" s="126" t="str">
        <f t="array" aca="1" ref="O80" ca="1">TEXT(MAX('Watchlist Ratings'!BM4:BM64-'Watchlist Ratings'!BL4:BL64),"0.0%")</f>
        <v>120.6%</v>
      </c>
      <c r="P80" s="121"/>
      <c r="Q80" s="82" t="str">
        <f>IF(K80&gt;=8.5,"🟢 ALTO",IF(K80&gt;=7.5,"🟡 MEDIO","🔴 BAJO"))</f>
        <v>🟢 ALTO</v>
      </c>
    </row>
    <row r="81" spans="1:17" ht="19.5" customHeight="1" x14ac:dyDescent="0.35">
      <c r="A81" s="79" t="s">
        <v>256</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0.25943228470250812</v>
      </c>
      <c r="G81" s="81">
        <f ca="1">F81-E81</f>
        <v>-148.77324668592075</v>
      </c>
      <c r="H81" s="79" t="str">
        <f ca="1">IF(E81&gt;0,"🟢 BUY",IF(E81&gt;-0.05,"🟡 HOLD","🔴 PASS"))</f>
        <v>🟢 BUY</v>
      </c>
      <c r="J81" s="79" t="s">
        <v>256</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27254.519129999997</v>
      </c>
      <c r="P81" s="79">
        <f ca="1">VLOOKUP(J81,'Watchlist Ratings'!$B$4:$BM$71,9,FALSE())</f>
        <v>1</v>
      </c>
      <c r="Q81" s="79" t="str">
        <f ca="1">IF(K81&gt;=8.5,"🟢 ALTO",IF(K81&gt;=7.5,"🟡 MEDIO","🔴 BAJO"))</f>
        <v>🔴 BAJO</v>
      </c>
    </row>
    <row r="82" spans="1:17" ht="19.5" customHeight="1" x14ac:dyDescent="0.35">
      <c r="A82" s="127" t="s">
        <v>302</v>
      </c>
      <c r="B82" s="102"/>
      <c r="C82" s="102"/>
      <c r="D82" s="102"/>
      <c r="E82" s="102"/>
      <c r="F82" s="102"/>
      <c r="G82" s="102"/>
      <c r="H82" s="102"/>
      <c r="I82" s="102"/>
      <c r="J82" s="102"/>
      <c r="K82" s="102"/>
      <c r="L82" s="102"/>
      <c r="M82" s="102"/>
      <c r="N82" s="102"/>
      <c r="O82" s="102"/>
      <c r="P82" s="102"/>
      <c r="Q82" s="102"/>
    </row>
    <row r="83" spans="1:17" ht="19.5" customHeight="1" x14ac:dyDescent="0.35">
      <c r="A83" s="83" t="s">
        <v>251</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0.11256640658534334</v>
      </c>
      <c r="G83" s="85">
        <f ca="1">F83-E83</f>
        <v>-190.2276889726871</v>
      </c>
      <c r="H83" s="83" t="str">
        <f ca="1">IF(E83&gt;0,"🟢 BUY",IF(E83&gt;-0.05,"🟡 HOLD","🔴 PASS"))</f>
        <v>🟢 BUY</v>
      </c>
      <c r="J83" s="83" t="s">
        <v>251</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2812530.3325</v>
      </c>
      <c r="P83" s="83">
        <f ca="1">VLOOKUP(J83,'Watchlist Ratings'!$B$4:$BM$71,9,FALSE())</f>
        <v>1.5</v>
      </c>
      <c r="Q83" s="83" t="str">
        <f ca="1">IF(K83&gt;=8.5,"🟢 ALTO",IF(K83&gt;=7.5,"🟡 MEDIO","🔴 BAJO"))</f>
        <v>🔴 BAJO</v>
      </c>
    </row>
    <row r="84" spans="1:17" ht="19.5" customHeight="1" x14ac:dyDescent="0.35"/>
    <row r="85" spans="1:17" ht="27.75" customHeight="1" x14ac:dyDescent="0.35">
      <c r="A85" s="152" t="s">
        <v>293</v>
      </c>
      <c r="B85" s="102"/>
      <c r="C85" s="102"/>
      <c r="D85" s="102"/>
      <c r="E85" s="102"/>
      <c r="F85" s="102"/>
      <c r="G85" s="102"/>
      <c r="H85" s="102"/>
      <c r="I85" s="102"/>
      <c r="J85" s="102"/>
      <c r="K85" s="102"/>
      <c r="L85" s="102"/>
      <c r="M85" s="102"/>
      <c r="N85" s="102"/>
      <c r="O85" s="102"/>
      <c r="P85" s="102"/>
      <c r="Q85" s="102"/>
    </row>
    <row r="86" spans="1:17" ht="19.5" customHeight="1" x14ac:dyDescent="0.35"/>
    <row r="87" spans="1:17" ht="19.5" customHeight="1" x14ac:dyDescent="0.35">
      <c r="A87" s="128" t="s">
        <v>294</v>
      </c>
      <c r="B87" s="102"/>
      <c r="C87" s="173" t="s">
        <v>295</v>
      </c>
      <c r="D87" s="102"/>
      <c r="E87" s="124" t="s">
        <v>296</v>
      </c>
      <c r="F87" s="102"/>
      <c r="G87" s="150" t="s">
        <v>297</v>
      </c>
      <c r="H87" s="102"/>
      <c r="I87" s="151" t="s">
        <v>298</v>
      </c>
      <c r="J87" s="102"/>
      <c r="K87" s="172" t="s">
        <v>299</v>
      </c>
      <c r="L87" s="102"/>
      <c r="M87" s="148" t="s">
        <v>300</v>
      </c>
      <c r="N87" s="102"/>
      <c r="O87" s="155" t="s">
        <v>301</v>
      </c>
      <c r="P87" s="102"/>
    </row>
    <row r="88" spans="1:17" ht="19.5" customHeight="1" x14ac:dyDescent="0.45">
      <c r="A88" s="118" t="str">
        <f ca="1">INDEX('Watchlist Ratings'!B$4:B$71,MATCH(MAX('Watchlist Ratings'!AN$4:AN$71),'Watchlist Ratings'!AN$4:AN$71,0))</f>
        <v>CSU</v>
      </c>
      <c r="B88" s="102"/>
      <c r="C88" s="156" t="str">
        <f ca="1">INDEX('Watchlist Ratings'!B$4:B$71,MATCH(MAX('Watchlist Ratings'!BM$4:BM$71),'Watchlist Ratings'!BM$4:BM$71,0))</f>
        <v>KSPI</v>
      </c>
      <c r="D88" s="102"/>
      <c r="E88" s="118" t="str">
        <f ca="1">INDEX('Watchlist Ratings'!B$4:B$71,MATCH(MAX('Watchlist Ratings'!BC$4:BC$71),'Watchlist Ratings'!BC$4:BC$71,0))</f>
        <v>NVDA</v>
      </c>
      <c r="F88" s="102"/>
      <c r="G88" s="118" t="str">
        <f ca="1">INDEX('Watchlist Ratings'!B$4:B$71,MATCH(MAX('Watchlist Ratings'!K$4:K$71),'Watchlist Ratings'!K$4:K$71,0))</f>
        <v>VEEV</v>
      </c>
      <c r="H88" s="102"/>
      <c r="I88" s="118" t="str">
        <f ca="1">INDEX('Watchlist Ratings'!B$4:B$71,MATCH(MAX('Watchlist Ratings'!L$4:L$71),'Watchlist Ratings'!L$4:L$71,0))</f>
        <v>MSFT</v>
      </c>
      <c r="J88" s="102"/>
      <c r="K88" s="118" t="str">
        <f ca="1">INDEX('Watchlist Ratings'!B$4:B$71,MATCH(MAX('Watchlist Ratings'!AM$4:AM$71),'Watchlist Ratings'!AM$4:AM$71,0))</f>
        <v>DSGX</v>
      </c>
      <c r="L88" s="102"/>
      <c r="M88" s="118" t="str">
        <f t="array" aca="1" ref="M88" ca="1">INDEX('Watchlist Ratings'!B$4:B$64,MATCH(MIN(IF('Watchlist Ratings'!AW$4:AW$64&gt;0,'Watchlist Ratings'!AW$4:AW$64)),IF('Watchlist Ratings'!AW$4:AW$64&gt;0,'Watchlist Ratings'!AW$4:AW$64),0))</f>
        <v>KSPI</v>
      </c>
      <c r="N88" s="102"/>
      <c r="O88" s="118" t="str">
        <f t="array" aca="1" ref="O88" ca="1">INDEX('Watchlist Ratings'!B$4:B$64,MATCH(MAX('Watchlist Ratings'!BM$4:BM$64-'Watchlist Ratings'!BL$4:BL$64),'Watchlist Ratings'!BM$4:BM$64-'Watchlist Ratings'!BL$4:BL$64,0))</f>
        <v>OTLY</v>
      </c>
      <c r="P88" s="102"/>
    </row>
    <row r="89" spans="1:17" ht="19.5" customHeight="1" x14ac:dyDescent="0.35">
      <c r="A89" s="147">
        <f>MAX('Watchlist Ratings'!AN$4:AN$71)</f>
        <v>8.4499999999999993</v>
      </c>
      <c r="B89" s="102"/>
      <c r="C89" s="117">
        <f ca="1">MAX('Watchlist Ratings'!BM$4:BM$64)</f>
        <v>0.34705971061379648</v>
      </c>
      <c r="D89" s="102"/>
      <c r="E89" s="117">
        <f>MAX('Watchlist Ratings'!BC$4:BC$71)</f>
        <v>0.63420845122686575</v>
      </c>
      <c r="F89" s="102"/>
      <c r="G89" s="111" t="str">
        <f>MAX('Watchlist Ratings'!K$4:K$71)&amp;"/8"</f>
        <v>8/8</v>
      </c>
      <c r="H89" s="102"/>
      <c r="I89" s="111" t="str">
        <f>MAX('Watchlist Ratings'!L$4:L$71)&amp;"/3"</f>
        <v>3/3</v>
      </c>
      <c r="J89" s="102"/>
      <c r="K89" s="116">
        <f>MAX('Watchlist Ratings'!AM$4:AM$71)</f>
        <v>8.7100000000000009</v>
      </c>
      <c r="L89" s="102"/>
      <c r="M89" s="111" t="str">
        <f t="array" aca="1" ref="M89" ca="1">MIN(IF('Watchlist Ratings'!AW$4:AW$64&gt;0,'Watchlist Ratings'!AW$4:AW$64))&amp;"x"</f>
        <v>9.17979049616966x</v>
      </c>
      <c r="N89" s="102"/>
      <c r="O89" s="111">
        <f t="array" aca="1" ref="O89" ca="1">MAX('Watchlist Ratings'!BM$4:BM$64-'Watchlist Ratings'!BL$4:BL$64)</f>
        <v>1.2056577915819566</v>
      </c>
      <c r="P89" s="102"/>
    </row>
    <row r="90" spans="1:17" ht="19.5" customHeight="1" x14ac:dyDescent="0.35"/>
    <row r="91" spans="1:17" ht="19.5" customHeight="1" x14ac:dyDescent="0.35">
      <c r="A91" s="167" t="s">
        <v>302</v>
      </c>
      <c r="B91" s="102"/>
      <c r="C91" s="102"/>
      <c r="D91" s="102"/>
      <c r="E91" s="102"/>
      <c r="F91" s="102"/>
      <c r="G91" s="102"/>
      <c r="H91" s="102"/>
      <c r="I91" s="102"/>
      <c r="J91" s="102"/>
      <c r="K91" s="102"/>
      <c r="L91" s="102"/>
      <c r="M91" s="102"/>
      <c r="N91" s="102"/>
      <c r="O91" s="102"/>
      <c r="P91" s="102"/>
      <c r="Q91" s="102"/>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28"/>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234</v>
      </c>
      <c r="B1" t="s">
        <v>303</v>
      </c>
      <c r="C1" t="s">
        <v>304</v>
      </c>
      <c r="D1" t="s">
        <v>305</v>
      </c>
      <c r="E1" t="s">
        <v>306</v>
      </c>
    </row>
    <row r="2" spans="1:5" x14ac:dyDescent="0.35">
      <c r="A2" t="s">
        <v>307</v>
      </c>
      <c r="B2" t="s">
        <v>111</v>
      </c>
      <c r="C2" t="s">
        <v>308</v>
      </c>
      <c r="D2" t="s">
        <v>309</v>
      </c>
      <c r="E2" t="s">
        <v>310</v>
      </c>
    </row>
    <row r="3" spans="1:5" x14ac:dyDescent="0.35">
      <c r="A3" t="s">
        <v>272</v>
      </c>
      <c r="B3" t="s">
        <v>111</v>
      </c>
      <c r="C3" t="s">
        <v>311</v>
      </c>
      <c r="D3" t="s">
        <v>312</v>
      </c>
      <c r="E3" t="s">
        <v>313</v>
      </c>
    </row>
    <row r="4" spans="1:5" x14ac:dyDescent="0.35">
      <c r="A4" t="s">
        <v>314</v>
      </c>
      <c r="B4" t="s">
        <v>111</v>
      </c>
      <c r="C4" t="s">
        <v>315</v>
      </c>
      <c r="D4" t="s">
        <v>316</v>
      </c>
      <c r="E4" t="s">
        <v>317</v>
      </c>
    </row>
    <row r="5" spans="1:5" x14ac:dyDescent="0.35">
      <c r="A5" t="s">
        <v>318</v>
      </c>
      <c r="B5" t="s">
        <v>111</v>
      </c>
      <c r="C5" t="s">
        <v>319</v>
      </c>
      <c r="D5" t="s">
        <v>320</v>
      </c>
      <c r="E5" t="s">
        <v>321</v>
      </c>
    </row>
    <row r="6" spans="1:5" x14ac:dyDescent="0.35">
      <c r="A6" t="s">
        <v>168</v>
      </c>
      <c r="B6" t="s">
        <v>169</v>
      </c>
      <c r="C6" t="s">
        <v>322</v>
      </c>
      <c r="D6" t="s">
        <v>323</v>
      </c>
      <c r="E6" t="s">
        <v>324</v>
      </c>
    </row>
    <row r="7" spans="1:5" x14ac:dyDescent="0.35">
      <c r="A7" t="s">
        <v>249</v>
      </c>
      <c r="B7" t="s">
        <v>91</v>
      </c>
      <c r="C7" t="s">
        <v>325</v>
      </c>
      <c r="D7" t="s">
        <v>326</v>
      </c>
      <c r="E7" t="s">
        <v>327</v>
      </c>
    </row>
    <row r="8" spans="1:5" x14ac:dyDescent="0.35">
      <c r="A8" t="s">
        <v>328</v>
      </c>
      <c r="B8" t="s">
        <v>91</v>
      </c>
      <c r="C8" t="s">
        <v>325</v>
      </c>
      <c r="D8" t="s">
        <v>329</v>
      </c>
      <c r="E8" t="s">
        <v>330</v>
      </c>
    </row>
    <row r="9" spans="1:5" x14ac:dyDescent="0.35">
      <c r="A9" t="s">
        <v>250</v>
      </c>
      <c r="B9" t="s">
        <v>91</v>
      </c>
      <c r="C9" t="s">
        <v>325</v>
      </c>
      <c r="D9" t="s">
        <v>331</v>
      </c>
      <c r="E9" t="s">
        <v>332</v>
      </c>
    </row>
    <row r="10" spans="1:5" x14ac:dyDescent="0.35">
      <c r="A10" t="s">
        <v>255</v>
      </c>
      <c r="B10" t="s">
        <v>91</v>
      </c>
      <c r="C10" t="s">
        <v>325</v>
      </c>
      <c r="D10" t="s">
        <v>333</v>
      </c>
      <c r="E10" t="s">
        <v>334</v>
      </c>
    </row>
    <row r="11" spans="1:5" x14ac:dyDescent="0.35">
      <c r="A11" t="s">
        <v>256</v>
      </c>
      <c r="B11" t="s">
        <v>91</v>
      </c>
      <c r="C11" t="s">
        <v>325</v>
      </c>
      <c r="D11" t="s">
        <v>333</v>
      </c>
      <c r="E11" t="s">
        <v>335</v>
      </c>
    </row>
    <row r="12" spans="1:5" x14ac:dyDescent="0.35">
      <c r="A12" t="s">
        <v>336</v>
      </c>
      <c r="B12" t="s">
        <v>91</v>
      </c>
      <c r="C12" t="s">
        <v>325</v>
      </c>
      <c r="D12" t="s">
        <v>337</v>
      </c>
      <c r="E12" t="s">
        <v>338</v>
      </c>
    </row>
    <row r="13" spans="1:5" x14ac:dyDescent="0.35">
      <c r="A13" t="s">
        <v>273</v>
      </c>
      <c r="B13" t="s">
        <v>91</v>
      </c>
      <c r="C13" t="s">
        <v>325</v>
      </c>
      <c r="D13" t="s">
        <v>339</v>
      </c>
      <c r="E13" t="s">
        <v>340</v>
      </c>
    </row>
    <row r="14" spans="1:5" x14ac:dyDescent="0.35">
      <c r="A14" t="s">
        <v>341</v>
      </c>
      <c r="B14" t="s">
        <v>91</v>
      </c>
      <c r="C14" t="s">
        <v>325</v>
      </c>
      <c r="D14" t="s">
        <v>342</v>
      </c>
      <c r="E14" t="s">
        <v>343</v>
      </c>
    </row>
    <row r="15" spans="1:5" x14ac:dyDescent="0.35">
      <c r="A15" t="s">
        <v>261</v>
      </c>
      <c r="B15" t="s">
        <v>91</v>
      </c>
      <c r="C15" t="s">
        <v>325</v>
      </c>
      <c r="D15" t="s">
        <v>344</v>
      </c>
      <c r="E15" t="s">
        <v>345</v>
      </c>
    </row>
    <row r="16" spans="1:5" x14ac:dyDescent="0.35">
      <c r="A16" t="s">
        <v>346</v>
      </c>
      <c r="B16" t="s">
        <v>91</v>
      </c>
      <c r="C16" t="s">
        <v>325</v>
      </c>
      <c r="D16" t="s">
        <v>347</v>
      </c>
      <c r="E16" t="s">
        <v>348</v>
      </c>
    </row>
    <row r="17" spans="1:5" x14ac:dyDescent="0.35">
      <c r="A17" t="s">
        <v>270</v>
      </c>
      <c r="B17" t="s">
        <v>91</v>
      </c>
      <c r="C17" t="s">
        <v>325</v>
      </c>
      <c r="D17" t="s">
        <v>349</v>
      </c>
      <c r="E17" t="s">
        <v>350</v>
      </c>
    </row>
    <row r="18" spans="1:5" x14ac:dyDescent="0.35">
      <c r="A18" t="s">
        <v>266</v>
      </c>
      <c r="B18" t="s">
        <v>91</v>
      </c>
      <c r="C18" t="s">
        <v>325</v>
      </c>
      <c r="D18" t="s">
        <v>351</v>
      </c>
      <c r="E18" t="s">
        <v>352</v>
      </c>
    </row>
    <row r="19" spans="1:5" x14ac:dyDescent="0.35">
      <c r="A19" t="s">
        <v>353</v>
      </c>
      <c r="B19" t="s">
        <v>91</v>
      </c>
      <c r="C19" t="s">
        <v>354</v>
      </c>
      <c r="D19" t="s">
        <v>355</v>
      </c>
      <c r="E19" t="s">
        <v>356</v>
      </c>
    </row>
    <row r="20" spans="1:5" x14ac:dyDescent="0.35">
      <c r="A20" t="s">
        <v>357</v>
      </c>
      <c r="B20" t="s">
        <v>91</v>
      </c>
      <c r="C20" t="s">
        <v>325</v>
      </c>
      <c r="D20" t="s">
        <v>358</v>
      </c>
      <c r="E20" t="s">
        <v>359</v>
      </c>
    </row>
    <row r="21" spans="1:5" x14ac:dyDescent="0.35">
      <c r="A21" t="s">
        <v>254</v>
      </c>
      <c r="B21" t="s">
        <v>97</v>
      </c>
      <c r="C21" t="s">
        <v>325</v>
      </c>
      <c r="D21" t="s">
        <v>360</v>
      </c>
      <c r="E21" t="s">
        <v>361</v>
      </c>
    </row>
    <row r="22" spans="1:5" x14ac:dyDescent="0.35">
      <c r="A22" t="s">
        <v>265</v>
      </c>
      <c r="B22" t="s">
        <v>97</v>
      </c>
      <c r="C22" t="s">
        <v>325</v>
      </c>
      <c r="D22" t="s">
        <v>360</v>
      </c>
      <c r="E22" t="s">
        <v>362</v>
      </c>
    </row>
    <row r="23" spans="1:5" x14ac:dyDescent="0.35">
      <c r="A23" t="s">
        <v>276</v>
      </c>
      <c r="B23" t="s">
        <v>97</v>
      </c>
      <c r="C23" t="s">
        <v>325</v>
      </c>
      <c r="D23" t="s">
        <v>360</v>
      </c>
      <c r="E23" t="s">
        <v>363</v>
      </c>
    </row>
    <row r="24" spans="1:5" x14ac:dyDescent="0.35">
      <c r="A24" t="s">
        <v>251</v>
      </c>
      <c r="B24" t="s">
        <v>97</v>
      </c>
      <c r="C24" t="s">
        <v>325</v>
      </c>
      <c r="D24" t="s">
        <v>360</v>
      </c>
      <c r="E24" t="s">
        <v>364</v>
      </c>
    </row>
    <row r="25" spans="1:5" x14ac:dyDescent="0.35">
      <c r="A25" t="s">
        <v>264</v>
      </c>
      <c r="B25" t="s">
        <v>97</v>
      </c>
      <c r="C25" t="s">
        <v>325</v>
      </c>
      <c r="D25" t="s">
        <v>365</v>
      </c>
      <c r="E25" t="s">
        <v>366</v>
      </c>
    </row>
    <row r="26" spans="1:5" x14ac:dyDescent="0.35">
      <c r="A26" t="s">
        <v>263</v>
      </c>
      <c r="B26" t="s">
        <v>97</v>
      </c>
      <c r="C26" t="s">
        <v>325</v>
      </c>
      <c r="D26" t="s">
        <v>360</v>
      </c>
      <c r="E26" t="s">
        <v>367</v>
      </c>
    </row>
    <row r="27" spans="1:5" x14ac:dyDescent="0.35">
      <c r="A27" t="s">
        <v>257</v>
      </c>
      <c r="B27" t="s">
        <v>97</v>
      </c>
      <c r="C27" t="s">
        <v>325</v>
      </c>
      <c r="D27" t="s">
        <v>360</v>
      </c>
      <c r="E27" t="s">
        <v>368</v>
      </c>
    </row>
    <row r="28" spans="1:5" x14ac:dyDescent="0.35">
      <c r="A28" t="s">
        <v>260</v>
      </c>
      <c r="B28" t="s">
        <v>97</v>
      </c>
      <c r="C28" t="s">
        <v>325</v>
      </c>
      <c r="D28" t="s">
        <v>360</v>
      </c>
      <c r="E28" t="s">
        <v>368</v>
      </c>
    </row>
    <row r="29" spans="1:5" x14ac:dyDescent="0.35">
      <c r="A29" t="s">
        <v>369</v>
      </c>
      <c r="B29" t="s">
        <v>97</v>
      </c>
      <c r="C29" t="s">
        <v>325</v>
      </c>
      <c r="D29" t="s">
        <v>360</v>
      </c>
      <c r="E29" t="s">
        <v>367</v>
      </c>
    </row>
    <row r="30" spans="1:5" x14ac:dyDescent="0.35">
      <c r="A30" t="s">
        <v>370</v>
      </c>
      <c r="B30" t="s">
        <v>97</v>
      </c>
      <c r="C30" t="s">
        <v>325</v>
      </c>
      <c r="D30" t="s">
        <v>360</v>
      </c>
      <c r="E30" t="s">
        <v>368</v>
      </c>
    </row>
    <row r="31" spans="1:5" x14ac:dyDescent="0.35">
      <c r="A31" t="s">
        <v>371</v>
      </c>
      <c r="B31" t="s">
        <v>97</v>
      </c>
      <c r="C31" t="s">
        <v>325</v>
      </c>
      <c r="D31" t="s">
        <v>360</v>
      </c>
      <c r="E31" t="s">
        <v>361</v>
      </c>
    </row>
    <row r="32" spans="1:5" x14ac:dyDescent="0.35">
      <c r="A32" t="s">
        <v>372</v>
      </c>
      <c r="B32" t="s">
        <v>97</v>
      </c>
      <c r="C32" t="s">
        <v>325</v>
      </c>
      <c r="D32" t="s">
        <v>360</v>
      </c>
      <c r="E32" t="s">
        <v>361</v>
      </c>
    </row>
    <row r="33" spans="1:5" x14ac:dyDescent="0.35">
      <c r="A33" t="s">
        <v>373</v>
      </c>
      <c r="B33" t="s">
        <v>97</v>
      </c>
      <c r="C33" t="s">
        <v>325</v>
      </c>
      <c r="D33" t="s">
        <v>360</v>
      </c>
      <c r="E33" t="s">
        <v>374</v>
      </c>
    </row>
    <row r="34" spans="1:5" x14ac:dyDescent="0.35">
      <c r="A34" t="s">
        <v>375</v>
      </c>
      <c r="B34" t="s">
        <v>97</v>
      </c>
      <c r="C34" t="s">
        <v>325</v>
      </c>
      <c r="D34" t="s">
        <v>360</v>
      </c>
      <c r="E34" t="s">
        <v>368</v>
      </c>
    </row>
    <row r="35" spans="1:5" x14ac:dyDescent="0.35">
      <c r="A35" t="s">
        <v>376</v>
      </c>
      <c r="B35" t="s">
        <v>97</v>
      </c>
      <c r="C35" t="s">
        <v>325</v>
      </c>
      <c r="D35" t="s">
        <v>360</v>
      </c>
      <c r="E35" t="s">
        <v>377</v>
      </c>
    </row>
    <row r="36" spans="1:5" x14ac:dyDescent="0.35">
      <c r="A36" t="s">
        <v>378</v>
      </c>
      <c r="B36" t="s">
        <v>97</v>
      </c>
      <c r="C36" t="s">
        <v>325</v>
      </c>
      <c r="D36" t="s">
        <v>360</v>
      </c>
      <c r="E36" t="s">
        <v>361</v>
      </c>
    </row>
    <row r="37" spans="1:5" x14ac:dyDescent="0.35">
      <c r="A37" t="s">
        <v>379</v>
      </c>
      <c r="B37" t="s">
        <v>97</v>
      </c>
      <c r="C37" t="s">
        <v>325</v>
      </c>
      <c r="D37" t="s">
        <v>360</v>
      </c>
      <c r="E37" t="s">
        <v>374</v>
      </c>
    </row>
    <row r="38" spans="1:5" x14ac:dyDescent="0.35">
      <c r="A38" t="s">
        <v>380</v>
      </c>
      <c r="B38" t="s">
        <v>97</v>
      </c>
      <c r="C38" t="s">
        <v>325</v>
      </c>
      <c r="D38" t="s">
        <v>360</v>
      </c>
      <c r="E38" t="s">
        <v>367</v>
      </c>
    </row>
    <row r="39" spans="1:5" x14ac:dyDescent="0.35">
      <c r="A39" t="s">
        <v>381</v>
      </c>
      <c r="B39" t="s">
        <v>97</v>
      </c>
      <c r="C39" t="s">
        <v>325</v>
      </c>
      <c r="D39" t="s">
        <v>360</v>
      </c>
      <c r="E39" t="s">
        <v>382</v>
      </c>
    </row>
    <row r="40" spans="1:5" x14ac:dyDescent="0.35">
      <c r="A40" t="s">
        <v>383</v>
      </c>
      <c r="B40" t="s">
        <v>97</v>
      </c>
      <c r="C40" t="s">
        <v>325</v>
      </c>
      <c r="D40" t="s">
        <v>360</v>
      </c>
      <c r="E40" t="s">
        <v>362</v>
      </c>
    </row>
    <row r="41" spans="1:5" x14ac:dyDescent="0.35">
      <c r="A41" t="s">
        <v>253</v>
      </c>
      <c r="B41" t="s">
        <v>97</v>
      </c>
      <c r="C41" t="s">
        <v>325</v>
      </c>
      <c r="D41" t="s">
        <v>360</v>
      </c>
      <c r="E41" t="s">
        <v>382</v>
      </c>
    </row>
    <row r="42" spans="1:5" x14ac:dyDescent="0.35">
      <c r="A42" t="s">
        <v>384</v>
      </c>
      <c r="B42" t="s">
        <v>97</v>
      </c>
      <c r="C42" t="s">
        <v>325</v>
      </c>
      <c r="D42" t="s">
        <v>360</v>
      </c>
      <c r="E42" t="s">
        <v>361</v>
      </c>
    </row>
    <row r="43" spans="1:5" x14ac:dyDescent="0.35">
      <c r="A43" t="s">
        <v>385</v>
      </c>
      <c r="B43" t="s">
        <v>97</v>
      </c>
      <c r="C43" t="s">
        <v>325</v>
      </c>
      <c r="D43" t="s">
        <v>360</v>
      </c>
      <c r="E43" t="s">
        <v>374</v>
      </c>
    </row>
    <row r="44" spans="1:5" x14ac:dyDescent="0.35">
      <c r="A44" t="s">
        <v>386</v>
      </c>
      <c r="B44" t="s">
        <v>97</v>
      </c>
      <c r="C44" t="s">
        <v>325</v>
      </c>
      <c r="D44" t="s">
        <v>360</v>
      </c>
      <c r="E44" t="s">
        <v>374</v>
      </c>
    </row>
    <row r="45" spans="1:5" x14ac:dyDescent="0.35">
      <c r="A45" t="s">
        <v>387</v>
      </c>
      <c r="B45" t="s">
        <v>97</v>
      </c>
      <c r="C45" t="s">
        <v>325</v>
      </c>
      <c r="D45" t="s">
        <v>360</v>
      </c>
      <c r="E45" t="s">
        <v>368</v>
      </c>
    </row>
    <row r="46" spans="1:5" x14ac:dyDescent="0.35">
      <c r="A46" t="s">
        <v>388</v>
      </c>
      <c r="B46" t="s">
        <v>97</v>
      </c>
      <c r="C46" t="s">
        <v>325</v>
      </c>
      <c r="D46" t="s">
        <v>360</v>
      </c>
      <c r="E46" t="s">
        <v>374</v>
      </c>
    </row>
    <row r="47" spans="1:5" x14ac:dyDescent="0.35">
      <c r="A47" t="s">
        <v>389</v>
      </c>
      <c r="B47" t="s">
        <v>97</v>
      </c>
      <c r="C47" t="s">
        <v>325</v>
      </c>
      <c r="D47" t="s">
        <v>360</v>
      </c>
      <c r="E47" t="s">
        <v>361</v>
      </c>
    </row>
    <row r="48" spans="1:5" x14ac:dyDescent="0.35">
      <c r="A48" t="s">
        <v>262</v>
      </c>
      <c r="B48" t="s">
        <v>105</v>
      </c>
      <c r="C48" t="s">
        <v>390</v>
      </c>
      <c r="D48" t="s">
        <v>391</v>
      </c>
      <c r="E48" t="s">
        <v>392</v>
      </c>
    </row>
    <row r="49" spans="1:5" x14ac:dyDescent="0.35">
      <c r="A49" t="s">
        <v>307</v>
      </c>
      <c r="B49" t="s">
        <v>105</v>
      </c>
      <c r="C49" t="s">
        <v>390</v>
      </c>
      <c r="D49" t="s">
        <v>391</v>
      </c>
      <c r="E49" t="s">
        <v>393</v>
      </c>
    </row>
    <row r="50" spans="1:5" x14ac:dyDescent="0.35">
      <c r="A50" t="s">
        <v>394</v>
      </c>
      <c r="B50" t="s">
        <v>105</v>
      </c>
      <c r="C50" t="s">
        <v>390</v>
      </c>
      <c r="D50" t="s">
        <v>391</v>
      </c>
      <c r="E50" t="s">
        <v>395</v>
      </c>
    </row>
    <row r="51" spans="1:5" x14ac:dyDescent="0.35">
      <c r="A51" t="s">
        <v>269</v>
      </c>
      <c r="B51" t="s">
        <v>105</v>
      </c>
      <c r="C51" t="s">
        <v>390</v>
      </c>
      <c r="D51" t="s">
        <v>396</v>
      </c>
      <c r="E51" t="s">
        <v>397</v>
      </c>
    </row>
    <row r="52" spans="1:5" x14ac:dyDescent="0.35">
      <c r="A52" t="s">
        <v>398</v>
      </c>
      <c r="B52" t="s">
        <v>105</v>
      </c>
      <c r="C52" t="s">
        <v>390</v>
      </c>
      <c r="D52" t="s">
        <v>399</v>
      </c>
      <c r="E52" t="s">
        <v>400</v>
      </c>
    </row>
    <row r="53" spans="1:5" x14ac:dyDescent="0.35">
      <c r="A53" t="s">
        <v>272</v>
      </c>
      <c r="B53" t="s">
        <v>105</v>
      </c>
      <c r="C53" t="s">
        <v>390</v>
      </c>
      <c r="D53" t="s">
        <v>401</v>
      </c>
      <c r="E53" t="s">
        <v>402</v>
      </c>
    </row>
    <row r="54" spans="1:5" x14ac:dyDescent="0.35">
      <c r="A54" t="s">
        <v>353</v>
      </c>
      <c r="B54" t="s">
        <v>105</v>
      </c>
      <c r="C54" t="s">
        <v>390</v>
      </c>
      <c r="D54" t="s">
        <v>403</v>
      </c>
      <c r="E54" t="s">
        <v>404</v>
      </c>
    </row>
    <row r="55" spans="1:5" x14ac:dyDescent="0.35">
      <c r="A55" t="s">
        <v>405</v>
      </c>
      <c r="B55" t="s">
        <v>105</v>
      </c>
      <c r="C55" t="s">
        <v>390</v>
      </c>
      <c r="D55" t="s">
        <v>406</v>
      </c>
      <c r="E55" t="s">
        <v>407</v>
      </c>
    </row>
    <row r="56" spans="1:5" x14ac:dyDescent="0.35">
      <c r="A56" t="s">
        <v>318</v>
      </c>
      <c r="B56" t="s">
        <v>105</v>
      </c>
      <c r="C56" t="s">
        <v>390</v>
      </c>
      <c r="D56" t="s">
        <v>408</v>
      </c>
      <c r="E56" t="s">
        <v>409</v>
      </c>
    </row>
    <row r="57" spans="1:5" x14ac:dyDescent="0.35">
      <c r="A57" t="s">
        <v>387</v>
      </c>
      <c r="B57" t="s">
        <v>105</v>
      </c>
      <c r="C57" t="s">
        <v>410</v>
      </c>
      <c r="D57" t="s">
        <v>411</v>
      </c>
      <c r="E57" t="s">
        <v>412</v>
      </c>
    </row>
    <row r="58" spans="1:5" x14ac:dyDescent="0.35">
      <c r="A58" t="s">
        <v>254</v>
      </c>
      <c r="B58" t="s">
        <v>105</v>
      </c>
      <c r="C58" t="s">
        <v>261</v>
      </c>
      <c r="D58" t="s">
        <v>413</v>
      </c>
      <c r="E58" t="s">
        <v>414</v>
      </c>
    </row>
    <row r="59" spans="1:5" x14ac:dyDescent="0.35">
      <c r="A59" t="s">
        <v>372</v>
      </c>
      <c r="B59" t="s">
        <v>105</v>
      </c>
      <c r="C59" t="s">
        <v>261</v>
      </c>
      <c r="D59" t="s">
        <v>415</v>
      </c>
      <c r="E59" t="s">
        <v>416</v>
      </c>
    </row>
    <row r="60" spans="1:5" x14ac:dyDescent="0.35">
      <c r="A60" t="s">
        <v>251</v>
      </c>
      <c r="B60" t="s">
        <v>105</v>
      </c>
      <c r="C60" t="s">
        <v>261</v>
      </c>
      <c r="D60" t="s">
        <v>415</v>
      </c>
      <c r="E60" t="s">
        <v>417</v>
      </c>
    </row>
    <row r="61" spans="1:5" x14ac:dyDescent="0.35">
      <c r="A61" t="s">
        <v>376</v>
      </c>
      <c r="B61" t="s">
        <v>105</v>
      </c>
      <c r="C61" t="s">
        <v>261</v>
      </c>
      <c r="D61" t="s">
        <v>418</v>
      </c>
      <c r="E61" t="s">
        <v>419</v>
      </c>
    </row>
    <row r="62" spans="1:5" x14ac:dyDescent="0.35">
      <c r="A62" t="s">
        <v>373</v>
      </c>
      <c r="B62" t="s">
        <v>105</v>
      </c>
      <c r="C62" t="s">
        <v>261</v>
      </c>
      <c r="D62" t="s">
        <v>415</v>
      </c>
      <c r="E62" t="s">
        <v>420</v>
      </c>
    </row>
    <row r="63" spans="1:5" x14ac:dyDescent="0.35">
      <c r="A63" t="s">
        <v>261</v>
      </c>
      <c r="B63" t="s">
        <v>105</v>
      </c>
      <c r="C63" t="s">
        <v>261</v>
      </c>
      <c r="D63" t="s">
        <v>421</v>
      </c>
      <c r="E63" t="s">
        <v>422</v>
      </c>
    </row>
    <row r="64" spans="1:5" x14ac:dyDescent="0.35">
      <c r="A64" t="s">
        <v>379</v>
      </c>
      <c r="B64" t="s">
        <v>105</v>
      </c>
      <c r="C64" t="s">
        <v>261</v>
      </c>
      <c r="D64" t="s">
        <v>423</v>
      </c>
      <c r="E64" t="s">
        <v>424</v>
      </c>
    </row>
    <row r="65" spans="1:5" x14ac:dyDescent="0.35">
      <c r="A65" t="s">
        <v>275</v>
      </c>
      <c r="B65" t="s">
        <v>105</v>
      </c>
      <c r="C65" t="s">
        <v>261</v>
      </c>
      <c r="D65" t="s">
        <v>425</v>
      </c>
      <c r="E65" t="s">
        <v>426</v>
      </c>
    </row>
    <row r="66" spans="1:5" x14ac:dyDescent="0.35">
      <c r="A66" t="s">
        <v>427</v>
      </c>
      <c r="B66" t="s">
        <v>105</v>
      </c>
      <c r="C66" t="s">
        <v>261</v>
      </c>
      <c r="D66" t="s">
        <v>415</v>
      </c>
      <c r="E66" t="s">
        <v>428</v>
      </c>
    </row>
    <row r="67" spans="1:5" x14ac:dyDescent="0.35">
      <c r="A67" t="s">
        <v>370</v>
      </c>
      <c r="B67" t="s">
        <v>105</v>
      </c>
      <c r="C67" t="s">
        <v>261</v>
      </c>
      <c r="D67" t="s">
        <v>423</v>
      </c>
      <c r="E67" t="s">
        <v>429</v>
      </c>
    </row>
    <row r="68" spans="1:5" x14ac:dyDescent="0.35">
      <c r="A68" t="s">
        <v>381</v>
      </c>
      <c r="B68" t="s">
        <v>105</v>
      </c>
      <c r="C68" t="s">
        <v>261</v>
      </c>
      <c r="D68" t="s">
        <v>415</v>
      </c>
      <c r="E68" t="s">
        <v>430</v>
      </c>
    </row>
    <row r="69" spans="1:5" x14ac:dyDescent="0.35">
      <c r="A69" t="s">
        <v>259</v>
      </c>
      <c r="B69" t="s">
        <v>105</v>
      </c>
      <c r="C69" t="s">
        <v>261</v>
      </c>
      <c r="D69" t="s">
        <v>431</v>
      </c>
      <c r="E69" t="s">
        <v>432</v>
      </c>
    </row>
    <row r="70" spans="1:5" x14ac:dyDescent="0.35">
      <c r="A70" t="s">
        <v>371</v>
      </c>
      <c r="B70" t="s">
        <v>105</v>
      </c>
      <c r="C70" t="s">
        <v>410</v>
      </c>
      <c r="D70" t="s">
        <v>433</v>
      </c>
      <c r="E70" t="s">
        <v>434</v>
      </c>
    </row>
    <row r="71" spans="1:5" x14ac:dyDescent="0.35">
      <c r="A71" t="s">
        <v>263</v>
      </c>
      <c r="B71" t="s">
        <v>105</v>
      </c>
      <c r="C71" t="s">
        <v>261</v>
      </c>
      <c r="D71" t="s">
        <v>415</v>
      </c>
      <c r="E71" t="s">
        <v>435</v>
      </c>
    </row>
    <row r="72" spans="1:5" x14ac:dyDescent="0.35">
      <c r="A72" t="s">
        <v>375</v>
      </c>
      <c r="B72" t="s">
        <v>105</v>
      </c>
      <c r="C72" t="s">
        <v>261</v>
      </c>
      <c r="D72" t="s">
        <v>436</v>
      </c>
      <c r="E72" t="s">
        <v>437</v>
      </c>
    </row>
    <row r="73" spans="1:5" x14ac:dyDescent="0.35">
      <c r="A73" t="s">
        <v>253</v>
      </c>
      <c r="B73" t="s">
        <v>105</v>
      </c>
      <c r="C73" t="s">
        <v>261</v>
      </c>
      <c r="D73" t="s">
        <v>438</v>
      </c>
      <c r="E73" t="s">
        <v>439</v>
      </c>
    </row>
    <row r="74" spans="1:5" x14ac:dyDescent="0.35">
      <c r="A74" t="s">
        <v>260</v>
      </c>
      <c r="B74" t="s">
        <v>105</v>
      </c>
      <c r="C74" t="s">
        <v>261</v>
      </c>
      <c r="D74" t="s">
        <v>440</v>
      </c>
      <c r="E74" t="s">
        <v>441</v>
      </c>
    </row>
    <row r="75" spans="1:5" x14ac:dyDescent="0.35">
      <c r="A75" t="s">
        <v>257</v>
      </c>
      <c r="B75" t="s">
        <v>105</v>
      </c>
      <c r="C75" t="s">
        <v>261</v>
      </c>
      <c r="D75" t="s">
        <v>423</v>
      </c>
      <c r="E75" t="s">
        <v>442</v>
      </c>
    </row>
    <row r="76" spans="1:5" x14ac:dyDescent="0.35">
      <c r="A76" t="s">
        <v>385</v>
      </c>
      <c r="B76" t="s">
        <v>105</v>
      </c>
      <c r="C76" t="s">
        <v>261</v>
      </c>
      <c r="D76" t="s">
        <v>443</v>
      </c>
      <c r="E76" t="s">
        <v>444</v>
      </c>
    </row>
    <row r="77" spans="1:5" x14ac:dyDescent="0.35">
      <c r="A77" t="s">
        <v>386</v>
      </c>
      <c r="B77" t="s">
        <v>105</v>
      </c>
      <c r="C77" t="s">
        <v>261</v>
      </c>
      <c r="D77" t="s">
        <v>415</v>
      </c>
      <c r="E77" t="s">
        <v>445</v>
      </c>
    </row>
    <row r="78" spans="1:5" x14ac:dyDescent="0.35">
      <c r="A78" t="s">
        <v>388</v>
      </c>
      <c r="B78" t="s">
        <v>105</v>
      </c>
      <c r="C78" t="s">
        <v>261</v>
      </c>
      <c r="D78" t="s">
        <v>423</v>
      </c>
      <c r="E78" t="s">
        <v>446</v>
      </c>
    </row>
    <row r="79" spans="1:5" x14ac:dyDescent="0.35">
      <c r="A79" t="s">
        <v>249</v>
      </c>
      <c r="B79" t="s">
        <v>105</v>
      </c>
      <c r="C79" t="s">
        <v>261</v>
      </c>
      <c r="D79" t="s">
        <v>413</v>
      </c>
      <c r="E79" t="s">
        <v>447</v>
      </c>
    </row>
    <row r="80" spans="1:5" x14ac:dyDescent="0.35">
      <c r="A80" t="s">
        <v>314</v>
      </c>
      <c r="B80" t="s">
        <v>105</v>
      </c>
      <c r="C80" t="s">
        <v>261</v>
      </c>
      <c r="D80" t="s">
        <v>448</v>
      </c>
      <c r="E80" t="s">
        <v>449</v>
      </c>
    </row>
    <row r="81" spans="1:5" x14ac:dyDescent="0.35">
      <c r="A81" t="s">
        <v>384</v>
      </c>
      <c r="B81" t="s">
        <v>105</v>
      </c>
      <c r="C81" t="s">
        <v>410</v>
      </c>
      <c r="D81" t="s">
        <v>450</v>
      </c>
      <c r="E81" t="s">
        <v>451</v>
      </c>
    </row>
    <row r="82" spans="1:5" x14ac:dyDescent="0.35">
      <c r="A82" t="s">
        <v>389</v>
      </c>
      <c r="B82" t="s">
        <v>105</v>
      </c>
      <c r="C82" t="s">
        <v>410</v>
      </c>
      <c r="D82" t="s">
        <v>450</v>
      </c>
      <c r="E82" t="s">
        <v>452</v>
      </c>
    </row>
    <row r="83" spans="1:5" x14ac:dyDescent="0.35">
      <c r="A83" t="s">
        <v>453</v>
      </c>
      <c r="B83" t="s">
        <v>105</v>
      </c>
      <c r="C83" t="s">
        <v>454</v>
      </c>
      <c r="D83" t="s">
        <v>455</v>
      </c>
      <c r="E83" t="s">
        <v>456</v>
      </c>
    </row>
    <row r="84" spans="1:5" x14ac:dyDescent="0.35">
      <c r="A84" t="s">
        <v>379</v>
      </c>
      <c r="B84" t="s">
        <v>127</v>
      </c>
      <c r="C84" t="s">
        <v>457</v>
      </c>
      <c r="D84" t="s">
        <v>458</v>
      </c>
      <c r="E84" t="s">
        <v>459</v>
      </c>
    </row>
    <row r="85" spans="1:5" x14ac:dyDescent="0.35">
      <c r="A85" t="s">
        <v>460</v>
      </c>
      <c r="B85" t="s">
        <v>127</v>
      </c>
      <c r="C85" t="s">
        <v>457</v>
      </c>
      <c r="D85" t="s">
        <v>461</v>
      </c>
      <c r="E85" t="s">
        <v>462</v>
      </c>
    </row>
    <row r="86" spans="1:5" x14ac:dyDescent="0.35">
      <c r="A86" t="s">
        <v>369</v>
      </c>
      <c r="B86" t="s">
        <v>127</v>
      </c>
      <c r="C86" t="s">
        <v>457</v>
      </c>
      <c r="D86" t="s">
        <v>463</v>
      </c>
      <c r="E86" t="s">
        <v>464</v>
      </c>
    </row>
    <row r="87" spans="1:5" x14ac:dyDescent="0.35">
      <c r="A87" t="s">
        <v>376</v>
      </c>
      <c r="B87" t="s">
        <v>127</v>
      </c>
      <c r="C87" t="s">
        <v>457</v>
      </c>
      <c r="D87" t="s">
        <v>465</v>
      </c>
      <c r="E87" t="s">
        <v>466</v>
      </c>
    </row>
    <row r="88" spans="1:5" x14ac:dyDescent="0.35">
      <c r="A88" t="s">
        <v>378</v>
      </c>
      <c r="B88" t="s">
        <v>127</v>
      </c>
      <c r="C88" t="s">
        <v>457</v>
      </c>
      <c r="D88" t="s">
        <v>467</v>
      </c>
      <c r="E88" t="s">
        <v>468</v>
      </c>
    </row>
    <row r="89" spans="1:5" x14ac:dyDescent="0.35">
      <c r="A89" t="s">
        <v>469</v>
      </c>
      <c r="B89" t="s">
        <v>127</v>
      </c>
      <c r="C89" t="s">
        <v>457</v>
      </c>
      <c r="D89" t="s">
        <v>470</v>
      </c>
      <c r="E89" t="s">
        <v>471</v>
      </c>
    </row>
    <row r="90" spans="1:5" x14ac:dyDescent="0.35">
      <c r="A90" t="s">
        <v>384</v>
      </c>
      <c r="B90" t="s">
        <v>127</v>
      </c>
      <c r="C90" t="s">
        <v>457</v>
      </c>
      <c r="D90" t="s">
        <v>472</v>
      </c>
      <c r="E90" t="s">
        <v>473</v>
      </c>
    </row>
    <row r="91" spans="1:5" x14ac:dyDescent="0.35">
      <c r="A91" t="s">
        <v>474</v>
      </c>
      <c r="B91" t="s">
        <v>127</v>
      </c>
      <c r="C91" t="s">
        <v>457</v>
      </c>
      <c r="D91" t="s">
        <v>475</v>
      </c>
      <c r="E91" t="s">
        <v>476</v>
      </c>
    </row>
    <row r="92" spans="1:5" x14ac:dyDescent="0.35">
      <c r="A92" t="s">
        <v>389</v>
      </c>
      <c r="B92" t="s">
        <v>127</v>
      </c>
      <c r="C92" t="s">
        <v>457</v>
      </c>
      <c r="D92" t="s">
        <v>477</v>
      </c>
      <c r="E92" t="s">
        <v>478</v>
      </c>
    </row>
    <row r="93" spans="1:5" x14ac:dyDescent="0.35">
      <c r="A93" t="s">
        <v>263</v>
      </c>
      <c r="B93" t="s">
        <v>127</v>
      </c>
      <c r="C93" t="s">
        <v>479</v>
      </c>
      <c r="D93" t="s">
        <v>480</v>
      </c>
      <c r="E93" t="s">
        <v>481</v>
      </c>
    </row>
    <row r="94" spans="1:5" x14ac:dyDescent="0.35">
      <c r="A94" t="s">
        <v>346</v>
      </c>
      <c r="B94" t="s">
        <v>127</v>
      </c>
      <c r="C94" t="s">
        <v>479</v>
      </c>
      <c r="D94" t="s">
        <v>482</v>
      </c>
      <c r="E94" t="s">
        <v>483</v>
      </c>
    </row>
    <row r="95" spans="1:5" x14ac:dyDescent="0.35">
      <c r="A95" t="s">
        <v>380</v>
      </c>
      <c r="B95" t="s">
        <v>127</v>
      </c>
      <c r="C95" t="s">
        <v>479</v>
      </c>
      <c r="D95" t="s">
        <v>484</v>
      </c>
      <c r="E95" t="s">
        <v>485</v>
      </c>
    </row>
    <row r="96" spans="1:5" x14ac:dyDescent="0.35">
      <c r="A96" t="s">
        <v>254</v>
      </c>
      <c r="B96" t="s">
        <v>83</v>
      </c>
      <c r="C96" t="s">
        <v>457</v>
      </c>
      <c r="D96" t="s">
        <v>486</v>
      </c>
      <c r="E96" t="s">
        <v>487</v>
      </c>
    </row>
    <row r="97" spans="1:5" x14ac:dyDescent="0.35">
      <c r="A97" t="s">
        <v>372</v>
      </c>
      <c r="B97" t="s">
        <v>83</v>
      </c>
      <c r="C97" t="s">
        <v>457</v>
      </c>
      <c r="D97" t="s">
        <v>488</v>
      </c>
      <c r="E97" t="s">
        <v>489</v>
      </c>
    </row>
    <row r="98" spans="1:5" x14ac:dyDescent="0.35">
      <c r="A98" t="s">
        <v>263</v>
      </c>
      <c r="B98" t="s">
        <v>83</v>
      </c>
      <c r="C98" t="s">
        <v>457</v>
      </c>
      <c r="D98" t="s">
        <v>490</v>
      </c>
      <c r="E98" t="s">
        <v>491</v>
      </c>
    </row>
    <row r="99" spans="1:5" x14ac:dyDescent="0.35">
      <c r="A99" t="s">
        <v>275</v>
      </c>
      <c r="B99" t="s">
        <v>83</v>
      </c>
      <c r="C99" t="s">
        <v>457</v>
      </c>
      <c r="D99" t="s">
        <v>492</v>
      </c>
      <c r="E99" t="s">
        <v>493</v>
      </c>
    </row>
    <row r="100" spans="1:5" x14ac:dyDescent="0.35">
      <c r="A100" t="s">
        <v>381</v>
      </c>
      <c r="B100" t="s">
        <v>83</v>
      </c>
      <c r="C100" t="s">
        <v>457</v>
      </c>
      <c r="D100" t="s">
        <v>494</v>
      </c>
      <c r="E100" t="s">
        <v>495</v>
      </c>
    </row>
    <row r="101" spans="1:5" x14ac:dyDescent="0.35">
      <c r="A101" t="s">
        <v>253</v>
      </c>
      <c r="B101" t="s">
        <v>83</v>
      </c>
      <c r="C101" t="s">
        <v>457</v>
      </c>
      <c r="D101" t="s">
        <v>496</v>
      </c>
      <c r="E101" t="s">
        <v>497</v>
      </c>
    </row>
    <row r="102" spans="1:5" x14ac:dyDescent="0.35">
      <c r="A102" t="s">
        <v>498</v>
      </c>
      <c r="B102" t="s">
        <v>83</v>
      </c>
      <c r="C102" t="s">
        <v>457</v>
      </c>
      <c r="D102" t="s">
        <v>499</v>
      </c>
      <c r="E102" t="s">
        <v>500</v>
      </c>
    </row>
    <row r="103" spans="1:5" x14ac:dyDescent="0.35">
      <c r="A103" t="s">
        <v>170</v>
      </c>
      <c r="B103" t="s">
        <v>79</v>
      </c>
      <c r="C103" t="s">
        <v>501</v>
      </c>
      <c r="D103" t="s">
        <v>502</v>
      </c>
      <c r="E103" t="s">
        <v>503</v>
      </c>
    </row>
    <row r="104" spans="1:5" x14ac:dyDescent="0.35">
      <c r="A104" t="s">
        <v>250</v>
      </c>
      <c r="B104" t="s">
        <v>79</v>
      </c>
      <c r="C104" t="s">
        <v>504</v>
      </c>
      <c r="D104" t="s">
        <v>505</v>
      </c>
      <c r="E104" t="s">
        <v>506</v>
      </c>
    </row>
    <row r="105" spans="1:5" x14ac:dyDescent="0.35">
      <c r="A105" t="s">
        <v>259</v>
      </c>
      <c r="B105" t="s">
        <v>79</v>
      </c>
      <c r="C105" t="s">
        <v>507</v>
      </c>
      <c r="D105" t="s">
        <v>508</v>
      </c>
      <c r="E105" t="s">
        <v>509</v>
      </c>
    </row>
    <row r="106" spans="1:5" x14ac:dyDescent="0.35">
      <c r="A106" t="s">
        <v>261</v>
      </c>
      <c r="B106" t="s">
        <v>79</v>
      </c>
      <c r="C106" t="s">
        <v>510</v>
      </c>
      <c r="D106" t="s">
        <v>511</v>
      </c>
      <c r="E106" t="s">
        <v>512</v>
      </c>
    </row>
    <row r="107" spans="1:5" x14ac:dyDescent="0.35">
      <c r="A107" t="s">
        <v>357</v>
      </c>
      <c r="B107" t="s">
        <v>79</v>
      </c>
      <c r="C107" t="s">
        <v>513</v>
      </c>
      <c r="D107" t="s">
        <v>514</v>
      </c>
      <c r="E107" t="s">
        <v>515</v>
      </c>
    </row>
    <row r="108" spans="1:5" x14ac:dyDescent="0.35">
      <c r="A108" t="s">
        <v>257</v>
      </c>
      <c r="B108" t="s">
        <v>79</v>
      </c>
      <c r="C108" t="s">
        <v>516</v>
      </c>
      <c r="D108" t="s">
        <v>517</v>
      </c>
      <c r="E108" t="s">
        <v>518</v>
      </c>
    </row>
    <row r="109" spans="1:5" x14ac:dyDescent="0.35">
      <c r="A109" t="s">
        <v>346</v>
      </c>
      <c r="B109" t="s">
        <v>79</v>
      </c>
      <c r="C109" t="s">
        <v>519</v>
      </c>
      <c r="D109" t="s">
        <v>520</v>
      </c>
      <c r="E109" t="s">
        <v>521</v>
      </c>
    </row>
    <row r="110" spans="1:5" x14ac:dyDescent="0.35">
      <c r="A110" t="s">
        <v>389</v>
      </c>
      <c r="B110" t="s">
        <v>79</v>
      </c>
      <c r="C110" t="s">
        <v>522</v>
      </c>
      <c r="D110" t="s">
        <v>523</v>
      </c>
      <c r="E110" t="s">
        <v>524</v>
      </c>
    </row>
    <row r="111" spans="1:5" x14ac:dyDescent="0.35">
      <c r="A111" t="s">
        <v>381</v>
      </c>
      <c r="B111" s="97">
        <v>46254</v>
      </c>
      <c r="C111" t="s">
        <v>527</v>
      </c>
      <c r="D111" t="s">
        <v>528</v>
      </c>
      <c r="E111" t="s">
        <v>529</v>
      </c>
    </row>
    <row r="112" spans="1:5" x14ac:dyDescent="0.35">
      <c r="A112" t="s">
        <v>526</v>
      </c>
      <c r="B112" s="97">
        <v>46254</v>
      </c>
      <c r="C112" t="s">
        <v>530</v>
      </c>
      <c r="D112" t="s">
        <v>531</v>
      </c>
      <c r="E112" t="s">
        <v>532</v>
      </c>
    </row>
    <row r="113" spans="1:5" x14ac:dyDescent="0.35">
      <c r="A113" t="s">
        <v>526</v>
      </c>
      <c r="B113" s="97">
        <v>46254</v>
      </c>
      <c r="C113" t="s">
        <v>535</v>
      </c>
      <c r="D113" t="s">
        <v>536</v>
      </c>
      <c r="E113" t="s">
        <v>537</v>
      </c>
    </row>
    <row r="114" spans="1:5" x14ac:dyDescent="0.35">
      <c r="A114" t="s">
        <v>381</v>
      </c>
      <c r="B114" s="97">
        <v>46254</v>
      </c>
      <c r="C114" t="s">
        <v>538</v>
      </c>
      <c r="D114" t="s">
        <v>539</v>
      </c>
      <c r="E114" t="s">
        <v>540</v>
      </c>
    </row>
    <row r="115" spans="1:5" x14ac:dyDescent="0.35">
      <c r="A115" t="s">
        <v>541</v>
      </c>
      <c r="B115" s="97">
        <v>46255</v>
      </c>
      <c r="C115" t="s">
        <v>549</v>
      </c>
      <c r="D115" t="s">
        <v>550</v>
      </c>
      <c r="E115" t="s">
        <v>551</v>
      </c>
    </row>
    <row r="116" spans="1:5" x14ac:dyDescent="0.35">
      <c r="A116" t="s">
        <v>544</v>
      </c>
      <c r="B116" s="97">
        <v>46255</v>
      </c>
      <c r="C116" t="s">
        <v>552</v>
      </c>
      <c r="D116" t="s">
        <v>553</v>
      </c>
      <c r="E116" t="s">
        <v>554</v>
      </c>
    </row>
    <row r="117" spans="1:5" x14ac:dyDescent="0.35">
      <c r="A117" t="s">
        <v>546</v>
      </c>
      <c r="B117" s="97">
        <v>46255</v>
      </c>
      <c r="C117" t="s">
        <v>555</v>
      </c>
      <c r="D117" t="s">
        <v>556</v>
      </c>
      <c r="E117" t="s">
        <v>557</v>
      </c>
    </row>
    <row r="118" spans="1:5" x14ac:dyDescent="0.35">
      <c r="A118" t="s">
        <v>548</v>
      </c>
      <c r="B118" s="97">
        <v>46255</v>
      </c>
      <c r="C118" t="s">
        <v>558</v>
      </c>
      <c r="D118" t="s">
        <v>559</v>
      </c>
      <c r="E118" t="s">
        <v>560</v>
      </c>
    </row>
    <row r="119" spans="1:5" x14ac:dyDescent="0.35">
      <c r="A119" t="s">
        <v>381</v>
      </c>
      <c r="B119" s="97">
        <v>46255</v>
      </c>
      <c r="C119" t="s">
        <v>561</v>
      </c>
      <c r="D119" t="s">
        <v>562</v>
      </c>
      <c r="E119" t="s">
        <v>563</v>
      </c>
    </row>
    <row r="120" spans="1:5" x14ac:dyDescent="0.35">
      <c r="A120" t="s">
        <v>376</v>
      </c>
      <c r="B120" s="97">
        <v>46255</v>
      </c>
      <c r="C120" t="s">
        <v>564</v>
      </c>
      <c r="D120" t="s">
        <v>562</v>
      </c>
      <c r="E120" t="s">
        <v>565</v>
      </c>
    </row>
    <row r="121" spans="1:5" x14ac:dyDescent="0.35">
      <c r="A121" t="s">
        <v>375</v>
      </c>
      <c r="B121" s="97">
        <v>46255</v>
      </c>
      <c r="C121" t="s">
        <v>566</v>
      </c>
      <c r="D121" t="s">
        <v>562</v>
      </c>
      <c r="E121" t="s">
        <v>567</v>
      </c>
    </row>
    <row r="122" spans="1:5" x14ac:dyDescent="0.35">
      <c r="A122" t="s">
        <v>328</v>
      </c>
      <c r="B122" s="97">
        <v>46255</v>
      </c>
      <c r="C122" t="s">
        <v>568</v>
      </c>
      <c r="D122" t="s">
        <v>562</v>
      </c>
      <c r="E122" t="s">
        <v>569</v>
      </c>
    </row>
    <row r="123" spans="1:5" x14ac:dyDescent="0.35">
      <c r="A123" t="s">
        <v>256</v>
      </c>
      <c r="B123" s="97">
        <v>46255</v>
      </c>
      <c r="C123" t="s">
        <v>568</v>
      </c>
      <c r="D123" t="s">
        <v>562</v>
      </c>
      <c r="E123" t="s">
        <v>570</v>
      </c>
    </row>
    <row r="124" spans="1:5" x14ac:dyDescent="0.35">
      <c r="A124" t="s">
        <v>260</v>
      </c>
      <c r="B124" s="97">
        <v>46255</v>
      </c>
      <c r="C124" t="s">
        <v>571</v>
      </c>
      <c r="D124" t="s">
        <v>562</v>
      </c>
      <c r="E124" t="s">
        <v>572</v>
      </c>
    </row>
    <row r="125" spans="1:5" x14ac:dyDescent="0.35">
      <c r="A125" t="s">
        <v>386</v>
      </c>
      <c r="B125" s="97">
        <v>46255</v>
      </c>
      <c r="C125" t="s">
        <v>573</v>
      </c>
      <c r="D125" t="s">
        <v>562</v>
      </c>
      <c r="E125" t="s">
        <v>574</v>
      </c>
    </row>
    <row r="126" spans="1:5" x14ac:dyDescent="0.35">
      <c r="A126" t="s">
        <v>385</v>
      </c>
      <c r="B126" s="97">
        <v>46255</v>
      </c>
      <c r="C126" t="s">
        <v>575</v>
      </c>
      <c r="D126" t="s">
        <v>562</v>
      </c>
      <c r="E126" t="s">
        <v>576</v>
      </c>
    </row>
    <row r="127" spans="1:5" x14ac:dyDescent="0.35">
      <c r="A127" t="s">
        <v>469</v>
      </c>
      <c r="B127" s="97">
        <v>46255</v>
      </c>
      <c r="C127" t="s">
        <v>575</v>
      </c>
      <c r="D127" t="s">
        <v>562</v>
      </c>
      <c r="E127" t="s">
        <v>577</v>
      </c>
    </row>
    <row r="128" spans="1:5" x14ac:dyDescent="0.35">
      <c r="A128" t="s">
        <v>369</v>
      </c>
      <c r="B128" s="97">
        <v>46255</v>
      </c>
      <c r="C128" t="s">
        <v>575</v>
      </c>
      <c r="D128" t="s">
        <v>562</v>
      </c>
      <c r="E128" t="s">
        <v>578</v>
      </c>
    </row>
    <row r="129" spans="1:5" x14ac:dyDescent="0.35">
      <c r="A129" t="s">
        <v>546</v>
      </c>
      <c r="B129" s="97">
        <v>46255</v>
      </c>
      <c r="C129" t="s">
        <v>575</v>
      </c>
      <c r="D129" t="s">
        <v>562</v>
      </c>
      <c r="E129" t="s">
        <v>579</v>
      </c>
    </row>
    <row r="130" spans="1:5" x14ac:dyDescent="0.35">
      <c r="A130" t="s">
        <v>346</v>
      </c>
      <c r="B130" s="97">
        <v>46255</v>
      </c>
      <c r="C130" t="s">
        <v>575</v>
      </c>
      <c r="D130" t="s">
        <v>562</v>
      </c>
      <c r="E130" t="s">
        <v>580</v>
      </c>
    </row>
    <row r="131" spans="1:5" x14ac:dyDescent="0.35">
      <c r="A131" t="s">
        <v>548</v>
      </c>
      <c r="B131" s="97">
        <v>46255</v>
      </c>
      <c r="C131" t="s">
        <v>575</v>
      </c>
      <c r="D131" t="s">
        <v>562</v>
      </c>
      <c r="E131" t="s">
        <v>581</v>
      </c>
    </row>
    <row r="132" spans="1:5" x14ac:dyDescent="0.35">
      <c r="A132" t="s">
        <v>258</v>
      </c>
      <c r="B132" s="97">
        <v>46255</v>
      </c>
      <c r="C132" t="s">
        <v>582</v>
      </c>
      <c r="D132" t="s">
        <v>562</v>
      </c>
      <c r="E132" t="s">
        <v>583</v>
      </c>
    </row>
    <row r="133" spans="1:5" x14ac:dyDescent="0.35">
      <c r="A133" t="s">
        <v>265</v>
      </c>
      <c r="B133" s="97">
        <v>46255</v>
      </c>
      <c r="C133" t="s">
        <v>582</v>
      </c>
      <c r="D133" t="s">
        <v>562</v>
      </c>
      <c r="E133" t="s">
        <v>584</v>
      </c>
    </row>
    <row r="134" spans="1:5" x14ac:dyDescent="0.35">
      <c r="A134" t="s">
        <v>276</v>
      </c>
      <c r="B134" s="97">
        <v>46255</v>
      </c>
      <c r="C134" t="s">
        <v>582</v>
      </c>
      <c r="D134" t="s">
        <v>562</v>
      </c>
      <c r="E134" t="s">
        <v>585</v>
      </c>
    </row>
    <row r="135" spans="1:5" x14ac:dyDescent="0.35">
      <c r="A135" t="s">
        <v>380</v>
      </c>
      <c r="B135" s="97">
        <v>46255</v>
      </c>
      <c r="C135" t="s">
        <v>582</v>
      </c>
      <c r="D135" t="s">
        <v>562</v>
      </c>
      <c r="E135" t="s">
        <v>586</v>
      </c>
    </row>
    <row r="136" spans="1:5" x14ac:dyDescent="0.35">
      <c r="A136" t="s">
        <v>341</v>
      </c>
      <c r="B136" s="97">
        <v>46255</v>
      </c>
      <c r="C136" t="s">
        <v>587</v>
      </c>
      <c r="D136" t="s">
        <v>562</v>
      </c>
      <c r="E136" t="s">
        <v>588</v>
      </c>
    </row>
    <row r="137" spans="1:5" x14ac:dyDescent="0.35">
      <c r="A137" t="s">
        <v>389</v>
      </c>
      <c r="B137" s="97">
        <v>46255</v>
      </c>
      <c r="C137" t="s">
        <v>589</v>
      </c>
      <c r="D137" t="s">
        <v>562</v>
      </c>
      <c r="E137" t="s">
        <v>590</v>
      </c>
    </row>
    <row r="138" spans="1:5" x14ac:dyDescent="0.35">
      <c r="A138" t="s">
        <v>453</v>
      </c>
      <c r="B138" s="97">
        <v>46255</v>
      </c>
      <c r="C138" t="s">
        <v>591</v>
      </c>
      <c r="D138" t="s">
        <v>562</v>
      </c>
      <c r="E138" t="s">
        <v>592</v>
      </c>
    </row>
    <row r="139" spans="1:5" x14ac:dyDescent="0.35">
      <c r="A139" t="s">
        <v>453</v>
      </c>
      <c r="B139" s="97">
        <v>46255</v>
      </c>
      <c r="C139" t="s">
        <v>598</v>
      </c>
      <c r="D139" t="s">
        <v>599</v>
      </c>
      <c r="E139" t="s">
        <v>600</v>
      </c>
    </row>
    <row r="140" spans="1:5" x14ac:dyDescent="0.35">
      <c r="A140" t="s">
        <v>318</v>
      </c>
      <c r="B140" s="97">
        <v>46255</v>
      </c>
      <c r="C140" t="s">
        <v>604</v>
      </c>
      <c r="D140" t="s">
        <v>605</v>
      </c>
      <c r="E140" t="s">
        <v>606</v>
      </c>
    </row>
    <row r="141" spans="1:5" x14ac:dyDescent="0.35">
      <c r="A141" t="s">
        <v>526</v>
      </c>
      <c r="B141" s="97">
        <v>46255</v>
      </c>
      <c r="C141" t="s">
        <v>607</v>
      </c>
      <c r="D141" t="s">
        <v>605</v>
      </c>
      <c r="E141" t="s">
        <v>608</v>
      </c>
    </row>
    <row r="142" spans="1:5" x14ac:dyDescent="0.35">
      <c r="A142" t="s">
        <v>168</v>
      </c>
      <c r="B142" s="97">
        <v>46255</v>
      </c>
      <c r="C142" t="s">
        <v>609</v>
      </c>
      <c r="D142" t="s">
        <v>605</v>
      </c>
      <c r="E142" t="s">
        <v>610</v>
      </c>
    </row>
    <row r="143" spans="1:5" x14ac:dyDescent="0.35">
      <c r="A143" t="s">
        <v>388</v>
      </c>
      <c r="B143" s="97">
        <v>46255</v>
      </c>
      <c r="C143" t="s">
        <v>611</v>
      </c>
      <c r="D143" t="s">
        <v>605</v>
      </c>
      <c r="E143" t="s">
        <v>612</v>
      </c>
    </row>
    <row r="144" spans="1:5" x14ac:dyDescent="0.35">
      <c r="A144" t="s">
        <v>341</v>
      </c>
      <c r="B144" s="97">
        <v>46255</v>
      </c>
      <c r="C144" t="s">
        <v>587</v>
      </c>
      <c r="D144" t="s">
        <v>605</v>
      </c>
      <c r="E144" t="s">
        <v>613</v>
      </c>
    </row>
    <row r="145" spans="1:5" x14ac:dyDescent="0.35">
      <c r="A145" t="s">
        <v>453</v>
      </c>
      <c r="B145" s="97">
        <v>46255</v>
      </c>
      <c r="C145" t="s">
        <v>614</v>
      </c>
      <c r="D145" t="s">
        <v>605</v>
      </c>
      <c r="E145" t="s">
        <v>615</v>
      </c>
    </row>
    <row r="146" spans="1:5" x14ac:dyDescent="0.35">
      <c r="A146" t="s">
        <v>254</v>
      </c>
      <c r="B146" s="97">
        <v>46256</v>
      </c>
      <c r="C146" t="s">
        <v>616</v>
      </c>
      <c r="D146" t="s">
        <v>617</v>
      </c>
      <c r="E146" t="s">
        <v>618</v>
      </c>
    </row>
    <row r="147" spans="1:5" x14ac:dyDescent="0.35">
      <c r="A147" t="s">
        <v>251</v>
      </c>
      <c r="B147" s="97">
        <v>46256</v>
      </c>
      <c r="C147" t="s">
        <v>619</v>
      </c>
      <c r="D147" t="s">
        <v>620</v>
      </c>
      <c r="E147" t="s">
        <v>621</v>
      </c>
    </row>
    <row r="148" spans="1:5" x14ac:dyDescent="0.35">
      <c r="A148" t="s">
        <v>258</v>
      </c>
      <c r="B148" s="97">
        <v>46256</v>
      </c>
      <c r="C148" t="s">
        <v>622</v>
      </c>
      <c r="D148" t="s">
        <v>623</v>
      </c>
      <c r="E148" t="s">
        <v>624</v>
      </c>
    </row>
    <row r="149" spans="1:5" x14ac:dyDescent="0.35">
      <c r="A149" t="s">
        <v>266</v>
      </c>
      <c r="B149" s="97">
        <v>46256</v>
      </c>
      <c r="C149" t="s">
        <v>625</v>
      </c>
      <c r="D149" t="s">
        <v>626</v>
      </c>
      <c r="E149" t="s">
        <v>627</v>
      </c>
    </row>
    <row r="150" spans="1:5" x14ac:dyDescent="0.35">
      <c r="A150" t="s">
        <v>254</v>
      </c>
      <c r="B150" s="97">
        <v>46256</v>
      </c>
      <c r="C150" t="s">
        <v>628</v>
      </c>
      <c r="D150" t="s">
        <v>629</v>
      </c>
      <c r="E150" t="s">
        <v>630</v>
      </c>
    </row>
    <row r="151" spans="1:5" x14ac:dyDescent="0.35">
      <c r="A151" t="s">
        <v>251</v>
      </c>
      <c r="B151" s="97">
        <v>46256</v>
      </c>
      <c r="C151" t="s">
        <v>639</v>
      </c>
      <c r="D151" t="s">
        <v>640</v>
      </c>
      <c r="E151" t="s">
        <v>641</v>
      </c>
    </row>
    <row r="152" spans="1:5" x14ac:dyDescent="0.35">
      <c r="A152" t="s">
        <v>254</v>
      </c>
      <c r="B152" s="97">
        <v>46256</v>
      </c>
      <c r="C152" t="s">
        <v>639</v>
      </c>
      <c r="D152" t="s">
        <v>640</v>
      </c>
      <c r="E152" t="s">
        <v>642</v>
      </c>
    </row>
    <row r="153" spans="1:5" x14ac:dyDescent="0.35">
      <c r="A153" t="s">
        <v>168</v>
      </c>
      <c r="B153" s="97">
        <v>46256</v>
      </c>
      <c r="C153" t="s">
        <v>643</v>
      </c>
      <c r="D153" t="s">
        <v>640</v>
      </c>
      <c r="E153" t="s">
        <v>644</v>
      </c>
    </row>
    <row r="154" spans="1:5" x14ac:dyDescent="0.35">
      <c r="A154" t="s">
        <v>255</v>
      </c>
      <c r="B154" s="97">
        <v>46256</v>
      </c>
      <c r="C154" t="s">
        <v>645</v>
      </c>
      <c r="D154" t="s">
        <v>646</v>
      </c>
      <c r="E154" t="s">
        <v>647</v>
      </c>
    </row>
    <row r="155" spans="1:5" x14ac:dyDescent="0.35">
      <c r="A155" t="s">
        <v>261</v>
      </c>
      <c r="B155" s="97">
        <v>46256</v>
      </c>
      <c r="C155" t="s">
        <v>648</v>
      </c>
      <c r="D155" t="s">
        <v>646</v>
      </c>
      <c r="E155" t="s">
        <v>649</v>
      </c>
    </row>
    <row r="156" spans="1:5" x14ac:dyDescent="0.35">
      <c r="A156" t="s">
        <v>265</v>
      </c>
      <c r="B156" s="97">
        <v>46256</v>
      </c>
      <c r="C156" t="s">
        <v>622</v>
      </c>
      <c r="D156" t="s">
        <v>646</v>
      </c>
      <c r="E156" t="s">
        <v>650</v>
      </c>
    </row>
    <row r="157" spans="1:5" x14ac:dyDescent="0.35">
      <c r="A157" t="s">
        <v>269</v>
      </c>
      <c r="B157" s="97">
        <v>46256</v>
      </c>
      <c r="C157" t="s">
        <v>651</v>
      </c>
      <c r="D157" t="s">
        <v>646</v>
      </c>
      <c r="E157" t="s">
        <v>652</v>
      </c>
    </row>
    <row r="158" spans="1:5" x14ac:dyDescent="0.35">
      <c r="A158" t="s">
        <v>254</v>
      </c>
      <c r="B158" s="97">
        <v>46256</v>
      </c>
      <c r="C158" t="s">
        <v>663</v>
      </c>
      <c r="D158" t="s">
        <v>664</v>
      </c>
      <c r="E158" t="s">
        <v>665</v>
      </c>
    </row>
    <row r="159" spans="1:5" x14ac:dyDescent="0.35">
      <c r="A159" t="s">
        <v>258</v>
      </c>
      <c r="B159" s="97">
        <v>46256</v>
      </c>
      <c r="C159" t="s">
        <v>666</v>
      </c>
      <c r="D159" t="s">
        <v>664</v>
      </c>
      <c r="E159" t="s">
        <v>667</v>
      </c>
    </row>
    <row r="160" spans="1:5" x14ac:dyDescent="0.35">
      <c r="A160" t="s">
        <v>265</v>
      </c>
      <c r="B160" s="97">
        <v>46256</v>
      </c>
      <c r="C160" t="s">
        <v>668</v>
      </c>
      <c r="D160" t="s">
        <v>664</v>
      </c>
      <c r="E160" t="s">
        <v>669</v>
      </c>
    </row>
    <row r="161" spans="1:5" x14ac:dyDescent="0.35">
      <c r="A161" t="s">
        <v>168</v>
      </c>
      <c r="B161" s="97">
        <v>46256</v>
      </c>
      <c r="C161" t="s">
        <v>670</v>
      </c>
      <c r="D161" t="s">
        <v>664</v>
      </c>
      <c r="E161" t="s">
        <v>671</v>
      </c>
    </row>
    <row r="162" spans="1:5" x14ac:dyDescent="0.35">
      <c r="A162" t="s">
        <v>261</v>
      </c>
      <c r="B162" s="97">
        <v>46256</v>
      </c>
      <c r="C162" t="s">
        <v>670</v>
      </c>
      <c r="D162" t="s">
        <v>664</v>
      </c>
      <c r="E162" t="s">
        <v>672</v>
      </c>
    </row>
    <row r="163" spans="1:5" x14ac:dyDescent="0.35">
      <c r="A163" t="s">
        <v>251</v>
      </c>
      <c r="B163" s="97">
        <v>46256</v>
      </c>
      <c r="C163" t="s">
        <v>673</v>
      </c>
      <c r="D163" t="s">
        <v>664</v>
      </c>
      <c r="E163" t="s">
        <v>674</v>
      </c>
    </row>
    <row r="164" spans="1:5" x14ac:dyDescent="0.35">
      <c r="A164" t="s">
        <v>453</v>
      </c>
      <c r="B164" s="97">
        <v>46256</v>
      </c>
      <c r="C164" t="s">
        <v>675</v>
      </c>
      <c r="D164" t="s">
        <v>664</v>
      </c>
      <c r="E164" t="s">
        <v>676</v>
      </c>
    </row>
    <row r="165" spans="1:5" x14ac:dyDescent="0.35">
      <c r="A165" t="s">
        <v>453</v>
      </c>
      <c r="B165">
        <v>46259</v>
      </c>
      <c r="C165" t="s">
        <v>686</v>
      </c>
      <c r="D165" t="s">
        <v>687</v>
      </c>
      <c r="E165" t="s">
        <v>688</v>
      </c>
    </row>
    <row r="166" spans="1:5" x14ac:dyDescent="0.35">
      <c r="A166" t="s">
        <v>276</v>
      </c>
      <c r="B166">
        <v>46259</v>
      </c>
      <c r="C166" t="s">
        <v>689</v>
      </c>
      <c r="D166" t="s">
        <v>690</v>
      </c>
      <c r="E166" t="s">
        <v>691</v>
      </c>
    </row>
    <row r="167" spans="1:5" x14ac:dyDescent="0.35">
      <c r="A167" t="s">
        <v>260</v>
      </c>
      <c r="B167">
        <v>46259</v>
      </c>
      <c r="C167" t="s">
        <v>692</v>
      </c>
      <c r="D167" t="s">
        <v>693</v>
      </c>
      <c r="E167" t="s">
        <v>694</v>
      </c>
    </row>
    <row r="168" spans="1:5" x14ac:dyDescent="0.35">
      <c r="A168" t="s">
        <v>341</v>
      </c>
      <c r="B168">
        <v>46259</v>
      </c>
      <c r="C168" t="s">
        <v>692</v>
      </c>
      <c r="D168" t="s">
        <v>695</v>
      </c>
      <c r="E168" t="s">
        <v>696</v>
      </c>
    </row>
    <row r="169" spans="1:5" x14ac:dyDescent="0.35">
      <c r="A169" t="s">
        <v>370</v>
      </c>
      <c r="B169">
        <v>46259</v>
      </c>
      <c r="C169" t="s">
        <v>692</v>
      </c>
      <c r="D169" t="s">
        <v>697</v>
      </c>
      <c r="E169" t="s">
        <v>698</v>
      </c>
    </row>
    <row r="170" spans="1:5" x14ac:dyDescent="0.35">
      <c r="A170" t="s">
        <v>371</v>
      </c>
      <c r="B170">
        <v>46259</v>
      </c>
      <c r="C170" t="s">
        <v>692</v>
      </c>
      <c r="D170" t="s">
        <v>699</v>
      </c>
      <c r="E170" t="s">
        <v>700</v>
      </c>
    </row>
    <row r="171" spans="1:5" x14ac:dyDescent="0.35">
      <c r="A171" t="s">
        <v>373</v>
      </c>
      <c r="B171">
        <v>46259</v>
      </c>
      <c r="C171" t="s">
        <v>689</v>
      </c>
      <c r="D171" t="s">
        <v>701</v>
      </c>
      <c r="E171" t="s">
        <v>702</v>
      </c>
    </row>
    <row r="172" spans="1:5" x14ac:dyDescent="0.35">
      <c r="A172" t="s">
        <v>375</v>
      </c>
      <c r="B172">
        <v>46259</v>
      </c>
      <c r="C172" t="s">
        <v>692</v>
      </c>
      <c r="D172" t="s">
        <v>693</v>
      </c>
      <c r="E172" t="s">
        <v>703</v>
      </c>
    </row>
    <row r="173" spans="1:5" x14ac:dyDescent="0.35">
      <c r="A173" t="s">
        <v>704</v>
      </c>
      <c r="B173">
        <v>46259</v>
      </c>
      <c r="C173" t="s">
        <v>705</v>
      </c>
      <c r="D173" t="s">
        <v>706</v>
      </c>
      <c r="E173" t="s">
        <v>707</v>
      </c>
    </row>
    <row r="174" spans="1:5" x14ac:dyDescent="0.35">
      <c r="A174" t="s">
        <v>708</v>
      </c>
      <c r="B174">
        <v>46259</v>
      </c>
      <c r="C174" t="s">
        <v>709</v>
      </c>
      <c r="D174" t="s">
        <v>710</v>
      </c>
      <c r="E174" t="s">
        <v>711</v>
      </c>
    </row>
    <row r="175" spans="1:5" x14ac:dyDescent="0.35">
      <c r="A175" t="s">
        <v>380</v>
      </c>
      <c r="B175">
        <v>46259</v>
      </c>
      <c r="C175" t="s">
        <v>712</v>
      </c>
      <c r="D175" t="s">
        <v>713</v>
      </c>
      <c r="E175" t="s">
        <v>714</v>
      </c>
    </row>
    <row r="176" spans="1:5" x14ac:dyDescent="0.35">
      <c r="A176" t="s">
        <v>383</v>
      </c>
      <c r="B176">
        <v>46259</v>
      </c>
      <c r="C176" t="s">
        <v>692</v>
      </c>
      <c r="D176" t="s">
        <v>710</v>
      </c>
      <c r="E176" t="s">
        <v>715</v>
      </c>
    </row>
    <row r="177" spans="1:5" x14ac:dyDescent="0.35">
      <c r="A177" t="s">
        <v>385</v>
      </c>
      <c r="B177">
        <v>46259</v>
      </c>
      <c r="C177" t="s">
        <v>716</v>
      </c>
      <c r="D177" t="s">
        <v>717</v>
      </c>
      <c r="E177" t="s">
        <v>718</v>
      </c>
    </row>
    <row r="178" spans="1:5" x14ac:dyDescent="0.35">
      <c r="A178" t="s">
        <v>386</v>
      </c>
      <c r="B178">
        <v>46259</v>
      </c>
      <c r="C178" t="s">
        <v>719</v>
      </c>
      <c r="D178" t="s">
        <v>720</v>
      </c>
      <c r="E178" t="s">
        <v>721</v>
      </c>
    </row>
    <row r="179" spans="1:5" x14ac:dyDescent="0.35">
      <c r="A179" t="s">
        <v>387</v>
      </c>
      <c r="B179">
        <v>46259</v>
      </c>
      <c r="C179" t="s">
        <v>692</v>
      </c>
      <c r="D179" t="s">
        <v>722</v>
      </c>
      <c r="E179" t="s">
        <v>723</v>
      </c>
    </row>
    <row r="180" spans="1:5" x14ac:dyDescent="0.35">
      <c r="A180" t="s">
        <v>427</v>
      </c>
      <c r="B180">
        <v>46259</v>
      </c>
      <c r="C180" t="s">
        <v>692</v>
      </c>
      <c r="D180" t="s">
        <v>724</v>
      </c>
      <c r="E180" t="s">
        <v>725</v>
      </c>
    </row>
    <row r="181" spans="1:5" x14ac:dyDescent="0.35">
      <c r="A181" t="s">
        <v>388</v>
      </c>
      <c r="B181">
        <v>46259</v>
      </c>
      <c r="C181" t="s">
        <v>719</v>
      </c>
      <c r="D181" t="s">
        <v>722</v>
      </c>
      <c r="E181" t="s">
        <v>726</v>
      </c>
    </row>
    <row r="182" spans="1:5" x14ac:dyDescent="0.35">
      <c r="A182" t="s">
        <v>727</v>
      </c>
      <c r="B182">
        <v>46259</v>
      </c>
      <c r="C182" t="s">
        <v>728</v>
      </c>
      <c r="D182" t="s">
        <v>729</v>
      </c>
      <c r="E182" t="s">
        <v>730</v>
      </c>
    </row>
    <row r="183" spans="1:5" x14ac:dyDescent="0.35">
      <c r="A183" t="s">
        <v>170</v>
      </c>
      <c r="B183">
        <v>46259</v>
      </c>
      <c r="C183" t="s">
        <v>728</v>
      </c>
      <c r="D183" t="s">
        <v>731</v>
      </c>
      <c r="E183" t="s">
        <v>732</v>
      </c>
    </row>
    <row r="184" spans="1:5" x14ac:dyDescent="0.35">
      <c r="A184" t="s">
        <v>453</v>
      </c>
      <c r="B184">
        <v>46259</v>
      </c>
      <c r="C184" t="s">
        <v>733</v>
      </c>
      <c r="D184" t="s">
        <v>734</v>
      </c>
      <c r="E184" t="s">
        <v>735</v>
      </c>
    </row>
    <row r="185" spans="1:5" x14ac:dyDescent="0.35">
      <c r="A185" t="s">
        <v>453</v>
      </c>
      <c r="B185">
        <v>46259</v>
      </c>
      <c r="C185" t="s">
        <v>736</v>
      </c>
      <c r="D185" t="s">
        <v>737</v>
      </c>
      <c r="E185" t="s">
        <v>738</v>
      </c>
    </row>
    <row r="186" spans="1:5" x14ac:dyDescent="0.35">
      <c r="A186" t="s">
        <v>453</v>
      </c>
      <c r="B186">
        <v>46259</v>
      </c>
      <c r="C186" t="s">
        <v>739</v>
      </c>
      <c r="D186" t="s">
        <v>740</v>
      </c>
      <c r="E186" t="s">
        <v>741</v>
      </c>
    </row>
    <row r="187" spans="1:5" x14ac:dyDescent="0.35">
      <c r="A187" t="s">
        <v>261</v>
      </c>
      <c r="B187">
        <v>46259</v>
      </c>
      <c r="C187" t="s">
        <v>742</v>
      </c>
      <c r="D187" t="s">
        <v>743</v>
      </c>
      <c r="E187" t="s">
        <v>744</v>
      </c>
    </row>
    <row r="188" spans="1:5" x14ac:dyDescent="0.35">
      <c r="A188" t="s">
        <v>255</v>
      </c>
      <c r="B188">
        <v>46259</v>
      </c>
      <c r="C188" t="s">
        <v>745</v>
      </c>
      <c r="D188" t="s">
        <v>743</v>
      </c>
      <c r="E188" t="s">
        <v>746</v>
      </c>
    </row>
    <row r="189" spans="1:5" x14ac:dyDescent="0.35">
      <c r="A189" t="s">
        <v>266</v>
      </c>
      <c r="B189">
        <v>46259</v>
      </c>
      <c r="C189" t="s">
        <v>745</v>
      </c>
      <c r="D189" t="s">
        <v>743</v>
      </c>
      <c r="E189" t="s">
        <v>747</v>
      </c>
    </row>
    <row r="190" spans="1:5" x14ac:dyDescent="0.35">
      <c r="A190" t="s">
        <v>256</v>
      </c>
      <c r="B190">
        <v>46259</v>
      </c>
      <c r="C190" t="s">
        <v>745</v>
      </c>
      <c r="D190" t="s">
        <v>743</v>
      </c>
      <c r="E190" t="s">
        <v>748</v>
      </c>
    </row>
    <row r="191" spans="1:5" x14ac:dyDescent="0.35">
      <c r="A191" t="s">
        <v>275</v>
      </c>
      <c r="B191">
        <v>46259</v>
      </c>
      <c r="C191" t="s">
        <v>745</v>
      </c>
      <c r="D191" t="s">
        <v>743</v>
      </c>
      <c r="E191" t="s">
        <v>749</v>
      </c>
    </row>
    <row r="192" spans="1:5" x14ac:dyDescent="0.35">
      <c r="A192" t="s">
        <v>273</v>
      </c>
      <c r="B192">
        <v>46259</v>
      </c>
      <c r="C192" t="s">
        <v>745</v>
      </c>
      <c r="D192" t="s">
        <v>743</v>
      </c>
      <c r="E192" t="s">
        <v>750</v>
      </c>
    </row>
    <row r="193" spans="1:5" x14ac:dyDescent="0.35">
      <c r="A193" t="s">
        <v>270</v>
      </c>
      <c r="B193">
        <v>46259</v>
      </c>
      <c r="C193" t="s">
        <v>745</v>
      </c>
      <c r="D193" t="s">
        <v>743</v>
      </c>
      <c r="E193" t="s">
        <v>751</v>
      </c>
    </row>
    <row r="194" spans="1:5" x14ac:dyDescent="0.35">
      <c r="A194" t="s">
        <v>369</v>
      </c>
      <c r="B194">
        <v>46259</v>
      </c>
      <c r="C194" t="s">
        <v>745</v>
      </c>
      <c r="D194" t="s">
        <v>743</v>
      </c>
      <c r="E194" t="s">
        <v>752</v>
      </c>
    </row>
    <row r="195" spans="1:5" x14ac:dyDescent="0.35">
      <c r="A195" t="s">
        <v>727</v>
      </c>
      <c r="B195">
        <v>46259</v>
      </c>
      <c r="C195" t="s">
        <v>745</v>
      </c>
      <c r="D195" t="s">
        <v>743</v>
      </c>
      <c r="E195" t="s">
        <v>753</v>
      </c>
    </row>
    <row r="196" spans="1:5" x14ac:dyDescent="0.35">
      <c r="A196" t="s">
        <v>372</v>
      </c>
      <c r="B196">
        <v>46259</v>
      </c>
      <c r="C196" t="s">
        <v>745</v>
      </c>
      <c r="D196" t="s">
        <v>743</v>
      </c>
      <c r="E196" t="s">
        <v>754</v>
      </c>
    </row>
    <row r="197" spans="1:5" x14ac:dyDescent="0.35">
      <c r="A197" t="s">
        <v>328</v>
      </c>
      <c r="B197">
        <v>46259</v>
      </c>
      <c r="C197" t="s">
        <v>745</v>
      </c>
      <c r="D197" t="s">
        <v>743</v>
      </c>
      <c r="E197" t="s">
        <v>755</v>
      </c>
    </row>
    <row r="198" spans="1:5" x14ac:dyDescent="0.35">
      <c r="A198" t="s">
        <v>376</v>
      </c>
      <c r="B198">
        <v>46259</v>
      </c>
      <c r="C198" t="s">
        <v>745</v>
      </c>
      <c r="D198" t="s">
        <v>743</v>
      </c>
      <c r="E198" t="s">
        <v>756</v>
      </c>
    </row>
    <row r="199" spans="1:5" x14ac:dyDescent="0.35">
      <c r="A199" t="s">
        <v>394</v>
      </c>
      <c r="B199">
        <v>46259</v>
      </c>
      <c r="C199" t="s">
        <v>745</v>
      </c>
      <c r="D199" t="s">
        <v>743</v>
      </c>
      <c r="E199" t="s">
        <v>757</v>
      </c>
    </row>
    <row r="200" spans="1:5" x14ac:dyDescent="0.35">
      <c r="A200" t="s">
        <v>378</v>
      </c>
      <c r="B200">
        <v>46259</v>
      </c>
      <c r="C200" t="s">
        <v>745</v>
      </c>
      <c r="D200" t="s">
        <v>743</v>
      </c>
      <c r="E200" t="s">
        <v>758</v>
      </c>
    </row>
    <row r="201" spans="1:5" x14ac:dyDescent="0.35">
      <c r="A201" t="s">
        <v>249</v>
      </c>
      <c r="B201">
        <v>46259</v>
      </c>
      <c r="C201" t="s">
        <v>745</v>
      </c>
      <c r="D201" t="s">
        <v>743</v>
      </c>
      <c r="E201" t="s">
        <v>759</v>
      </c>
    </row>
    <row r="202" spans="1:5" x14ac:dyDescent="0.35">
      <c r="A202" t="s">
        <v>262</v>
      </c>
      <c r="B202">
        <v>46259</v>
      </c>
      <c r="C202" t="s">
        <v>745</v>
      </c>
      <c r="D202" t="s">
        <v>743</v>
      </c>
      <c r="E202" t="s">
        <v>760</v>
      </c>
    </row>
    <row r="203" spans="1:5" x14ac:dyDescent="0.35">
      <c r="A203" t="s">
        <v>469</v>
      </c>
      <c r="B203">
        <v>46259</v>
      </c>
      <c r="C203" t="s">
        <v>745</v>
      </c>
      <c r="D203" t="s">
        <v>743</v>
      </c>
      <c r="E203" t="s">
        <v>761</v>
      </c>
    </row>
    <row r="204" spans="1:5" x14ac:dyDescent="0.35">
      <c r="A204" t="s">
        <v>253</v>
      </c>
      <c r="B204">
        <v>46259</v>
      </c>
      <c r="C204" t="s">
        <v>745</v>
      </c>
      <c r="D204" t="s">
        <v>743</v>
      </c>
      <c r="E204" t="s">
        <v>762</v>
      </c>
    </row>
    <row r="205" spans="1:5" x14ac:dyDescent="0.35">
      <c r="A205" t="s">
        <v>307</v>
      </c>
      <c r="B205">
        <v>46259</v>
      </c>
      <c r="C205" t="s">
        <v>745</v>
      </c>
      <c r="D205" t="s">
        <v>743</v>
      </c>
      <c r="E205" t="s">
        <v>763</v>
      </c>
    </row>
    <row r="206" spans="1:5" x14ac:dyDescent="0.35">
      <c r="A206" t="s">
        <v>398</v>
      </c>
      <c r="B206">
        <v>46259</v>
      </c>
      <c r="C206" t="s">
        <v>745</v>
      </c>
      <c r="D206" t="s">
        <v>743</v>
      </c>
      <c r="E206" t="s">
        <v>764</v>
      </c>
    </row>
    <row r="207" spans="1:5" x14ac:dyDescent="0.35">
      <c r="A207" t="s">
        <v>541</v>
      </c>
      <c r="B207">
        <v>46259</v>
      </c>
      <c r="C207" t="s">
        <v>765</v>
      </c>
      <c r="D207" t="s">
        <v>743</v>
      </c>
      <c r="E207" t="s">
        <v>766</v>
      </c>
    </row>
    <row r="208" spans="1:5" x14ac:dyDescent="0.35">
      <c r="A208" t="s">
        <v>544</v>
      </c>
      <c r="B208">
        <v>46259</v>
      </c>
      <c r="C208" t="s">
        <v>765</v>
      </c>
      <c r="D208" t="s">
        <v>743</v>
      </c>
      <c r="E208" t="s">
        <v>767</v>
      </c>
    </row>
    <row r="209" spans="1:5" x14ac:dyDescent="0.35">
      <c r="A209" t="s">
        <v>546</v>
      </c>
      <c r="B209">
        <v>46259</v>
      </c>
      <c r="C209" t="s">
        <v>745</v>
      </c>
      <c r="D209" t="s">
        <v>743</v>
      </c>
      <c r="E209" t="s">
        <v>768</v>
      </c>
    </row>
    <row r="210" spans="1:5" x14ac:dyDescent="0.35">
      <c r="A210" t="s">
        <v>453</v>
      </c>
      <c r="B210">
        <v>46259</v>
      </c>
      <c r="C210" t="s">
        <v>769</v>
      </c>
      <c r="D210" t="s">
        <v>770</v>
      </c>
      <c r="E210" t="s">
        <v>771</v>
      </c>
    </row>
    <row r="211" spans="1:5" x14ac:dyDescent="0.35">
      <c r="A211" t="s">
        <v>453</v>
      </c>
      <c r="B211">
        <v>46259</v>
      </c>
      <c r="C211" t="s">
        <v>772</v>
      </c>
      <c r="D211" t="s">
        <v>773</v>
      </c>
      <c r="E211" t="s">
        <v>774</v>
      </c>
    </row>
    <row r="212" spans="1:5" x14ac:dyDescent="0.35">
      <c r="A212" t="s">
        <v>526</v>
      </c>
      <c r="B212">
        <v>46259</v>
      </c>
      <c r="C212" t="s">
        <v>775</v>
      </c>
      <c r="D212" t="s">
        <v>773</v>
      </c>
      <c r="E212" t="s">
        <v>776</v>
      </c>
    </row>
    <row r="213" spans="1:5" x14ac:dyDescent="0.35">
      <c r="A213" t="s">
        <v>375</v>
      </c>
      <c r="B213">
        <v>46259</v>
      </c>
      <c r="C213" t="s">
        <v>778</v>
      </c>
      <c r="D213" t="s">
        <v>779</v>
      </c>
      <c r="E213" t="s">
        <v>780</v>
      </c>
    </row>
    <row r="214" spans="1:5" x14ac:dyDescent="0.35">
      <c r="A214" t="s">
        <v>328</v>
      </c>
      <c r="B214">
        <v>46259</v>
      </c>
      <c r="C214" t="s">
        <v>666</v>
      </c>
      <c r="D214" t="s">
        <v>779</v>
      </c>
      <c r="E214" t="s">
        <v>781</v>
      </c>
    </row>
    <row r="215" spans="1:5" x14ac:dyDescent="0.35">
      <c r="A215" t="s">
        <v>336</v>
      </c>
      <c r="B215">
        <v>46259</v>
      </c>
      <c r="C215" t="s">
        <v>782</v>
      </c>
      <c r="D215" t="s">
        <v>779</v>
      </c>
      <c r="E215" t="s">
        <v>783</v>
      </c>
    </row>
    <row r="216" spans="1:5" x14ac:dyDescent="0.35">
      <c r="A216" t="s">
        <v>272</v>
      </c>
      <c r="B216">
        <v>46259</v>
      </c>
      <c r="C216" t="s">
        <v>784</v>
      </c>
      <c r="D216" t="s">
        <v>779</v>
      </c>
      <c r="E216" t="s">
        <v>785</v>
      </c>
    </row>
    <row r="217" spans="1:5" x14ac:dyDescent="0.35">
      <c r="A217" t="s">
        <v>258</v>
      </c>
      <c r="B217">
        <v>46259</v>
      </c>
      <c r="C217" t="s">
        <v>786</v>
      </c>
      <c r="D217" t="s">
        <v>779</v>
      </c>
      <c r="E217" t="s">
        <v>787</v>
      </c>
    </row>
    <row r="218" spans="1:5" x14ac:dyDescent="0.35">
      <c r="A218" t="s">
        <v>257</v>
      </c>
      <c r="B218">
        <v>46259</v>
      </c>
      <c r="C218" t="s">
        <v>788</v>
      </c>
      <c r="D218" t="s">
        <v>779</v>
      </c>
      <c r="E218" t="s">
        <v>789</v>
      </c>
    </row>
    <row r="219" spans="1:5" x14ac:dyDescent="0.35">
      <c r="A219" t="s">
        <v>405</v>
      </c>
      <c r="B219">
        <v>46259</v>
      </c>
      <c r="C219" t="s">
        <v>790</v>
      </c>
      <c r="D219" t="s">
        <v>779</v>
      </c>
      <c r="E219" t="s">
        <v>791</v>
      </c>
    </row>
    <row r="220" spans="1:5" x14ac:dyDescent="0.35">
      <c r="A220" t="s">
        <v>389</v>
      </c>
      <c r="B220">
        <v>46259</v>
      </c>
      <c r="C220" t="s">
        <v>792</v>
      </c>
      <c r="D220" t="s">
        <v>779</v>
      </c>
      <c r="E220" t="s">
        <v>793</v>
      </c>
    </row>
    <row r="221" spans="1:5" x14ac:dyDescent="0.35">
      <c r="A221" t="s">
        <v>261</v>
      </c>
      <c r="B221">
        <v>46259</v>
      </c>
      <c r="C221" t="s">
        <v>794</v>
      </c>
      <c r="D221" t="s">
        <v>795</v>
      </c>
      <c r="E221" t="s">
        <v>796</v>
      </c>
    </row>
    <row r="222" spans="1:5" x14ac:dyDescent="0.35">
      <c r="A222" t="s">
        <v>453</v>
      </c>
      <c r="B222">
        <v>46259</v>
      </c>
      <c r="C222" t="s">
        <v>769</v>
      </c>
      <c r="D222" t="s">
        <v>779</v>
      </c>
      <c r="E222" t="s">
        <v>797</v>
      </c>
    </row>
    <row r="223" spans="1:5" x14ac:dyDescent="0.35">
      <c r="A223" t="s">
        <v>258</v>
      </c>
      <c r="B223">
        <v>46259</v>
      </c>
      <c r="C223" t="s">
        <v>800</v>
      </c>
      <c r="D223" t="s">
        <v>801</v>
      </c>
      <c r="E223" t="s">
        <v>802</v>
      </c>
    </row>
    <row r="224" spans="1:5" x14ac:dyDescent="0.35">
      <c r="A224" t="s">
        <v>405</v>
      </c>
      <c r="B224">
        <v>46259</v>
      </c>
      <c r="C224" t="s">
        <v>673</v>
      </c>
      <c r="D224" t="s">
        <v>803</v>
      </c>
      <c r="E224" t="s">
        <v>804</v>
      </c>
    </row>
    <row r="225" spans="1:5" x14ac:dyDescent="0.35">
      <c r="A225" t="s">
        <v>272</v>
      </c>
      <c r="B225">
        <v>46259</v>
      </c>
      <c r="C225" t="s">
        <v>673</v>
      </c>
      <c r="D225" t="s">
        <v>805</v>
      </c>
      <c r="E225" t="s">
        <v>806</v>
      </c>
    </row>
    <row r="226" spans="1:5" x14ac:dyDescent="0.35">
      <c r="A226" t="s">
        <v>389</v>
      </c>
      <c r="B226">
        <v>46259</v>
      </c>
      <c r="C226" t="s">
        <v>807</v>
      </c>
      <c r="D226" t="s">
        <v>808</v>
      </c>
      <c r="E226" t="s">
        <v>809</v>
      </c>
    </row>
    <row r="227" spans="1:5" x14ac:dyDescent="0.35">
      <c r="A227" t="s">
        <v>453</v>
      </c>
      <c r="B227">
        <v>46259</v>
      </c>
      <c r="C227" t="s">
        <v>810</v>
      </c>
      <c r="D227" t="s">
        <v>811</v>
      </c>
      <c r="E227" t="s">
        <v>812</v>
      </c>
    </row>
    <row r="228" spans="1:5" x14ac:dyDescent="0.35">
      <c r="A228" t="s">
        <v>453</v>
      </c>
      <c r="B228">
        <v>46259</v>
      </c>
      <c r="C228" t="s">
        <v>813</v>
      </c>
      <c r="D228" t="s">
        <v>814</v>
      </c>
      <c r="E228" t="s">
        <v>815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2026-08-25T20:09:27Z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