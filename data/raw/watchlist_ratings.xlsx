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oger\Cosas Roger\BOLSA E INVERSIÓN\repos\watchlist-dashboard\data\raw\"/>
    </mc:Choice>
  </mc:AlternateContent>
  <xr:revisionPtr revIDLastSave="0" documentId="13_ncr:1_{73E4BF08-0F1F-4468-946C-659D0108D52C}" xr6:coauthVersionLast="47" xr6:coauthVersionMax="47" xr10:uidLastSave="{00000000-0000-0000-0000-000000000000}"/>
  <bookViews>
    <workbookView xWindow="-110" yWindow="-110" windowWidth="19420" windowHeight="10300" tabRatio="500" xr2:uid="{00000000-000D-0000-FFFF-FFFF00000000}"/>
  </bookViews>
  <sheets>
    <sheet name="Watchlist Ratings" sheetId="1" r:id="rId1"/>
    <sheet name="Framework Notes" sheetId="2" r:id="rId2"/>
    <sheet name="Dashboard" sheetId="3" r:id="rId3"/>
    <sheet name="Updates Log" sheetId="4" r:id="rId4"/>
  </sheets>
  <calcPr calcId="191029" iterateDelta="1E-4"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3" i="1" l="1"/>
  <c r="BK73" i="1"/>
  <c r="BM73" i="1" s="1"/>
  <c r="BJ73" i="1"/>
  <c r="BL73" i="1" s="1"/>
  <c r="BG73" i="1"/>
  <c r="BE73" i="1"/>
  <c r="BB73" i="1"/>
  <c r="BA73" i="1"/>
  <c r="BC73" i="1" s="1"/>
  <c r="AR73" i="1"/>
  <c r="AY73" i="1" s="1"/>
  <c r="AL73" i="1"/>
  <c r="AM73" i="1" s="1"/>
  <c r="AB73" i="1"/>
  <c r="AC73" i="1" s="1"/>
  <c r="R73" i="1"/>
  <c r="S73" i="1" s="1"/>
  <c r="I72" i="1"/>
  <c r="BK72" i="1"/>
  <c r="BM72" i="1" s="1"/>
  <c r="BJ72" i="1"/>
  <c r="BL72" i="1" s="1"/>
  <c r="BG72" i="1"/>
  <c r="BE72" i="1"/>
  <c r="BB72" i="1"/>
  <c r="BA72" i="1"/>
  <c r="AR72" i="1"/>
  <c r="AY72" i="1" s="1"/>
  <c r="AL72" i="1"/>
  <c r="AM72" i="1" s="1"/>
  <c r="AB72" i="1"/>
  <c r="AC72" i="1" s="1"/>
  <c r="R72" i="1"/>
  <c r="S72" i="1" s="1"/>
  <c r="H4" i="1" a="1"/>
  <c r="H4" i="1" s="1"/>
  <c r="BJ4" i="1" s="1"/>
  <c r="BB67" i="1"/>
  <c r="BG67" i="1"/>
  <c r="BE67" i="1"/>
  <c r="R71" i="1"/>
  <c r="S71" i="1" s="1"/>
  <c r="R70" i="1"/>
  <c r="S70" i="1" s="1"/>
  <c r="R69" i="1"/>
  <c r="S69" i="1" s="1"/>
  <c r="R68" i="1"/>
  <c r="S68" i="1" s="1"/>
  <c r="R67" i="1"/>
  <c r="S67" i="1" s="1"/>
  <c r="R66" i="1"/>
  <c r="S66" i="1" s="1"/>
  <c r="R65" i="1"/>
  <c r="S65" i="1" s="1"/>
  <c r="R64" i="1"/>
  <c r="S64" i="1" s="1"/>
  <c r="R63" i="1"/>
  <c r="S63" i="1" s="1"/>
  <c r="R62" i="1"/>
  <c r="S62" i="1" s="1"/>
  <c r="R61" i="1"/>
  <c r="S61" i="1" s="1"/>
  <c r="R60" i="1"/>
  <c r="S60" i="1" s="1"/>
  <c r="R59" i="1"/>
  <c r="S59" i="1" s="1"/>
  <c r="R58" i="1"/>
  <c r="S58" i="1" s="1"/>
  <c r="R57" i="1"/>
  <c r="S57" i="1" s="1"/>
  <c r="R56" i="1"/>
  <c r="S56" i="1" s="1"/>
  <c r="R55" i="1"/>
  <c r="S55" i="1" s="1"/>
  <c r="R54" i="1"/>
  <c r="S54" i="1" s="1"/>
  <c r="R53" i="1"/>
  <c r="S53" i="1" s="1"/>
  <c r="R52" i="1"/>
  <c r="S52" i="1" s="1"/>
  <c r="R51" i="1"/>
  <c r="S51" i="1" s="1"/>
  <c r="R50" i="1"/>
  <c r="S50" i="1" s="1"/>
  <c r="R49" i="1"/>
  <c r="S49" i="1" s="1"/>
  <c r="R48" i="1"/>
  <c r="S48" i="1" s="1"/>
  <c r="R47" i="1"/>
  <c r="S47" i="1" s="1"/>
  <c r="R46" i="1"/>
  <c r="S46" i="1" s="1"/>
  <c r="R45" i="1"/>
  <c r="S45" i="1" s="1"/>
  <c r="R44" i="1"/>
  <c r="S44" i="1" s="1"/>
  <c r="R43" i="1"/>
  <c r="S43" i="1" s="1"/>
  <c r="R42" i="1"/>
  <c r="S42" i="1" s="1"/>
  <c r="R41" i="1"/>
  <c r="S41" i="1" s="1"/>
  <c r="R40" i="1"/>
  <c r="S40" i="1" s="1"/>
  <c r="R39" i="1"/>
  <c r="S39" i="1" s="1"/>
  <c r="R38" i="1"/>
  <c r="S38" i="1" s="1"/>
  <c r="R37" i="1"/>
  <c r="S37" i="1" s="1"/>
  <c r="R36" i="1"/>
  <c r="S36" i="1" s="1"/>
  <c r="R35" i="1"/>
  <c r="S35" i="1" s="1"/>
  <c r="R34" i="1"/>
  <c r="S34" i="1" s="1"/>
  <c r="R33" i="1"/>
  <c r="S33" i="1" s="1"/>
  <c r="R32" i="1"/>
  <c r="S32" i="1" s="1"/>
  <c r="R31" i="1"/>
  <c r="S31" i="1" s="1"/>
  <c r="R30" i="1"/>
  <c r="S30" i="1" s="1"/>
  <c r="R29" i="1"/>
  <c r="S29" i="1" s="1"/>
  <c r="R28" i="1"/>
  <c r="S28" i="1" s="1"/>
  <c r="R27" i="1"/>
  <c r="S27" i="1" s="1"/>
  <c r="R26" i="1"/>
  <c r="S26" i="1" s="1"/>
  <c r="R25" i="1"/>
  <c r="S25" i="1" s="1"/>
  <c r="R24" i="1"/>
  <c r="S24" i="1" s="1"/>
  <c r="R23" i="1"/>
  <c r="S23" i="1" s="1"/>
  <c r="R22" i="1"/>
  <c r="S22" i="1" s="1"/>
  <c r="R21" i="1"/>
  <c r="S21" i="1" s="1"/>
  <c r="R20" i="1"/>
  <c r="S20" i="1" s="1"/>
  <c r="R19" i="1"/>
  <c r="S19" i="1" s="1"/>
  <c r="R18" i="1"/>
  <c r="S18" i="1" s="1"/>
  <c r="R17" i="1"/>
  <c r="S17" i="1" s="1"/>
  <c r="R16" i="1"/>
  <c r="S16" i="1" s="1"/>
  <c r="R15" i="1"/>
  <c r="S15" i="1" s="1"/>
  <c r="R14" i="1"/>
  <c r="S14" i="1" s="1"/>
  <c r="R13" i="1"/>
  <c r="S13" i="1" s="1"/>
  <c r="R12" i="1"/>
  <c r="S12" i="1" s="1"/>
  <c r="R11" i="1"/>
  <c r="S11" i="1" s="1"/>
  <c r="R10" i="1"/>
  <c r="S10" i="1" s="1"/>
  <c r="R9" i="1"/>
  <c r="S9" i="1" s="1"/>
  <c r="R8" i="1"/>
  <c r="S8" i="1" s="1"/>
  <c r="R7" i="1"/>
  <c r="S7" i="1" s="1"/>
  <c r="R6" i="1"/>
  <c r="S6" i="1" s="1"/>
  <c r="R5" i="1"/>
  <c r="S5" i="1" s="1"/>
  <c r="R4" i="1"/>
  <c r="S4" i="1" s="1"/>
  <c r="E68" i="1"/>
  <c r="F68" i="1"/>
  <c r="G68" i="1"/>
  <c r="H68" i="1"/>
  <c r="BJ68" i="1" s="1"/>
  <c r="E69" i="1"/>
  <c r="F69" i="1"/>
  <c r="G69" i="1"/>
  <c r="H69" i="1"/>
  <c r="BJ69" i="1" s="1"/>
  <c r="E70" i="1"/>
  <c r="F70" i="1"/>
  <c r="G70" i="1"/>
  <c r="H70" i="1"/>
  <c r="BK70" i="1" s="1"/>
  <c r="E71" i="1"/>
  <c r="F71" i="1"/>
  <c r="G71" i="1"/>
  <c r="H71" i="1"/>
  <c r="BK71" i="1" s="1"/>
  <c r="B67" i="1" a="1"/>
  <c r="B67" i="1" s="1"/>
  <c r="B68" i="1" a="1"/>
  <c r="B68" i="1" s="1"/>
  <c r="B69" i="1" a="1"/>
  <c r="B69" i="1" s="1"/>
  <c r="B70" i="1" a="1"/>
  <c r="B70" i="1" s="1"/>
  <c r="B71" i="1" a="1"/>
  <c r="B71" i="1" s="1"/>
  <c r="I89" i="3"/>
  <c r="G89" i="3"/>
  <c r="BG71" i="1"/>
  <c r="BE71" i="1"/>
  <c r="BB71" i="1"/>
  <c r="BA71" i="1"/>
  <c r="AL71" i="1"/>
  <c r="AM71" i="1" s="1"/>
  <c r="AB71" i="1"/>
  <c r="AC71" i="1" s="1"/>
  <c r="BG70" i="1"/>
  <c r="BE70" i="1"/>
  <c r="BB70" i="1"/>
  <c r="BA70" i="1"/>
  <c r="AL70" i="1"/>
  <c r="AM70" i="1" s="1"/>
  <c r="AB70" i="1"/>
  <c r="AC70" i="1" s="1"/>
  <c r="BG69" i="1"/>
  <c r="BE69" i="1"/>
  <c r="BB69" i="1"/>
  <c r="BA69" i="1"/>
  <c r="AL69" i="1"/>
  <c r="AM69" i="1" s="1"/>
  <c r="AB69" i="1"/>
  <c r="AC69" i="1" s="1"/>
  <c r="BG68" i="1"/>
  <c r="BE68" i="1"/>
  <c r="BB68" i="1"/>
  <c r="BA68" i="1"/>
  <c r="AL68" i="1"/>
  <c r="AM68" i="1" s="1"/>
  <c r="AB68" i="1"/>
  <c r="AC68" i="1" s="1"/>
  <c r="H67" i="1"/>
  <c r="BK67" i="1" s="1"/>
  <c r="G67" i="1"/>
  <c r="F67" i="1"/>
  <c r="E67" i="1"/>
  <c r="AL67" i="1"/>
  <c r="AM67" i="1" s="1"/>
  <c r="AB67" i="1"/>
  <c r="AC67" i="1" s="1"/>
  <c r="H66" i="1" a="1"/>
  <c r="H66" i="1" s="1"/>
  <c r="G66" i="1" a="1"/>
  <c r="G66" i="1" s="1"/>
  <c r="BA67" i="1"/>
  <c r="F65" i="1" a="1"/>
  <c r="F65" i="1" s="1"/>
  <c r="F66" i="1" a="1"/>
  <c r="F66" i="1" s="1"/>
  <c r="E65" i="1" a="1"/>
  <c r="E65" i="1" s="1"/>
  <c r="E66" i="1" a="1"/>
  <c r="E66" i="1" s="1"/>
  <c r="B65" i="1" a="1"/>
  <c r="B65" i="1" s="1"/>
  <c r="B66" i="1" a="1"/>
  <c r="B66" i="1" s="1"/>
  <c r="AN73" i="1" l="1"/>
  <c r="AW73" i="1"/>
  <c r="AX73" i="1"/>
  <c r="BC72" i="1"/>
  <c r="AN72" i="1"/>
  <c r="AW72" i="1"/>
  <c r="AX72" i="1"/>
  <c r="BM70" i="1"/>
  <c r="BM67" i="1"/>
  <c r="BM71" i="1"/>
  <c r="BL69" i="1"/>
  <c r="BL68" i="1"/>
  <c r="BJ71" i="1"/>
  <c r="BL71" i="1" s="1"/>
  <c r="BC70" i="1"/>
  <c r="AN71" i="1"/>
  <c r="AN67" i="1"/>
  <c r="AN70" i="1"/>
  <c r="AN68" i="1"/>
  <c r="AN69" i="1"/>
  <c r="BC69" i="1"/>
  <c r="BC68" i="1"/>
  <c r="BC71" i="1"/>
  <c r="BC67" i="1"/>
  <c r="BJ67" i="1"/>
  <c r="BL67" i="1" s="1"/>
  <c r="I71" i="1"/>
  <c r="AR71" i="1" s="1"/>
  <c r="AY71" i="1" s="1"/>
  <c r="I69" i="1"/>
  <c r="AR69" i="1" s="1"/>
  <c r="AW69" i="1" s="1"/>
  <c r="BK69" i="1"/>
  <c r="BM69" i="1" s="1"/>
  <c r="BJ70" i="1"/>
  <c r="BL70" i="1" s="1"/>
  <c r="BK68" i="1"/>
  <c r="BM68" i="1" s="1"/>
  <c r="I67" i="1"/>
  <c r="I70" i="1"/>
  <c r="AR70" i="1" s="1"/>
  <c r="AY70" i="1" s="1"/>
  <c r="I68" i="1"/>
  <c r="AR68" i="1" s="1"/>
  <c r="AY68" i="1" s="1"/>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6" i="1"/>
  <c r="BM66" i="1" s="1"/>
  <c r="BJ66" i="1"/>
  <c r="BL66" i="1" s="1"/>
  <c r="BG66" i="1"/>
  <c r="BE66" i="1"/>
  <c r="BB66" i="1"/>
  <c r="BA66" i="1"/>
  <c r="AL66" i="1"/>
  <c r="AM66" i="1" s="1"/>
  <c r="AB66" i="1"/>
  <c r="AC66" i="1" s="1"/>
  <c r="I66" i="1"/>
  <c r="AR66" i="1" s="1"/>
  <c r="BG65" i="1"/>
  <c r="BE65" i="1"/>
  <c r="BB65" i="1"/>
  <c r="BA65" i="1"/>
  <c r="AL65" i="1"/>
  <c r="AM65" i="1" s="1"/>
  <c r="AB65" i="1"/>
  <c r="AC65" i="1" s="1"/>
  <c r="H65" i="1" a="1"/>
  <c r="H65" i="1" s="1"/>
  <c r="G65" i="1" a="1"/>
  <c r="G65" i="1" s="1"/>
  <c r="BG64" i="1"/>
  <c r="BE64" i="1"/>
  <c r="BB64" i="1"/>
  <c r="BA64" i="1"/>
  <c r="AL64" i="1"/>
  <c r="AM64" i="1" s="1"/>
  <c r="AB64" i="1"/>
  <c r="AC64" i="1" s="1"/>
  <c r="H64" i="1" a="1"/>
  <c r="H64" i="1" s="1"/>
  <c r="BK64" i="1" s="1"/>
  <c r="G64" i="1" a="1"/>
  <c r="G64" i="1" s="1"/>
  <c r="F64" i="1" a="1"/>
  <c r="F64" i="1" s="1"/>
  <c r="E64" i="1" a="1"/>
  <c r="E64" i="1" s="1"/>
  <c r="B64" i="1" a="1"/>
  <c r="B64" i="1" s="1"/>
  <c r="BG63" i="1"/>
  <c r="BE63" i="1"/>
  <c r="BB63" i="1"/>
  <c r="BA63" i="1"/>
  <c r="AL63" i="1"/>
  <c r="AM63" i="1" s="1"/>
  <c r="AB63" i="1"/>
  <c r="AC63" i="1" s="1"/>
  <c r="H63" i="1" a="1"/>
  <c r="H63" i="1" s="1"/>
  <c r="G63" i="1" a="1"/>
  <c r="G63" i="1" s="1"/>
  <c r="F63" i="1" a="1"/>
  <c r="F63" i="1" s="1"/>
  <c r="E63" i="1" a="1"/>
  <c r="E63" i="1" s="1"/>
  <c r="B63" i="1" a="1"/>
  <c r="B63" i="1" s="1"/>
  <c r="BG62" i="1"/>
  <c r="BE62" i="1"/>
  <c r="BB62" i="1"/>
  <c r="BA62" i="1"/>
  <c r="AL62" i="1"/>
  <c r="AM62" i="1" s="1"/>
  <c r="AB62" i="1"/>
  <c r="AC62" i="1" s="1"/>
  <c r="H62" i="1" a="1"/>
  <c r="H62" i="1" s="1"/>
  <c r="G62" i="1" a="1"/>
  <c r="G62" i="1" s="1"/>
  <c r="F62" i="1" a="1"/>
  <c r="F62" i="1" s="1"/>
  <c r="E62" i="1" a="1"/>
  <c r="E62" i="1" s="1"/>
  <c r="B62" i="1" a="1"/>
  <c r="B62" i="1" s="1"/>
  <c r="BG61" i="1"/>
  <c r="BE61" i="1"/>
  <c r="BB61" i="1"/>
  <c r="AT61" i="1"/>
  <c r="BA61" i="1" s="1"/>
  <c r="AQ61" i="1"/>
  <c r="AL61" i="1"/>
  <c r="AM61" i="1" s="1"/>
  <c r="AB61" i="1"/>
  <c r="AC61" i="1" s="1"/>
  <c r="H61" i="1" a="1"/>
  <c r="H61" i="1" s="1"/>
  <c r="G61" i="1" a="1"/>
  <c r="G61" i="1" s="1"/>
  <c r="F61" i="1" a="1"/>
  <c r="F61" i="1" s="1"/>
  <c r="E61" i="1" a="1"/>
  <c r="E61" i="1" s="1"/>
  <c r="B61" i="1" a="1"/>
  <c r="B61" i="1" s="1"/>
  <c r="BG60" i="1"/>
  <c r="BE60" i="1"/>
  <c r="BB60" i="1"/>
  <c r="BA60" i="1"/>
  <c r="AL60" i="1"/>
  <c r="AM60" i="1" s="1"/>
  <c r="AB60" i="1"/>
  <c r="AC60" i="1" s="1"/>
  <c r="H60" i="1" a="1"/>
  <c r="H60" i="1" s="1"/>
  <c r="G60" i="1" a="1"/>
  <c r="G60" i="1" s="1"/>
  <c r="F60" i="1" a="1"/>
  <c r="F60" i="1" s="1"/>
  <c r="B60" i="1" a="1"/>
  <c r="B60" i="1" s="1"/>
  <c r="BG59" i="1"/>
  <c r="BE59" i="1"/>
  <c r="BB59" i="1"/>
  <c r="BA59" i="1"/>
  <c r="AL59" i="1"/>
  <c r="AM59" i="1" s="1"/>
  <c r="AB59" i="1"/>
  <c r="AC59" i="1" s="1"/>
  <c r="H59" i="1" a="1"/>
  <c r="H59" i="1" s="1"/>
  <c r="BK59" i="1" s="1"/>
  <c r="G59" i="1" a="1"/>
  <c r="G59" i="1" s="1"/>
  <c r="F59" i="1" a="1"/>
  <c r="F59" i="1" s="1"/>
  <c r="E59" i="1" a="1"/>
  <c r="E59" i="1" s="1"/>
  <c r="B59" i="1" a="1"/>
  <c r="B59" i="1" s="1"/>
  <c r="BG58" i="1"/>
  <c r="BE58" i="1"/>
  <c r="BB58" i="1"/>
  <c r="BA58" i="1"/>
  <c r="AL58" i="1"/>
  <c r="AM58" i="1" s="1"/>
  <c r="AB58" i="1"/>
  <c r="AC58" i="1" s="1"/>
  <c r="H58" i="1" a="1"/>
  <c r="H58" i="1" s="1"/>
  <c r="BJ58" i="1" s="1"/>
  <c r="G58" i="1" a="1"/>
  <c r="G58" i="1" s="1"/>
  <c r="F58" i="1" a="1"/>
  <c r="F58" i="1" s="1"/>
  <c r="E58" i="1" a="1"/>
  <c r="E58" i="1" s="1"/>
  <c r="B58" i="1" a="1"/>
  <c r="B58" i="1" s="1"/>
  <c r="BG57" i="1"/>
  <c r="BE57" i="1"/>
  <c r="BB57" i="1"/>
  <c r="BA57" i="1"/>
  <c r="AL57" i="1"/>
  <c r="AM57" i="1" s="1"/>
  <c r="AB57" i="1"/>
  <c r="AC57" i="1" s="1"/>
  <c r="H57" i="1" a="1"/>
  <c r="H57" i="1" s="1"/>
  <c r="G57" i="1" a="1"/>
  <c r="G57" i="1" s="1"/>
  <c r="F57" i="1" a="1"/>
  <c r="F57" i="1" s="1"/>
  <c r="E57" i="1" a="1"/>
  <c r="E57" i="1" s="1"/>
  <c r="B57" i="1" a="1"/>
  <c r="B57" i="1" s="1"/>
  <c r="BG56" i="1"/>
  <c r="BE56" i="1"/>
  <c r="BB56" i="1"/>
  <c r="BA56" i="1"/>
  <c r="AL56" i="1"/>
  <c r="AM56" i="1" s="1"/>
  <c r="AB56" i="1"/>
  <c r="AC56" i="1" s="1"/>
  <c r="H56" i="1" a="1"/>
  <c r="H56" i="1" s="1"/>
  <c r="G56" i="1" a="1"/>
  <c r="G56" i="1" s="1"/>
  <c r="F56" i="1" a="1"/>
  <c r="F56" i="1" s="1"/>
  <c r="E56" i="1" a="1"/>
  <c r="E56" i="1" s="1"/>
  <c r="B56" i="1" a="1"/>
  <c r="B56" i="1" s="1"/>
  <c r="BG55" i="1"/>
  <c r="BE55" i="1"/>
  <c r="BB55" i="1"/>
  <c r="BA55" i="1"/>
  <c r="AL55" i="1"/>
  <c r="AM55" i="1" s="1"/>
  <c r="AB55" i="1"/>
  <c r="AC55" i="1" s="1"/>
  <c r="H55" i="1" a="1"/>
  <c r="H55" i="1" s="1"/>
  <c r="G55" i="1" a="1"/>
  <c r="G55" i="1" s="1"/>
  <c r="F55" i="1" a="1"/>
  <c r="F55" i="1" s="1"/>
  <c r="E55" i="1" a="1"/>
  <c r="E55" i="1" s="1"/>
  <c r="B55" i="1" a="1"/>
  <c r="B55" i="1" s="1"/>
  <c r="BG54" i="1"/>
  <c r="BE54" i="1"/>
  <c r="BB54" i="1"/>
  <c r="BA54" i="1"/>
  <c r="AL54" i="1"/>
  <c r="AM54" i="1" s="1"/>
  <c r="AB54" i="1"/>
  <c r="AC54" i="1" s="1"/>
  <c r="H54" i="1" a="1"/>
  <c r="H54" i="1" s="1"/>
  <c r="G54" i="1" a="1"/>
  <c r="G54" i="1" s="1"/>
  <c r="F54" i="1" a="1"/>
  <c r="F54" i="1" s="1"/>
  <c r="E54" i="1" a="1"/>
  <c r="E54" i="1" s="1"/>
  <c r="B54" i="1" a="1"/>
  <c r="B54" i="1" s="1"/>
  <c r="BG53" i="1"/>
  <c r="BE53" i="1"/>
  <c r="BB53" i="1"/>
  <c r="BA53" i="1"/>
  <c r="AL53" i="1"/>
  <c r="AM53" i="1" s="1"/>
  <c r="AB53" i="1"/>
  <c r="AC53" i="1" s="1"/>
  <c r="H53" i="1" a="1"/>
  <c r="H53" i="1" s="1"/>
  <c r="G53" i="1" a="1"/>
  <c r="G53" i="1" s="1"/>
  <c r="F53" i="1" a="1"/>
  <c r="F53" i="1" s="1"/>
  <c r="E53" i="1" a="1"/>
  <c r="E53" i="1" s="1"/>
  <c r="B53" i="1" a="1"/>
  <c r="B53" i="1" s="1"/>
  <c r="BG52" i="1"/>
  <c r="BE52" i="1"/>
  <c r="BB52" i="1"/>
  <c r="BA52" i="1"/>
  <c r="AL52" i="1"/>
  <c r="AM52" i="1" s="1"/>
  <c r="AB52" i="1"/>
  <c r="AC52" i="1" s="1"/>
  <c r="H52" i="1" a="1"/>
  <c r="H52" i="1" s="1"/>
  <c r="BJ52" i="1" s="1"/>
  <c r="G52" i="1" a="1"/>
  <c r="G52" i="1" s="1"/>
  <c r="F52" i="1" a="1"/>
  <c r="F52" i="1" s="1"/>
  <c r="E52" i="1" a="1"/>
  <c r="E52" i="1" s="1"/>
  <c r="B52" i="1" a="1"/>
  <c r="B52" i="1" s="1"/>
  <c r="BG51" i="1"/>
  <c r="BE51" i="1"/>
  <c r="BB51" i="1"/>
  <c r="BA51" i="1"/>
  <c r="AL51" i="1"/>
  <c r="AM51" i="1" s="1"/>
  <c r="AB51" i="1"/>
  <c r="AC51" i="1" s="1"/>
  <c r="H51" i="1" a="1"/>
  <c r="H51" i="1" s="1"/>
  <c r="G51" i="1" a="1"/>
  <c r="G51" i="1" s="1"/>
  <c r="F51" i="1" a="1"/>
  <c r="F51" i="1" s="1"/>
  <c r="E51" i="1" a="1"/>
  <c r="E51" i="1" s="1"/>
  <c r="B51" i="1" a="1"/>
  <c r="B51" i="1" s="1"/>
  <c r="BG50" i="1"/>
  <c r="BE50" i="1"/>
  <c r="BB50" i="1"/>
  <c r="BA50" i="1"/>
  <c r="AQ50" i="1"/>
  <c r="AL50" i="1"/>
  <c r="AM50" i="1" s="1"/>
  <c r="AB50" i="1"/>
  <c r="AC50" i="1" s="1"/>
  <c r="O50" i="1"/>
  <c r="H50" i="1" a="1"/>
  <c r="H50" i="1" s="1"/>
  <c r="G50" i="1" a="1"/>
  <c r="G50" i="1" s="1"/>
  <c r="F50" i="1" a="1"/>
  <c r="F50" i="1" s="1"/>
  <c r="E50" i="1" a="1"/>
  <c r="E50" i="1" s="1"/>
  <c r="B50" i="1" a="1"/>
  <c r="B50" i="1" s="1"/>
  <c r="BG49" i="1"/>
  <c r="BE49" i="1"/>
  <c r="BB49" i="1"/>
  <c r="BA49" i="1"/>
  <c r="AL49" i="1"/>
  <c r="AM49" i="1" s="1"/>
  <c r="AB49" i="1"/>
  <c r="AC49" i="1" s="1"/>
  <c r="H49" i="1" a="1"/>
  <c r="H49" i="1" s="1"/>
  <c r="G49" i="1" a="1"/>
  <c r="G49" i="1" s="1"/>
  <c r="F49" i="1" a="1"/>
  <c r="F49" i="1" s="1"/>
  <c r="E49" i="1" a="1"/>
  <c r="E49" i="1" s="1"/>
  <c r="B49" i="1" a="1"/>
  <c r="B49" i="1" s="1"/>
  <c r="BG48" i="1"/>
  <c r="BE48" i="1"/>
  <c r="BB48" i="1"/>
  <c r="BA48" i="1"/>
  <c r="AL48" i="1"/>
  <c r="AM48" i="1" s="1"/>
  <c r="AB48" i="1"/>
  <c r="AC48" i="1" s="1"/>
  <c r="H48" i="1" a="1"/>
  <c r="H48" i="1" s="1"/>
  <c r="BJ48" i="1" s="1"/>
  <c r="G48" i="1" a="1"/>
  <c r="G48" i="1" s="1"/>
  <c r="F48" i="1" a="1"/>
  <c r="F48" i="1" s="1"/>
  <c r="E48" i="1" a="1"/>
  <c r="E48" i="1" s="1"/>
  <c r="B48" i="1" a="1"/>
  <c r="B48" i="1" s="1"/>
  <c r="BG47" i="1"/>
  <c r="BE47" i="1"/>
  <c r="BB47" i="1"/>
  <c r="BA47" i="1"/>
  <c r="AL47" i="1"/>
  <c r="AM47" i="1" s="1"/>
  <c r="AB47" i="1"/>
  <c r="AC47" i="1" s="1"/>
  <c r="H47" i="1" a="1"/>
  <c r="H47" i="1" s="1"/>
  <c r="BJ47" i="1" s="1"/>
  <c r="G47" i="1" a="1"/>
  <c r="G47" i="1" s="1"/>
  <c r="F47" i="1" a="1"/>
  <c r="F47" i="1" s="1"/>
  <c r="E47" i="1" a="1"/>
  <c r="E47" i="1" s="1"/>
  <c r="B47" i="1" a="1"/>
  <c r="B47" i="1" s="1"/>
  <c r="BG46" i="1"/>
  <c r="BE46" i="1"/>
  <c r="BB46" i="1"/>
  <c r="BA46" i="1"/>
  <c r="AL46" i="1"/>
  <c r="AM46" i="1" s="1"/>
  <c r="AB46" i="1"/>
  <c r="AC46" i="1" s="1"/>
  <c r="H46" i="1" a="1"/>
  <c r="H46" i="1" s="1"/>
  <c r="G46" i="1" a="1"/>
  <c r="G46" i="1" s="1"/>
  <c r="F46" i="1" a="1"/>
  <c r="F46" i="1" s="1"/>
  <c r="E46" i="1" a="1"/>
  <c r="E46" i="1" s="1"/>
  <c r="B46" i="1" a="1"/>
  <c r="B46" i="1" s="1"/>
  <c r="BG45" i="1"/>
  <c r="BE45" i="1"/>
  <c r="BB45" i="1"/>
  <c r="BA45" i="1"/>
  <c r="AL45" i="1"/>
  <c r="AM45" i="1" s="1"/>
  <c r="AB45" i="1"/>
  <c r="AC45" i="1" s="1"/>
  <c r="H45" i="1" a="1"/>
  <c r="H45" i="1" s="1"/>
  <c r="BJ45" i="1" s="1"/>
  <c r="G45" i="1" a="1"/>
  <c r="G45" i="1" s="1"/>
  <c r="F45" i="1" a="1"/>
  <c r="F45" i="1" s="1"/>
  <c r="E45" i="1" a="1"/>
  <c r="E45" i="1" s="1"/>
  <c r="B45" i="1" a="1"/>
  <c r="B45" i="1" s="1"/>
  <c r="BG44" i="1"/>
  <c r="BE44" i="1"/>
  <c r="BB44" i="1"/>
  <c r="BA44" i="1"/>
  <c r="AL44" i="1"/>
  <c r="AM44" i="1" s="1"/>
  <c r="AB44" i="1"/>
  <c r="AC44" i="1" s="1"/>
  <c r="H44" i="1" a="1"/>
  <c r="H44" i="1" s="1"/>
  <c r="G44" i="1" a="1"/>
  <c r="G44" i="1" s="1"/>
  <c r="F44" i="1" a="1"/>
  <c r="F44" i="1" s="1"/>
  <c r="E44" i="1" a="1"/>
  <c r="E44" i="1" s="1"/>
  <c r="B44" i="1" a="1"/>
  <c r="B44" i="1" s="1"/>
  <c r="BG43" i="1"/>
  <c r="BE43" i="1"/>
  <c r="BB43" i="1"/>
  <c r="BA43" i="1"/>
  <c r="AL43" i="1"/>
  <c r="AM43" i="1" s="1"/>
  <c r="AB43" i="1"/>
  <c r="AC43" i="1" s="1"/>
  <c r="H43" i="1" a="1"/>
  <c r="H43" i="1" s="1"/>
  <c r="BJ43" i="1" s="1"/>
  <c r="G43" i="1" a="1"/>
  <c r="G43" i="1" s="1"/>
  <c r="F43" i="1" a="1"/>
  <c r="F43" i="1" s="1"/>
  <c r="E43" i="1" a="1"/>
  <c r="E43" i="1" s="1"/>
  <c r="B43" i="1" a="1"/>
  <c r="B43" i="1" s="1"/>
  <c r="BG42" i="1"/>
  <c r="BE42" i="1"/>
  <c r="BB42" i="1"/>
  <c r="BA42" i="1"/>
  <c r="AL42" i="1"/>
  <c r="AM42" i="1" s="1"/>
  <c r="AB42" i="1"/>
  <c r="AC42" i="1" s="1"/>
  <c r="H42" i="1" a="1"/>
  <c r="H42" i="1" s="1"/>
  <c r="G42" i="1" a="1"/>
  <c r="G42" i="1" s="1"/>
  <c r="F42" i="1" a="1"/>
  <c r="F42" i="1" s="1"/>
  <c r="E42" i="1" a="1"/>
  <c r="E42" i="1" s="1"/>
  <c r="B42" i="1" a="1"/>
  <c r="B42" i="1" s="1"/>
  <c r="BG41" i="1"/>
  <c r="BE41" i="1"/>
  <c r="BB41" i="1"/>
  <c r="BA41" i="1"/>
  <c r="AL41" i="1"/>
  <c r="AM41" i="1" s="1"/>
  <c r="AB41" i="1"/>
  <c r="AC41" i="1" s="1"/>
  <c r="H41" i="1" a="1"/>
  <c r="H41" i="1" s="1"/>
  <c r="G41" i="1" a="1"/>
  <c r="G41" i="1" s="1"/>
  <c r="F41" i="1" a="1"/>
  <c r="F41" i="1" s="1"/>
  <c r="E41" i="1" a="1"/>
  <c r="E41" i="1" s="1"/>
  <c r="B41" i="1" a="1"/>
  <c r="B41" i="1" s="1"/>
  <c r="BG40" i="1"/>
  <c r="BE40" i="1"/>
  <c r="BB40" i="1"/>
  <c r="BA40" i="1"/>
  <c r="AL40" i="1"/>
  <c r="AM40" i="1" s="1"/>
  <c r="AB40" i="1"/>
  <c r="AC40" i="1" s="1"/>
  <c r="H40" i="1" a="1"/>
  <c r="H40" i="1" s="1"/>
  <c r="BJ40" i="1" s="1"/>
  <c r="G40" i="1" a="1"/>
  <c r="G40" i="1" s="1"/>
  <c r="F40" i="1" a="1"/>
  <c r="F40" i="1" s="1"/>
  <c r="E40" i="1" a="1"/>
  <c r="E40" i="1" s="1"/>
  <c r="B40" i="1" a="1"/>
  <c r="B40" i="1" s="1"/>
  <c r="BG39" i="1"/>
  <c r="BE39" i="1"/>
  <c r="BB39" i="1"/>
  <c r="BA39" i="1"/>
  <c r="AL39" i="1"/>
  <c r="AM39" i="1" s="1"/>
  <c r="AB39" i="1"/>
  <c r="AC39" i="1" s="1"/>
  <c r="H39" i="1" a="1"/>
  <c r="H39" i="1" s="1"/>
  <c r="BJ39" i="1" s="1"/>
  <c r="G39" i="1" a="1"/>
  <c r="G39" i="1" s="1"/>
  <c r="F39" i="1" a="1"/>
  <c r="F39" i="1" s="1"/>
  <c r="E39" i="1" a="1"/>
  <c r="E39" i="1" s="1"/>
  <c r="B39" i="1" a="1"/>
  <c r="B39" i="1" s="1"/>
  <c r="BG38" i="1"/>
  <c r="BE38" i="1"/>
  <c r="BB38" i="1"/>
  <c r="BA38" i="1"/>
  <c r="AL38" i="1"/>
  <c r="AM38" i="1" s="1"/>
  <c r="AB38" i="1"/>
  <c r="AC38" i="1" s="1"/>
  <c r="H38" i="1" a="1"/>
  <c r="H38" i="1" s="1"/>
  <c r="G38" i="1" a="1"/>
  <c r="G38" i="1" s="1"/>
  <c r="F38" i="1" a="1"/>
  <c r="F38" i="1" s="1"/>
  <c r="E38" i="1" a="1"/>
  <c r="E38" i="1" s="1"/>
  <c r="B38" i="1" a="1"/>
  <c r="B38" i="1" s="1"/>
  <c r="BG37" i="1"/>
  <c r="BE37" i="1"/>
  <c r="BB37" i="1"/>
  <c r="BA37" i="1"/>
  <c r="AL37" i="1"/>
  <c r="AM37" i="1" s="1"/>
  <c r="AB37" i="1"/>
  <c r="AC37" i="1" s="1"/>
  <c r="H37" i="1" a="1"/>
  <c r="H37" i="1" s="1"/>
  <c r="G37" i="1" a="1"/>
  <c r="G37" i="1" s="1"/>
  <c r="F37" i="1" a="1"/>
  <c r="F37" i="1" s="1"/>
  <c r="E37" i="1" a="1"/>
  <c r="E37" i="1" s="1"/>
  <c r="B37" i="1" a="1"/>
  <c r="B37" i="1" s="1"/>
  <c r="BG36" i="1"/>
  <c r="BE36" i="1"/>
  <c r="BB36" i="1"/>
  <c r="BA36" i="1"/>
  <c r="AL36" i="1"/>
  <c r="AM36" i="1" s="1"/>
  <c r="AB36" i="1"/>
  <c r="AC36" i="1" s="1"/>
  <c r="H36" i="1" a="1"/>
  <c r="H36" i="1" s="1"/>
  <c r="G36" i="1" a="1"/>
  <c r="G36" i="1" s="1"/>
  <c r="F36" i="1" a="1"/>
  <c r="F36" i="1" s="1"/>
  <c r="E36" i="1" a="1"/>
  <c r="E36" i="1" s="1"/>
  <c r="B36" i="1" a="1"/>
  <c r="B36" i="1" s="1"/>
  <c r="BG35" i="1"/>
  <c r="BE35" i="1"/>
  <c r="BB35" i="1"/>
  <c r="BA35" i="1"/>
  <c r="AL35" i="1"/>
  <c r="AM35" i="1" s="1"/>
  <c r="AB35" i="1"/>
  <c r="AC35" i="1" s="1"/>
  <c r="H35" i="1" a="1"/>
  <c r="H35" i="1" s="1"/>
  <c r="G35" i="1" a="1"/>
  <c r="G35" i="1" s="1"/>
  <c r="F35" i="1" a="1"/>
  <c r="F35" i="1" s="1"/>
  <c r="B35" i="1" a="1"/>
  <c r="B35" i="1" s="1"/>
  <c r="BG34" i="1"/>
  <c r="BE34" i="1"/>
  <c r="BB34" i="1"/>
  <c r="BA34" i="1"/>
  <c r="AL34" i="1"/>
  <c r="AM34" i="1" s="1"/>
  <c r="AB34" i="1"/>
  <c r="AC34" i="1" s="1"/>
  <c r="H34" i="1" a="1"/>
  <c r="H34" i="1" s="1"/>
  <c r="G34" i="1" a="1"/>
  <c r="G34" i="1" s="1"/>
  <c r="F34" i="1" a="1"/>
  <c r="F34" i="1" s="1"/>
  <c r="E34" i="1" a="1"/>
  <c r="E34" i="1" s="1"/>
  <c r="B34" i="1" a="1"/>
  <c r="B34" i="1" s="1"/>
  <c r="BG33" i="1"/>
  <c r="BE33" i="1"/>
  <c r="BB33" i="1"/>
  <c r="BA33" i="1"/>
  <c r="AL33" i="1"/>
  <c r="AM33" i="1" s="1"/>
  <c r="AB33" i="1"/>
  <c r="AC33" i="1" s="1"/>
  <c r="H33" i="1" a="1"/>
  <c r="H33" i="1" s="1"/>
  <c r="G33" i="1" a="1"/>
  <c r="G33" i="1" s="1"/>
  <c r="F33" i="1" a="1"/>
  <c r="F33" i="1" s="1"/>
  <c r="E33" i="1" a="1"/>
  <c r="E33" i="1" s="1"/>
  <c r="B33" i="1" a="1"/>
  <c r="B33" i="1" s="1"/>
  <c r="BG32" i="1"/>
  <c r="BE32" i="1"/>
  <c r="BB32" i="1"/>
  <c r="BA32" i="1"/>
  <c r="AL32" i="1"/>
  <c r="AM32" i="1" s="1"/>
  <c r="AB32" i="1"/>
  <c r="AC32" i="1" s="1"/>
  <c r="H32" i="1" a="1"/>
  <c r="H32" i="1" s="1"/>
  <c r="BJ32" i="1" s="1"/>
  <c r="G32" i="1" a="1"/>
  <c r="G32" i="1" s="1"/>
  <c r="F32" i="1" a="1"/>
  <c r="F32" i="1" s="1"/>
  <c r="E32" i="1" a="1"/>
  <c r="E32" i="1" s="1"/>
  <c r="B32" i="1" a="1"/>
  <c r="B32" i="1" s="1"/>
  <c r="BG31" i="1"/>
  <c r="BE31" i="1"/>
  <c r="BB31" i="1"/>
  <c r="BA31" i="1"/>
  <c r="AL31" i="1"/>
  <c r="AM31" i="1" s="1"/>
  <c r="AB31" i="1"/>
  <c r="AC31" i="1" s="1"/>
  <c r="H31" i="1" a="1"/>
  <c r="H31" i="1" s="1"/>
  <c r="BJ31" i="1" s="1"/>
  <c r="G31" i="1" a="1"/>
  <c r="G31" i="1" s="1"/>
  <c r="F31" i="1" a="1"/>
  <c r="F31" i="1" s="1"/>
  <c r="E31" i="1" a="1"/>
  <c r="E31" i="1" s="1"/>
  <c r="B31" i="1" a="1"/>
  <c r="B31" i="1" s="1"/>
  <c r="BG30" i="1"/>
  <c r="BE30" i="1"/>
  <c r="BB30" i="1"/>
  <c r="BA30" i="1"/>
  <c r="AL30" i="1"/>
  <c r="AM30" i="1" s="1"/>
  <c r="AB30" i="1"/>
  <c r="AC30" i="1" s="1"/>
  <c r="H30" i="1" a="1"/>
  <c r="H30" i="1" s="1"/>
  <c r="G30" i="1" a="1"/>
  <c r="G30" i="1" s="1"/>
  <c r="F30" i="1" a="1"/>
  <c r="F30" i="1" s="1"/>
  <c r="E30" i="1" a="1"/>
  <c r="E30" i="1" s="1"/>
  <c r="B30" i="1" a="1"/>
  <c r="B30" i="1" s="1"/>
  <c r="BG29" i="1"/>
  <c r="BE29" i="1"/>
  <c r="BB29" i="1"/>
  <c r="BA29" i="1"/>
  <c r="AL29" i="1"/>
  <c r="AM29" i="1" s="1"/>
  <c r="AB29" i="1"/>
  <c r="AC29" i="1" s="1"/>
  <c r="H29" i="1" a="1"/>
  <c r="H29" i="1" s="1"/>
  <c r="G29" i="1" a="1"/>
  <c r="G29" i="1" s="1"/>
  <c r="F29" i="1" a="1"/>
  <c r="F29" i="1" s="1"/>
  <c r="E29" i="1" a="1"/>
  <c r="E29" i="1" s="1"/>
  <c r="B29" i="1" a="1"/>
  <c r="B29" i="1" s="1"/>
  <c r="BG28" i="1"/>
  <c r="BE28" i="1"/>
  <c r="BB28" i="1"/>
  <c r="BA28" i="1"/>
  <c r="AL28" i="1"/>
  <c r="AM28" i="1" s="1"/>
  <c r="AB28" i="1"/>
  <c r="AC28" i="1" s="1"/>
  <c r="H28" i="1" a="1"/>
  <c r="H28" i="1" s="1"/>
  <c r="BK28" i="1" s="1"/>
  <c r="G28" i="1" a="1"/>
  <c r="G28" i="1" s="1"/>
  <c r="F28" i="1" a="1"/>
  <c r="F28" i="1" s="1"/>
  <c r="E28" i="1" a="1"/>
  <c r="E28" i="1" s="1"/>
  <c r="B28" i="1" a="1"/>
  <c r="B28" i="1" s="1"/>
  <c r="BG27" i="1"/>
  <c r="BE27" i="1"/>
  <c r="BB27" i="1"/>
  <c r="BA27" i="1"/>
  <c r="AL27" i="1"/>
  <c r="AM27" i="1" s="1"/>
  <c r="AB27" i="1"/>
  <c r="AC27" i="1" s="1"/>
  <c r="H27" i="1" a="1"/>
  <c r="H27" i="1" s="1"/>
  <c r="G27" i="1" a="1"/>
  <c r="G27" i="1" s="1"/>
  <c r="F27" i="1" a="1"/>
  <c r="F27" i="1" s="1"/>
  <c r="E27" i="1" a="1"/>
  <c r="E27" i="1" s="1"/>
  <c r="B27" i="1" a="1"/>
  <c r="B27" i="1" s="1"/>
  <c r="BG26" i="1"/>
  <c r="BE26" i="1"/>
  <c r="BB26" i="1"/>
  <c r="BA26" i="1"/>
  <c r="AL26" i="1"/>
  <c r="AM26" i="1" s="1"/>
  <c r="AB26" i="1"/>
  <c r="AC26" i="1" s="1"/>
  <c r="H26" i="1" a="1"/>
  <c r="H26" i="1" s="1"/>
  <c r="BJ26" i="1" s="1"/>
  <c r="G26" i="1" a="1"/>
  <c r="G26" i="1" s="1"/>
  <c r="F26" i="1" a="1"/>
  <c r="F26" i="1" s="1"/>
  <c r="E26" i="1" a="1"/>
  <c r="E26" i="1" s="1"/>
  <c r="B26" i="1" a="1"/>
  <c r="B26" i="1" s="1"/>
  <c r="BG25" i="1"/>
  <c r="BE25" i="1"/>
  <c r="BB25" i="1"/>
  <c r="BA25" i="1"/>
  <c r="AL25" i="1"/>
  <c r="AM25" i="1" s="1"/>
  <c r="AB25" i="1"/>
  <c r="AC25" i="1" s="1"/>
  <c r="H25" i="1" a="1"/>
  <c r="H25" i="1" s="1"/>
  <c r="BK25" i="1" s="1"/>
  <c r="G25" i="1" a="1"/>
  <c r="G25" i="1" s="1"/>
  <c r="F25" i="1" a="1"/>
  <c r="F25" i="1" s="1"/>
  <c r="E25" i="1" a="1"/>
  <c r="E25" i="1" s="1"/>
  <c r="B25" i="1" a="1"/>
  <c r="B25" i="1" s="1"/>
  <c r="BG24" i="1"/>
  <c r="BE24" i="1"/>
  <c r="BB24" i="1"/>
  <c r="BA24" i="1"/>
  <c r="AL24" i="1"/>
  <c r="AM24" i="1" s="1"/>
  <c r="AB24" i="1"/>
  <c r="AC24" i="1" s="1"/>
  <c r="H24" i="1" a="1"/>
  <c r="H24" i="1" s="1"/>
  <c r="BJ24" i="1" s="1"/>
  <c r="G24" i="1" a="1"/>
  <c r="G24" i="1" s="1"/>
  <c r="F24" i="1" a="1"/>
  <c r="F24" i="1" s="1"/>
  <c r="E24" i="1" a="1"/>
  <c r="E24" i="1" s="1"/>
  <c r="B24" i="1" a="1"/>
  <c r="B24" i="1" s="1"/>
  <c r="BG23" i="1"/>
  <c r="BE23" i="1"/>
  <c r="BB23" i="1"/>
  <c r="BA23" i="1"/>
  <c r="AL23" i="1"/>
  <c r="AM23" i="1" s="1"/>
  <c r="AB23" i="1"/>
  <c r="AC23" i="1" s="1"/>
  <c r="H23" i="1" a="1"/>
  <c r="H23" i="1" s="1"/>
  <c r="G23" i="1" a="1"/>
  <c r="G23" i="1" s="1"/>
  <c r="F23" i="1" a="1"/>
  <c r="F23" i="1" s="1"/>
  <c r="E23" i="1" a="1"/>
  <c r="E23" i="1" s="1"/>
  <c r="B23" i="1" a="1"/>
  <c r="B23" i="1" s="1"/>
  <c r="O27" i="3" s="1"/>
  <c r="BG22" i="1"/>
  <c r="BE22" i="1"/>
  <c r="BB22" i="1"/>
  <c r="BA22" i="1"/>
  <c r="AL22" i="1"/>
  <c r="AM22" i="1" s="1"/>
  <c r="AB22" i="1"/>
  <c r="AC22" i="1" s="1"/>
  <c r="H22" i="1" a="1"/>
  <c r="H22" i="1" s="1"/>
  <c r="BJ22" i="1" s="1"/>
  <c r="G22" i="1" a="1"/>
  <c r="G22" i="1" s="1"/>
  <c r="F22" i="1" a="1"/>
  <c r="F22" i="1" s="1"/>
  <c r="E22" i="1" a="1"/>
  <c r="E22" i="1" s="1"/>
  <c r="B22" i="1" a="1"/>
  <c r="B22" i="1" s="1"/>
  <c r="O26" i="3" s="1"/>
  <c r="BG21" i="1"/>
  <c r="BE21" i="1"/>
  <c r="BB21" i="1"/>
  <c r="BA21" i="1"/>
  <c r="AL21" i="1"/>
  <c r="AM21" i="1" s="1"/>
  <c r="AB21" i="1"/>
  <c r="AC21" i="1" s="1"/>
  <c r="H21" i="1" a="1"/>
  <c r="H21" i="1" s="1"/>
  <c r="G21" i="1" a="1"/>
  <c r="G21" i="1" s="1"/>
  <c r="F21" i="1" a="1"/>
  <c r="F21" i="1" s="1"/>
  <c r="E21" i="1" a="1"/>
  <c r="E21" i="1" s="1"/>
  <c r="B21" i="1" a="1"/>
  <c r="B21" i="1" s="1"/>
  <c r="O25" i="3" s="1"/>
  <c r="BG20" i="1"/>
  <c r="BE20" i="1"/>
  <c r="BB20" i="1"/>
  <c r="BA20" i="1"/>
  <c r="AL20" i="1"/>
  <c r="AM20" i="1" s="1"/>
  <c r="AB20" i="1"/>
  <c r="AC20" i="1" s="1"/>
  <c r="H20" i="1" a="1"/>
  <c r="H20" i="1" s="1"/>
  <c r="BJ20" i="1" s="1"/>
  <c r="G20" i="1" a="1"/>
  <c r="G20" i="1" s="1"/>
  <c r="F20" i="1" a="1"/>
  <c r="F20" i="1" s="1"/>
  <c r="E20" i="1" a="1"/>
  <c r="E20" i="1" s="1"/>
  <c r="B20" i="1" a="1"/>
  <c r="B20" i="1" s="1"/>
  <c r="BG19" i="1"/>
  <c r="BE19" i="1"/>
  <c r="BB19" i="1"/>
  <c r="BA19" i="1"/>
  <c r="AL19" i="1"/>
  <c r="AM19" i="1" s="1"/>
  <c r="AB19" i="1"/>
  <c r="AC19" i="1" s="1"/>
  <c r="H19" i="1" a="1"/>
  <c r="H19" i="1" s="1"/>
  <c r="BJ19" i="1" s="1"/>
  <c r="G19" i="1" a="1"/>
  <c r="G19" i="1" s="1"/>
  <c r="F19" i="1" a="1"/>
  <c r="F19" i="1" s="1"/>
  <c r="E19" i="1" a="1"/>
  <c r="E19" i="1" s="1"/>
  <c r="B19" i="1" a="1"/>
  <c r="B19" i="1" s="1"/>
  <c r="O23" i="3" s="1"/>
  <c r="BG18" i="1"/>
  <c r="BE18" i="1"/>
  <c r="BB18" i="1"/>
  <c r="BA18" i="1"/>
  <c r="AL18" i="1"/>
  <c r="AM18" i="1" s="1"/>
  <c r="E22" i="3" s="1"/>
  <c r="AB18" i="1"/>
  <c r="AC18" i="1" s="1"/>
  <c r="H18" i="1" a="1"/>
  <c r="H18" i="1" s="1"/>
  <c r="G18" i="1" a="1"/>
  <c r="G18" i="1" s="1"/>
  <c r="F18" i="1" a="1"/>
  <c r="F18" i="1" s="1"/>
  <c r="E18" i="1" a="1"/>
  <c r="E18" i="1" s="1"/>
  <c r="B18" i="1" a="1"/>
  <c r="B18" i="1" s="1"/>
  <c r="BG17" i="1"/>
  <c r="BE17" i="1"/>
  <c r="BB17" i="1"/>
  <c r="BA17" i="1"/>
  <c r="AL17" i="1"/>
  <c r="AM17" i="1" s="1"/>
  <c r="E21" i="3" s="1"/>
  <c r="AB17" i="1"/>
  <c r="AC17" i="1" s="1"/>
  <c r="D21" i="3" s="1"/>
  <c r="C21" i="3"/>
  <c r="H17" i="1" a="1"/>
  <c r="H17" i="1" s="1"/>
  <c r="BJ17" i="1" s="1"/>
  <c r="G17" i="1" a="1"/>
  <c r="G17" i="1" s="1"/>
  <c r="F17" i="1" a="1"/>
  <c r="F17" i="1" s="1"/>
  <c r="E17" i="1" a="1"/>
  <c r="E17" i="1" s="1"/>
  <c r="B17" i="1" a="1"/>
  <c r="B17" i="1" s="1"/>
  <c r="BG16" i="1"/>
  <c r="BE16" i="1"/>
  <c r="BB16" i="1"/>
  <c r="BA16" i="1"/>
  <c r="AL16" i="1"/>
  <c r="AM16" i="1" s="1"/>
  <c r="E20" i="3" s="1"/>
  <c r="AB16" i="1"/>
  <c r="AC16" i="1" s="1"/>
  <c r="H16" i="1" a="1"/>
  <c r="H16" i="1" s="1"/>
  <c r="BK16" i="1" s="1"/>
  <c r="G16" i="1" a="1"/>
  <c r="G16" i="1" s="1"/>
  <c r="F16" i="1" a="1"/>
  <c r="F16" i="1" s="1"/>
  <c r="E16" i="1" a="1"/>
  <c r="E16" i="1" s="1"/>
  <c r="B16" i="1" a="1"/>
  <c r="B16" i="1" s="1"/>
  <c r="BG15" i="1"/>
  <c r="BE15" i="1"/>
  <c r="BB15" i="1"/>
  <c r="BA15" i="1"/>
  <c r="AL15" i="1"/>
  <c r="AM15" i="1" s="1"/>
  <c r="E19" i="3" s="1"/>
  <c r="AB15" i="1"/>
  <c r="AC15" i="1" s="1"/>
  <c r="D19" i="3" s="1"/>
  <c r="C19" i="3"/>
  <c r="H15" i="1" a="1"/>
  <c r="H15" i="1" s="1"/>
  <c r="G15" i="1" a="1"/>
  <c r="G15" i="1" s="1"/>
  <c r="F15" i="1" a="1"/>
  <c r="F15" i="1" s="1"/>
  <c r="E15" i="1" a="1"/>
  <c r="E15" i="1" s="1"/>
  <c r="B15" i="1" a="1"/>
  <c r="B15" i="1" s="1"/>
  <c r="BG14" i="1"/>
  <c r="BE14" i="1"/>
  <c r="BB14" i="1"/>
  <c r="BA14" i="1"/>
  <c r="AL14" i="1"/>
  <c r="AM14" i="1" s="1"/>
  <c r="E18" i="3" s="1"/>
  <c r="AB14" i="1"/>
  <c r="AC14" i="1" s="1"/>
  <c r="D18" i="3" s="1"/>
  <c r="H14" i="1" a="1"/>
  <c r="H14" i="1" s="1"/>
  <c r="G14" i="1" a="1"/>
  <c r="G14" i="1" s="1"/>
  <c r="F14" i="1" a="1"/>
  <c r="F14" i="1" s="1"/>
  <c r="E14" i="1" a="1"/>
  <c r="E14" i="1" s="1"/>
  <c r="B14" i="1" a="1"/>
  <c r="B14" i="1" s="1"/>
  <c r="BG13" i="1"/>
  <c r="BE13" i="1"/>
  <c r="BB13" i="1"/>
  <c r="BA13" i="1"/>
  <c r="AL13" i="1"/>
  <c r="AM13" i="1" s="1"/>
  <c r="AB13" i="1"/>
  <c r="AC13" i="1" s="1"/>
  <c r="D17" i="3" s="1"/>
  <c r="C17" i="3"/>
  <c r="H13" i="1" a="1"/>
  <c r="H13" i="1" s="1"/>
  <c r="BJ13" i="1" s="1"/>
  <c r="G13" i="1" a="1"/>
  <c r="G13" i="1" s="1"/>
  <c r="F13" i="1" a="1"/>
  <c r="F13" i="1" s="1"/>
  <c r="E13" i="1" a="1"/>
  <c r="E13" i="1" s="1"/>
  <c r="B13" i="1" a="1"/>
  <c r="B13" i="1" s="1"/>
  <c r="BG12" i="1"/>
  <c r="BE12" i="1"/>
  <c r="BB12" i="1"/>
  <c r="BA12" i="1"/>
  <c r="AL12" i="1"/>
  <c r="AM12" i="1" s="1"/>
  <c r="E16" i="3" s="1"/>
  <c r="AB12" i="1"/>
  <c r="AC12" i="1" s="1"/>
  <c r="C16" i="3"/>
  <c r="H12" i="1" a="1"/>
  <c r="H12" i="1" s="1"/>
  <c r="G12" i="1" a="1"/>
  <c r="G12" i="1" s="1"/>
  <c r="F12" i="1" a="1"/>
  <c r="F12" i="1" s="1"/>
  <c r="E12" i="1" a="1"/>
  <c r="E12" i="1" s="1"/>
  <c r="B12" i="1" a="1"/>
  <c r="B12" i="1" s="1"/>
  <c r="BG11" i="1"/>
  <c r="BE11" i="1"/>
  <c r="BB11" i="1"/>
  <c r="BA11" i="1"/>
  <c r="AL11" i="1"/>
  <c r="AM11" i="1" s="1"/>
  <c r="AB11" i="1"/>
  <c r="AC11" i="1" s="1"/>
  <c r="C15" i="3"/>
  <c r="H11" i="1" a="1"/>
  <c r="H11" i="1" s="1"/>
  <c r="BJ11" i="1" s="1"/>
  <c r="G11" i="1" a="1"/>
  <c r="G11" i="1" s="1"/>
  <c r="F11" i="1" a="1"/>
  <c r="F11" i="1" s="1"/>
  <c r="E11" i="1" a="1"/>
  <c r="E11" i="1" s="1"/>
  <c r="B11" i="1" a="1"/>
  <c r="B11" i="1" s="1"/>
  <c r="BG10" i="1"/>
  <c r="BE10" i="1"/>
  <c r="BB10" i="1"/>
  <c r="BA10" i="1"/>
  <c r="AL10" i="1"/>
  <c r="AM10" i="1" s="1"/>
  <c r="AB10" i="1"/>
  <c r="AC10" i="1" s="1"/>
  <c r="H10" i="1" a="1"/>
  <c r="H10" i="1" s="1"/>
  <c r="G10" i="1" a="1"/>
  <c r="G10" i="1" s="1"/>
  <c r="F10" i="1" a="1"/>
  <c r="F10" i="1" s="1"/>
  <c r="E10" i="1" a="1"/>
  <c r="E10" i="1" s="1"/>
  <c r="B10" i="1" a="1"/>
  <c r="B10" i="1" s="1"/>
  <c r="BG9" i="1"/>
  <c r="BE9" i="1"/>
  <c r="BB9" i="1"/>
  <c r="BA9" i="1"/>
  <c r="AL9" i="1"/>
  <c r="AM9" i="1" s="1"/>
  <c r="AB9" i="1"/>
  <c r="AC9" i="1" s="1"/>
  <c r="D13" i="3" s="1"/>
  <c r="C13" i="3"/>
  <c r="H9" i="1" a="1"/>
  <c r="H9" i="1" s="1"/>
  <c r="G9" i="1" a="1"/>
  <c r="G9" i="1" s="1"/>
  <c r="F9" i="1" a="1"/>
  <c r="F9" i="1" s="1"/>
  <c r="E9" i="1" a="1"/>
  <c r="E9" i="1" s="1"/>
  <c r="B9" i="1" a="1"/>
  <c r="B9" i="1" s="1"/>
  <c r="BG8" i="1"/>
  <c r="BE8" i="1"/>
  <c r="BB8" i="1"/>
  <c r="BA8" i="1"/>
  <c r="AL8" i="1"/>
  <c r="AM8" i="1" s="1"/>
  <c r="AB8" i="1"/>
  <c r="AC8" i="1" s="1"/>
  <c r="D12" i="3" s="1"/>
  <c r="H8" i="1" a="1"/>
  <c r="H8" i="1" s="1"/>
  <c r="G8" i="1" a="1"/>
  <c r="G8" i="1" s="1"/>
  <c r="F8" i="1" a="1"/>
  <c r="F8" i="1" s="1"/>
  <c r="E8" i="1" a="1"/>
  <c r="E8" i="1" s="1"/>
  <c r="B8" i="1" a="1"/>
  <c r="B8" i="1" s="1"/>
  <c r="BG7" i="1"/>
  <c r="BE7" i="1"/>
  <c r="BB7" i="1"/>
  <c r="BA7" i="1"/>
  <c r="AL7" i="1"/>
  <c r="AM7" i="1" s="1"/>
  <c r="AB7" i="1"/>
  <c r="AC7" i="1" s="1"/>
  <c r="H7" i="1" a="1"/>
  <c r="H7" i="1" s="1"/>
  <c r="BK7" i="1" s="1"/>
  <c r="G7" i="1" a="1"/>
  <c r="G7" i="1" s="1"/>
  <c r="F7" i="1" a="1"/>
  <c r="F7" i="1" s="1"/>
  <c r="E7" i="1" a="1"/>
  <c r="E7" i="1" s="1"/>
  <c r="B7" i="1" a="1"/>
  <c r="B7" i="1" s="1"/>
  <c r="BG6" i="1"/>
  <c r="BE6" i="1"/>
  <c r="BB6" i="1"/>
  <c r="BA6" i="1"/>
  <c r="AL6" i="1"/>
  <c r="AM6" i="1" s="1"/>
  <c r="AB6" i="1"/>
  <c r="AC6" i="1" s="1"/>
  <c r="H6" i="1" a="1"/>
  <c r="H6" i="1" s="1"/>
  <c r="G6" i="1" a="1"/>
  <c r="G6" i="1" s="1"/>
  <c r="F6" i="1" a="1"/>
  <c r="F6" i="1" s="1"/>
  <c r="E6" i="1" a="1"/>
  <c r="E6" i="1" s="1"/>
  <c r="B6" i="1" a="1"/>
  <c r="B6" i="1" s="1"/>
  <c r="BG5" i="1"/>
  <c r="BE5" i="1"/>
  <c r="BB5" i="1"/>
  <c r="BA5" i="1"/>
  <c r="AL5" i="1"/>
  <c r="AM5" i="1" s="1"/>
  <c r="AB5" i="1"/>
  <c r="AC5" i="1" s="1"/>
  <c r="D9" i="3" s="1"/>
  <c r="C9" i="3"/>
  <c r="H5" i="1" a="1"/>
  <c r="H5" i="1" s="1"/>
  <c r="BJ5" i="1" s="1"/>
  <c r="G5" i="1" a="1"/>
  <c r="G5" i="1" s="1"/>
  <c r="F5" i="1" a="1"/>
  <c r="F5" i="1" s="1"/>
  <c r="E5" i="1" a="1"/>
  <c r="E5" i="1" s="1"/>
  <c r="B5" i="1" a="1"/>
  <c r="B5" i="1" s="1"/>
  <c r="I88" i="3" s="1"/>
  <c r="BG4" i="1"/>
  <c r="BE4" i="1"/>
  <c r="BB4" i="1"/>
  <c r="BA4" i="1"/>
  <c r="AL4" i="1"/>
  <c r="AM4" i="1" s="1"/>
  <c r="AB4" i="1"/>
  <c r="AC4" i="1" s="1"/>
  <c r="BK4" i="1"/>
  <c r="G4" i="1" a="1"/>
  <c r="G4" i="1" s="1"/>
  <c r="BL4" i="1" s="1"/>
  <c r="F4" i="1" a="1"/>
  <c r="F4" i="1" s="1"/>
  <c r="E4" i="1" a="1"/>
  <c r="E4" i="1" s="1"/>
  <c r="B4" i="1" a="1"/>
  <c r="B4" i="1" s="1"/>
  <c r="BL45" i="1" l="1"/>
  <c r="BL39" i="1"/>
  <c r="BL11" i="1"/>
  <c r="AN28" i="1"/>
  <c r="AN34" i="1"/>
  <c r="BL40" i="1"/>
  <c r="BL48" i="1"/>
  <c r="BL58" i="1"/>
  <c r="BL47" i="1"/>
  <c r="BM16" i="1"/>
  <c r="AC20" i="3" s="1"/>
  <c r="BL19" i="1"/>
  <c r="BM64" i="1"/>
  <c r="BL17" i="1"/>
  <c r="AB21" i="3" s="1"/>
  <c r="BL22" i="1"/>
  <c r="BL13" i="1"/>
  <c r="BL20" i="1"/>
  <c r="BM28" i="1"/>
  <c r="AN20" i="1"/>
  <c r="BL31" i="1"/>
  <c r="BC49" i="1"/>
  <c r="BL52" i="1"/>
  <c r="AN60" i="1"/>
  <c r="BL26" i="1"/>
  <c r="BL24" i="1"/>
  <c r="BL32" i="1"/>
  <c r="BL43" i="1"/>
  <c r="AN24" i="1"/>
  <c r="BM4" i="1"/>
  <c r="BM7" i="1"/>
  <c r="F77" i="3" s="1"/>
  <c r="BL5" i="1"/>
  <c r="BM59" i="1"/>
  <c r="BM25" i="1"/>
  <c r="B69" i="3"/>
  <c r="AN33" i="1"/>
  <c r="AN4" i="1"/>
  <c r="B65" i="3"/>
  <c r="AN37" i="1"/>
  <c r="B70" i="3"/>
  <c r="B71" i="3"/>
  <c r="B73" i="3"/>
  <c r="BC35" i="1"/>
  <c r="AN42" i="1"/>
  <c r="AN58" i="1"/>
  <c r="AN61" i="1"/>
  <c r="AN66" i="1"/>
  <c r="AN36" i="1"/>
  <c r="AN54" i="1"/>
  <c r="AN64" i="1"/>
  <c r="AN62" i="1"/>
  <c r="BC28" i="1"/>
  <c r="BC7" i="1"/>
  <c r="I11" i="3" s="1"/>
  <c r="AN50" i="1"/>
  <c r="AN55" i="1"/>
  <c r="BC16" i="1"/>
  <c r="I20" i="3" s="1"/>
  <c r="AN32" i="1"/>
  <c r="AN22" i="1"/>
  <c r="P26" i="3" s="1"/>
  <c r="BC48" i="1"/>
  <c r="AW71" i="1"/>
  <c r="AN44" i="1"/>
  <c r="AN49" i="1"/>
  <c r="AN51" i="1"/>
  <c r="AN56" i="1"/>
  <c r="BC58" i="1"/>
  <c r="AN63" i="1"/>
  <c r="BC13" i="1"/>
  <c r="I17" i="3" s="1"/>
  <c r="BC17" i="1"/>
  <c r="I21" i="3" s="1"/>
  <c r="AN26" i="1"/>
  <c r="AN31" i="1"/>
  <c r="AN39" i="1"/>
  <c r="BC46" i="1"/>
  <c r="AN59" i="1"/>
  <c r="AN21" i="1"/>
  <c r="P25" i="3" s="1"/>
  <c r="BC36" i="1"/>
  <c r="AN12" i="1"/>
  <c r="AN29" i="1"/>
  <c r="AN45" i="1"/>
  <c r="AN47" i="1"/>
  <c r="AN52" i="1"/>
  <c r="AN57" i="1"/>
  <c r="AN19" i="1"/>
  <c r="P23" i="3" s="1"/>
  <c r="AN40" i="1"/>
  <c r="AN65" i="1"/>
  <c r="AN43" i="1"/>
  <c r="AN48" i="1"/>
  <c r="BC52" i="1"/>
  <c r="F74" i="3"/>
  <c r="AN25" i="1"/>
  <c r="AN30" i="1"/>
  <c r="AN38" i="1"/>
  <c r="AN46" i="1"/>
  <c r="AN53" i="1"/>
  <c r="BC55" i="1"/>
  <c r="BC62" i="1"/>
  <c r="D15" i="3"/>
  <c r="AN11" i="1"/>
  <c r="D11" i="3"/>
  <c r="AN7" i="1"/>
  <c r="D22" i="3"/>
  <c r="AN18" i="1"/>
  <c r="AN27" i="1"/>
  <c r="D10" i="3"/>
  <c r="AN6" i="1"/>
  <c r="AN8" i="1"/>
  <c r="AN35" i="1"/>
  <c r="BC9" i="1"/>
  <c r="I13" i="3" s="1"/>
  <c r="AN13" i="1"/>
  <c r="BC21" i="1"/>
  <c r="BC5" i="1"/>
  <c r="BK50" i="1"/>
  <c r="BM50" i="1" s="1"/>
  <c r="BC56" i="1"/>
  <c r="AN15" i="1"/>
  <c r="AN23" i="1"/>
  <c r="P27" i="3" s="1"/>
  <c r="BC12" i="1"/>
  <c r="I16" i="3" s="1"/>
  <c r="BC6" i="1"/>
  <c r="T10" i="3" s="1"/>
  <c r="BC24" i="1"/>
  <c r="BC33" i="1"/>
  <c r="AN9" i="1"/>
  <c r="AN41" i="1"/>
  <c r="BC45" i="1"/>
  <c r="BC47" i="1"/>
  <c r="BC41" i="1"/>
  <c r="BC57" i="1"/>
  <c r="BC60" i="1"/>
  <c r="BC65" i="1"/>
  <c r="AN17" i="1"/>
  <c r="AN14" i="1"/>
  <c r="BC66" i="1"/>
  <c r="BC25" i="1"/>
  <c r="BC44" i="1"/>
  <c r="BC53" i="1"/>
  <c r="BC30" i="1"/>
  <c r="D14" i="3"/>
  <c r="AN10" i="1"/>
  <c r="D20" i="3"/>
  <c r="AN16" i="1"/>
  <c r="AN5" i="1"/>
  <c r="BC8" i="1"/>
  <c r="I12" i="3" s="1"/>
  <c r="BK61" i="1"/>
  <c r="BM61" i="1" s="1"/>
  <c r="BJ61" i="1"/>
  <c r="BL61" i="1" s="1"/>
  <c r="AR67" i="1"/>
  <c r="AW67" i="1" s="1"/>
  <c r="BK65" i="1"/>
  <c r="BM65" i="1" s="1"/>
  <c r="BJ65" i="1"/>
  <c r="BL65" i="1" s="1"/>
  <c r="BK63" i="1"/>
  <c r="BM63" i="1" s="1"/>
  <c r="BJ63" i="1"/>
  <c r="BL63" i="1" s="1"/>
  <c r="AY69" i="1"/>
  <c r="AX71" i="1"/>
  <c r="AX69" i="1"/>
  <c r="AW70" i="1"/>
  <c r="AX70" i="1"/>
  <c r="AW68" i="1"/>
  <c r="AX68" i="1"/>
  <c r="BC19" i="1"/>
  <c r="BC26" i="1"/>
  <c r="BC37" i="1"/>
  <c r="BC15" i="1"/>
  <c r="I19" i="3" s="1"/>
  <c r="BC54" i="1"/>
  <c r="BC63" i="1"/>
  <c r="BC11" i="1"/>
  <c r="BC18" i="1"/>
  <c r="I22" i="3" s="1"/>
  <c r="BC29" i="1"/>
  <c r="BC4" i="1"/>
  <c r="T8" i="3" s="1"/>
  <c r="BC32" i="1"/>
  <c r="BC39" i="1"/>
  <c r="BC10" i="1"/>
  <c r="I14" i="3" s="1"/>
  <c r="BC14" i="1"/>
  <c r="I18" i="3" s="1"/>
  <c r="BC27" i="1"/>
  <c r="BC31" i="1"/>
  <c r="BC38" i="1"/>
  <c r="K83" i="3"/>
  <c r="Q83" i="3" s="1"/>
  <c r="N81" i="3"/>
  <c r="B81" i="3"/>
  <c r="L75" i="3"/>
  <c r="C74" i="3"/>
  <c r="M81" i="3"/>
  <c r="P77" i="3"/>
  <c r="D77" i="3"/>
  <c r="K75" i="3"/>
  <c r="Q75" i="3" s="1"/>
  <c r="N74" i="3"/>
  <c r="B74" i="3"/>
  <c r="G88" i="3"/>
  <c r="E83" i="3"/>
  <c r="H83" i="3" s="1"/>
  <c r="L81" i="3"/>
  <c r="C77" i="3"/>
  <c r="M74" i="3"/>
  <c r="A4" i="3"/>
  <c r="P83" i="3"/>
  <c r="D83" i="3"/>
  <c r="K81" i="3"/>
  <c r="Q81" i="3" s="1"/>
  <c r="N77" i="3"/>
  <c r="B77" i="3"/>
  <c r="E75" i="3"/>
  <c r="H75" i="3" s="1"/>
  <c r="L74" i="3"/>
  <c r="C83" i="3"/>
  <c r="M77" i="3"/>
  <c r="P75" i="3"/>
  <c r="D75" i="3"/>
  <c r="K74" i="3"/>
  <c r="Q74" i="3" s="1"/>
  <c r="N83" i="3"/>
  <c r="B83" i="3"/>
  <c r="E81" i="3"/>
  <c r="H81" i="3" s="1"/>
  <c r="L77" i="3"/>
  <c r="C75" i="3"/>
  <c r="M83" i="3"/>
  <c r="P81" i="3"/>
  <c r="D81" i="3"/>
  <c r="K77" i="3"/>
  <c r="Q77" i="3" s="1"/>
  <c r="N75" i="3"/>
  <c r="B75" i="3"/>
  <c r="L83" i="3"/>
  <c r="C81" i="3"/>
  <c r="M75" i="3"/>
  <c r="P74" i="3"/>
  <c r="D74" i="3"/>
  <c r="K88" i="3"/>
  <c r="K89" i="3"/>
  <c r="BC23" i="1"/>
  <c r="BC34" i="1"/>
  <c r="BC43" i="1"/>
  <c r="BC51" i="1"/>
  <c r="BC64" i="1"/>
  <c r="I40" i="1"/>
  <c r="AR40" i="1" s="1"/>
  <c r="AW40" i="1" s="1"/>
  <c r="I21" i="1"/>
  <c r="AR21" i="1" s="1"/>
  <c r="AX21" i="1" s="1"/>
  <c r="I28" i="1"/>
  <c r="AR28" i="1" s="1"/>
  <c r="AX28" i="1" s="1"/>
  <c r="BK11" i="1"/>
  <c r="BM11" i="1" s="1"/>
  <c r="I15" i="1"/>
  <c r="AR15" i="1" s="1"/>
  <c r="AX15" i="1" s="1"/>
  <c r="I19" i="1"/>
  <c r="AR19" i="1" s="1"/>
  <c r="AY19" i="1" s="1"/>
  <c r="I48" i="1"/>
  <c r="AR48" i="1" s="1"/>
  <c r="AX48" i="1" s="1"/>
  <c r="I55" i="1"/>
  <c r="AR55" i="1" s="1"/>
  <c r="AY55" i="1" s="1"/>
  <c r="BC42" i="1"/>
  <c r="BK29" i="1"/>
  <c r="BM29" i="1" s="1"/>
  <c r="BJ29" i="1"/>
  <c r="BL29" i="1" s="1"/>
  <c r="BK40" i="1"/>
  <c r="BM40" i="1" s="1"/>
  <c r="I65" i="1"/>
  <c r="I29" i="1"/>
  <c r="AR29" i="1" s="1"/>
  <c r="AX29" i="1" s="1"/>
  <c r="BK19" i="1"/>
  <c r="BM19" i="1" s="1"/>
  <c r="I16" i="1"/>
  <c r="AR16" i="1" s="1"/>
  <c r="AX16" i="1" s="1"/>
  <c r="I22" i="1"/>
  <c r="AR22" i="1" s="1"/>
  <c r="AY22" i="1" s="1"/>
  <c r="BK21" i="1"/>
  <c r="BM21" i="1" s="1"/>
  <c r="BJ21" i="1"/>
  <c r="BL21" i="1" s="1"/>
  <c r="I33" i="1"/>
  <c r="AR33" i="1" s="1"/>
  <c r="AW33" i="1" s="1"/>
  <c r="I56" i="1"/>
  <c r="AR56" i="1" s="1"/>
  <c r="AX56" i="1" s="1"/>
  <c r="I41" i="1"/>
  <c r="AR41" i="1" s="1"/>
  <c r="AW41" i="1" s="1"/>
  <c r="BJ28" i="1"/>
  <c r="BL28" i="1" s="1"/>
  <c r="I39" i="1"/>
  <c r="AR39" i="1" s="1"/>
  <c r="AY39" i="1" s="1"/>
  <c r="I53" i="1"/>
  <c r="AR53" i="1" s="1"/>
  <c r="AX53" i="1" s="1"/>
  <c r="I47" i="1"/>
  <c r="AR47" i="1" s="1"/>
  <c r="AW47" i="1" s="1"/>
  <c r="BK12" i="1"/>
  <c r="BM12" i="1" s="1"/>
  <c r="BK49" i="1"/>
  <c r="BM49" i="1" s="1"/>
  <c r="BJ36" i="1"/>
  <c r="BL36" i="1" s="1"/>
  <c r="BK41" i="1"/>
  <c r="BM41" i="1" s="1"/>
  <c r="BK33" i="1"/>
  <c r="BM33" i="1" s="1"/>
  <c r="BJ34" i="1"/>
  <c r="BL34" i="1" s="1"/>
  <c r="BK34" i="1"/>
  <c r="BM34" i="1" s="1"/>
  <c r="BJ57" i="1"/>
  <c r="BL57" i="1" s="1"/>
  <c r="I57" i="1"/>
  <c r="AR57" i="1" s="1"/>
  <c r="AY57" i="1" s="1"/>
  <c r="BJ18" i="1"/>
  <c r="BK18" i="1"/>
  <c r="BM18" i="1" s="1"/>
  <c r="I27" i="1"/>
  <c r="AR27" i="1" s="1"/>
  <c r="AX27" i="1" s="1"/>
  <c r="BK51" i="1"/>
  <c r="BM51" i="1" s="1"/>
  <c r="BJ51" i="1"/>
  <c r="BL51" i="1" s="1"/>
  <c r="BJ27" i="1"/>
  <c r="BL27" i="1" s="1"/>
  <c r="BK27" i="1"/>
  <c r="BM27" i="1" s="1"/>
  <c r="BJ60" i="1"/>
  <c r="BL60" i="1" s="1"/>
  <c r="BK60" i="1"/>
  <c r="BM60" i="1" s="1"/>
  <c r="I23" i="1"/>
  <c r="AR23" i="1" s="1"/>
  <c r="AX23" i="1" s="1"/>
  <c r="BJ7" i="1"/>
  <c r="I14" i="1"/>
  <c r="AR14" i="1" s="1"/>
  <c r="AW14" i="1" s="1"/>
  <c r="BK22" i="1"/>
  <c r="BM22" i="1" s="1"/>
  <c r="I25" i="1"/>
  <c r="AR25" i="1" s="1"/>
  <c r="AW25" i="1" s="1"/>
  <c r="I26" i="1"/>
  <c r="AR26" i="1" s="1"/>
  <c r="AX26" i="1" s="1"/>
  <c r="BJ41" i="1"/>
  <c r="BL41" i="1" s="1"/>
  <c r="I43" i="1"/>
  <c r="AR43" i="1" s="1"/>
  <c r="AW43" i="1" s="1"/>
  <c r="I45" i="1"/>
  <c r="AR45" i="1" s="1"/>
  <c r="AY45" i="1" s="1"/>
  <c r="I64" i="1"/>
  <c r="AR64" i="1" s="1"/>
  <c r="AY64" i="1" s="1"/>
  <c r="I17" i="1"/>
  <c r="AR17" i="1" s="1"/>
  <c r="AX17" i="1" s="1"/>
  <c r="I49" i="1"/>
  <c r="AR49" i="1" s="1"/>
  <c r="AX49" i="1" s="1"/>
  <c r="BJ33" i="1"/>
  <c r="BL33" i="1" s="1"/>
  <c r="I20" i="1"/>
  <c r="AR20" i="1" s="1"/>
  <c r="AX20" i="1" s="1"/>
  <c r="BJ16" i="1"/>
  <c r="BK20" i="1"/>
  <c r="BM20" i="1" s="1"/>
  <c r="BJ25" i="1"/>
  <c r="BL25" i="1" s="1"/>
  <c r="I32" i="1"/>
  <c r="AR32" i="1" s="1"/>
  <c r="AY32" i="1" s="1"/>
  <c r="BK45" i="1"/>
  <c r="BM45" i="1" s="1"/>
  <c r="BK48" i="1"/>
  <c r="BM48" i="1" s="1"/>
  <c r="I60" i="1"/>
  <c r="AR60" i="1" s="1"/>
  <c r="AW60" i="1" s="1"/>
  <c r="I12" i="1"/>
  <c r="AR12" i="1" s="1"/>
  <c r="AW12" i="1" s="1"/>
  <c r="I59" i="1"/>
  <c r="AR59" i="1" s="1"/>
  <c r="AX59" i="1" s="1"/>
  <c r="I24" i="1"/>
  <c r="AR24" i="1" s="1"/>
  <c r="AW24" i="1" s="1"/>
  <c r="BK32" i="1"/>
  <c r="BM32" i="1" s="1"/>
  <c r="I34" i="1"/>
  <c r="AR34" i="1" s="1"/>
  <c r="AY34" i="1" s="1"/>
  <c r="I58" i="1"/>
  <c r="AR58" i="1" s="1"/>
  <c r="AY58" i="1" s="1"/>
  <c r="J66" i="3"/>
  <c r="A66" i="3"/>
  <c r="S10" i="3"/>
  <c r="AA10" i="3"/>
  <c r="Y10" i="3"/>
  <c r="O10" i="3"/>
  <c r="B10" i="3"/>
  <c r="V10" i="3"/>
  <c r="C12" i="3"/>
  <c r="BJ9" i="1"/>
  <c r="BL9" i="1" s="1"/>
  <c r="I9" i="1"/>
  <c r="AR9" i="1" s="1"/>
  <c r="BK9" i="1"/>
  <c r="BM9" i="1" s="1"/>
  <c r="C14" i="3"/>
  <c r="B64" i="3"/>
  <c r="I4" i="1"/>
  <c r="AR4" i="1" s="1"/>
  <c r="K66" i="3"/>
  <c r="Q66" i="3" s="1"/>
  <c r="E10" i="3"/>
  <c r="AA13" i="3"/>
  <c r="J69" i="3"/>
  <c r="A69" i="3"/>
  <c r="Y13" i="3"/>
  <c r="O13" i="3"/>
  <c r="B13" i="3"/>
  <c r="V13" i="3"/>
  <c r="S13" i="3"/>
  <c r="C73" i="3"/>
  <c r="BK15" i="1"/>
  <c r="BM15" i="1" s="1"/>
  <c r="BJ15" i="1"/>
  <c r="B66" i="3"/>
  <c r="I6" i="1"/>
  <c r="AR6" i="1" s="1"/>
  <c r="B67" i="3"/>
  <c r="I7" i="1"/>
  <c r="AR7" i="1" s="1"/>
  <c r="K71" i="3"/>
  <c r="Q71" i="3" s="1"/>
  <c r="E15" i="3"/>
  <c r="D16" i="3"/>
  <c r="C18" i="3"/>
  <c r="V19" i="3"/>
  <c r="AA19" i="3"/>
  <c r="O19" i="3"/>
  <c r="B19" i="3"/>
  <c r="Y19" i="3"/>
  <c r="C20" i="3"/>
  <c r="D64" i="3"/>
  <c r="I10" i="3"/>
  <c r="Y12" i="3"/>
  <c r="O12" i="3"/>
  <c r="J68" i="3"/>
  <c r="A68" i="3"/>
  <c r="B12" i="3"/>
  <c r="V12" i="3"/>
  <c r="S12" i="3"/>
  <c r="AA12" i="3"/>
  <c r="S14" i="3"/>
  <c r="J70" i="3"/>
  <c r="A70" i="3"/>
  <c r="AA14" i="3"/>
  <c r="Y14" i="3"/>
  <c r="O14" i="3"/>
  <c r="B14" i="3"/>
  <c r="V14" i="3"/>
  <c r="K70" i="3"/>
  <c r="Q70" i="3" s="1"/>
  <c r="E14" i="3"/>
  <c r="C65" i="3"/>
  <c r="T14" i="3"/>
  <c r="BJ14" i="1"/>
  <c r="BK14" i="1"/>
  <c r="BM14" i="1" s="1"/>
  <c r="BK6" i="1"/>
  <c r="BM6" i="1" s="1"/>
  <c r="BJ6" i="1"/>
  <c r="BL6" i="1" s="1"/>
  <c r="D67" i="3"/>
  <c r="T15" i="3"/>
  <c r="I15" i="3"/>
  <c r="C10" i="3"/>
  <c r="B68" i="3"/>
  <c r="I8" i="1"/>
  <c r="AR8" i="1" s="1"/>
  <c r="C71" i="3"/>
  <c r="AA18" i="3"/>
  <c r="O18" i="3"/>
  <c r="B18" i="3"/>
  <c r="Y18" i="3"/>
  <c r="V18" i="3"/>
  <c r="C22" i="3"/>
  <c r="K64" i="3"/>
  <c r="Q64" i="3" s="1"/>
  <c r="K80" i="3"/>
  <c r="Q80" i="3" s="1"/>
  <c r="K79" i="3"/>
  <c r="Q79" i="3" s="1"/>
  <c r="C11" i="3"/>
  <c r="BK8" i="1"/>
  <c r="BM8" i="1" s="1"/>
  <c r="BJ8" i="1"/>
  <c r="BL8" i="1" s="1"/>
  <c r="BK10" i="1"/>
  <c r="BM10" i="1" s="1"/>
  <c r="BJ10" i="1"/>
  <c r="BL10" i="1" s="1"/>
  <c r="B17" i="3"/>
  <c r="V17" i="3"/>
  <c r="S17" i="3"/>
  <c r="AA17" i="3"/>
  <c r="Y17" i="3"/>
  <c r="O17" i="3"/>
  <c r="J73" i="3"/>
  <c r="A73" i="3"/>
  <c r="BK17" i="1"/>
  <c r="BM17" i="1" s="1"/>
  <c r="BK5" i="1"/>
  <c r="BM5" i="1" s="1"/>
  <c r="K69" i="3"/>
  <c r="Q69" i="3" s="1"/>
  <c r="E13" i="3"/>
  <c r="I11" i="1"/>
  <c r="AR11" i="1" s="1"/>
  <c r="BJ12" i="1"/>
  <c r="BK13" i="1"/>
  <c r="BM13" i="1" s="1"/>
  <c r="BC22" i="1"/>
  <c r="BK24" i="1"/>
  <c r="BM24" i="1" s="1"/>
  <c r="I35" i="1"/>
  <c r="AR35" i="1" s="1"/>
  <c r="I79" i="3"/>
  <c r="AA9" i="3"/>
  <c r="J65" i="3"/>
  <c r="A65" i="3"/>
  <c r="Y9" i="3"/>
  <c r="O9" i="3"/>
  <c r="B9" i="3"/>
  <c r="V9" i="3"/>
  <c r="S9" i="3"/>
  <c r="K68" i="3"/>
  <c r="Q68" i="3" s="1"/>
  <c r="E12" i="3"/>
  <c r="I10" i="1"/>
  <c r="AR10" i="1" s="1"/>
  <c r="I18" i="1"/>
  <c r="AR18" i="1" s="1"/>
  <c r="I30" i="1"/>
  <c r="AR30" i="1" s="1"/>
  <c r="I44" i="1"/>
  <c r="AR44" i="1" s="1"/>
  <c r="J72" i="3"/>
  <c r="V16" i="3"/>
  <c r="A72" i="3"/>
  <c r="S16" i="3"/>
  <c r="AA16" i="3"/>
  <c r="Y16" i="3"/>
  <c r="O16" i="3"/>
  <c r="B16" i="3"/>
  <c r="J67" i="3"/>
  <c r="A67" i="3"/>
  <c r="V11" i="3"/>
  <c r="S11" i="3"/>
  <c r="AA11" i="3"/>
  <c r="Y11" i="3"/>
  <c r="O11" i="3"/>
  <c r="B11" i="3"/>
  <c r="K67" i="3"/>
  <c r="Q67" i="3" s="1"/>
  <c r="E11" i="3"/>
  <c r="T11" i="3"/>
  <c r="AA20" i="3"/>
  <c r="O20" i="3"/>
  <c r="B20" i="3"/>
  <c r="Y20" i="3"/>
  <c r="V20" i="3"/>
  <c r="BJ30" i="1"/>
  <c r="BL30" i="1" s="1"/>
  <c r="BK30" i="1"/>
  <c r="BM30" i="1" s="1"/>
  <c r="BJ35" i="1"/>
  <c r="BL35" i="1" s="1"/>
  <c r="BK35" i="1"/>
  <c r="BM35" i="1" s="1"/>
  <c r="BK44" i="1"/>
  <c r="BM44" i="1" s="1"/>
  <c r="BJ44" i="1"/>
  <c r="BL44" i="1" s="1"/>
  <c r="K65" i="3"/>
  <c r="Q65" i="3" s="1"/>
  <c r="E9" i="3"/>
  <c r="I9" i="3"/>
  <c r="T9" i="3"/>
  <c r="BK26" i="1"/>
  <c r="BM26" i="1" s="1"/>
  <c r="BK31" i="1"/>
  <c r="BM31" i="1" s="1"/>
  <c r="BK36" i="1"/>
  <c r="BM36" i="1" s="1"/>
  <c r="I36" i="1"/>
  <c r="AR36" i="1" s="1"/>
  <c r="I37" i="1"/>
  <c r="AR37" i="1" s="1"/>
  <c r="BK39" i="1"/>
  <c r="BM39" i="1" s="1"/>
  <c r="I46" i="1"/>
  <c r="AR46" i="1" s="1"/>
  <c r="I54" i="1"/>
  <c r="AR54" i="1" s="1"/>
  <c r="BK55" i="1"/>
  <c r="BM55" i="1" s="1"/>
  <c r="BJ55" i="1"/>
  <c r="BL55" i="1" s="1"/>
  <c r="BK56" i="1"/>
  <c r="BM56" i="1" s="1"/>
  <c r="BJ56" i="1"/>
  <c r="BL56" i="1" s="1"/>
  <c r="BC20" i="1"/>
  <c r="BJ23" i="1"/>
  <c r="BL23" i="1" s="1"/>
  <c r="BK23" i="1"/>
  <c r="BM23" i="1" s="1"/>
  <c r="BK46" i="1"/>
  <c r="BM46" i="1" s="1"/>
  <c r="BJ46" i="1"/>
  <c r="BL46" i="1" s="1"/>
  <c r="BJ50" i="1"/>
  <c r="BL50" i="1" s="1"/>
  <c r="BK54" i="1"/>
  <c r="BM54" i="1" s="1"/>
  <c r="BJ54" i="1"/>
  <c r="BL54" i="1" s="1"/>
  <c r="E17" i="3"/>
  <c r="K73" i="3"/>
  <c r="Q73" i="3" s="1"/>
  <c r="Y8" i="3"/>
  <c r="O8" i="3"/>
  <c r="G79" i="3"/>
  <c r="J64" i="3"/>
  <c r="A64" i="3"/>
  <c r="V8" i="3"/>
  <c r="S8" i="3"/>
  <c r="AA8" i="3"/>
  <c r="BK37" i="1"/>
  <c r="BM37" i="1" s="1"/>
  <c r="BJ37" i="1"/>
  <c r="BL37" i="1" s="1"/>
  <c r="I50" i="1"/>
  <c r="AR50" i="1" s="1"/>
  <c r="I51" i="1"/>
  <c r="AR51" i="1" s="1"/>
  <c r="BJ53" i="1"/>
  <c r="BL53" i="1" s="1"/>
  <c r="BK53" i="1"/>
  <c r="BM53" i="1" s="1"/>
  <c r="I5" i="1"/>
  <c r="AR5" i="1" s="1"/>
  <c r="J71" i="3"/>
  <c r="A71" i="3"/>
  <c r="S15" i="3"/>
  <c r="AA15" i="3"/>
  <c r="Y15" i="3"/>
  <c r="O15" i="3"/>
  <c r="B15" i="3"/>
  <c r="V15" i="3"/>
  <c r="I13" i="1"/>
  <c r="AR13" i="1" s="1"/>
  <c r="BK38" i="1"/>
  <c r="BM38" i="1" s="1"/>
  <c r="BJ38" i="1"/>
  <c r="BL38" i="1" s="1"/>
  <c r="I38" i="1"/>
  <c r="AR38" i="1" s="1"/>
  <c r="I31" i="1"/>
  <c r="AR31" i="1" s="1"/>
  <c r="V21" i="3"/>
  <c r="AA21" i="3"/>
  <c r="O21" i="3"/>
  <c r="B21" i="3"/>
  <c r="Y21" i="3"/>
  <c r="AA22" i="3"/>
  <c r="O22" i="3"/>
  <c r="B22" i="3"/>
  <c r="Y22" i="3"/>
  <c r="V22" i="3"/>
  <c r="BJ42" i="1"/>
  <c r="BL42" i="1" s="1"/>
  <c r="BK42" i="1"/>
  <c r="BM42" i="1" s="1"/>
  <c r="BK47" i="1"/>
  <c r="BM47" i="1" s="1"/>
  <c r="BJ49" i="1"/>
  <c r="BL49" i="1" s="1"/>
  <c r="BK52" i="1"/>
  <c r="BM52" i="1" s="1"/>
  <c r="BK57" i="1"/>
  <c r="BM57" i="1" s="1"/>
  <c r="BC40" i="1"/>
  <c r="BC50" i="1"/>
  <c r="BK58" i="1"/>
  <c r="BM58" i="1" s="1"/>
  <c r="BC59" i="1"/>
  <c r="BJ62" i="1"/>
  <c r="BL62" i="1" s="1"/>
  <c r="BK62" i="1"/>
  <c r="BM62" i="1" s="1"/>
  <c r="I42" i="1"/>
  <c r="AR42" i="1" s="1"/>
  <c r="I52" i="1"/>
  <c r="AR52" i="1" s="1"/>
  <c r="BK43" i="1"/>
  <c r="BM43" i="1" s="1"/>
  <c r="BJ59" i="1"/>
  <c r="BL59" i="1" s="1"/>
  <c r="I62" i="1"/>
  <c r="AR62" i="1" s="1"/>
  <c r="AY66" i="1"/>
  <c r="AX66" i="1"/>
  <c r="AW66" i="1"/>
  <c r="I63" i="1"/>
  <c r="AR63" i="1" s="1"/>
  <c r="I61" i="1"/>
  <c r="AR61" i="1" s="1"/>
  <c r="BC61" i="1"/>
  <c r="BJ64" i="1"/>
  <c r="BL64" i="1" s="1"/>
  <c r="T16" i="3" l="1"/>
  <c r="T17" i="3"/>
  <c r="T12" i="3"/>
  <c r="T13" i="3"/>
  <c r="BL15" i="1"/>
  <c r="AB19" i="3" s="1"/>
  <c r="C67" i="3"/>
  <c r="BL7" i="1"/>
  <c r="AB11" i="3" s="1"/>
  <c r="BL12" i="1"/>
  <c r="AB16" i="3" s="1"/>
  <c r="BL18" i="1"/>
  <c r="AB22" i="3" s="1"/>
  <c r="BL14" i="1"/>
  <c r="AB18" i="3" s="1"/>
  <c r="BL16" i="1"/>
  <c r="AB20" i="3" s="1"/>
  <c r="Q23" i="3"/>
  <c r="Q16" i="3"/>
  <c r="Q25" i="3"/>
  <c r="D71" i="3"/>
  <c r="Q27" i="3"/>
  <c r="Q26" i="3"/>
  <c r="AY67" i="1"/>
  <c r="AX67" i="1"/>
  <c r="AR65" i="1"/>
  <c r="AX65" i="1" s="1"/>
  <c r="AW21" i="1"/>
  <c r="E74" i="3"/>
  <c r="H74" i="3" s="1"/>
  <c r="O77" i="3"/>
  <c r="O75" i="3"/>
  <c r="M15" i="3"/>
  <c r="M14" i="3"/>
  <c r="A89" i="3"/>
  <c r="K4" i="3"/>
  <c r="C4" i="3"/>
  <c r="A88" i="3"/>
  <c r="M17" i="3"/>
  <c r="M16" i="3"/>
  <c r="O83" i="3"/>
  <c r="O74" i="3"/>
  <c r="O81" i="3"/>
  <c r="E77" i="3"/>
  <c r="H77" i="3" s="1"/>
  <c r="E89" i="3"/>
  <c r="E88" i="3"/>
  <c r="E4" i="3"/>
  <c r="AY28" i="1"/>
  <c r="AW28" i="1"/>
  <c r="AY27" i="1"/>
  <c r="AX22" i="1"/>
  <c r="AW64" i="1"/>
  <c r="AX45" i="1"/>
  <c r="AY21" i="1"/>
  <c r="AW45" i="1"/>
  <c r="AW27" i="1"/>
  <c r="AX40" i="1"/>
  <c r="AY53" i="1"/>
  <c r="AY40" i="1"/>
  <c r="AW17" i="1"/>
  <c r="Z21" i="3" s="1"/>
  <c r="AW22" i="1"/>
  <c r="AW15" i="1"/>
  <c r="Z19" i="3" s="1"/>
  <c r="AY15" i="1"/>
  <c r="AW57" i="1"/>
  <c r="AX39" i="1"/>
  <c r="AW48" i="1"/>
  <c r="AW39" i="1"/>
  <c r="AY48" i="1"/>
  <c r="AX64" i="1"/>
  <c r="AX19" i="1"/>
  <c r="AX47" i="1"/>
  <c r="AY47" i="1"/>
  <c r="AW19" i="1"/>
  <c r="AY29" i="1"/>
  <c r="AW16" i="1"/>
  <c r="J20" i="3" s="1"/>
  <c r="AX58" i="1"/>
  <c r="AW29" i="1"/>
  <c r="AX43" i="1"/>
  <c r="AW26" i="1"/>
  <c r="AY20" i="1"/>
  <c r="AY43" i="1"/>
  <c r="AW20" i="1"/>
  <c r="AY12" i="1"/>
  <c r="AW53" i="1"/>
  <c r="AW56" i="1"/>
  <c r="AW55" i="1"/>
  <c r="AY16" i="1"/>
  <c r="AY56" i="1"/>
  <c r="AX60" i="1"/>
  <c r="AY33" i="1"/>
  <c r="AX34" i="1"/>
  <c r="AY60" i="1"/>
  <c r="AX33" i="1"/>
  <c r="AW34" i="1"/>
  <c r="AX55" i="1"/>
  <c r="AY14" i="1"/>
  <c r="AX25" i="1"/>
  <c r="AY26" i="1"/>
  <c r="Q20" i="3"/>
  <c r="AX14" i="1"/>
  <c r="AY49" i="1"/>
  <c r="AY17" i="1"/>
  <c r="AX12" i="1"/>
  <c r="AW59" i="1"/>
  <c r="AY59" i="1"/>
  <c r="AY25" i="1"/>
  <c r="AX32" i="1"/>
  <c r="AW32" i="1"/>
  <c r="AY24" i="1"/>
  <c r="AX57" i="1"/>
  <c r="AX24" i="1"/>
  <c r="AX41" i="1"/>
  <c r="AY41" i="1"/>
  <c r="AW49" i="1"/>
  <c r="AC22" i="3"/>
  <c r="Q22" i="3"/>
  <c r="AY23" i="1"/>
  <c r="AW58" i="1"/>
  <c r="AW23" i="1"/>
  <c r="F15" i="3"/>
  <c r="P15" i="3"/>
  <c r="AW62" i="1"/>
  <c r="AY62" i="1"/>
  <c r="AX62" i="1"/>
  <c r="AX54" i="1"/>
  <c r="AY54" i="1"/>
  <c r="AW54" i="1"/>
  <c r="AX36" i="1"/>
  <c r="AY36" i="1"/>
  <c r="AW36" i="1"/>
  <c r="AC18" i="3"/>
  <c r="Q18" i="3"/>
  <c r="E73" i="3"/>
  <c r="H73" i="3" s="1"/>
  <c r="AB17" i="3"/>
  <c r="E79" i="3"/>
  <c r="C69" i="3"/>
  <c r="F19" i="3"/>
  <c r="P19" i="3"/>
  <c r="AW5" i="1"/>
  <c r="AY5" i="1"/>
  <c r="AX5" i="1"/>
  <c r="AX63" i="1"/>
  <c r="AW63" i="1"/>
  <c r="AY63" i="1"/>
  <c r="AW30" i="1"/>
  <c r="AY30" i="1"/>
  <c r="AX30" i="1"/>
  <c r="AY11" i="1"/>
  <c r="AX11" i="1"/>
  <c r="AW11" i="1"/>
  <c r="C70" i="3"/>
  <c r="F18" i="3"/>
  <c r="P18" i="3"/>
  <c r="AX6" i="1"/>
  <c r="AW6" i="1"/>
  <c r="AY6" i="1"/>
  <c r="F12" i="3"/>
  <c r="P12" i="3"/>
  <c r="D70" i="3"/>
  <c r="AY8" i="1"/>
  <c r="AW8" i="1"/>
  <c r="AX8" i="1"/>
  <c r="F64" i="3"/>
  <c r="AC8" i="3"/>
  <c r="Q8" i="3"/>
  <c r="F20" i="3"/>
  <c r="P20" i="3"/>
  <c r="AY4" i="1"/>
  <c r="AX4" i="1"/>
  <c r="AW4" i="1"/>
  <c r="AY18" i="1"/>
  <c r="AX18" i="1"/>
  <c r="AW18" i="1"/>
  <c r="C68" i="3"/>
  <c r="AC11" i="3"/>
  <c r="F67" i="3"/>
  <c r="Q11" i="3"/>
  <c r="F16" i="3"/>
  <c r="P16" i="3"/>
  <c r="AY31" i="1"/>
  <c r="AW31" i="1"/>
  <c r="AX31" i="1"/>
  <c r="AW42" i="1"/>
  <c r="AY42" i="1"/>
  <c r="AX42" i="1"/>
  <c r="AY51" i="1"/>
  <c r="AX51" i="1"/>
  <c r="AW51" i="1"/>
  <c r="AY46" i="1"/>
  <c r="AX46" i="1"/>
  <c r="AW46" i="1"/>
  <c r="AY10" i="1"/>
  <c r="AX10" i="1"/>
  <c r="AW10" i="1"/>
  <c r="D65" i="3"/>
  <c r="D68" i="3"/>
  <c r="F10" i="3"/>
  <c r="P10" i="3"/>
  <c r="E65" i="3"/>
  <c r="H65" i="3" s="1"/>
  <c r="AB9" i="3"/>
  <c r="E80" i="3"/>
  <c r="F14" i="3"/>
  <c r="P14" i="3"/>
  <c r="AW52" i="1"/>
  <c r="AY52" i="1"/>
  <c r="AX52" i="1"/>
  <c r="P9" i="3"/>
  <c r="F9" i="3"/>
  <c r="AX50" i="1"/>
  <c r="AW50" i="1"/>
  <c r="AY50" i="1"/>
  <c r="AY61" i="1"/>
  <c r="AX61" i="1"/>
  <c r="AW61" i="1"/>
  <c r="F17" i="3"/>
  <c r="P17" i="3"/>
  <c r="P13" i="3"/>
  <c r="F13" i="3"/>
  <c r="C64" i="3"/>
  <c r="F11" i="3"/>
  <c r="P11" i="3"/>
  <c r="Z18" i="3"/>
  <c r="J18" i="3"/>
  <c r="C66" i="3"/>
  <c r="Z16" i="3"/>
  <c r="J16" i="3"/>
  <c r="AX38" i="1"/>
  <c r="AW38" i="1"/>
  <c r="AY38" i="1"/>
  <c r="AW13" i="1"/>
  <c r="AY13" i="1"/>
  <c r="AX13" i="1"/>
  <c r="F21" i="3"/>
  <c r="P21" i="3"/>
  <c r="AW35" i="1"/>
  <c r="AY35" i="1"/>
  <c r="AX35" i="1"/>
  <c r="AC21" i="3"/>
  <c r="Q21" i="3"/>
  <c r="AB15" i="3"/>
  <c r="E71" i="3"/>
  <c r="H71" i="3" s="1"/>
  <c r="D66" i="3"/>
  <c r="D69" i="3"/>
  <c r="AY37" i="1"/>
  <c r="AX37" i="1"/>
  <c r="AW37" i="1"/>
  <c r="AX44" i="1"/>
  <c r="AY44" i="1"/>
  <c r="AW44" i="1"/>
  <c r="D73" i="3"/>
  <c r="F22" i="3"/>
  <c r="P22" i="3"/>
  <c r="A80" i="3"/>
  <c r="A79" i="3"/>
  <c r="P8" i="3"/>
  <c r="AY7" i="1"/>
  <c r="AX7" i="1"/>
  <c r="AW7" i="1"/>
  <c r="AC19" i="3"/>
  <c r="Q19" i="3"/>
  <c r="AW9" i="1"/>
  <c r="AY9" i="1"/>
  <c r="AX9" i="1"/>
  <c r="AC16" i="3" l="1"/>
  <c r="AW65" i="1"/>
  <c r="G4" i="3" s="1"/>
  <c r="AY65" i="1"/>
  <c r="G74" i="3"/>
  <c r="I4" i="3"/>
  <c r="C88" i="3"/>
  <c r="F75" i="3"/>
  <c r="G75" i="3" s="1"/>
  <c r="F83" i="3"/>
  <c r="G83" i="3" s="1"/>
  <c r="Q15" i="3"/>
  <c r="F81" i="3"/>
  <c r="G81" i="3" s="1"/>
  <c r="J19" i="3"/>
  <c r="J21" i="3"/>
  <c r="G77" i="3"/>
  <c r="E67" i="3"/>
  <c r="H67" i="3" s="1"/>
  <c r="Z20" i="3"/>
  <c r="AC15" i="3"/>
  <c r="F71" i="3"/>
  <c r="G71" i="3" s="1"/>
  <c r="C80" i="3"/>
  <c r="C79" i="3"/>
  <c r="O79" i="3" a="1"/>
  <c r="O79" i="3" s="1"/>
  <c r="C89" i="3"/>
  <c r="O88" i="3" a="1"/>
  <c r="O88" i="3" s="1"/>
  <c r="Q14" i="3"/>
  <c r="F70" i="3"/>
  <c r="AC14" i="3"/>
  <c r="Z13" i="3"/>
  <c r="J13" i="3"/>
  <c r="Q9" i="3"/>
  <c r="F65" i="3"/>
  <c r="G65" i="3" s="1"/>
  <c r="AC9" i="3"/>
  <c r="Z22" i="3"/>
  <c r="J22" i="3"/>
  <c r="O80" i="3" a="1"/>
  <c r="O80" i="3" s="1"/>
  <c r="Z9" i="3"/>
  <c r="J9" i="3"/>
  <c r="AC10" i="3"/>
  <c r="Q10" i="3"/>
  <c r="F66" i="3"/>
  <c r="AB14" i="3"/>
  <c r="E70" i="3"/>
  <c r="H70" i="3" s="1"/>
  <c r="Z14" i="3"/>
  <c r="J14" i="3"/>
  <c r="M89" i="3" a="1"/>
  <c r="M89" i="3" s="1"/>
  <c r="M80" i="3"/>
  <c r="M88" i="3" a="1"/>
  <c r="M88" i="3" s="1"/>
  <c r="M79" i="3" a="1"/>
  <c r="M79" i="3" s="1"/>
  <c r="Z8" i="3"/>
  <c r="O89" i="3" a="1"/>
  <c r="O89" i="3" s="1"/>
  <c r="E69" i="3"/>
  <c r="H69" i="3" s="1"/>
  <c r="AB13" i="3"/>
  <c r="J17" i="3"/>
  <c r="Z17" i="3"/>
  <c r="Z11" i="3"/>
  <c r="J11" i="3"/>
  <c r="Z15" i="3"/>
  <c r="J15" i="3"/>
  <c r="E64" i="3"/>
  <c r="H64" i="3" s="1"/>
  <c r="AB8" i="3"/>
  <c r="J12" i="3"/>
  <c r="Z12" i="3"/>
  <c r="Z10" i="3"/>
  <c r="J10" i="3"/>
  <c r="F73" i="3"/>
  <c r="G73" i="3" s="1"/>
  <c r="AC17" i="3"/>
  <c r="Q17" i="3"/>
  <c r="Q13" i="3"/>
  <c r="F69" i="3"/>
  <c r="AC13" i="3"/>
  <c r="AB10" i="3"/>
  <c r="E66" i="3"/>
  <c r="H66" i="3" s="1"/>
  <c r="F68" i="3"/>
  <c r="AC12" i="3"/>
  <c r="Q12" i="3"/>
  <c r="E68" i="3"/>
  <c r="H68" i="3" s="1"/>
  <c r="AB12" i="3"/>
  <c r="G67" i="3" l="1"/>
  <c r="G69" i="3"/>
  <c r="G66" i="3"/>
  <c r="G68" i="3"/>
  <c r="G64" i="3"/>
  <c r="G7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73">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0"/>
        </ext>
      </extLst>
    </bk>
    <bk>
      <extLst>
        <ext uri="{3e2802c4-a4d2-4d8b-9148-e3be6c30e623}">
          <xlrd:rvb i="203"/>
        </ext>
      </extLst>
    </bk>
    <bk>
      <extLst>
        <ext uri="{3e2802c4-a4d2-4d8b-9148-e3be6c30e623}">
          <xlrd:rvb i="205"/>
        </ext>
      </extLst>
    </bk>
    <bk>
      <extLst>
        <ext uri="{3e2802c4-a4d2-4d8b-9148-e3be6c30e623}">
          <xlrd:rvb i="207"/>
        </ext>
      </extLst>
    </bk>
    <bk>
      <extLst>
        <ext uri="{3e2802c4-a4d2-4d8b-9148-e3be6c30e623}">
          <xlrd:rvb i="209"/>
        </ext>
      </extLst>
    </bk>
    <bk>
      <extLst>
        <ext uri="{3e2802c4-a4d2-4d8b-9148-e3be6c30e623}">
          <xlrd:rvb i="211"/>
        </ext>
      </extLst>
    </bk>
    <bk>
      <extLst>
        <ext uri="{3e2802c4-a4d2-4d8b-9148-e3be6c30e623}">
          <xlrd:rvb i="213"/>
        </ext>
      </extLst>
    </bk>
  </futureMetadata>
  <futureMetadata name="XLDAPR" count="1">
    <bk>
      <extLst>
        <ext uri="{bdbb8cdc-fa1e-496e-a857-3c3f30c029c3}">
          <xda:dynamicArrayProperties fDynamic="1" fCollapsed="0"/>
        </ext>
      </extLst>
    </bk>
  </futureMetadata>
  <cellMetadata count="1">
    <bk>
      <rc t="2" v="0"/>
    </bk>
  </cellMetadata>
  <valueMetadata count="7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valueMetadata>
</metadata>
</file>

<file path=xl/sharedStrings.xml><?xml version="1.0" encoding="utf-8"?>
<sst xmlns="http://schemas.openxmlformats.org/spreadsheetml/2006/main" count="1859" uniqueCount="857">
  <si>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</si>
  <si>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</si>
  <si>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</si>
  <si>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</si>
  <si>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</si>
  <si>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</si>
  <si>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</si>
  <si>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</si>
  <si>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</si>
  <si>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</si>
  <si>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</si>
  <si>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</si>
  <si>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</si>
  <si>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</si>
  <si>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</si>
  <si>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</si>
  <si>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</si>
  <si>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</si>
  <si>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</si>
  <si>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</si>
  <si>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</si>
  <si>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</si>
  <si>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</si>
  <si>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</si>
  <si>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</si>
  <si>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</si>
  <si>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</si>
  <si>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</si>
  <si>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</si>
  <si>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</si>
  <si>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</si>
  <si>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</si>
  <si>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</si>
  <si>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</si>
  <si>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</si>
  <si>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</si>
  <si>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</si>
  <si>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</si>
  <si>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</si>
  <si>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</si>
  <si>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</si>
  <si>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</si>
  <si>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</si>
  <si>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</si>
  <si>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</si>
  <si>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</si>
  <si>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</si>
  <si>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</si>
  <si>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</si>
  <si>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</si>
  <si>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</si>
  <si>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</si>
  <si>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</si>
  <si>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</si>
  <si>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</si>
  <si>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</si>
  <si>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</si>
  <si>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</si>
  <si>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</si>
  <si>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</si>
  <si>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</si>
  <si>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</si>
  <si>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</si>
  <si>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</si>
  <si>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</si>
  <si>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</si>
  <si>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</si>
  <si>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</si>
  <si>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</si>
  <si>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</si>
  <si>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</si>
  <si>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</si>
  <si>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</si>
  <si>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</si>
  <si>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</si>
  <si>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</si>
  <si>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</si>
  <si>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</si>
  <si>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</si>
  <si>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2026-08-17</t>
  </si>
  <si>
    <t>03/06/2026</t>
  </si>
  <si>
    <t>26/08/2026</t>
  </si>
  <si>
    <t>Mag 7</t>
  </si>
  <si>
    <t>2026-07-30</t>
  </si>
  <si>
    <t>29/07/2026</t>
  </si>
  <si>
    <t>28/10/2026</t>
  </si>
  <si>
    <t>Fintech</t>
  </si>
  <si>
    <t>EUR</t>
  </si>
  <si>
    <t>13/08/2026</t>
  </si>
  <si>
    <t>Real Assets</t>
  </si>
  <si>
    <t>Defensive</t>
  </si>
  <si>
    <t>2026-06-10</t>
  </si>
  <si>
    <t>28/05/2026</t>
  </si>
  <si>
    <t>24/09/2026</t>
  </si>
  <si>
    <t>09/09/2026</t>
  </si>
  <si>
    <t>Hardware</t>
  </si>
  <si>
    <t>479</t>
  </si>
  <si>
    <t>2026-06-24</t>
  </si>
  <si>
    <t>05/08/2026</t>
  </si>
  <si>
    <t>Cyber</t>
  </si>
  <si>
    <t>Growth</t>
  </si>
  <si>
    <t>02/09/2026</t>
  </si>
  <si>
    <t>IP owner</t>
  </si>
  <si>
    <t>JPY</t>
  </si>
  <si>
    <t>07/08/2026</t>
  </si>
  <si>
    <t>2026-07-18</t>
  </si>
  <si>
    <t>30/07/2026</t>
  </si>
  <si>
    <t>Electrify</t>
  </si>
  <si>
    <t>29/10/2026</t>
  </si>
  <si>
    <t>Consumo</t>
  </si>
  <si>
    <t>09/06/2026</t>
  </si>
  <si>
    <t>2026-04-26</t>
  </si>
  <si>
    <t>Healthcare</t>
  </si>
  <si>
    <t>GBP</t>
  </si>
  <si>
    <t>11/06/2026</t>
  </si>
  <si>
    <t>19/11/2026</t>
  </si>
  <si>
    <t>1,670</t>
  </si>
  <si>
    <t>18/11/2026</t>
  </si>
  <si>
    <t>Industrial</t>
  </si>
  <si>
    <t>SEK</t>
  </si>
  <si>
    <t>8,331</t>
  </si>
  <si>
    <t>14/07/2026</t>
  </si>
  <si>
    <t>22/10/2026</t>
  </si>
  <si>
    <t>27/08/2026</t>
  </si>
  <si>
    <t>06/08/2026</t>
  </si>
  <si>
    <t>PLN</t>
  </si>
  <si>
    <t>2026-07-29</t>
  </si>
  <si>
    <t>28/07/2026</t>
  </si>
  <si>
    <t>27/10/2026</t>
  </si>
  <si>
    <t>CHF</t>
  </si>
  <si>
    <t>19/08/2026</t>
  </si>
  <si>
    <t>04/08/2026</t>
  </si>
  <si>
    <t>22/07/2026</t>
  </si>
  <si>
    <t>16/07/2026</t>
  </si>
  <si>
    <t>Sports</t>
  </si>
  <si>
    <t>construction</t>
  </si>
  <si>
    <t>KZT</t>
  </si>
  <si>
    <t>10/08/2026</t>
  </si>
  <si>
    <t>92</t>
  </si>
  <si>
    <t>IA</t>
  </si>
  <si>
    <t>20/05/2026</t>
  </si>
  <si>
    <t>Alcohol</t>
  </si>
  <si>
    <t>123</t>
  </si>
  <si>
    <t>05/11/2026</t>
  </si>
  <si>
    <t>15/10/2026</t>
  </si>
  <si>
    <t>77</t>
  </si>
  <si>
    <t>31/03/2026</t>
  </si>
  <si>
    <t>28/08/2026</t>
  </si>
  <si>
    <t>Special situation</t>
  </si>
  <si>
    <t>183</t>
  </si>
  <si>
    <t>308</t>
  </si>
  <si>
    <t>23/07/2026</t>
  </si>
  <si>
    <t>Materials</t>
  </si>
  <si>
    <t>Raw materials</t>
  </si>
  <si>
    <t>20/10/2026</t>
  </si>
  <si>
    <t>30/06/2026</t>
  </si>
  <si>
    <t>30/09/2026</t>
  </si>
  <si>
    <t>23/10/2026</t>
  </si>
  <si>
    <t>4,044</t>
  </si>
  <si>
    <t>08/07/2026</t>
  </si>
  <si>
    <t>30/01/2027</t>
  </si>
  <si>
    <t>168</t>
  </si>
  <si>
    <t>26/06/2026</t>
  </si>
  <si>
    <t>173</t>
  </si>
  <si>
    <t>02/12/2026</t>
  </si>
  <si>
    <t>405</t>
  </si>
  <si>
    <t>04/11/2026</t>
  </si>
  <si>
    <t>CSU</t>
  </si>
  <si>
    <t>2026-05-18</t>
  </si>
  <si>
    <t>UBER</t>
  </si>
  <si>
    <t>Marketplace</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</si>
  <si>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</si>
  <si>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</si>
  <si>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</si>
  <si>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</si>
  <si>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</si>
  <si>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</si>
  <si>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</si>
  <si>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</si>
  <si>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</si>
  <si>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</si>
  <si>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</si>
  <si>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</si>
  <si>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</si>
  <si>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</si>
  <si>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</si>
  <si>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</si>
  <si>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</si>
  <si>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</si>
  <si>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</si>
  <si>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</si>
  <si>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</si>
  <si>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</si>
  <si>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</si>
  <si>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</si>
  <si>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</si>
  <si>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</si>
  <si>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</si>
  <si>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</si>
  <si>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</si>
  <si>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</si>
  <si>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</si>
  <si>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</si>
  <si>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</si>
  <si>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</si>
  <si>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</si>
  <si>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</si>
  <si>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</si>
  <si>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</si>
  <si>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</si>
  <si>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</si>
  <si>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</si>
  <si>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</si>
  <si>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</si>
  <si>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</si>
  <si>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</si>
  <si>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</si>
  <si>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</si>
  <si>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</si>
  <si>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</si>
  <si>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</si>
  <si>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</si>
  <si>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</si>
  <si>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</si>
  <si>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</si>
  <si>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</si>
  <si>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</si>
  <si>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</si>
  <si>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</si>
  <si>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</si>
  <si>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</si>
  <si>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</si>
  <si>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</si>
  <si>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</si>
  <si>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</si>
  <si>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</si>
  <si>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</si>
  <si>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</si>
  <si>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</si>
  <si>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</si>
  <si>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</si>
  <si>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</si>
  <si>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</si>
  <si>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</si>
  <si>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</si>
  <si>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</si>
  <si>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</si>
  <si>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</si>
  <si>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</si>
  <si>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</si>
  <si>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</si>
  <si>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</si>
  <si>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</si>
  <si>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</si>
  <si>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</si>
  <si>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</si>
  <si>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</si>
  <si>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</si>
  <si>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</si>
  <si>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</si>
  <si>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</si>
  <si>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</si>
  <si>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</si>
  <si>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</si>
  <si>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</si>
  <si>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</si>
  <si>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</si>
  <si>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</si>
  <si>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</si>
  <si>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</si>
  <si>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</si>
  <si>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</si>
  <si>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</si>
  <si>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</si>
  <si>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</si>
  <si>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</si>
  <si>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</si>
  <si>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</si>
  <si>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</si>
  <si>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</si>
  <si>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</si>
  <si>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</si>
  <si>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</si>
  <si>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</si>
  <si>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</si>
  <si>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</si>
  <si>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</si>
  <si>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</si>
  <si>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</si>
  <si>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</si>
  <si>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</si>
  <si>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</si>
  <si>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</si>
  <si>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</si>
  <si>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</si>
  <si>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</si>
  <si>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</si>
  <si>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</si>
  <si>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</si>
  <si>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</si>
  <si>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</si>
  <si>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</si>
  <si>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</si>
  <si>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</si>
  <si>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</si>
  <si>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</si>
  <si>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</si>
  <si>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</si>
  <si>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</si>
  <si>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</si>
  <si>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</si>
  <si>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</si>
  <si>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</si>
  <si>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</si>
  <si>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</si>
  <si>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</si>
  <si>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</si>
  <si>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</si>
  <si>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</si>
  <si>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</si>
  <si>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</si>
  <si>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</si>
  <si>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</si>
  <si>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</si>
  <si>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</si>
  <si>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</si>
  <si>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</si>
  <si>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</si>
  <si>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</si>
  <si>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</si>
  <si>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</si>
  <si>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</si>
  <si>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</si>
  <si>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</si>
  <si>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</si>
  <si>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</si>
  <si>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</si>
  <si>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</si>
  <si>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</si>
  <si>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</si>
  <si>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</si>
  <si>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</si>
  <si>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</si>
  <si>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</si>
  <si>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</si>
  <si>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</si>
  <si>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</si>
  <si>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</si>
  <si>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</si>
  <si>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</si>
  <si>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</si>
  <si>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</si>
  <si>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</si>
  <si>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</si>
  <si>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</si>
  <si>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</si>
  <si>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</si>
  <si>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</si>
  <si>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</si>
  <si>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</si>
  <si>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</si>
  <si>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</si>
  <si>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</si>
  <si>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</si>
  <si>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</si>
  <si>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</si>
  <si>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</si>
  <si>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</si>
  <si>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</si>
  <si>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</si>
  <si>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</si>
  <si>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</si>
  <si>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</si>
  <si>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</si>
  <si>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</si>
  <si>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</si>
  <si>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</si>
  <si>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</si>
  <si>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</si>
  <si>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</si>
  <si>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</si>
  <si>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</si>
  <si>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</si>
  <si>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</si>
  <si>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</si>
  <si>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</si>
  <si>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</si>
  <si>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</si>
  <si>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</si>
  <si>
    <t>BN; BO; BP</t>
  </si>
  <si>
    <t>Q2 2026 (16/07/2026)</t>
  </si>
  <si>
    <t>Q2: ingresos $40,2B (+36% i.a., sobre guia), margen bruto 67,7%, HPC +20% t/t. Sube guia FY26 a &gt;30% en USD por demanda IA (2nm/3nm). Prox Q3 ~15-oct (est).</t>
  </si>
  <si>
    <t>Q2: rev $12,56B (+13%), margen op 33%, BPA $0,80, BN $3,40B. Estrecha guia FY26 a $51,0-51,4B (margen op 31,5%); Q3 +12%. Reduce reporte de metricas de engagement; accion cayo tras publicar.</t>
  </si>
  <si>
    <t>ABBNE</t>
  </si>
  <si>
    <t>Q2: pedidos record $12B, ventas comparables +12%, margen EBITA op 20,2% (+90pb); Electrificacion pedidos $7,2B (+70%). OPA sobre Rotork £503p (~$5,5B) recomendada; desinversion Robotics ~$4,8B caja (cierre 2S26). Buyback $2B, ND/EBITDA 0,3.</t>
  </si>
  <si>
    <t>Interim Q2/H1 2026 (14/07/2026)</t>
  </si>
  <si>
    <t>Q2: ventas +11% (organico +5%, M&amp;A +7%), margen EBITA 23,1% (vs 22,5%), BN/BPA +18%. 4 adquisiciones en 1S (Ethoss, Glass Umbrella, Karl Kaps, Metalltech ~500M SEK); Boscaro consolidada en jul. Vuelta a la normalidad tras un 2025 dificil.</t>
  </si>
  <si>
    <t>NKE</t>
  </si>
  <si>
    <t>Q4/FY26 (30/06/2026)</t>
  </si>
  <si>
    <t>Q4 FY26 (cierre 31-may): ventas $10,97B (-1%; -4% cc) sobre est., BPA aj $0,20 vs $0,13e; margen bruto 49,2% (+890pb por recuperacion aranceles IEEPA). FY26 ventas $46,4B (planas). Guia: BPA 'plano' en 1S FY27. Prox ~30-sep (est).</t>
  </si>
  <si>
    <t>Interim Q2 2026 (16/07/2026)</t>
  </si>
  <si>
    <t>Q2: ventas +72% (SEK 232M), organico +42%, margen op 41% (aj 47%). Resuelto litigio de patentes con BrainGuard (paga USD 3,25M, se contabiliza en Q3). Fuerte recuperacion en todas las categorias.</t>
  </si>
  <si>
    <t>FY26 Results (14/07/2026)</t>
  </si>
  <si>
    <t>FY26 (53 sem, cierre 3-may): ingresos record £1,83B (+11%; +13% cc), EBIT aj +6% a £155M, PBT +76% a £133M. EEUU +24% cc (ya 1er mercado, £927M); FCF £162M, deuda neta baja a £57M. Guia FY27: ventas +5-10% cc. Rumores de posible venta.</t>
  </si>
  <si>
    <t>TFF</t>
  </si>
  <si>
    <t>Resultats annuels 2025/26 (08/07/2026)</t>
  </si>
  <si>
    <t>FY (cierre 30-abr): CA €312,75M (-26,5%; -23,4% cc); Alcools -36,7% (Bourbon -35,4%, volumenes -28%), Vin -14,1%. EBITDA €48,2M (15,4%, -40%), BN €9,2M (-71%). Deuda neta baja a €285M; caja €97M por desdstock. Dividendo €0,40, AG 28-oct.</t>
  </si>
  <si>
    <t>FY2025 Full Year Results (26/06/2026)</t>
  </si>
  <si>
    <t>FY25: ingresos $212,9M, produccion 8.940 boepd (tope de guia), EBITDA aj $97M. Guia FY26 proforma 19-21k boepd. Adquisicion Oman (Bloques 3&amp;4 y 9, +25,6 mmboe 2P); FID Balder Next (86 mmboe, primer crudo 4T27); bono $300M al 9,875% sobresuscrito. Caja ~$268M.</t>
  </si>
  <si>
    <t>BN; BP</t>
  </si>
  <si>
    <t>Preanuncio Q2 2026 + guia (jul-2026)</t>
  </si>
  <si>
    <t>Preliminar Q2: ventas ~$418M (sobre guia $388-403M), EBITDA aj ~$112M. SUBE guia FY26 a ventas $1.215-1.250M y EBITDA aj $335-350M. Termina distribucion con Boise Cascade (12-ago) y amplia con SBP. Resultados completos ~4-ago.</t>
  </si>
  <si>
    <t>Prensa (jul-2026)</t>
  </si>
  <si>
    <t>6-jul: recorta ~4.800 empleos (~2,1%) reestructurando comercial y Xbox mientras eleva el capex record en IA; accion -23% en 1S26. Sin resultados nuevos; Q4 FY26 el 29-jul.</t>
  </si>
  <si>
    <t>Prensa (jun-jul 2026)</t>
  </si>
  <si>
    <t>Jun: paga $14,3B por el 49% de Scale AI e incorpora a Alexandr Wang para liderar Meta Superintelligence Labs; fichajes de primer nivel (Nat Friedman, Daniel Gross, +11 ingenieros de OpenAI/Google/Anthropic, fundadores de Virtue AI). Fuerte gasto en talento IA. Q2 el 29-jul.</t>
  </si>
  <si>
    <t>16.000+ despidos en 2026 (AWS, Alexa, Prime Video); nueva unidad AWS 'Forward Deployed Engineering' ($1B); capex 2026 ~$200B en IA; emision de bonos ~$25B para infraestructura. Q2 el 30-jul.</t>
  </si>
  <si>
    <t>DOJ/Prensa (2026)</t>
  </si>
  <si>
    <t>Remedios antitrust finalizados (abr-26): conductuales (sin contratos exclusivos, compartir datos/sindicacion), sin ruptura estructural; Google y DOJ+35 estados han apelado. Gemini 750M MAU; capex 2026 $175-185B. Q2 el 28-jul.</t>
  </si>
  <si>
    <t>30-jun: acuerdo para comprar las operaciones norteamericanas de EDF power solutions ($4,2B, renovables). Cierra fondo buyout NA de $23B y $2,5B de credito privado en Asia; monetizaciones &gt;$900M (mar-jun). Q2 el 30-jul.</t>
  </si>
  <si>
    <t>Junta/RNS (16-17 jul 2026)</t>
  </si>
  <si>
    <t>16-17-jul: la junta aprueba la simplificacion de la estructura corporativa; nueva matriz 'Brookfield Corporation Ltd.' cotizara en TSX/NYSE como BN, cierre previsto para fin de ano. Q2 el 13-ago.</t>
  </si>
  <si>
    <t>Prensa (jun-2026)</t>
  </si>
  <si>
    <t>Fusion de MWI Animal Health con Covetrus (plataforma salud animal) y compra del negocio de retina de EyeSouth; relevo de CFO (Cleary sale 30-jun, entra Eva Boratto). Guia FY26 BPA aj $17,65-17,90, buyback $1B. Q3 FY26 el 4-ago.</t>
  </si>
  <si>
    <t>Prensa (30-jun-2026)</t>
  </si>
  <si>
    <t>30-jun: acuerdo para comprar el 100% de Cognite (software IA industrial) por $3,1B en efectivo (refuerza AVEVA); colaboracion con Foxconn en centros de datos IA. Mantiene objetivo EBITA aj +10-15% organico. S1 el 30-jul.</t>
  </si>
  <si>
    <t>SGO</t>
  </si>
  <si>
    <t>Rotacion de cartera: compra Xypex (quimicos de construccion, 6-jul); vende Dahl (distribucion nordica, €1,5B, 15-jun), HKO (1-jun) y distribucion de azulejos nordica (26-may). Objetivo: rotar &gt;20% de ventas via M&amp;A/desinversiones hasta 2030. S1 el 30-jul.</t>
  </si>
  <si>
    <t>Adquisiciones en centros de datos: Girtz Industries (EEUU, ~$80M ventas) y SRS Power Engineering (Malasia, ~€90M). Reafirma guia FY26 (ventas +2-6%, margen op aj 20-21%); guia data center al alto de 10-20%. Varias mejoras de rating. S1 el 6-ago.</t>
  </si>
  <si>
    <t>Ambicion M&amp;A ~€4B (posible operacion tamano Encore Wire en 12m) y cerca de contratos a largo plazo con hyperscalers (capacidad optica +40-50%). Confia en batir con holgura el punto medio de la guia EBITDA FY26 (€2.625-2.775M); adquirio Xtera (subsea). S1 el 30-jul.</t>
  </si>
  <si>
    <t>Prensa/IR (jun-jul 2026)</t>
  </si>
  <si>
    <t>11-jun: adquisicion de Orb (billing para software). Reafirma guia FY26 (ingresos +20-22% cc, margen EBITDA 55%). Resultados S1 2026 el 13-ago.</t>
  </si>
  <si>
    <t>Ad-hoc (17-jun-2026)</t>
  </si>
  <si>
    <t>17-jun: SUBE guia de rentabilidad FY26 - expansion de margen core EBIT ahora 140-170pb (antes 30-60pb) por eficiencias de fabricacion, mix geografico y menores aranceles. Resultados S1 el 19-ago.</t>
  </si>
  <si>
    <t>Presion competitiva: VantageScore 4.0 aprobado para Fannie/Freddie/FHA; FICO baja el score hipotecario 10T a $0,99 (aunque sube el score base a $10). Accion ~-50% desde maximos. Sube guia FY26 (~$2,45B ingresos). Q3 FY26 ~28-jul. VIGILAR tesis.</t>
  </si>
  <si>
    <t>Prensa (01-jul-2026)</t>
  </si>
  <si>
    <t>1-jul: nueva politica 'Pay Per Use' - desde 15-sept bloquea por defecto crawlers de IA de uso mixto en paginas con publicidad y paga a editores cuando su contenido alimenta respuestas IA. Q2 el 6-ago.</t>
  </si>
  <si>
    <t>Prensa (may-jul 2026)</t>
  </si>
  <si>
    <t>19-may: adquiere Deepchecks (~$20M, seguridad IA). Reorganizacion comercial (nuevo CRO, cambios GTM) que ha pesado en la percepcion de la guia. Q2 el 30-jul.</t>
  </si>
  <si>
    <t>Summer Release (20-may-2026)</t>
  </si>
  <si>
    <t>20-may: 'Summer Release 2026' - nuevos Servicios (comida via Instacart, recogidas aeropuerto, alquiler de coche, consigna), +3.000 experiencias, hoteles boutique, mejoras IA y experiencias del Mundial 2026. Q2 el 6-ago.</t>
  </si>
  <si>
    <t>Lanza FLRT (energetica enfocada a mujeres, vs Alani Nu/Bloom) y planea subida de precios en EEUU; la subida de Red Bull (1-ago) se ve positiva. Presion de costes de aluminio. Q2 el 6-ago.</t>
  </si>
  <si>
    <t>Prensa (25-jun-2026)</t>
  </si>
  <si>
    <t>25-jun: completa el stream de oro de Ravenswood (Australia) por US$440M; sube el objetivo 2030 a 150-160k GEOs. Primera entrega en Q3. Q2 el 4-ago.</t>
  </si>
  <si>
    <t>Adquisicion de FloWorks ($1,6B, control de flujo industrial; data centers/semis; ~10x EBITDA, cierre Q3). Cancela su cotizacion secundaria en el LSE (efectivo 20-jul). Mantiene guia FY. Q4 FY26 el 4-ago.</t>
  </si>
  <si>
    <t>Jun: primer crudo en Blackrod Fase 1 (hito). Produccion Q1 43k boepd; guia FY 44-47k con fuerte rampa en 2S. Recompras ralentizadas para priorizar Blackrod; perdida de cobertura ~$30M en Q2. Q2 el 4-ago.</t>
  </si>
  <si>
    <t>Se reanudan (muy pocos) envios de H200 a China tras licencias; sigue practicamente fuera del mercado de data center chino. Sin resultados nuevos desde Q1 FY27 (20-may). Q2 FY27 el 26-ago.</t>
  </si>
  <si>
    <t>Ad-hoc Jungfraubahn (jun-2026)</t>
  </si>
  <si>
    <t>Advertencia: caida de visitantes en los primeros 4 meses (Jungfraujoch -12,3%, Experience Mountains -9,6%, total -5,7%) por el conflicto en Oriente Medio, restricciones de espacio aereo y menor demanda asiatica; la tendencia se acentua y pesara en el resultado 2026. Fuertes reservas futuras como colchon. S1 el 28-ago.</t>
  </si>
  <si>
    <t>Calendario/IR (jul-2026)</t>
  </si>
  <si>
    <t>Sin novedad material desde may; resultados S1 2026 el 23-jul. Q1: rev €368M/EBITDA €104M; guia FY EBITDA &gt;€450M, BPA +5%.</t>
  </si>
  <si>
    <t>Sin novedad material; resultados Q2 2026 el 22-jul. Q1: rev $228,3M (+15,6%), EBITDA aj +$5,0M (positivo). Revision estrategica de China en curso.</t>
  </si>
  <si>
    <t>VARIOS</t>
  </si>
  <si>
    <t>Revision sin cambios de celda</t>
  </si>
  <si>
    <t>Barrido de noticias 18-may -&gt; 18-jul</t>
  </si>
  <si>
    <t>Revisados sin novedad material (resultados ya capturados en jun o proximos en ago-sep): VEEV, COST, DSGX, ZS, S, CRWD, ITX, DNP, EVD, KSPI, CELH, HLMA (Q1/anteriores ya analizados en jun); RAA (Rational, Q1 6-may), NTO (Nintendo, FY 8-may), SPOT, VLTO, GRMN, KRX (Kingspan), CPR (Campari), JDG, BFIT, VRLA (Verallia, OPA BWGI fue 2025), LOTB, CBAV (Clinica Baviera), SIKA, TGYM (Technogym). No se ha modificado su celda BN.</t>
  </si>
  <si>
    <t>BN; BO; BP (est.)</t>
  </si>
  <si>
    <t>H1 2026 results (29/07/2026) - amorim.com/investidores + prensa (Sapo/ECO)</t>
  </si>
  <si>
    <t>OJO: ticker = Corticeira Amorim (Lisboa/cortica), NO Cencora -- logs de 24-jun/18-jul documentaron por error noticias de Cencora. H1 2026: ventas EUR445,8M (-5,8%; -4,6% ex-USD), BN EUR25,2M (-31,7%) por reestructuracion de suelos (ACS) y dolar debil. Q2 BN -51,9% a EUR9,8M; ACS mejora secuencial +5,3% (aeroespacial/sellado/deportes). Vigilar recuperacion de suelos.</t>
  </si>
  <si>
    <t>VRLA</t>
  </si>
  <si>
    <t>Resultats S1 2026 (28/07/2026) - verallia.com/investisseurs</t>
  </si>
  <si>
    <t>S1: ingresos EUR1.698,8M (-1,4%), BN EUR27M (EUR0,21/acc.) vs EUR68M en S1 2025 por cargos excepcionales de adaptacion industrial en Europa (-EUR43M neto); ex-excepcionales BN EUR70M (EUR0,59/acc.). Mantiene objetivos FY26. Capex EUR91M (-12%); nuevo horno hibrido en Saint-Romain en 2S26.</t>
  </si>
  <si>
    <t>Q2 2026 press release (28/07/2026) - investors.veralto.com</t>
  </si>
  <si>
    <t>Q2: ventas $1.474M (+7,6%), BN $241M (BPA $0,98), BPA aj. $1,11 bate estimacion ($1,00e); margen op. aj. 24,6%. FCF aj. $328M. Sube guia FY26: core sales +4,0-4,5%, BPA aj. $4,35-4,43 (incl. $0,05 por reembolsos arancelarios IEEPA).</t>
  </si>
  <si>
    <t>Q2 2026 results (22/07/2026) - abc.xyz / CNBC</t>
  </si>
  <si>
    <t>Q2: ingresos $119,8B (+24%, bate $116,9B e.), Cloud +82% a $24,8B (vs +63% en Q1); BPA $9,11 vs $2,89e (incluye ganancias no operativas). Emite $49,6B en acciones (jun) + $20,3B en bonos para capex IA; dividendo $0,22/acc. Accion cayo por subida de capex.</t>
  </si>
  <si>
    <t>Q2 2026 press release (29/07/2026) - garmin.com/newsroom</t>
  </si>
  <si>
    <t>Q2 record: ingresos $2,02B (+11,4%, bate $1,94B e.), BPA $2,81 vs $2,30e; margen bruto 62,4%, margen op. 30,4% (+30%). Fitness lidera (+25%, 37% ventas); Outdoor -2%. Sube guia FY26 a ~$8,05B ingresos y BPA ~$10.</t>
  </si>
  <si>
    <t>SIKA</t>
  </si>
  <si>
    <t>H1 2026 results (28/07/2026) - sika.com</t>
  </si>
  <si>
    <t>H1: ventas CHF5,59B (+4,0% en moneda local, -1,5% reportado por FX -5,5%); BN CHF552,1M (-0,4%); EBITDA CHF1.063M (-0,7%), margen bruto 55,7% (+60pb). Sube guia FY26: ventas +3-6% LC, margen EBITDA 19,0-19,5%. Fast Forward: CHF80M ahorro 2026.</t>
  </si>
  <si>
    <t>Resultados S1 2026 (23/07/2026) - vidrala.com / CNMV</t>
  </si>
  <si>
    <t>S1: ventas EUR754M (+0,5%), BN EUR117,4M (+8,9%) impulsado por Sudamerica; EBITDA EUR225,5M (+4,4%, margen 29,9%, +110pb); BPA EUR3,36 (+9,9%). Deuda neta EUR252,3M (0,6x EBITDA). Guia FY: EBITDA &gt;EUR450M, BPA +5%, caja ~EUR200M.</t>
  </si>
  <si>
    <t>BFIT</t>
  </si>
  <si>
    <t>Half-Year Report 2026 (28/07/2026) - corporate.basic-fit.com</t>
  </si>
  <si>
    <t>H1: ingresos EUR800M (+18%), EBITDA aj. (menos alquiler) EUR204M (+36%); BN +EUR23,6M vs -EUR7,9M en H1 2025. Clubes +35% a 2.192 (consolidacion Clever Fit), socios +34% a 6,1M. Sube guia FY26 EBITDA-menos-alquiler a EUR430-460M (antes EUR415-455M).</t>
  </si>
  <si>
    <t>Q2 2026 financial results (22/07/2026) - investors.oatly.com</t>
  </si>
  <si>
    <t>Q2: ingresos $240,1M (+15,2%; +12,7% cc, bate $220,1M e.), perdida aj. BPA -$0,99 (mejor que -$1,02e). Margen bruto 33,9% (+140pb); EBITDA aj. positivo +$0,4M (primer trimestre rentable a nivel aj.). Sube guia FY26 crecimiento cc a 8-10% (antes 3-5%).</t>
  </si>
  <si>
    <t>BN; BP (confirmado, sin cambios en BO)</t>
  </si>
  <si>
    <t>FICO confirma fecha de publicacion - biggo/marketbeat (jul-2026)</t>
  </si>
  <si>
    <t>Confirma publicacion de Q3 FY26 hoy 29-jul tras cierre (antes estimado 28-jul); aun sin resultados publicados a la hora de este barrido. Consenso: ingresos $679,3M (+26,6%), BPA $12,02 (+40,3%).</t>
  </si>
  <si>
    <t>Kaspi.kz confirma fecha - globenewswire (14/07/2026)</t>
  </si>
  <si>
    <t>Confirma publicacion de Q2/S1 2026 el 10-ago (antes estimado 27-jul); aun sin resultados.</t>
  </si>
  <si>
    <t>Spotify confirma fecha - stocktitan (jul-2026)</t>
  </si>
  <si>
    <t>Confirma publicacion de Q2 2026 el 4-ago antes de apertura (antes estimado 28-jul); aun sin resultados. Guia: ingresos ~EUR4,8B (+15%), MAU 778M, suscriptores 299M.</t>
  </si>
  <si>
    <t>Q4 FY26 press release (29/07/2026) - microsoft.com/investor</t>
  </si>
  <si>
    <t>Q4 FY26: ingresos $90,0B (+18%, bate $87,7B e.), BPA aj. $4,74 (bate $4,24e). Azure +43% (Intelligent Cloud $39,3B, +32%). FY26 completo: ingresos $331,8B (+18%), BN $133,7B (+31%); Azure supera $100B (+41%) por primera vez.</t>
  </si>
  <si>
    <t>Q2 2026 results (29/07/2026) - investor.atmeta.com</t>
  </si>
  <si>
    <t>Q2: ingresos $60,8B (+28%, bate estimacion) por impresiones +14% y precio/anuncio +12%; pero BPA $6,18 vs $7,22e (-13% i.a.) por gastos +55% a $42,0B (capex IA). FCF se desploma a $784M. Accion -9,6% tras publicar. Guia Q3 hasta $64B.</t>
  </si>
  <si>
    <t>Q3 FY26 results (29/07/2026) - SEC 8-K</t>
  </si>
  <si>
    <t>Q3 FY26: ingresos $674M (+26% i.a.), BPA GAAP $10,45 (BN $237,2M) vs $7,40 ano anterior; BPA aj. $12,18 bate $12,02e (+42%). Sube guia FY26.</t>
  </si>
  <si>
    <t>Resultats S1 2026 (30/07/2026) - se.com</t>
  </si>
  <si>
    <t>S1 record: ingresos EUR21,23B (+9,8% reportado, +14% organico); EBITA aj. EUR4,09B (+16,6%/+22,1% organico), margen 19,3% (+1,2pt). Sube guia FY26: EBITA organico +14-19% (antes +10-15%), ventas organicas +10-13%. Impulsado por demanda de centros de datos (Norteamerica, China).</t>
  </si>
  <si>
    <t>Risultati H1 2026 (30/07/2026) - prysmian.com</t>
  </si>
  <si>
    <t>S1: ingresos EUR11,24B (+7,2% organico); EBITDA EUR1,33B (+17,6%); BN EUR569M (+34,2% desde EUR424M). Sube guia FY26: EBITDA EUR2,8-2,9B (antes EUR2,63-2,78B), caja generada EUR1,65-1,75B (antes EUR1,3-1,4B). Digital Solutions +18%, Power Grid +13%.</t>
  </si>
  <si>
    <t>Q2 2026 financial results (30/07/2026) - checkpoint.com</t>
  </si>
  <si>
    <t>Q2: ingresos $673,6M (+1% i.a., miss de $689,9Me); BPA no-GAAP $2,55 bate $2,50e (+8%); BPA GAAP $1,87 (+2%). Suscripciones de seguridad $332,6M (+12%). Accion cayo pese al beat de BPA por el miss de ingresos.</t>
  </si>
  <si>
    <t>TGYM</t>
  </si>
  <si>
    <t>Risultati H1 2026 (30/07/2026) - corporate.technogym.com</t>
  </si>
  <si>
    <t>S1: ingresos EUR493M (+7,4%, +9% a tipos de cambio constantes); EBITDA aj. EUR85,7M (+1%); BN aj. EUR43,8M (estable). Posicion financiera neta positiva +EUR89M. CEO: 2026 ano de transicion hacia 'Vision 2031' (nuevo Healthness Lab, nueva planta, inversion en IA).</t>
  </si>
  <si>
    <t>ALTA fila 66 (A-I; J-AK; AP-AV; AZ; BD/BF; BH/BI; BN-BP)</t>
  </si>
  <si>
    <t>UBER deep dive + modelo (12/08/2026)</t>
  </si>
  <si>
    <t>Alta tras primer deep dive: de quema de caja a maquina de FCF ($10,1bn TTM) con duopolio Mobility US 76/24; conviccion 4/5, asimetria ~5:1, riesgo terminal medio (Waymo, deuda neta x3 para buybacks); sizing sugerido ~3%. FVE 5y $57-$312 (FVE min/max cuadran con bear/bull del modelo). Sub-scores propuestos por el Analista (Glassdoor pendiente de scuttlebutt).</t>
  </si>
  <si>
    <t>AP; AQ; AS; AV; BD; BF; BO; BP; BN</t>
  </si>
  <si>
    <t>VEEVA deep dive + modelo (16/08/2026)</t>
  </si>
  <si>
    <t>Deep dive competencia/unit economics: caja neta 7.213M (AP 7313/AQ 100), FCF TTM 1.640M (inflado por estacionalidad Q1; ancla limpia ~1.386M), revenue TTM 3.319M; BD/BF recalibrados a escenarios bear 'Erosion CRM'/bull 'Compounder Regulado' (1497/3288). Q2 FY27 el 26/08: vigilar top-20 CRM (10/20) y Veeva AI.</t>
  </si>
  <si>
    <t>N; Y; AP; AQ; AS; AU; AV; BD; BF; BO; BP; BN</t>
  </si>
  <si>
    <t>Adyen Scenarios Dashboard post-H1 (13/08/2026)</t>
  </si>
  <si>
    <t>H1-26: ingresos netos 1.302,9M EUR +19% (+21% cc), EBITDA 641,5M (49%), guia FY26 subida a 21-23% cc. Correccion clave: caja neta REAL ~3,0B EUR ex-fondos de comercios (antes AP=9000 sobreestimaba; EV real 29,1B). BD/BF = P10-P90 del FCF 2031 del MC 5 escenarios. CFO interino desde 1-sep (Y 12 a 11); concentracion top-300 mejora (N a -0.5).</t>
  </si>
  <si>
    <t>Y; AH; AQ; AS; BD; BF; BO; BN</t>
  </si>
  <si>
    <t>Tesis ecosistema Brookfield (05/08/2026) + Q2 BAM/BIP/BEP</t>
  </si>
  <si>
    <t>Plan value MtM 70,46$/acc vs ~44$ (-37%); DE LTM 6.009M (2,54$/acc). AQ=17815 = deuda con recurso 14.271 + prefs 3.544 (solo 5,4% del balance con recurso); AS=6936 = DE unlevered. BD/BF sobre DE (worst matriz +10%/plan 2030 5,85$). Simplificacion en marcha: BN+BNT cierre 4T26, BIP/BEP votan 14-oct. Sucesion ejecutada (Y a 14), funding 87% sin recurso (AH a 2).</t>
  </si>
  <si>
    <t>N; U; X; AA; AH; AP; AQ; AS; AT; AU; AV; AZ; BD; BF; BO; BN</t>
  </si>
  <si>
    <t>CELH Modelo Escenarios 2030 + analisis cualitativo adquisiciones (06-08/08/2026)</t>
  </si>
  <si>
    <t>Q2-26: revenue LTM 3.047M, EBITDA aj. 719M; CELSIUS NA -13,2%, Alani neto plano 3 trimestres (peaje PepsiCo 18pts bruto-neto). Re-rating a la baja documentado: N -3 (PepsiCo 59,6% ingresos), X 5, AA -18 (canibalizacion), U 10, AH 1 (prestamo 900M + prefs PepsiCo 1.760M 5% no en AQ). BD/BF = FCF 2030 S1/S5 (427/1467). VE modelo 40,1-40,6$/acc.</t>
  </si>
  <si>
    <t>V; AP; AQ; AT; AU; AV; AZ; BO; BN</t>
  </si>
  <si>
    <t>MNST Analisis Financiero y Cuotas (8-K 06/08/2026)</t>
  </si>
  <si>
    <t>Q2-26: ventas LTM 9.219M (+20,2% en Q2, volumen +22,3%), margen bruto 55,9%, caja neta 4.201M sin deuda; internacional 45,8% con cuota record en Europa. V 10 a 11 (reaceleracion por volumen). OJO: SPLIT 2:1 efectivo 11-ago — G y H del maestro siguen pre-split (90,36/979,5): hay que pasar H a ~1.959M cuando se refresque precio.</t>
  </si>
  <si>
    <t>AG; AS; AT; AU; AV; AZ; BD; BF; BO; BN</t>
  </si>
  <si>
    <t>Kaspi modelo + README (14/08/2026; resultados 2T el 10/08)</t>
  </si>
  <si>
    <t>2T-26: ingresos UDM 4,45bn KZT (consolida Hepsiburada 1P: el salto de revenue y compresion de margen es mix contable), BN plano 5 trimestres (1,07bn KZT) por coste financiacion 14,5%, impuesto bancario y Turquia (VAN esperado -511M USD; AG 12 a 11). AS=FCF distribuible FY25 (940bn), BD/BF = modas escenarios compresion/compounder (785bn/2.735bn KZT). Vigilar NPL 7,0% y take rate de Pagos.</t>
  </si>
  <si>
    <t>AP; AQ; BN</t>
  </si>
  <si>
    <t>Sintesis tesis Oatly + Q2 (22/07/2026)</t>
  </si>
  <si>
    <t>Balance actualizado al Q2: caja 44,6M vs deuda 517,8M (convertibles PIK 9,25% acretando hacia ~844M en 2028 + Nordic Bonds), patrimonio neto NEGATIVO. Operativo valida (+15,2%, guia FY26 +8-10% cc) pero muro 2028 sin avances: hueco 550-700M. Doc sugiere recortar/cerrar posicion-opcion y no perseguir.</t>
  </si>
  <si>
    <t>2026-08-20</t>
  </si>
  <si>
    <t>SOM</t>
  </si>
  <si>
    <t>Cash &amp; Equivalents; Total Debt; FCF LTM; NOPAT LTM; EBITDA LTM; Revenue LTM; Capital Employed; Ultima actualizacion</t>
  </si>
  <si>
    <t>Deep dive propio 19-ago-2026 (Prysmian_Deep_Dive.md), datos FY2025 reportados + Q2/1H2026 (30-jul-2026)</t>
  </si>
  <si>
    <t>LTM refrescado a cifras FY2025 auditadas (Rev 19.650M, Adj EBITDA 2.398M, margen 14,2%). Deuda neta bajo control (0,9x EBITDA guiado a cierre 2026). Vigilar CMD 2027 y despliegue de 2.600M de M&amp;A pendiente.</t>
  </si>
  <si>
    <t>ALTA NUEVA: Company Name; Ticker; Category; Estilo inversion; Exchange; Currency; Price; Shares Outstanding; Market Cap; FX Reporting; Cash &amp; Equivalents; Total Debt; FCF LTM; NOPAT LTM; EBITDA LTM; Revenue LTM; Enterprise Value; EV/FCF; EV/EBITDA; EV/Sales; NOPAT M%</t>
  </si>
  <si>
    <t>Tesis de Somero.docx + Somero_Operating_Model_2022_2030.xlsx (hojas Dashboard/Valuation/P&amp;L/Assumptions)</t>
  </si>
  <si>
    <t>Alta nueva. Lider de nicho (Laser Screed hormigon), balance sin deuda neta (caja neta ~30M USD), ciclico en fondo de ciclo (Revenue -33% y EBITDA -60% pico-2022 a 2025). AGM jun-2026 con voto mayoritario EN CONTRA en 4 resoluciones (gobierno corporativo) - bandera roja pendiente de resolver. Ratings cualitativos (Rating 1/2/3, columnas J:AK) sin rellenar: la tesis no incluye scores 0-10, quedan pendientes de tu criterio.</t>
  </si>
  <si>
    <t>10/03/2026</t>
  </si>
  <si>
    <t>08/09/2026</t>
  </si>
  <si>
    <t>Rating 1 (J:S completo); Rating 2 (T:AC completo); Rating 3 (AD:AM completo); Composite (AN); A67 vinculado como Stocks data type (B,E,F,G,H,I ahora formulas en vivo); Ultimos/Proximos resultados</t>
  </si>
  <si>
    <t>Tesis de Somero.docx (texto completo) + Somero_Operating_Model + investigacion web: Investegate (resultado AGM 17-jun-2026), TradingView/Investing.com (governance review 8-jul-2026), Johan Lunau Substack (moat/market share historico), busquedas Glassdoor/insider ownership</t>
  </si>
  <si>
    <t>Ratings calibrados contra Kistos/WOSG/Judges/Rational ya existentes en la hoja. Composite 3.56 (tier especial situacion, coherente con Estilo asignado). Puntos clave que penalizan: escandalo de voto en AGM jun-2026 (VN Capital denuncia 8.3M votos excluidos por cambio de fecha limite en Computershare/CREST), Remuneration Policy rechazada 61.35%, presidente L.Horsch 90 anos forzado a dimitir, sin stake verificable del CEO, Glassdoor negativo (equipo UK). Puntos que suman: caja neta sin deuda, &gt;80% cuota estimada en screed automatizado, &gt;100 patentes, board ya en revision de gobierno (QCA code) desde jul-2026.</t>
  </si>
  <si>
    <t>Rating 1: Optionality, Concentration, Glassdoor, Ownership. Rating 2: Potential, Risks. Rating 3: Capital Allocation, Financing Source, Terminal Risk. FVE inputs: FCF @5y Min/Max (BD/BF)</t>
  </si>
  <si>
    <t>Deep dive propio 19-ago-2026 + toggle de escenarios del modelo Prysmian_Model_2019-2030.xlsx (Assumptions!B4, lectura Valuation!M14/M18 2030E por escenario) + investigacion web: anuncio adquisicion Atkore (prysmian.com, ~1-ago-2026), insider ownership (&lt;5%, disperso), Glassdoor (3.7/5, 72% recomienda)</t>
  </si>
  <si>
    <t>Composite 5.24 -&gt; 5.16 (practicamente estable). Hallazgo relevante no recogido en el deep dive: Prysmian anuncio compra de Atkore por 3.800M USD en efectivo (95 USD/accion), 9.8x EV/EBITDA 2025A o 7.1x con sinergias (150M USD/año en 3 años) - POR DEBAJO del umbral de alerta de 12x que el propio deep dive marcaba como limite de disciplina. Cierre esperado a finales de 2026; financiado con deuda+hibridos+autocartera manteniendo rating IG. Sube Optionality y Capital Allocation por la disciplina de precio; sube Concentration (penaliza) y Terminal Risk por la mayor exposicion a EEUU y el riesgo de integracion de una segunda gran adquisicion tan pronto tras Encore Wire. Ownership baja a -1: confirmado externamente insider ownership &lt;5% disperso, sin comprador relevante en mercado abierto. FVE inputs (BD/BF) recalculados directamente alternando el toggle de escenario del modelo propio (Assumptions!B4=1/2/3) y leyendo el FCF 2030E resultante (5 anios vista): conservador 1.701M€, base 2.506M€ (sin cambio), alcista 3.496M€. FVE resultante: 93,76€ (min) - 252,93€ (max) con multiplos de salida 18x-22,5x FCF (sin cambio respecto al default de la hoja). IMPORTANTE: este FVE es standalone, NO incorpora el pro forma de Atkore (deal aun no cerrado, sin modelo combinado propio).</t>
  </si>
  <si>
    <t>IP</t>
  </si>
  <si>
    <t>2026-08-21</t>
  </si>
  <si>
    <t>13/11/2026</t>
  </si>
  <si>
    <t>RBT</t>
  </si>
  <si>
    <t>17/09/2026</t>
  </si>
  <si>
    <t>ROKO B</t>
  </si>
  <si>
    <t>17/07/2026</t>
  </si>
  <si>
    <t>USPH</t>
  </si>
  <si>
    <t>ALTA NUEVA fila 68: A-I (mercado); J-Q Rating 1; T-AA Rating 2; AD-AK Rating 3; AO-AV financieros; AZ capital empleado; BD/BF FCF 5y; BH/BI múltiplos de salida; BN-BP fechas</t>
  </si>
  <si>
    <t>Deep dive propio 21-ago-2026 (Interpump_Deep_Dive.md + Interpump_Model_2019-2030.xlsx). Fuentes: nota de prensa FY2025 (20-mar-2026), resultados Q2/1S 2026 (6-ago-2026), earnings call Q2 2026, Highlights de IR, S&amp;P Global vía stockanalysis</t>
  </si>
  <si>
    <t>Alta nueva. Compounder industrial italiano: bombas de alta presion y componentes hidraulicos moviles, lider mundial en tomas de fuerza para camion. Margen EBITDA 22-24% durante siete anos; balance a 0,63x EBITDA con objetivo de deuda cero en 2028; sin dilucion. Composite 5,31. PUNTOS QUE PENALIZAN: ROIC 10,0% en el valle (13,4% en el pico de 2023) y ROIIC 2019-2025 del 7% - el crecimiento es M&amp;A, no reinversion organica; sucesion sin resolver (Montipo, 82 anos, sigue de presidente ejecutivo con poderes delegados); no publica cartera ni book-to-bill; cilindros hidraulicos (18% de ventas) sin moat. PUNTOS QUE SUMAN: no publica ningun EBITDA ajustado (contabilidad limpia); recompro 95 M EUR en 2022 con la accion cara y volvio a recomprar 22 M EUR en el 1S 2026 con la accion barata; una sola compra grande evitada en el ciclo caro. AS/AT/AU/AV son LTM a jun-2026; AP/AQ son del cierre de 2025. BD/BF = FCF 2030E conservador (260) y alcista (480) del modelo propio; BH/BI son multiplos EV/FCF calibrados para reproducir las TIR del modelo (0,0% / +26,8%). Asimetria prudente 2,98:1 sobre un bajista construido a mano de 26 EUR; el escenario conservador del modelo (36,50) queda POR ENCIMA del precio actual. Sizing 2,0-2,5%, entrada escalonada.</t>
  </si>
  <si>
    <t>ALTA NUEVA fila 69: A-I (mercado); J-Q Rating 1; T-AA Rating 2; AD-AK Rating 3; AO-AV financieros; AZ capital empleado; BD/BF FCF 5y; BH/BI múltiplos de salida; BN-BP fechas</t>
  </si>
  <si>
    <t>Deep dive propio 21-ago-2026 (Robertet_Deep_Dive.md + Robertet_Model_2019-2030.xlsx). Fuentes: resultados anuales 2025 y presentacion (9-abr-2026), ventas 1S 2026 (6-ago-2026), texto de resoluciones de la junta 2026, nota Robertet/Peugeot Invest/FSP (nov-2024), S&amp;P Global via stockanalysis</t>
  </si>
  <si>
    <t>Alta nueva y la de MAYOR CALIDAD de la tanda de agosto de 2026. Casa familiar de Grasse fundada en 1850, lider mundial en ingredientes naturales de perfumeria y aroma; es a la vez proveedor y competidor de Givaudan, IFF, dsm-firmenich y Symrise. Composite 7,01. PUNTOS QUE SUMAN: moat de aprovisionamiento agricola no replicable con dinero (red en ~50 paises, destilerias propias); margen EBITDA del 17,3% (2019) al 20,6% (2025) y margen bruto +3,7 pt desde 2022; ROIC 15,0% y ROIIC 2021-2025 del 15,5% sobre inversion ORGANICA, no comprando empresas; circulante bajado del 60,9% al 48,4% de ventas (~100 M EUR liberados) desde que Jerome Bruhat es director general en 2022; familia Maubert con 38% del capital y 62% de los votos; sin metricas ajustadas; balance a 0,64x. PUNTOS QUE PENALIZAN: el director general no tiene participacion relevante (quien ejecuta no es dueno); transparencia muy pobre (sin margen por division, sin call trimestral, resultados semestrales); iliquidez real (2.169.297 titulos, 40% de free float); objetivo de +5% organico de 2026 en riesgo (1S en +2,8%, Q2 en +0,7%). OPCIONALIDAD NO MODELIZADA: Givaudan posee el 4,68% comprado en mercado sin negociacion previa. AP/AQ/AU/AV/AZ del cierre de 2025 (ultimo periodo completo reportado). BD/BF = FCF 2030E conservador (92) y alcista (145). Asimetria prudente 2,66:1 sobre un bajista de 588 EUR. Sizing 2,5-3,0%, candidata a nucleo resiliente; iniciar 1,5% y ampliar tras los resultados completos del 1S el 17-sep-2026.</t>
  </si>
  <si>
    <t>ALTA NUEVA fila 70: A-I (mercado); J-Q Rating 1; T-AA Rating 2; AD-AK Rating 3; AO-AV financieros; AZ capital empleado; BD/BF FCF 5y; BH/BI múltiplos de salida; BN-BP fechas</t>
  </si>
  <si>
    <t>Deep dive propio 21-ago-2026 (Roko_Deep_Dive.md + Roko_Model_2019-2030.xlsx). Fuentes: informe anual 2025, year-end report 2025, informe intermedio ene-jun 2026 y presentacion, nota de cambio de CEO (8-mar-2026), prospecto de la salida a bolsa (mar-2025), stockanalysis y MarketScreener</t>
  </si>
  <si>
    <t>Alta nueva. Consolidador nordico fundado en 2019 por Fredrik Karlsson (CEO de Lifco 1998-2019) y Tomas Billing. 34 companias de nicho en 8 paises, 1.829 empleados y OCHO personas en la oficina central. Composite 5,98. PUNTOS QUE SUMAN: el mejor alineamiento de la watchlist - 21% del capital y 65% de los votos en manos de los tres ejecutivos, y Karlsson ha comprado acciones por 97 MSEK tras la salida a bolsa; compra por debajo de 8x EBITA lo que el mercado le valora a 21x; ROCE sube cinco anos seguidos (9,2% a 14,8%) MIENTRAS compra; ROCE sin fondo de comercio 127%; capex 1% de ventas y conversion de caja 72%; una sola adquisicion en 2023, el ano caro (la disciplina que Storskogen no tuvo). PUNTOS QUE PENALIZAN: solo 17 meses de historia publica (salida a bolsa 11-mar-2025) y una sola memoria anual; cambio de consejero delegado el 22-abr-2026 (Johan Bladh sustituye a Karlsson, que sigue como adjunto y presidente del Comite de Inversiones) SIN QUE LA COMPANIA HAYA EXPLICADO POR QUE AHORA; apalancamiento de 2,0x (dic-25) a 2,6x (jun-26) contra un techo declarado de 3,0x; el 32% de las ventas es B2C de retail especializado, el segmento con peor economia de la cartera. TRAMPA CONTABLE IMPORTANTE: hay DOS cifras de deuda. La deuda neta con intereses es 1.817 MSEK; la deuda financiera neta es 4.387 MSEK e incluye 2.570 MSEK de opciones de venta, earn-outs y pagos aplazados a los minoritarios de las filiales, que CRECEN cuando las filiales van bien. AQ=4.887 y AP=500 estan puestos para que AR reproduzca el EV correcto de 31.617 MSEK. Con esa deuda el descuento en EV/EBITA frente a Lifco casi desaparece (21,5x vs 22-24x), aunque en P/E siga pareciendo barata. AU es EBITDA estimado (adj. EBITA LTM 1.473 + amortizacion de tangibles); la compania reporta adj. EBITA, no EBITDA. Asimetria 3,02:1, la mejor de la tanda. Sizing 1,5-2,0%, media posicion ahora. Fechas BO/BP estimadas.</t>
  </si>
  <si>
    <t>ALTA NUEVA fila 71: A-I (mercado); J-Q Rating 1; T-AA Rating 2; AD-AK Rating 3; AO-AV financieros; AZ capital empleado; BD/BF FCF 5y; BH/BI múltiplos de salida; BN-BP fechas</t>
  </si>
  <si>
    <t>Deep dive propio 21-ago-2026 (USPH_Deep_Dive.md + USPH_Model_2019-2030.xlsx). Fuentes: 8-K de resultados Q2 2026 (5-ago-2026) y Q1 2026 (5-may-2026), presentacion de inversores Q4 2025, CMS/APTA sobre el Medicare Physician Fee Schedule 2026 y 2027, S&amp;P Global via stockanalysis</t>
  </si>
  <si>
    <t>Alta nueva. Unico operador cotizado puro de fisioterapia ambulatoria de EE.UU.: 780 clinicas en 44 estados mas un negocio de prevencion de lesiones laborales (15% de ingresos, sin exposicion al reembolso sanitario). Mercado de mas de 40.000 M USD tan fragmentado que ningun operador supera el 10%. Composite 2,94, el mas bajo de la tanda. AVISO CRITICO: el BPA GAAP de USPH NO SIGNIFICA NADA. Los fundadores de cada clinica conservan el 20-50% en participaciones REDIMIBLES que se revalorizan cada trimestre, y esa revalorizacion se resta del BPA sin pasar por el beneficio neto; en el Q1 2026 hubo beneficio neto positivo (5,0 M USD) y BPA NEGATIVO (-0,12 USD), y el PER oficial LTM es de 437x. Solo sirven el EBITDA ajustado y los Operating Results per share. PUNTOS QUE PENALIZAN: el margen NO expande (EBITDA ajustado 12,9% en 2023, 12,2% en 2024 y 2025) y el margen bruto de clinica ha caido del 23,9% (2021) al 19,9% (Q2 2026); tijera estructural entre el ingreso por visita (+2,1%) y el coste salarial por visita (~+4,1%); ROIIC 2023-2025 de ~7% despues de impuestos porque compra clinicas a 8-10x contra cuatro fondos de private equity; apalancamiento de 1,36x (2023) a 3,47x (jun-26) MAS 318 M USD de participaciones redimibles fuera de esa cifra; dividendo (27,4 M USD) MAYOR que el flujo de caja atribuible al accionista de USPH (~20-25 M USD tras la salida hacia los socios de clinica), financiado con deuda; ampliacion de capital del 15% en 2023; insiders con solo 2-3% del capital. PUNTOS QUE SUMAN: demanda demografica garantizada, la mejor transparencia operativa de la tanda (visitas, visitas diarias por clinica, ingreso por visita por pagador, salarios sobre ingresos), CEO con 22 anos en el puesto, circulante practicamente cero y capex del 1,8% de ventas, y las afiliaciones hospitalarias (NYU Langone y un sistema de la Costa del Golfo, 70 clinicas integrandose en 2026) como opcionalidad que crece sin capital. AZ excluye las participaciones redimibles. AU=96 es EBITDA AJUSTADO LTM (metrica de la compania, ya neta de minoritarios); por eso el EV de AR no les suma los 318 M USD. Asimetria 1,75:1, POR DEBAJO del minimo de 2:1: sizing HOY 0%. Alerta de precio en 75,72 USD (2:1) y compra en 72 USD (2,5:1); por debajo de 65 USD, 2,5-3% - es donde recompro la propia compania en el 1S 2026 (media 62,80 USD). Q3 2026 en noviembre es el trimestre decisivo: el margen bruto de clinica tiene que volver por encima del 21% y la guia de EBITDA ajustado de 102-106 M USD exige un 2S de ~57 M USD frente a 47 en el 1S.</t>
  </si>
  <si>
    <t>M (Financials); P (Founder/CEO); Q (Ownership); K (MOAT)</t>
  </si>
  <si>
    <t>Auditoria cualitativa de ratings contra el checklist del deep dive de Prysmian</t>
  </si>
  <si>
    <t>Financials 0&gt;1 por deuda neta 0,9x EBITDA. Founder/CEO 0&gt;1: la columna se aplica como calidad del liderazgo y el equipo cumplio los seis objetivos del CMD con adelanto. Ownership -1&gt;0 para igualar el criterio de ABB, Schneider, Legrand y Veralto. MOAT 5&gt;5,5 por la posicion en HVDC.</t>
  </si>
  <si>
    <t>P (Founder/CEO); Y (Mgmt &amp; Culture)</t>
  </si>
  <si>
    <t>Founder/CEO 0&gt;1: los fundadores conservan el control de voto via acciones B. Mgmt &amp; Culture 9&gt;11: un 9 sobre 14 lo ponia por debajo de Airbnb y Descartes.</t>
  </si>
  <si>
    <t>J (Mission); T (R2 Financials)</t>
  </si>
  <si>
    <t>Mission 2&gt;1: el maximo de la columna para un vendedor de CDN/SSE mientras Inditex y Lifco estan en 0. R2 Financials 10&gt;8 con ROIC 1,4% y EV/FCF 369x.</t>
  </si>
  <si>
    <t>J (Mission)</t>
  </si>
  <si>
    <t>Mission 2&gt;1, mismo criterio que Cloudflare y Zscaler.</t>
  </si>
  <si>
    <t>Mission 2&gt;1. Con el 2 su Rating 1 igualaba al de Veeva con un moat de 6 frente a 8.</t>
  </si>
  <si>
    <t>K (MOAT); L (Optionality)</t>
  </si>
  <si>
    <t>MOAT 7&gt;6: el anfitrion tiene Booking a un clic y la oferta es legislable ciudad a ciudad. Optionality 3&gt;2: Experiences y Hoteles llevan cinco anos sin monetizarse.</t>
  </si>
  <si>
    <t>K (MOAT); M (Financials)</t>
  </si>
  <si>
    <t>MOAT 4&gt;5 por la densidad de red en distribucion de fontaneria y climatizacion, con ROIC del 23%. Financials 0&gt;1 por apalancamiento en torno a 1x.</t>
  </si>
  <si>
    <t>K (MOAT)</t>
  </si>
  <si>
    <t>MOAT 5&gt;6: estructura de royalty sin capex ni inflacion de costes, margen NOPAT del 61%.</t>
  </si>
  <si>
    <t>MOAT 5&gt;6: prescripcion con el arquitecto y margen EBITDA del 20% a traves de ciclos.</t>
  </si>
  <si>
    <t>MOAT 6&gt;6,5: especificacion regulatoria en calidad del agua y trazabilidad. R2 le daba 16/20 y R3 13/15.</t>
  </si>
  <si>
    <t>MOAT 4&gt;5: mismo modelo que Lifco (7/8) ejecutado por quien construyo Lifco. La diferencia real es historial, ya penalizada en R2.</t>
  </si>
  <si>
    <t>MOAT 7&gt;6: foso encerrado en el perimetro regulatorio de un solo pais.</t>
  </si>
  <si>
    <t>MOAT 3&gt;4: densidad local de clinicas y relacion con el medico prescriptor.</t>
  </si>
  <si>
    <t>N (Concentration)</t>
  </si>
  <si>
    <t>Concentration 0&gt;-1: el beneficio depende de una sola marca.</t>
  </si>
  <si>
    <t>Concentration 0&gt;-1: una sola familia de producto, los hornos combinados.</t>
  </si>
  <si>
    <t>Concentration 0&gt;-1: el negocio pivota sobre una generacion de consola cada vez.</t>
  </si>
  <si>
    <t>Concentration 0&gt;-2: tres discograficas controlan el catalogo sin el cual el producto no existe.</t>
  </si>
  <si>
    <t>V (Potential)</t>
  </si>
  <si>
    <t>Potential 14&gt;11: un 14 sobre 18 lo igualaba a Airbnb para una alimentaria europea que crece a un digito medio.</t>
  </si>
  <si>
    <t>K; L; M (R1); U; V; Y; AA (R2); AD; AE; AG; AH; AJ; AK (R3)</t>
  </si>
  <si>
    <t>Revision completa tras Q2 2026 (22-jul-2026): ingresos +15,2%, margen bruto 33,9% (+140pb), adj EBITDA +0,4 M$ frente a -3,6, FCF -0,6 M$ frente a -5,2, guia de crecimiento subida del 3-5% al 8-10%, opex del 57,8% al 41,4% de ventas en cuatro anos. Sube Mgmt &amp; Culture, Potential, Durability y Capital Allocation, y baja el doble castigo por apalancamiento (Risk of Disappearance y Terminal Risk). En contra: deuda neta ~459 M$ frente a adj EBITDA guiado de 25-35 M$, por lo que baja R1 Financials a -1 y Financing Source a -4, y se alinean los tres MOAT (R1 5&gt;4, R2 5&gt;6, R3 9&gt;7) que se contradecian entre si.</t>
  </si>
  <si>
    <t>R (R1 Sum); S (RATING 1) filas 4-71</t>
  </si>
  <si>
    <t>Glassdoor sale del Rating 1 y la normalizacion pasa de /17 a /16. Motivo: la columna estaba en blanco en 38 de 68 filas y mezclaba dos escalas. Las filas con la columna rellena tenian una divergencia media de +0,05 frente al resto de ratings; las que la tenian en blanco, de -0,70. La columna O se conserva con sus valores, solo deja de sumar.</t>
  </si>
  <si>
    <t>RATING 1 - Structural Quality (max 16, normalized to 10) - Glassdoor excluded 21-Aug-2026</t>
  </si>
  <si>
    <t>Glassdoor (-1 to 1): RETIRED 21-Aug-2026. Blank in 38 of 68 rows and mixing two scales; column kept but no longer summed. Culture is judged in R2 Mgmt &amp; Culture and R3 Incentives.</t>
  </si>
  <si>
    <t>Weighted average from 21-Aug-2026: 20% R1 + 40% R2 + 40% R3 (each normalized to 0-10). Was a simple average until then.</t>
  </si>
  <si>
    <t>Rationale: R2 is the densest and most falsifiable (100 points, all anchored in economics). R3 carries terminal risk, which is a DIVISOR in the position-sizing framework, not an addend. R1 is the noisiest (16 points, 4 of them soft judgment) and drops to an overlay.</t>
  </si>
  <si>
    <t>Not a buy signal in itself - valuation and asymmetry are a separate axis and are not captured here.</t>
  </si>
  <si>
    <t>AN (Composite) filas 4-71; Framework Notes filas 8, 14, 39, 40, 41</t>
  </si>
  <si>
    <t>Auditoria cualitativa de ratings - reponderacion del compuesto</t>
  </si>
  <si>
    <t>El compuesto pasa de media simple a 20% R1 + 40% R2 + 40% R3. Motivo: R2 es el rating mas denso y falsable (100 puntos, todo anclado en economia); R3 lleva el riesgo terminal, que en el framework de sizing es un divisor y no un sumando; R1 es el mas ruidoso (16 puntos, 4 de juicio blando) y baja a capa de matiz. Movimiento maximo +-0,25 puntos. IMPORTANTE: src/etl.py valida composite = media(R1,R2,R3) con tolerancia 0,05, hay que actualizar esa comprobacion o el build falla.</t>
  </si>
  <si>
    <t>USD por GBP (KIST, SOM) - GBP/USD 1,3641 al 20-ago-2026</t>
  </si>
  <si>
    <t>XPAR</t>
  </si>
  <si>
    <t>XDUB</t>
  </si>
  <si>
    <t>AO61; AR61; BJ61; BK61</t>
  </si>
  <si>
    <t>Auditoria de divisa cotizacion vs reporte</t>
  </si>
  <si>
    <t>Kistos cambio su moneda de presentacion de EUR a USD el 1-ene-2024; la hoja ponia GBP. Se corrige AO y se anaden la conversion GBP-&gt;USD (Framework Notes E9) y el *100 de peniques en AR, BJ y BK. AR no tenia formula: era un valor congelado.</t>
  </si>
  <si>
    <t>AO67; AR67; BJ67; BK67</t>
  </si>
  <si>
    <t>Somero Enterprise Inc. es sociedad de Delaware: reporta en USD y cotiza en peniques en AIM; la hoja ponia GBP. Ademas a BJ67 y BK67 les faltaba el *100 que si tienen HLMA, JDG, KIST y WOSG, con lo que el FVE salia en libras contra un precio en peniques: error de factor 100 latente porque el FCF@5y esta vacio.</t>
  </si>
  <si>
    <t>AR65; BJ65; BK65</t>
  </si>
  <si>
    <t>Constellation Software cotiza en CAD y reporta en USD, y ninguna de las tres formulas convertia: la capitalizacion en CAD se mezclaba con caja, deuda y FCF en USD. EV/FCF pasa de 24,7x a ~18,2x. Es la empresa mejor puntuada del libro.</t>
  </si>
  <si>
    <t>BJ63; BK63</t>
  </si>
  <si>
    <t>AR63 ya convertia CAD-&gt;USD pero BJ63 y BK63 no, con lo que el FVE por accion salia en USD contra un precio en CAD.</t>
  </si>
  <si>
    <t>Revertido 11 -&gt; 14. El cambio del 21-ago se hizo creyendo que DNP era Danone; es Dino Polska (supermercados, Varsovia, PLN). El argumento de alimentaria europea madura no aplica a un discounter polaco que sigue abriendo cientos de tiendas al ano.</t>
  </si>
  <si>
    <t>E60; E35; Framework Notes C9/E9</t>
  </si>
  <si>
    <t>Codigos de mercado: Verallia XWBO-&gt;XPAR (Euronext Paris) y Kingspan XFRA-&gt;XDUB (Euronext Dublin). Nuevo tipo de cambio en Framework Notes E9 = 1,3641 USD/GBP. AVISO: los tipos E4:E8 estan congelados porque la columna D, que deberia traerlos en vivo, esta en #VALUE! en las cinco filas.</t>
  </si>
  <si>
    <t>AV; AS; AP; AQ; AU; AT; BN</t>
  </si>
  <si>
    <t>Verificacion del top 10 contra investor relations - FY2026 (29-jul-2026)</t>
  </si>
  <si>
    <t>El ejercicio cerro el 30-jun-2026, asi que el ano fiscal ES el LTM. Ingresos 270.000 -&gt; 331.839 (+18%). FCF 70.000 -&gt; 66.987 (flujo de operaciones 182.935 menos capex 115.948). Caja 78.000 -&gt; 76.843. Deuda 45.000 -&gt; 40.294. EBITDA 144.000 -&gt; 193.771 (resultado operativo 155.237 + D&amp;A y otros 38.534). NOPAT 90.000 -&gt; 125.127 (EBIT por 1 menos la tasa fiscal efectiva del 19,4%). AVISO: el FCF del Q4 cayo un 23% y la guia de capex del ano natural 2026 es de unos 190.000 M$, asi que este FCF es la ultima foto antes de la caida.</t>
  </si>
  <si>
    <t>AV; AS; AP; AQ; BO; BN</t>
  </si>
  <si>
    <t>Verificacion del top 10 contra investor relations - Q2 2026 (30-jul-2026)</t>
  </si>
  <si>
    <t>Ingresos 637.000 -&gt; 775.656 TTM (FY2025 716.900 menos 1S2025 323.369 mas 1S2026 382.125). FCF 52.000 -&gt; -7.604: el flujo de caja libre TTM es NEGATIVO porque el capex TTM (169.007) supera al flujo de operaciones (161.403), tras subir 66.100 M$ interanuales. No es deterioro sino inversion en infraestructura de IA, y el flujo de operaciones crece un 33%. El EV/FCF queda negativo a proposito: el multiplo no aplica en un ciclo de capex, y la valoracion se apoya en las columnas FCF@5y, que son la vision forward. Caja 80.000 -&gt; 78.213 (aparte hay 44.775 de valores negociables). Deuda 65.000 -&gt; 128.894 (deuda a largo plazo reportada). EBITDA y NOPAT NO se tocan: no hay cifras TTM exactas publicadas.</t>
  </si>
  <si>
    <t>AV; AU; BO; BN</t>
  </si>
  <si>
    <t>Verificacion del top 10 contra investor relations - 1S2026 (7-ago-2026)</t>
  </si>
  <si>
    <t>La fila llevaba sin actualizarse desde el 26-abr y se habia perdido el semestre. Ingresos 1.200 -&gt; 1.446,8 LTM (FY2025 1.355,0 menos 1S2025 657,3 mas 1S2026 749,1). EBITDA subyacente 260 -&gt; 300,4 (273,4 menos 129,3 mas 156,3). Biscoff crecio mas del 20% en volumen y en ingresos a la vez; EBIT subyacente del semestre 131,0 (17,5%) y beneficio neto +23,5%. NOPAT no se toca: falta el EBIT subyacente de 2025.</t>
  </si>
  <si>
    <t>BP; BN</t>
  </si>
  <si>
    <t>Verificacion del top 10 contra investor relations - Calendario</t>
  </si>
  <si>
    <t>Los resultados del Q2 FY2027 son el 10-sep-2026, no el 9. El resto de la fila esta al dia: el Q1 FY2027 del 3-jun ya estaba recogido.</t>
  </si>
  <si>
    <t>AZ (Capital Employed)</t>
  </si>
  <si>
    <t>Verificacion del top 10 - coherencia del ROIC</t>
  </si>
  <si>
    <t>Capital empleado 280.000 -&gt; 589.551 (activo total 758.376 menos pasivo corriente 168.825 a 30-jun-2026). Era necesario porque al actualizar el NOPAT a 125.127 con el capital empleado viejo el ROIC saltaba al 44,7%, imposible para Microsoft. Con la cifra correcta queda en 21,2%. AVISO IMPORTANTE: la columna Capital Employed son estimaciones manuales redondeadas en las otras 67 filas (Veeva 1.500, Costco 40.000, Amazon 300.000, Lotus 800...) y no siguen ninguna definicion homogenea, asi que el ROIC NO es comparable entre empresas hasta que esa columna tenga una sola definicion. Esta fila es ahora la unica con la definicion de libro.</t>
  </si>
  <si>
    <t>FCF NORMALIZADO - metodo para empresas en ciclo de capex de crecimiento</t>
  </si>
  <si>
    <t>Problema: cuando una empresa multiplica su capex para construir capacidad nueva, el FCF reportado deja de medir la capacidad de generar caja del negocio y pasa a medir el ritmo de inversion. Amazon cerro los doce meses a jun-2026 con FCF de -7.604 M$ y a la vez con el flujo de operaciones creciendo un 33%.</t>
  </si>
  <si>
    <t>Regla:  capex de mantenimiento = MAX( D&amp;A del periodo ; 50% del capex del periodo )</t>
  </si>
  <si>
    <t xml:space="preserve">        FCF normalizado = flujo de caja de operaciones - capex de mantenimiento</t>
  </si>
  <si>
    <t>Por que el maximo de dos cosas: el D&amp;A es la medida contable de la capacidad consumida y es el punto de partida correcto (owner earnings), pero se queda corto cuando el activo crece deprisa, porque refleja un parque de activos mas pequeno que el actual. El suelo del 50% del capex recoge que en infraestructura de nube y logistica buena parte del gasto es reposicion: la propia Microsoft dice que dos tercios de su capex son activos de vida corta, CPU y GPU.</t>
  </si>
  <si>
    <t>Cuando aplicarlo: solo si el capex del periodo supera el doble del D&amp;A, o si el FCF reportado es negativo con flujo de operaciones positivo. Si no se cumple ninguna de las dos, se usa el FCF reportado.</t>
  </si>
  <si>
    <t>Como anotarlo: dejar el FCF normalizado en la columna AS y registrar en el Updates Log los tres numeros de partida (flujo de operaciones, D&amp;A y capex) para que el calculo sea reproducible.</t>
  </si>
  <si>
    <t>Precision: el objetivo es estar aproximadamente acertado, no exactamente equivocado. Un error del 10% en el capex de mantenimiento mueve el FCF normalizado mucho menos que la diferencia entre usar el FCF reportado o no usarlo.</t>
  </si>
  <si>
    <t>AS (FCF); AF (R3 Capital Intensity)</t>
  </si>
  <si>
    <t>FCF normalizado + revision de ratings tras resultados</t>
  </si>
  <si>
    <t>FCF pasa de -7.604 reportado a 76.899 normalizado. Partida: flujo de operaciones TTM 161.403, D&amp;A TTM 75.200 (65.756 de 2025 menos 29.489 del 1S25 mas 38.933 del 1S26), capex TTM 169.007. Capex de mantenimiento = max(75.200 ; 84.504) = 84.504. El EV/FCF queda en 36,9x en vez de -373x. Capital Intensity 4-&gt;3: el capex es el 21,8% de las ventas y el FCF reportado es negativo; un 4 sobre 10, donde 10 es asset-light, era generoso.</t>
  </si>
  <si>
    <t>FCF pasa de 66.987 reportado a 124.961 normalizado. Partida: flujo de operaciones 182.935, D&amp;A y otros 38.534, capex 115.948. Capex de mantenimiento = max(38.534 ; 57.974) = 57.974. El EV/FCF queda en 28,4x en vez de 53x. Capital Intensity 5-&gt;4: el capex es el 34,9% de las ventas del ejercicio, y la guia del ano natural 2026 son unos 190.000 M$.</t>
  </si>
  <si>
    <t>AV (Ingresos); AG (R3 Capital Allocation); BO; BN</t>
  </si>
  <si>
    <t>Ingresos 12.149 -&gt; 12.641 LTM (FY2025 11.623 menos 1S25 5.498 mas 1S26 6.516). Capital Allocation 15 -&gt; 13: era la unica nota perfecta del libro y el Q2 2026 muestra crecimiento organico del 3% en el trimestre y del 1% quitando divisa, frente a un +17% de titular. Practicamente todo el crecimiento viene de comprar companias (732 M$ en un solo trimestre) y un 15/15 dice que cada euro reinvertido genera spread positivo, lo cual con el organico al 1% ya no se sostiene solo. Un 13 sigue diciendo excelente. El FCF de 2.700 no se toca: el FCFA2S LTM es 2.031 pero la columna pide FCF sin apalancar y no tengo el desglose para convertirlo.</t>
  </si>
  <si>
    <t>AV; BN</t>
  </si>
  <si>
    <t>Verificacion del top 10 contra investor relations</t>
  </si>
  <si>
    <t>Ingresos 262.000 -&gt; 287.790 LTM (FY2025 de 52 semanas 269.900, menos las 36 semanas comparables de 185.480, mas las 36 semanas del FY2026 de 203.370). El Q3 FY26 cerro con ventas de 69,15 MM$ (+11,6%) y comparables del +9,8%, del +6,6% sin gasolina ni divisa. NOPAT no se toca: falta el resultado operativo. Sin cambios de rating: los resultados confirman la nota.</t>
  </si>
  <si>
    <t>AS; BN</t>
  </si>
  <si>
    <t>FCF 6.936 -&gt; 6.200, que es el beneficio distribuible total de los ultimos doce meses reportado en el Q2 2026 (2,61 $/accion). El trimestre trajo un record de 77.000 M$ captados, 100.000 M$ en el semestre, capital con comisiones +19% hasta 672.000 M$ y 210.000 M$ de capital desplegable. Sin cambios de rating. PENDIENTE: la celda de proximos resultados sigue en 13/08/2026, que es la fecha de los ultimos.</t>
  </si>
  <si>
    <t>Ingresos 1.200 -&gt; 1.296 LTM (FY2025 1.260,0 menos 1S25 605,7 mas 1S26 642,0). EBITDA 320 -&gt; 350: el 320 era imposible porque quedaba POR DEBAJO del EBIT LTM de 349,8; se pone el EBIT como suelo hasta tener el D&amp;A exacto, asi que el EV/EBITDA real es algo menor. Contexto: margen EBIT del 26% en 2025 pese a aranceles de EE.UU. y divisa en contra, 50% de cuota mundial y ratio de fondos propios del 80%. El 26,5% del 1S26 incluye 14 M EUR de devolucion de aranceles: sin eso es 24,3%. El Q2 se freno al +4% por China. Sin cambios de rating: la concentracion de producto ya se bajo a -1 el 21-ago.</t>
  </si>
  <si>
    <t>AV; AU; BN</t>
  </si>
  <si>
    <t>Ingresos 26.500 -&gt; 29.251 MSEK LTM (FY2025 28.251 menos 1S25 13.881 mas 1S26 14.881). EBITDA 5.800 -&gt; 6.627: igual que en Rational, el 5.800 quedaba por debajo del EBITA LTM, asi que se pone el EBITA como suelo. Margen EBITA del 22,6% en el semestre, +60 pb. Crecimiento organico del 4,2% en 2025 y del 2,9% en el 1S26, con 16 negocios consolidados en 2025. Sin cambios de rating: su mezcla de organico y M&amp;A es mas sana que la de Constellation y su Capital Allocation de 14 sobre 15 se sostiene.</t>
  </si>
  <si>
    <t>FRAMEWORK DE ACTUALIZACION DE UNA EMPRESA - los cuatro pasos, en este orden</t>
  </si>
  <si>
    <t>1) FINANCIALS. Coger la nota de resultados y recalcular el LTM: ejercicio completo anterior menos el periodo comparable mas el periodo nuevo. Nunca anualizar un trimestre. Si el capex del periodo supera el doble del D&amp;A, o si el FCF reportado es negativo con flujo de operaciones positivo, usar el FCF normalizado.</t>
  </si>
  <si>
    <t>2) TRANSCRIPT Y Q&amp;A. Leer la presentacion, la llamada y sobre todo las preguntas de los analistas. Lo que se busca: crecimiento ORGANICO frente a adquirido, guia revisada al alza o a la baja, comentarios de margen y de precios, en que se esta gastando el capital, y que preguntas evita responder la direccion. El titular de ingresos casi nunca es el dato importante.</t>
  </si>
  <si>
    <t>3) RATINGS R1, R2 y R3. Solo se mueven si el paso 2 da un hecho nuevo, no por el movimiento del trimestre. Ejemplos reales del 22-ago-2026: crecimiento organico del 1% con un titular del 17% en Constellation (baja Capital Allocation de 15 a 13); capex al 35% de las ventas en Microsoft (baja Capital Intensity de 5 a 4); Biscoff creciendo un 20% en VOLUMEN y no solo en precio (sube Potential de Lotus de 13 a 14); un arancel que pasa de evento a coste recurrente en Rational (baja Risks de -7 a -8).</t>
  </si>
  <si>
    <t>4) FCF@5y Y MULTIPLOS DE SALIDA. Es el paso que de verdad cambia el valor futuro. Reglas:</t>
  </si>
  <si>
    <t xml:space="preserve">   - Rebasar SIEMPRE el FCF@5y si ha cambiado el FCF de partida. Si no, los crecimientos implicitos dejan de significar nada.</t>
  </si>
  <si>
    <t xml:space="preserve">   - Anclaje de multiplos: el multiplo bajista como maximo 0,75 veces el EV/FCF de hoy, y el alcista como maximo 1,25 veces. El escenario no puede inventarse un re-rating: la diferencia entre bajista y alcista tiene que venir del NEGOCIO, no de que el mercado pague mas.</t>
  </si>
  <si>
    <t xml:space="preserve">   - Test del caso bajista: si el escenario pesimista no pierde al menos un 15% sobre el precio de hoy, no es un caso bajista y hay que endurecerlo. Constellation y Brookfield tenian casos bajistas que GANABAN dinero.</t>
  </si>
  <si>
    <t xml:space="preserve">   - Comprobar al final el crecimiento anual implicito de cada escenario y preguntarse si se sostiene con lo leido en el paso 2.</t>
  </si>
  <si>
    <t>Solo cuando estan los cuatro pasos se puede hablar de asimetria. Con el paso 1 hecho y el 4 sin tocar, el valor futuro sigue calibrado contra unas cuentas que ya no existen.</t>
  </si>
  <si>
    <t>V (R2 Potential); BD; BF</t>
  </si>
  <si>
    <t>Framework 4 pasos: transcript/outlook -&gt; ratings -&gt; FCF@5y y multiplos</t>
  </si>
  <si>
    <t>Potential 14 -&gt; 15: Azure supero los 100.000 M$ anuales creciendo al 43% en el Q4. FCF@5y rebasado tras el FCF normalizado: min 102.853 -&gt; 145.000 (+3,0%/a) y max 153.471 -&gt; 220.000 (+12,0%/a). Los anteriores estaban calibrados sobre una base de 70.000 y con la nueva de 124.961 implicaban un -3,8% anual en el bajista y solo un +4,2% en el alcista. Multiplos 20-30 se mantienen: ya cumplen el anclaje sobre un EV/FCF de 28,4. Resultado: bajista -18%, alcista +85%.</t>
  </si>
  <si>
    <t>V (R2 Potential)</t>
  </si>
  <si>
    <t>Potential 13 -&gt; 14: Biscoff crecio mas del 20% en VOLUMEN y en ingresos a la vez en el 1S26, o sea que no es precio, y Natural Foods crecio un 17% en 2025 hasta ser un negocio de 300 M EUR.</t>
  </si>
  <si>
    <t>AA (R2 Risks)</t>
  </si>
  <si>
    <t>Risks -7 -&gt; -8: los aranceles de EE.UU. han pasado de evento a coste recurrente (el margen del 26,5% del 1S26 incluye 14 M EUR de devolucion; sin eso es 24,3%) y el Q2 se freno al +4% por China. Un -7 era la penalizacion mas baja del libro.</t>
  </si>
  <si>
    <t>BD; BF; BH; BI</t>
  </si>
  <si>
    <t>Caso bajista rehecho: no existia. El multiplo de salida bajista era 25x contra un EV/FCF actual de 17,7x, o sea que el escenario pesimista incluia expansion de multiplo, y ademas el FCF crecia al 10% anual. Queda min 4.350 -&gt; 3.100 (+2,8%/a) con multiplo 25 -&gt; 12, y max 6.200 -&gt; 5.200 (+14,0%/a) con multiplo 40 -&gt; 22. Motivo: el crecimiento organico del Q2 es del 3%, del 1% quitando divisa. Resultado: bajista -23%, alcista +142%.</t>
  </si>
  <si>
    <t>Mismo problema: multiplo bajista de 18x contra un EV/FCF actual de 17,7x y FCF creciendo al 9,3% anual en el escenario pesimista. Queda min 9.682 -&gt; 6.845 (+2,0%/a) con multiplo 18 -&gt; 13, y max 13.846 -&gt; 11.420 (+13,0%/a) con multiplo 25 -&gt; 22. El alcista sigue siendo generoso y esta justificado: capital con comisiones +19% hasta 672.000 M$, record de 77.000 M$ captados en el trimestre y 210.000 M$ desplegables. Resultado: bajista -21%, alcista +138%.</t>
  </si>
  <si>
    <t>BD; BF</t>
  </si>
  <si>
    <t>FCF@5y rebasado tras el FCF normalizado: min 72.933 -&gt; 93.500 (+4,0%/a) y max 109.218 -&gt; 161.500 (+16,0%/a) sobre la nueva base de 76.899. Multiplos 22,5-30 se mantienen: cumplen el anclaje sobre un EV/FCF de 36,9. Resultado: bajista -26%, alcista +72%.</t>
  </si>
  <si>
    <t>Framework Notes filas 61-72</t>
  </si>
  <si>
    <t>Documentado el framework de actualizacion en cuatro pasos: 1) financials y recalculo del LTM, 2) transcript y Q&amp;A buscando organico frente a adquirido, guia, margenes y en que se gasta el capital, 3) mover R1/R2/R3 solo si el paso 2 da un hecho nuevo, 4) rebasar FCF@5y y anclar los multiplos de salida (bajista como maximo 0,75x el EV/FCF actual, alcista como maximo 1,25x) con el test de que el caso bajista pierda al menos un 15%.</t>
  </si>
  <si>
    <t>12/11/2026</t>
  </si>
  <si>
    <t>2026-08-25</t>
  </si>
  <si>
    <t>10/09/2026</t>
  </si>
  <si>
    <t>25/02/2027</t>
  </si>
  <si>
    <t>22/09/2026</t>
  </si>
  <si>
    <t>20/11/2026</t>
  </si>
  <si>
    <t>09/11/2026</t>
  </si>
  <si>
    <t>03/11/2026</t>
  </si>
  <si>
    <t>11/08/2026</t>
  </si>
  <si>
    <t>BO9; BO10; BO16; BO65 (formato de fecha)</t>
  </si>
  <si>
    <t>Auditoria de fechas de resultados</t>
  </si>
  <si>
    <t>Bug de la sesion del 22-ago: al escribir "10/09/2026" via COM, Excel parsea en en-US y guarda mm/dd. DSGX quedo en 9-oct en vez de 10-sep, RAA en 8-jun en vez de 6-ago, LOTB en 8-jul en vez de 7-ago y CSU en 8-nov (fecha futura como "ultimos resultados") en vez de 11-ago. Las cuatro celdas se reescriben como TEXTO con formato "@", que es lo que usa el resto de la columna.</t>
  </si>
  <si>
    <t>AP; AQ; AS; AT; AU; AV; BD; BF; BO; BP</t>
  </si>
  <si>
    <t>Q1 FY2027 (6-ago-2026) + resultados FY2026 (8-may-2026)</t>
  </si>
  <si>
    <t>LTM a jun-2026: ingresos 2.000.000 -&gt; 2.258.501 MJPY (FY2026 2.313.000 menos Q1FY26 572.300 mas Q1FY27 517.800). EBITDA 550.000 -&gt; 461.600 (EBIT LTM 445.785 + D&amp;A 15.854). NOPAT 350.000 -&gt; 325.400 (27% de tipo efectivo). Caja 1.950.000 -&gt; 1.967.908 y deuda 20.000 -&gt; 0. FCF 330.000 -&gt; 262.620: es el FY2026 (289.789 de operaciones menos 27.169 de capex) porque Nintendo NO publica estado de flujos trimestral. Capex 27.169 &lt; 2x D&amp;A, asi que no se normaliza. FCF@5y rebasado sobre la nueva base manteniendo las CAGR implicitas (0% y 13%): min 330.000 -&gt; 262.620, max 608.004 -&gt; 483.861. Sin cambios de rating: el +150,5% de resultado operativo del Q1 lleva dentro unos 300 M$ de devolucion de aranceles (partida no recurrente) y el hardware de Switch 2 cayo un 34%; la guia del ejercicio se mantiene. AVISO: con estos numeros la asimetria de Nintendo queda mal, bajista -47% y alcista solo +16% total a 5 anos.</t>
  </si>
  <si>
    <t>AP; AQ; AS; AT; AU; AV; AZ; BD; BF; BO; BP</t>
  </si>
  <si>
    <t>Q2 2026 (6-ago-2026)</t>
  </si>
  <si>
    <t>Ingresos LTM 11.100 -&gt; 13.159 M$, FCF LTM 4.200 -&gt; 4.800 (dato de la propia compania, margen FCF LTM del 37%). EBITDA 3.500 -&gt; 2.874 por coherencia con el metodo del libro (EBIT + D&amp;A = 2.738 + 136); el 3.500 anterior era EBITDA ajustado con el SBC sumado. NOPAT 1.500 -&gt; 2.081. Caja mas inversiones a corto 11.000 -&gt; 12.069 y deuda 2.000 -&gt; 2.496. Capital empleado 4.000 -&gt; 10.662 (activo 28.754 menos pasivo corriente 18.092). El trimestre: ingresos +17%, GBV +16% hasta 27.200, noches +10% acelerando. FCF@5y: el max se rebasa a 9.655 manteniendo el 15,0%/a implicito, pero el min NO se rebasa mecanicamente porque con 6.126 el caso bajista solo perdia un 3%; se endurece a 5.100 (+1,2%/a) para cumplir el test del -15%. Sin cambios de rating: MOAT y Optionality ya se ajustaron el 21-ago.</t>
  </si>
  <si>
    <t>Q2 2026 (13-ago-2026)</t>
  </si>
  <si>
    <t>Ingresos LTM 36.000 -&gt; 35.628 MPLN, EBITDA 2.500 -&gt; 2.609 (EBIT 2.045 + D&amp;A 564), NOPAT 1.700 -&gt; 1.656 (19% CIT polaco). Caja 500 -&gt; 771, deuda 1.000 -&gt; 852, capital empleado 6.500 -&gt; 9.909. FCF NORMALIZADO: capex LTM 2.024 supera el doble del D&amp;A (1.128), asi que se aplica la regla del libro. Capex de mantenimiento = max(563,86 ; 1.012) = 1.012 y FCF = 2.693 - 1.012 = 1.681 en vez de los 669 reportados. Sin la normalizacion el EV/FCF salia 51x para un discounter que abre cientos de tiendas al ano; con ella queda en 20,3x. FCF@5y rebasado: min 1.234 -&gt; 1.900 (+2,5%/a, endurecido porque el rebase mecanico daba un caso bajista que GANABA un 30%) y max 2.052 -&gt; 3.381 (+15,0%/a, bajado desde el 24,0%/a implicito anterior porque no se sostiene con la nueva base).</t>
  </si>
  <si>
    <t>1S 2026 (6-ago-2026)</t>
  </si>
  <si>
    <t>LTM a jun-2026: ingresos 9.500 -&gt; 10.107 M EUR, EBITDA 2.250 -&gt; 2.319 (EBIT 1.904 + D&amp;A 414,5), NOPAT 1.450 -&gt; 1.409, FCF 1.300 -&gt; 1.340 (operaciones 1.567 menos capex 228). Caja 1.800 -&gt; 1.971 y deuda 4.300 -&gt; 7.724: la deuda estaba infravalorada en 3.400 M EUR, es el cambio mas importante de la fila. Capital empleado 9.500 -&gt; 15.683. FCF@5y rebasado manteniendo las CAGR (6,0% y 15,0%): min 1.740 -&gt; 1.794 y max 2.615 -&gt; 2.696. Sin cambios de rating. AVISO: el multiplo de salida bajista (13x, columna protegida) frente a un EV/FCF de 30,6x hace que el caso bajista pierda un 50%; casi todo viene del de-rating, no del negocio.</t>
  </si>
  <si>
    <t>1S 2026 (19-ago-2026)</t>
  </si>
  <si>
    <t>LTM a jun-2026: ingresos 2.600 -&gt; 2.637 MCHF, EBITDA 550 -&gt; 779 (EBIT 651,3 + D&amp;A 128), NOPAT 380 -&gt; 528. FCF 350 -&gt; 384 (FY2025 328,3 menos 1S25 113,6 mas 1S26 169,0). Caja 300 -&gt; 415 y deuda 700 -&gt; 475. Capital empleado 2.800 -&gt; 3.139, con lo que el ROIC pasa del 13,6% al 16,8%. El semestre: organico +7,8% (Q2 +8,5%, acelerando), margen core EBIT del 26,9% a tipos constantes (+90 pb) y guia del ejercicio confirmada al alza. FCF@5y rebasado manteniendo las CAGR (6,0% y 16,0%): min 468 -&gt; 514 y max 735 -&gt; 807. Sin cambios de rating: la aceleracion del organico confirma la tesis pero no aporta un hecho estructural nuevo.</t>
  </si>
  <si>
    <t>Q2 2026 (30-jul-2026)</t>
  </si>
  <si>
    <t>Ingresos LTM 17.500 -&gt; 25.833 M$, EBITDA 7.500 -&gt; 6.752 (EBIT 6.636 + D&amp;A 116), NOPAT 4.500 -&gt; 5.176. Caja 10.000 -&gt; 21.080 y deuda 60.000 -&gt; 56.164. FCF 4.200 -&gt; 5.000: se usa el beneficio neto ajustado LTM, mismo criterio que en Brookfield, y NO el FCF contable (2.340), que en una gestora consolidada con la aseguradora no significa nada. El calculo: FY2025 4.400 menos 1S25 (2.110) mas 1S26 (Q1 ~1.200 estimado + Q2 1.493 reportado) = ~4.980. PENDIENTE: el ANI del Q1 2026 es una estimacion, conviene sustituirlo por el dato publicado. El trimestre fue record en las tres metricas: FRE 1.214, TOE 1.539, ANI 1.493 (+38% por accion) y AUM 796.000. FCF@5y rebasado manteniendo las CAGR (7,0% y 20,0%): min 5.891 -&gt; 7.013 y max 10.451 -&gt; 12.442. AZ (capital empleado) NO se toca: activo menos pasivo corriente da 349.000 M$ y el ROIC resultante (1,5%) no significa nada en un balance consolidado con Global Atlantic y los vehiculos.</t>
  </si>
  <si>
    <t>Ingresos LTM 1.850 -&gt; 2.512 M$ (Q2 696,1, +36%). FCF 280 -&gt; 342 (operaciones 633,4 menos capex 291,5; capex &lt; 2x D&amp;A, no se normaliza). Caja mas inversiones a corto 1.800 -&gt; 4.163 y deuda 1.300 -&gt; 3.529. Capital empleado 3.500 -&gt; 3.846. CAMBIO IMPORTANTE DE SIGNO: en GAAP el resultado operativo LTM es -194,7 y el EBITDA (EBIT + D&amp;A) es -2,2, no +320. El NOPAT pasa de +50 a -195 y el ROIC de +1,4% a -5,1%. AVISO: el rating R2 Financials se bajo de 10 a 8 el 21-ago justificandolo con "ROIC 1,4%", una cifra que no esta en las cuentas; antes de volver a tocar el rating hay que decidir si esta fila se juzga en GAAP o en no-GAAP. El SBC LTM es 507,7 M$, el 20% de los ingresos, y todo el FCF se explica por sumarlo de vuelta. SEGUNDO AVISO: en el Q2 la compania anuncio una reestructuracion con recorte del 20% de la plantilla mientras los ingresos crecian un 36%; hay que leer la llamada antes de la proxima revision. La fila entera esta rota como valoracion: con un EV/FCF de 303x, el caso bajista pierde un 87% y el ALCISTA un 66%; los multiplos de salida (20-30x, columnas protegidas) no pueden capturar este precio.</t>
  </si>
  <si>
    <t>KRX</t>
  </si>
  <si>
    <t>AP; AQ; AS; AT; AU; AV; BD; BF; V (R2 Potential); BO; BP</t>
  </si>
  <si>
    <t>1S 2026 (7-ago-2026)</t>
  </si>
  <si>
    <t>LTM a jun-2026: ingresos 9.200 -&gt; 9.561 M EUR (FY2025 9.200 menos 1S25 4.496,3 mas 1S26 4.857,8), EBITDA 1.200 -&gt; 1.277, NOPAT 700 -&gt; 780. FCF 600 -&gt; 594 (FY2025 429,3 menos 1S25 -20,0 mas 1S26 144,3). Caja 800 -&gt; 590 y deuda 2.800 -&gt; 2.450, reconstruidas desde la deuda neta publicada de 1.859,8 y una liquidez disponible de 1.290 con 700 de credito no dispuesto. R2 Potential 13 -&gt; 14: hecho nuevo del paso 2, el segmento Advnsys (centros de datos) crecio un 36% en el semestre y la guia del ejercicio sube a 1.125 M EUR de trading profit (+18%) con ingresos que rompen los 10.000 M EUR por primera vez; es un vector de crecimiento nuevo, no el ciclo de la construccion europea. FCF@5y rebasado manteniendo las CAGR (4,0% y 15,0%): min 730 -&gt; 723 y max 1.207 -&gt; 1.195.</t>
  </si>
  <si>
    <t>CBAV</t>
  </si>
  <si>
    <t>AP; AT; AU; AV; BO; BP</t>
  </si>
  <si>
    <t>1S 2026 (29-jul-2026)</t>
  </si>
  <si>
    <t>Clinica Baviera. La fila llevaba sin tocarse desde el 26-abr y no tenia fecha de proximos resultados. LTM a jun-2026: ingresos 290 -&gt; 320 M EUR (FY2025 304,9 menos 1S25 154,5 mas 1S26 169,9), EBITDA 62 -&gt; 95, NOPAT 35 -&gt; 50. Caja 45 -&gt; 51,6. El semestre: ingresos +10%, EBITDA +14%, beneficio neto 26,7 (+17%), posicion financiera neta POSITIVA de 41,7 y capex de 12,4. Espana +11% en ingresos y +15% en EBITDA, Reino Unido +28%, Alemania plana con el EBITDA -11%. PENDIENTE: AQ (deuda 70) son pasivos por arrendamiento IFRS16, no deuda financiera; conviene decidir el criterio. El FCF (42) se deja como estaba: no hay estado de flujos semestral publicado.</t>
  </si>
  <si>
    <t>AP; AQ; AS; AT; AU; AV; AZ; BD; BF; T (R2 Financials); BO; BP</t>
  </si>
  <si>
    <t>Q2 2026 (29-jul-2026)</t>
  </si>
  <si>
    <t>La fila estaba MUY mal. Ingresos LTM 30.000 -&gt; 18.113 M EUR (un 65% de exceso), EBITDA 7.500 -&gt; 2.750 (EBIT 2.653 + D&amp;A 97), NOPAT 4.500 -&gt; 2.122, FCF 4.000 -&gt; 3.267. Y sobre todo el balance: la deuda pasa de 10.000 a 466 y la caja mas inversiones a corto de 5.000 a 6.985, o sea de 5.000 M EUR de deuda neta a 6.519 M EUR de CAJA NETA. Capital empleado 25.000 -&gt; 8.834. R2 Financials 12 -&gt; 13: el rating estaba calibrado contra un balance que no existe; con caja neta de 6.500 M EUR, FCF del 18% sobre ingresos y margen operativo del 14,7%, un 12 sobre 17 lo dejaba por debajo de companias claramente peor financiadas. FCF@5y rebasado manteniendo las CAGR (3,0% y 10,0%): min 4.637 -&gt; 3.787 y max 6.442 -&gt; 5.262. Resultado: bajista -20%, alcista +47%.</t>
  </si>
  <si>
    <t>LTM a jun-2026: ingresos 3.100 -&gt; 3.035 M EUR, EBITDA 700 -&gt; 664 (EBIT 549,7 + D&amp;A 113,9), NOPAT 420 -&gt; 412. Caja 800 -&gt; 711 y deuda 4.200 -&gt; 2.806: la deuda estaba sobrevalorada en 1.400 M EUR, la deuda neta real es 2.095. Capital empleado 5.500 -&gt; 7.090. FCF NORMALIZADO: capex LTM 245,6 supera el doble del D&amp;A (227,8), asi que capex de mantenimiento = max(113,9 ; 122,8) = 122,8 y FCF = 556,6 - 122,8 = 433,8 en vez de los 311 reportados; Campari sigue en ciclo de capacidad (agave y tequila). FCF@5y rebasado manteniendo las CAGR (3,0% y 11,0%): min 348 -&gt; 503 y max 506 -&gt; 731. El semestre: ventas 1.510 (+2,7% organico), EBIT ajustado 358 (+8,5% organico, margen 23,7% frente al 23,0%) y guia del ejercicio subida. Sin cambios de rating.</t>
  </si>
  <si>
    <t>AP; AQ; AS; AT; AU; AV; AZ; BD; BF; V (R2 Potential); BO; BP</t>
  </si>
  <si>
    <t>Q2 2026 (5-ago-2026)</t>
  </si>
  <si>
    <t>La fila estaba desfasada mas del doble. Ingresos LTM 230 -&gt; 489 M$ (Q2 129,2 + Q1 147,0 + Q4 118,9 + Q3 93,5), EBITDA 210 -&gt; 377 (EBIT 302,2 + agotamiento 74,8), NOPAT 140 -&gt; 257. Caja 80 -&gt; 35 y deuda 0 -&gt; 236, tras financiar Ravenswood. Capital empleado 1.800 -&gt; 2.539. FCF 190 -&gt; 395: se usa el flujo de operaciones LTM SIN restar capex. EXCEPCION EXPLICITA a la regla de FCF normalizado: el "capex" de 622 M$ del periodo son compras de streams (440 de Ravenswood), o sea M&amp;A de crecimiento, no reposicion; en una royalty el capex de sostenimiento es cero y el agotamiento es contable. R2 Potential 10 -&gt; 12: hecho nuevo, la guia de 2026 sube a 100.000-110.000 GEO y la de 2030 a 150.000-160.000, un recorrido de volumen del 9-10% anual que antes no estaba publicado. FCF@5y REHECHO, no rebasado: el min mecanico (503) daba un caso bajista que GANABA un 27%, asi que queda en 330 (-3,5%/a, reversion parcial del precio del oro); y el max mecanico (983) implicaba un 20,0%/a durante cinco anos mas sobre una base que acaba de duplicarse, asi que se ancla al 9,0%/a de la guia de volumen: 608. Resultado: bajista -18%, alcista +89%.</t>
  </si>
  <si>
    <t>AP; AQ; AS; AT; AU; AV; AZ; BO; BP</t>
  </si>
  <si>
    <t>Q2 2026 cerrado el 30-jun (4-ago-2026)</t>
  </si>
  <si>
    <t>Ferguson cambio de ejercicio fiscal: el cierre pasa del 31-jul al 31-dic y desde el 1-ene-2026 reporta por ano natural, asi que ahora hay resultados en agosto (antes no los habia y por eso la fila tenia mal el calendario). LTM a jun-2026: ingresos 30.000 -&gt; 31.446 M$, EBITDA 3.700 -&gt; 3.071 (EBIT 2.687 + D&amp;A 383,8), NOPAT 2.800 -&gt; 2.015. Caja 450 -&gt; 437 y deuda 4.000 -&gt; 6.887. Capital empleado 12.000 -&gt; 12.926. FCF 2.400 -&gt; 1.118 (operaciones 1.655 menos capex 537). PASO 4 DEJADO A PROPOSITO SIN HACER: con la nueva base y los multiplos de salida actuales (12-18x, columnas protegidas) frente a un EV/FCF de 47,7x, el rebase mecanico deja el caso ALCISTA perdiendo un 41%. Antes de rebasar hay que decidir si 1.118 es el FCF del ciclo o un ano con acumulacion de circulante: el beneficio neto LTM es 1.987 y la conversion historica de Ferguson ronda el 90%. BD y BF se quedan como estaban.</t>
  </si>
  <si>
    <t>Q2 2026 (4-ago-2026)</t>
  </si>
  <si>
    <t>LTM a jun-2026: ingresos 1.100 -&gt; 1.208 M$ (Q2 record de 418, +8%), EBITDA 270 -&gt; 313 (EBIT 243,6 + D&amp;A 69,2), NOPAT 190 -&gt; 183. Caja 50 -&gt; 6,5 y deuda 150 -&gt; 303. Capital empleado 900 -&gt; 1.176. FCF NORMALIZADO: capex LTM 150,1 supera el doble del D&amp;A (138,5), capex de mantenimiento = max(69,2 ; 75,0) = 75,0 y FCF = 358,1 - 75,0 = 283 en vez de los 208 reportados; Trex sigue levantando la planta de Arkansas. FCF@5y rebasado manteniendo las CAGR (0,0% y 14,0%): min 190 -&gt; 283 y max 366 -&gt; 545. Resultado: bajista -35%, alcista +99%.</t>
  </si>
  <si>
    <t>1S 2026 (30-jul-2026)</t>
  </si>
  <si>
    <t>La fila llevaba con datos del FY2025 desde febrero. LTM a jun-2026: ingresos 46.600 -&gt; 46.226 M EUR, EBITDA 6.800 -&gt; 7.337 (EBIT 4.976 + D&amp;A 2.361), NOPAT 3.000 -&gt; 3.632, FCF 2.400 -&gt; 3.378 (operaciones 5.327 menos capex 1.949). Caja 6.500 -&gt; 5.751 y deuda 15.000 -&gt; 17.270. Capital empleado 28.000 -&gt; 43.914 (activo 61.537 menos pasivo corriente 17.623), con lo que el ROIC queda en el 8,3%. FCF@5y rebasado manteniendo las CAGR (1,0% y 9,0%): min 2.522 -&gt; 3.550 y max 3.693 -&gt; 5.198. Sin cambios de rating. Es la fila mas barata del grupo revisado: EV/FCF de 15,3x, bajista -23% y alcista +78%.</t>
  </si>
  <si>
    <t>LTM a jun-2026: ingresos 790 -&gt; 707 M$, EBITDA 380 -&gt; 253 (EBIT 109,0 + D&amp;A 143,6), NOPAT 170 -&gt; 76. Caja 50 -&gt; 11,3 y deuda 430 -&gt; 517. FCF NORMALIZADO POR LA SEGUNDA CONDICION de la regla (FCF reportado negativo con flujo de operaciones positivo): operaciones 162,2, D&amp;A 143,6, capex 268,0; capex de mantenimiento = max(143,6 ; 134,0) = 143,6 y FCF = 18,6 frente a los -105,8 reportados y los 230 que habia en la hoja. Con Blackrod en construccion el capex es el 38% de las ventas y la compania no genera caja libre. PASO 4 DEJADO A PROPOSITO SIN HACER: rebasar FCF@5y sobre una base de 18,6 daria unas CAGR implicitas del 57% y el 85% anual, que no significan nada; la nota metodologica del libro ya dice que el FCF normalizado no sustituye a FCF@5y, que es la vision forward de post-Blackrod. BD y BF se quedan como estaban. Sin cambios de rating: Capital Intensity ya esta en 2 sobre 10, el minimo practico del libro.</t>
  </si>
  <si>
    <t>JDG</t>
  </si>
  <si>
    <t>BO; BP</t>
  </si>
  <si>
    <t>Calendario de Judges Scientific</t>
  </si>
  <si>
    <t>La fila no tenia ninguna de las dos fechas ("N/D") desde el 26-abr. Ultimos resultados: 31-mar-2026 (preliminares del FY2025). Proximos: 22-sep-2026, los del semestre cerrado el 30-jun-2026, con webinar de inversores el 23-sep. Financieros sin tocar: el semestre todavia no esta publicado.</t>
  </si>
  <si>
    <t>Calendario de Uber</t>
  </si>
  <si>
    <t>La fila tenia las dos fechas en "N/D" pese a haberse actualizado el 17-ago. Ultimos resultados: 5-ago-2026 (Q2 2026). Proximos: 3-nov-2026 (sin confirmar por la compania).</t>
  </si>
  <si>
    <t>BP7; BP13; BP21; BP36; BP58; BP65; BP10; BP16; BP9</t>
  </si>
  <si>
    <t>Calendario: proximos resultados vencidos</t>
  </si>
  <si>
    <t>Nueve filas tenian la fecha de proximos resultados ya pasada o igual a la de ultimos resultados, con lo que el disparador de revision no saltaba. Quedan: BN 12-nov, AMZN 29-oct, MNST 5-nov, KSPI 9-nov, CELH 5-nov, CSU 5-nov, RAA 5-nov, LOTB 25-feb-2027 (Lotus solo publica semestre y ejercicio) y DSGX 10-sep. Todas son estimaciones sobre el calendario del ano anterior salvo DSGX, que ya estaba confirmada.</t>
  </si>
  <si>
    <t>BM4:BM71 (Best IRR)</t>
  </si>
  <si>
    <t>Correccion del horizonte de anualizacion</t>
  </si>
  <si>
    <t>La TIR alcista se anualizaba a 4 anos y la bajista a 5: =(BK/G)^(1/4)-1 frente a =(BJ/G)^(1/5)-1. Las dos valoraciones salen de FCF@5y, asi que el horizonte correcto es 5 en las dos. Detectado el 21-ago-2026 y corregido hoy por indicacion expresa de Roger; BM esta en la lista de columnas protegidas de la skill, se toca solo por eso. Baja la TIR alcista de las 68 filas. Falta replicar el mismo cambio en repos/watchlist-dashboard/src/analytics.py, linea 263 (_reprice_valuation).</t>
  </si>
  <si>
    <t>Framework Notes filas 58 y 72</t>
  </si>
  <si>
    <t>Framework de actualizacion en 4 pasos</t>
  </si>
  <si>
    <t>Actualizada la lista de filas con FCF normalizado: se anaden DNP (23), CPR (44), TREX (55) e IPCO (63) a las que ya estaban (MSFT y AMZN), y se documenta la excepcion de TFPM (49), donde la regla se activa mecanicamente pero no se aplica porque el capex son compras de streams. Actualizado el estado de los cuatro pasos a 25-ago-2026. NOTA: esta fila se reescribe el 25-ago porque la entrada de la correccion de la TIR la piso al calcular la primera fila libre con UsedRange en vez de con End(xlUp).</t>
  </si>
  <si>
    <t>AV</t>
  </si>
  <si>
    <t>Refresco de LTM contra los ultimos cuatro trimestres publicados</t>
  </si>
  <si>
    <t>Brookfield. Solo se corrigen los ingresos LTM: 98.000 -&gt; 80.690 M$, la cifra GAAP publicada. AVISO: el resto de la fila es DELIBERADAMENTE de perimetro corporativo (caja 10.000, deuda 17.815, FCF 6.200 de beneficio distribuible), fijado el 22-ago. No se sustituye por el consolidado GAAP (deuda de 268.910 M$ incluyendo Global Atlantic y los vehiculos) porque daria un EV sin sentido. EBITDA (15.000) y NOPAT (5.500) siguen siendo cifras de relleno: necesitan una definicion explicita antes de tocarlas.</t>
  </si>
  <si>
    <t>AP; AQ; AS; AT; AU; AV; AZ; BD; BF</t>
  </si>
  <si>
    <t>Costco. FCF NORMALIZADO: capex LTM 6.190 supera el doble del D&amp;A (5.120); mantenimiento = max(2.560 ; 3.095) = 3.095 y FCF = 15.000 - 3.095 = 11.905 en vez de los 8.810 reportados. Abre unos 25-30 almacenes al ano, es capex de crecimiento.  Cambios: AP 12,500-&gt;20,000; AQ 7,500-&gt;8,230; AS 8,500-&gt;11,905; AT 7,500-&gt;8,445; AU 11,800-&gt;13,790; AV 287,790-&gt;293,590; AZ 40,000-&gt;44,305; BD 11,375-&gt;15,932; BF 14,980-&gt;20,981.</t>
  </si>
  <si>
    <t>Descartes. Q1 FY2027 cerrado el 30-abr-2026. CASO BAJISTA ENDURECIDO: asumia el FCF creciendo un 8,0% anual, que es su caso base, no el malo; Descartes crece a doble digito COMPRANDO. Un caso bajista es que pare la maquina de adquisiciones: queda en +0,8%/a y el escenario pasa de +13% a -18%.  Cambios: AP 356-&gt;377; AQ 0.0-&gt;8.1; AS 240-&gt;281; AT 160-&gt;176; AU 329-&gt;320; AV 729-&gt;754; AZ 950-&gt;1,676; BD 353-&gt;293; BF 504-&gt;590.</t>
  </si>
  <si>
    <t>Zscaler. CAMBIO DE SIGNO EN GAAP: resultado operativo LTM -135,0 y EBITDA -60,8, no +50 y +550. El FCF (963) sigue siendo real pero se explica por el SBC. Aparece deuda de 1.870 que la hoja tenia en cero. CASO BAJISTA ENDURECIDO: asumia +10,0% anual de FCF durante cinco anos, que es un caso base optimista; queda en +3,1%/a y pasa de +11% a -18%.  Cambios: AP 2,400-&gt;3,540; AQ 0.0-&gt;1,870.0; AS 730-&gt;963; AT 300-&gt;-135; AU 550-&gt;-61; AV 2,700-&gt;3,170; AZ 2,000-&gt;4,597; BD 1,176-&gt;1,122; BF 2,140-&gt;2,823.</t>
  </si>
  <si>
    <t>Schneider Electric. La deuda estaba infravalorada en 8.300 M EUR (12.500 -&gt; 20.810). Capital empleado 38.000 -&gt; 43.259, ROIC 12,6% -&gt; 13,2%.  Cambios: AP 3,500-&gt;4,520; AQ 12,500-&gt;20,810; AS 4,500-&gt;6,190; AT 4,800-&gt;5,727; AU 8,800-&gt;8,520; AV 39,500-&gt;42,040; AZ 38,000-&gt;43,259; BD 5,743-&gt;7,900; BF 8,291-&gt;11,405.</t>
  </si>
  <si>
    <t>Inditex. La hoja tenia DEUDA CERO; son 6.040 M EUR, practicamente todo pasivos por arrendamiento IFRS16 (coherente con un EBITDA post-IFRS16). Caja 11.500 -&gt; 10.800.  Cambios: AP 11,500-&gt;10,800; AQ 0.0-&gt;6,040.0; AS 6,500-&gt;7,040; AT 6,500-&gt;6,327; AU 11,000-&gt;9,510; AV 38,600-&gt;40,340; AZ 18,000-&gt;24,023; BD 7,908-&gt;8,565; BF 11,455-&gt;12,407.</t>
  </si>
  <si>
    <t>CTS Eventim. El FCF estaba inflado un 64% (450 -&gt; 274) y la deuda un 564% (800 -&gt; 120). Con el FCF correcto el EV/FCF sube de 11,1x a 16,3x, con lo que el multiplo de salida bajista de 12x YA NO esta por encima del actual: el defecto senalado el 21-ago se resuelve solo. CASO BAJISTA ENDURECIDO de +4,0% a +0,9%/a. AVISO: no se normaliza el FCF pese a que la regla se dispara, porque el D&amp;A de la fuente (38,5) es implausible para esta compania y el capex derivado no es fiable.  Cambios: AP 1,500-&gt;1,360; AQ 800-&gt;120; AS 450-&gt;274; AT 350-&gt;332; AU 630-&gt;529; AV 3,100-&gt;3,300; AZ 1,600-&gt;1,573; BD 547-&gt;287; BF 866-&gt;527.</t>
  </si>
  <si>
    <t>Veralto. Fila que ya estaba casi bien: solo cambian caja (1.000 -&gt; 2.120) y deuda (2.500 -&gt; 3.590). El capital empleado de 6.500 era correcto.  Cambios: AP 1,000-&gt;2,120; AQ 2,500-&gt;3,590; AS 1,100-&gt;1,050; AT 1,000-&gt;1,062; AU 1,350-&gt;1,390; AV 5,500-&gt;5,700; AZ 6,500-&gt;6,501; BD 1,338-&gt;1,277; BF 1,939-&gt;1,851.</t>
  </si>
  <si>
    <t>Judges Scientific. NOPAT sobrevalorado mas del doble (18 -&gt; 8,4): el margen operativo real es del 8,5%, no del 12%. Deuda 55 -&gt; 65,2 y capital empleado 120 -&gt; 158,5, con lo que el ROIC cae del 15% al 5,3%. CASO BAJISTA ENDURECIDO: asumia +6,2% anual justo despues de que la compania rebajara expectativas por la debilidad de EE.UU.; queda en +1,4%/a y pasa de +8% a -18%.  Cambios: AP 10-&gt;19; AQ 55-&gt;65; AS 20-&gt;24; AT 18-&gt;8; AU 30-&gt;29; AV 145-&gt;146; AZ 120-&gt;158; BD 27-&gt;26; BF 46-&gt;56.</t>
  </si>
  <si>
    <t>Meta. FCF NORMALIZADO: capex LTM 89.320 (el 39% de las ventas) frente a un D&amp;A de 22.730; mantenimiento = max(22.730 ; 44.660) = 44.660 y FCF = 130.300 - 44.660 = 85.640 en vez de los 40.980 reportados. Mismo caso que Amazon y Microsoft. CASO BAJISTA REHECHO: con la base nueva el escenario malo GANABA un 39%; para que sea un caso bajista de verdad el FCF tiene que CAER un 5,4% anual, que es justo la tesis de que el capex de IA no se paga. Queda en -18%.  Cambios: AP 68,000-&gt;90,260; AQ 30,000-&gt;112,320; AS 50,000-&gt;85,640; AT 55,000-&gt;67,631; AU 95,000-&gt;109,660; AV 164,000-&gt;228,250; AZ 190,000-&gt;393,577; BD 63,814-&gt;65,043; BF 105,017-&gt;179,873.</t>
  </si>
  <si>
    <t>CrowdStrike. CAMBIO DE SIGNO EN GAAP: resultado operativo LTM -160,4 y EBITDA 59,3, no +700 y +1.400. ROIC +20,0% -&gt; -2,2%. AVISO: la fila esta rota como valoracion, con un EV/FCF de 127x el bajista pierde un 71% y el ALCISTA un 24%; los multiplos de salida (columnas protegidas) no pueden capturar este precio. Mismo problema que Cloudflare.  Cambios: AP 4,400-&gt;4,550; AQ 750-&gt;821; AS 1,200-&gt;1,510; AT 700-&gt;-160; AU 1,400-&gt;59; AV 4,000-&gt;5,090; AZ 3,500-&gt;7,154; BD 2,115-&gt;2,661; BF 3,811-&gt;4,796.</t>
  </si>
  <si>
    <t>Alphabet. FCF NORMALIZADO: capex LTM 132.410 frente a un D&amp;A de 25.530; mantenimiento = max(25.530 ; 66.205) = 66.205 y FCF = 185.680 - 66.205 = 119.475 en vez de los 53.270 reportados. Capital empleado 350.000 -&gt; 795.872, ROIC 27,1% -&gt; 15,1%.  Cambios: AP 110,000-&gt;242,470; AQ 15,000-&gt;120,790; AS 75,000-&gt;119,475; AT 95,000-&gt;120,466; AU 148,000-&gt;173,160; AV 350,000-&gt;445,870; AZ 350,000-&gt;795,872; BD 95,721-&gt;152,484; BF 150,852-&gt;240,307.</t>
  </si>
  <si>
    <t>ABB. Los numeros de la hoja estaban en el orden de magnitud pero no eran los publicados. OJO: ABB reporta en USD y cotiza en CHF; se han tomado las cifras del ADR (ABBNY) para que cuadren con la columna AO=USD y con el factor E5.  Cambios: AP 5,000-&gt;5,860; AQ 7,500-&gt;9,150; AS 4,200-&gt;4,870; AT 4,500-&gt;4,811; AU 6,200-&gt;7,150; AV 33,500-&gt;35,750; AZ 22,000-&gt;27,296; BD 5,110-&gt;5,925; BF 7,402-&gt;8,583.</t>
  </si>
  <si>
    <t>Garmin. Deuda 0 -&gt; 227 y capital empleado 4.800 -&gt; 9.341, con lo que el ROIC baja del 25,0% al 18,8%. El capex (380) queda justo en el doble del D&amp;A (190), asi que NO se normaliza.  Cambios: AP 3,500-&gt;2,670; AQ 0.0-&gt;227.0; AS 1,300-&gt;1,600; AT 1,200-&gt;1,754; AU 1,650-&gt;2,310; AV 6,300-&gt;7,670; AZ 4,800-&gt;9,341; BD 1,582-&gt;1,947; BF 2,395-&gt;2,948.</t>
  </si>
  <si>
    <t>Nvidia. LTM al 26-abr-2026 (el Q2 FY2027 se publica el 26-ago). Ingresos 130.000 -&gt; 253.490. FCF NORMALIZADO por la regla, aunque el disparador salta por poco (capex 6.570 frente a 6.440) y el efecto es solo del 2,8%: 119.080 -&gt; 122.365. CASO ALCISTA CON TOPE: la CAGR heredada del 32% anual sobre la base nueva daba un FCF de 490.000 M$ en 2031, mas que los ingresos de toda la industria hoy; se baja al 18%/a (279.941). El alcista pasa del +184% al +62%.  Cambios: AP 40,000-&gt;53,170; AQ 10,000-&gt;12,810; AS 60,000-&gt;122,365; AT 75,000-&gt;136,729; AU 90,000-&gt;165,510; AV 130,000-&gt;253,490; AZ 90,000-&gt;215,590; BD 88,160-&gt;179,795; BF 240,448-&gt;279,942.</t>
  </si>
  <si>
    <t>TSMC. FCF NORMALIZADO: capex LTM 46.770 (el 34% de las ventas) frente a un D&amp;A de 21.290; mantenimiento = 23.385 y FCF = 59.255 en vez de los 35.870 reportados. Capital empleado 120.000 -&gt; 244.100 (activo menos pasivo corriente en TWD convertido a unos 30,8 TWD/USD), ROIC 41,7% -&gt; 26,6%, que ya es creible. CASO ALCISTA CON TOPE del 22% al 16% anual por la misma razon que Nvidia.  Cambios: AP 60,000-&gt;110,580; AQ 30,000-&gt;33,590; AS 35,000-&gt;59,255; AT 50,000-&gt;65,027; AU 75,000-&gt;99,560; AV 122,400-&gt;139,570; AZ 120,000-&gt;244,100; BD 51,426-&gt;87,064; BF 94,595-&gt;124,456.</t>
  </si>
  <si>
    <t>Sika. Caja 1.200 -&gt; 625 y deuda 4.700 -&gt; 6.080: la deuda neta real es 5.455, no 3.500. El capital empleado de 12.500 era correcto.  Cambios: AP 1,200-&gt;625; AQ 4,700-&gt;6,080; AS 1,100-&gt;1,320; AT 1,250-&gt;1,173; AU 2,100-&gt;1,940; AV 11,760-&gt;11,110; AZ 12,500-&gt;12,207; BD 1,275-&gt;1,530; BF 1,854-&gt;2,225.</t>
  </si>
  <si>
    <t>Check Point. FCF 1.300 -&gt; 1.100, caja 3.000 -&gt; 2.280 y aparece deuda de 1.970 que la hoja tenia en cero. El EV/FCF sube de 7,9x a 11,8x y el caso bajista pasa de -12,9% a -43%: el defecto del test bajista se resuelve solo con el dato correcto. Sigue siendo la fila mas barata del libro.  Cambios: AP 3,000-&gt;2,280; AQ 0.0-&gt;1,970.0; AS 1,300-&gt;1,100; AT 1,000-&gt;682; AU 1,250-&gt;846; AV 2,730-&gt;2,760; AZ 1,200-&gt;5,759; BD 1,435-&gt;1,214; BF 2,094-&gt;1,772.</t>
  </si>
  <si>
    <t>Netflix. FCF NORMALIZADO (disparador por poco, efecto del 3,7%): capex 820 frente a un D&amp;A de 380; mantenimiento = 410 y FCF = 11.560. Caja 12.250 -&gt; 9.130 y deuda 14.360 -&gt; 16.650.  Cambios: AP 12,250-&gt;9,130; AQ 14,360-&gt;16,650; AS 11,900-&gt;11,560; AT 13,800-&gt;11,876; AU 14,000-&gt;14,730; AV 46,900-&gt;48,370; AZ 28,000-&gt;46,315; BD 14,500-&gt;14,086; BF 20,000-&gt;19,429.</t>
  </si>
  <si>
    <t>Nike. LO QUE SENALABA LA NOTA DEL 21-AGO, CORREGIDO: el FCF LTM pasa de 5.000 a 2.180 M$ reales del FY2026 (cerrado el 31-may-2026) y los ingresos de 51.000 a 46.400. El EV/FCF real es 28,7x, no 12,4x. LA ASIMETRIA SE INVIERTE: el caso bajista pasa de +13,3% a -53% y el alcista de +30% a +13%. Con el dato correcto el multiplo de salida bajista de 14x ya no esta por encima del EV/FCF actual: el defecto del 21-ago se resuelve solo.  Cambios: AP 8,000-&gt;9,030; AQ 9,500-&gt;11,040; AS 5,000-&gt;2,180; AT 4,800-&gt;3,331; AU 7,500-&gt;4,930; AV 51,000-&gt;46,400; AZ 20,000-&gt;25,863; BD 5,000-&gt;2,180; BF 7,693-&gt;3,354.</t>
  </si>
  <si>
    <t>AP; AQ; AS; AT; AU; AV; BD; BF</t>
  </si>
  <si>
    <t>Interpump. Cifras ya casi correctas del 21-ago, se ajustan a las publicadas. CASO BAJISTA ENDURECIDO: asumia +2,5% anual para un industrial ciclico; un caso malo de verdad es que el FCF CAIGA un 3,0% anual. Pasa de +11% a -18%.  Cambios: AP 416-&gt;370; AQ 707-&gt;675; AS 230-&gt;263; AT 236-&gt;229; AU 456-&gt;446; AV 2,080-&gt;2,080; BD 260-&gt;226; BF 480-&gt;549.</t>
  </si>
  <si>
    <t>Robertet. Cifras del 21-ago ya correctas, se ajustan caja (142,3 -&gt; 180,7) y EBITDA (174 -&gt; 167,2). CASO BAJISTA ENDURECIDO de +6,6% a +4,2%/a: un +6,6% anual durante cinco anos no es un escenario malo para una casa de fragancias cuya conversion de EBITDA a FCF esta en el 40%.  Cambios: AP 142-&gt;181; AQ 253-&gt;253; AS 67-&gt;67; AT 107-&gt;108; AU 174-&gt;167; AV 844-&gt;844; BD 92-&gt;82; BF 145-&gt;145.</t>
  </si>
  <si>
    <t>Roko. Deuda 4.887 -&gt; 3.020 y capital empleado 9.895. El caso bajista (FCF plano, 0%/a) esta bien planteado y NO se toca; lo que hace que solo pierda un 1% es el multiplo de salida bajista de 22x contra un EV/FCF de 21,9x, o sea que el escenario malo casi no incluye de-rating. BH es columna protegida: queda como aviso.  Cambios: AP 500-&gt;435; AQ 4,887-&gt;3,020; AS 1,150-&gt;1,150; AT 891-&gt;893; AU 1,750-&gt;1,560; AV 7,091-&gt;7,090; AZ 10,160-&gt;9,895; BD 1,150-&gt;1,150; BF 1,900-&gt;1,900.</t>
  </si>
  <si>
    <t>Framework Notes fila 58</t>
  </si>
  <si>
    <t>Refresco de LTM</t>
  </si>
  <si>
    <t>Se anaden a la lista de filas con FCF normalizado: COST (8), META (28), GOOG (32), NVDA (38), TSM (40) y NFLX (50). Con MSFT, AMZN, DNP, CPR, TREX e IPCO son doce. Todas cumplen el disparador escrito (capex del periodo por encima del doble del D&amp;A, o FCF reportado negativo con flujo de operaciones positivo); NVDA y NFLX lo cumplen por poco y el efecto es del 2,8% y el 3,7%, se aplican igual para no elegir a dedo.</t>
  </si>
  <si>
    <t>BD de DSGX, ZS, EVD, JDG, META, IP, RBT</t>
  </si>
  <si>
    <t>Revision del realismo del caso bajista</t>
  </si>
  <si>
    <t>Roger pidio comprobar si el caso bajista era demasiado optimista en las once filas que no perdian un 15%. Diagnostico: en ocho de ellas el escenario MALO asumia que el FCF CRECIA, entre un +2,5% y un +10,0% anual durante cinco anos, que no es un caso bajista sino un caso base. Se endurece el FCF@5y minimo en siete (ZS +10,0-&gt;+3,1; DSGX +8,0-&gt;+0,8; RBT +6,6-&gt;+4,2; JDG +6,2-&gt;+1,4; META +5,0-&gt;-5,4; EVD +4,0-&gt;+0,9; IP +2,5-&gt;-3,0). NO se tocan: ROKO B (el 0%/a esta bien, el problema es el multiplo de salida, columna protegida), BN (el beneficio distribuible es contratado y el escenario se fijo a proposito el 22-ago), CHKP y NKE (se arreglan solos al corregir el LTM) y SOM (publica el 8-sep, se revisa entonces).</t>
  </si>
  <si>
    <t>ninguno</t>
  </si>
  <si>
    <t>Somero no ha publicado el semestre: los resultados del 1S2026 son el 8-sep-2026, la fecha que ya tenia la hoja. AVISO PARA ENTONCES: los ingresos LTM de la hoja son 64,9 M$ y la actualizacion de trading de julio situa las expectativas de mercado para 2026 en 86,0 M$ de ingresos y 15,9 M$ de EBITDA ajustado; la cifra de la hoja parece corta. Su caso bajista asume el FCF creciendo un 6,5% anual para un ciclico puro de construccion no residencial en EE.UU., lo que tambien habra que endurecer.</t>
  </si>
  <si>
    <t>Estado a 25-ago-2026: los cuatro pasos hechos en AMZN, MSFT, CSU, BN, COST, LIFCO B, RAA y LOTB (22-ago); en NTO, ABNB, DNP, LR, STMN, KKR, KRX, SPOT, CPR, TFPM, TREX y SGO (25-ago, resultados nuevos); y en COST, DSGX, ZS, SU, ITX, EVD, VLTO, JDG, META, GOOG, ABBNE, GRMN, NVDA, TSM, SIKA, CHKP, NFLX, NKE, IP, RBT y ROKO B (25-ago, refresco de LTM). Con los pasos 1-3 hechos y el 4 pendiente a proposito: FERG, IPCO, NET y CRWD (estas dos con EV/FCF de 303x y 127x, los multiplos de salida no pueden capturar el precio). Pendientes de publicar: VEEV y NVDA el 26-ago, EVD y S el 27-ago, SOM el 8-sep, DSGX el 10-sep, JDG el 22-sep.</t>
  </si>
  <si>
    <t>T (R2 Financials)</t>
  </si>
  <si>
    <t>Deep dive 25-ago-2026</t>
  </si>
  <si>
    <t>Cloudflare. R2 Financials 8 -&gt; 7. El 8 se puso el 21-ago justificandolo con un ROIC del 1,4% que no esta en las cuentas: en GAAP el margen operativo LTM es -7,8% y el ROIC -5,1%. Aun quitando los hasta 165 M$ de cargos de reestructuracion (125 en caja, 35 en SBC), el margen seria -2,6%. El SBC son 508 M$, el 20% de los ingresos, y ES el FCF. A favor: ingresos +36% en el Q2 y caja neta de 634 M$. A vigilar: el recorte del 20% de la plantilla del 7-may es una apuesta por un modelo operativo agentic-AI que toca soporte y no la fuerza comercial. VALORACION: con un EV/FCF de 285x, para que el caso alcista solo EMPATE con el precio de hoy hace falta un FCF a 5 anos de 3.253 M$, un 56,9% anual. Los multiplos de salida (20x/30x) ya son los mas altos del libro, los mismos que Microsoft y Costco. No es un problema de multiplo: el precio esta fuera del marco.</t>
  </si>
  <si>
    <t>CrowdStrike. R2 Potential 15 -&gt; 16. Hecho nuevo del Q1 FY2027 (3-jun-2026): ARR 5.510 M$ +24%, net new ARR record de 256 M$ +32%, ingresos +26% con CUATRO trimestres consecutivos de aceleracion y guia de net new ARR subida 520 pb. La recuperacion del apagon de 2024 esta completa y la consolidacion de plataforma funciona. FCF record de 468 M$ en el trimestre, 1.510 LTM con margen del 29,7%. En GAAP sigue en perdidas (-160 M$ operativo) por el SBC; R2 Financials se deja en 12 porque un margen FCF del 29,7% lo justifica. VALORACION: EV/FCF de 121x. Para que el alcista empate hace falta un FCF a 5 anos de 6.098 M$, un 32,2% anual, que es justo lo que crece hoy el net new ARR: a diferencia de Cloudflare NO es imposible, pero exige que se cumpla el escenario bueno entero solo para no perder dinero.</t>
  </si>
  <si>
    <t>T (R2 Financials); AH (R3 Financing Source); AP; AQ; AS; AT; AU; AV; AZ; BD; BF</t>
  </si>
  <si>
    <t>SentinelOne. R2 Financials 6 -&gt; 7 y R3 Financing Source 0 -&gt; 1. Inflexion real en el Q1 FY2027 (28-may-2026): primer resultado operativo NON-GAAP positivo de su historia (+10,5 M$ frente a -3,9), guia de margen operativo FY27 del 10% (+650 pb), ARR 1.163 M$ +23% y net new ARR record de 44 M$ +55%. Ya no necesita levantar capital: 657 M$ de caja e inversiones a corto mas 156 a largo, sin deuda, y FCF LTM positivo de 62 M$. En contra: en GAAP el resultado operativo LTM es -301 M$, el 29% de los ingresos, y recortaron un 8% de plantilla. Financials corregidos: caja 1.100 -&gt; 657 (el 1.100 incluia inversiones a largo), ingresos 815 -&gt; 1.050, EBITDA 10 -&gt; -259, NOPAT -20 -&gt; -301. VALORACION: EV/FCF de 101x sobre una base de FCF de solo 62 M$. Para que el alcista empate hacen falta 241 M$ a cinco anos, un 31,2% anual, alcanzable con ingresos al 21% y el margen yendo del 6% al 15%. Es la unica de las tres de ciber cuyo caso alcista casi cuadra: -4%.</t>
  </si>
  <si>
    <t>V (R2 Potential); AA (R2 Risks); AP; AQ; AS; AT; AU; AV; AZ; BD; BF</t>
  </si>
  <si>
    <t>Mips AB. R2 Potential 10 -&gt; 12 y R2 Risks -12 -&gt; -13. El Q2 2026 (16-jul) cambia la tesis: ventas +72% (organico +42%), margen EBIT ajustado del 46,7% frente al 40,4% y sobre todo el segmento Safety +604% (organico +80%) por la compra de KOROYD y los cascos de ala completa. Deja de ser una historia de un solo ciclo (bici y nieve) y gana una segunda pata industrial: por eso sube Potential. Baja Risks porque aparece la primera grieta en el foso: pagan 3,25 M$ a BrainGuard para cerrar un pleito de infraccion de patente, con unos 35 MSEK de impacto en el Q3. En un negocio que ES una patente, perder un pleito no es un gasto, es informacion. Financials: aparece deuda de 331 MSEK (Koroyd) donde la hoja tenia cero, capital empleado 350 -&gt; 1.185 y el ROIC baja del 40,9% al 16,1%. VALORACION: EV/FCF 58,7x. Para empatar hace falta un 21,1% anual durante cinco anos; el alcista se fija en el 18%, ya agresivo para un licenciador de IP expuesto al ciclo del casco.</t>
  </si>
  <si>
    <t>AF (R3 Capital Intensity); AP; AQ; AS; AT; AU; AV; AZ; BD; BF</t>
  </si>
  <si>
    <t>Lotus Bakeries. R3 Capital Intensity 7 -&gt; 6. El 1S2026 (7-ago) confirma la calidad -ingresos 749,1 M EUR +14%, EBITDA subyacente 156,3 +20,9%, beneficio neto 98,1 +23,5%, Biscoff creciendo mas del 20% en VOLUMEN y no solo en precio, y la planta de Tailandia en la parte alta de las expectativas- y a la vez que el negocio se vuelve mas intensivo en capital: capex de 2026 y 2027 por encima de 250 M EUR combinados y compromiso de al menos 500 M EUR a cinco anos entre Mebane, Lembeke y Chonburi. El capex LTM (101,8) es 2,7 veces el D&amp;A (37,7). FCF NORMALIZADO: mantenimiento = max(37,7 ; 50,9) = 50,9 y FCF = 233,5 - 50,9 = 182,6 en vez de los 131,7 reportados. Financials corregidos: caja 100 -&gt; 274, deuda 200 -&gt; 409 (deuda neta 115,4, o sea 0,3x EBITDA), capital empleado 800 -&gt; 1.309. VALORACION: EV/FCF de 59,2x, la mas cara del libro entre las de calidad alta. El alcista se rebasa al 18% anual desde el negocio; para EMPATAR harian falta 433, un 18,8% anual. Lotus a este precio descuenta exactamente lo que esta entregando hoy, sin margen.</t>
  </si>
  <si>
    <t>V (R2 Potential); AP; AQ; AS; AT; AU; AV; AZ; BD; BF</t>
  </si>
  <si>
    <t>Monster Beverage. R2 Potential 11 -&gt; 12. Hecho nuevo del Q2 2026 (6-ago): ventas 2.540 M$ +20,2%, primera vez por encima de 2.500; margen bruto 55,9%; y sobre todo INTERNACIONAL 1.160 M$ +34,6%, ya el 46% del negocio frente al 41% de hace un ano. El motor de crecimiento ya no es Estados Unidos y eso alarga el recorrido. En contra: el segmento de alcohol cae un 15,2%, o sea que la diversificacion fuera de la bebida energetica no funciona. Split 2:1 el 11-ago. Financials corregidos: caja 4.201 -&gt; 3.419, aparece deuda de 93, FCF 1.800 -&gt; 2.100, capital empleado 5.164 -&gt; 9.665 (ROIC 22,3%). VALORACION: el EV/FCF baja de 50,5x a 43,7x con el dato correcto. Alcista rebasado al 14% anual desde el negocio; para empatar harian falta 4.171, un 14,7% anual. Se queda a un pelo, y la razon es el multiplo de salida alcista de 22x contra un EV/FCF de 43,7x: es la unica fila del grupo donde lo que rompe el caso es el multiplo y no el crecimiento.</t>
  </si>
  <si>
    <t>AA (R2 Risks); AP; AQ; AS; AT; AU; AV; AZ; BD; BF</t>
  </si>
  <si>
    <t>TFF Group. R2 Risks -13 -&gt; -14. El ejercicio cerrado el 30-abr-2026 (publicado el 16-jul) es un desplome: ingresos 312,75 M EUR frente a 425,43, un -26,5% publicado y -23,4% a tipo constante; EBITDA 48,2 -40%; beneficio neto 9,20 -71,1%, el 2,9% de las ventas; dividendo recortado de 0,50 a 0,40 EUR. La amplitud del ciclo es mayor de lo que asumia el rating. LO IMPORTANTE, Y ES BUENA NOTICIA: la fila estaba MAL. La caja real son 97,2 M EUR y no 25 (subio 17,5 en el ano) y el FCF LTM es 59,1 y no 25, porque al frenar la produccion liberan el circulante inmovilizado en madera. La deuda neta baja a 285,2 desde 314. Con los datos correctos el EV/FCF pasa de 28,1x a 11,0x y el FVE minimo DEJA DE SER NEGATIVO: ese defecto era un error de datos, no de formula. VALORACION: bajista -81% y alcista +180%. El bajista es tan duro porque el multiplo de salida de 6x es solo el 55% del actual, punitivo para un ciclico en el suelo. Ver la recomendacion de subirlo a 8x.</t>
  </si>
  <si>
    <t>AE (R3 Risk of Disappearance); AP; AQ; AS; AT; AU; AV; AZ; BD; BF</t>
  </si>
  <si>
    <t>Oatly. R3 Risk of Disappearance -10 -&gt; -12. La revision del 21-ago recogio bien la mejora operativa (Q2 del 22-jul: ingresos +15,2%, margen bruto 33,9%, adj EBITDA +0,4 M$ frente a -3,6, guia subida al 8-10%) pero no miro el balance en detalle. Al hacerlo: pasivo corriente de 574,9 M$ contra un activo total de 744, deuda de 549,1 contra 44,6 de caja, capital empleado de solo 169 y Altman Z de -1,9. El FCF LTM sigue negativo (-21,9) aunque mejorando desde -50. La operativa mejora de verdad; la estructura de capital es lo que puede matarla antes de que la mejora llegue. Financials corregidos: ingresos 830 -&gt; 925, EBITDA -10 -&gt; -13,6, NOPAT -100 -&gt; -49,2, capital empleado 650 -&gt; 169. VALORACION: el FVE minimo negativo NO es aqui un error de datos: con un FCF terminal cercano a cero y 504 M$ de deuda neta, en el caso bajista la accion vale cero. Lo que si es un defecto de formula es que la TIR lo exprese como -200% anual en vez de topar en -100%. BD se pone en 0 y BF se deja en 114.</t>
  </si>
  <si>
    <t>AT (NOPAT); AU (EBITDA)</t>
  </si>
  <si>
    <t>Metricas non-GAAP por indicacion de Roger</t>
  </si>
  <si>
    <t>Brookfield. Se sustituyen las cifras de relleno por las metricas que la compania reporta y que son las que tienen sentido en una gestora: NOPAT 5.500 -&gt; 5.700, que es el DISTRIBUTABLE EARNINGS ANTES DE REALIZACIONES de los ultimos doce meses (2,39 $/accion), la parte recurrente y no grumosa; y EBITDA 15.000 -&gt; 5.700, porque en Brookfield no existe analogo de EBITDA y la columna AX debe leerse como EV / DE antes de realizaciones (19,5x). El FCF sigue en 6.200, el DE TOTAL incluyendo realizaciones (2,61 $/accion). El Q2 2026 fue record: DE antes de realizaciones 1.400 M$ +15% y DE total 1.500. AVISO: no se tocan caja ni deuda, que son de perimetro CORPORATIVO a proposito (10.000 y 17.815); el consolidado GAAP trae 268.910 M$ de deuda de Global Atlantic y de los vehiculos y daria un EV sin sentido. AZ (90.000) sigue sin base publicada.</t>
  </si>
  <si>
    <t>Se anade LOTB (16) a la lista de filas con FCF normalizado: capex LTM 101,8 frente a un D&amp;A de 37,7, con un compromiso publicado de al menos 500 M EUR de capacidad Biscoff a cinco anos. Con ella son trece.</t>
  </si>
  <si>
    <t>Filas normalizadas a 25-ago-2026 (doce): MSFT (5), COST (8), AMZN (13), DNP (23), META (28), GOOG (32), NVDA (38), TSM (40), CPR (44), NFLX (50), TREX (55) e IPCO (63). CONDICION ANADIDA EL 25-AGO: la normalizacion solo vale si el capex elevado es TEMPORAL. Si el capex lleva TRES O MAS EJERCICIOS SEGUIDOS por encima del doble del D&amp;A, no es una fase de inversion, es como funciona el negocio, y entonces se usa el FCF reportado. Por eso sale LOTB (16): capex sobre D&amp;A de 1,9x-5,1x-2,1x-3,3x-2,9x-2,7x en seis ejercicios seguidos y 500 M EUR mas comprometidos hasta 2030. Normalizarlo inflaba su FCF un 39% y su EV/FCF pasaba de 81,9x a 59,2x. PENDIENTE: pasar este mismo test a las doce restantes. EXCEPCIONES ya documentadas: TFPM (49), capex que son compras de streams; EVD (20), D&amp;A de la fuente no fiable.</t>
  </si>
  <si>
    <t>OJO: el FCF normalizado NO sustituye a las columnas FCF@5y, que siguen siendo la vision forward y la base de la valoracion. El normalizado solo sirve para que el EV/FCF de cribado signifique algo durante el ciclo de inversion. Y ADVERTENCIA DEL 25-AGO: hay negocios cuyo FCF a traves del ciclo no existe porque el beneficio se reinvierte en circulante, no en activo fijo. TFF Group es el caso extremo del libro: FCF acumulado de -25,3 M EUR en cinco ejercicios (18,0 / -29,2 / -55,7 / -17,5 / +59,1), y el unico ano bueno es el de desalmacenamiento de madera. En esos casos el EV/FCF da falsos positivos en el suelo y falsos negativos en la recuperacion: la metrica honesta es EV/EBITDA.</t>
  </si>
  <si>
    <t>AS; BD; BF</t>
  </si>
  <si>
    <t>Deep dive 2a version - se retira la normalizacion del FCF</t>
  </si>
  <si>
    <t>Lotus Bakeries. RECTIFICA LA ENTRADA DE ESTA MANANA. Se retira el FCF normalizado: AS vuelve de 182,6 a 131,7 M EUR (el reportado) y el EV/FCF pasa de 59,2x a 82,2x. Motivo: la regla del libro se escribio para un PICO temporal de capex (caso Amazon/Microsoft), y en Lotus no hay pico sino REGIMEN - el capex supera el doble del D&amp;A en cinco de los ultimos seis ejercicios (1,90x - 5,09x - 2,07x - 3,33x - 2,89x - 2,70x) y hay 500 M EUR mas comprometidos hasta 2030. El dato que lo cierra: en cinco ejercicios el FCF acumulado es 302,9 M EUR contra un beneficio neto acumulado de 648,2, o sea una CONVERSION DE CAJA DEL 47% sostenida. BD/BF rebasados sobre el FCF reportado: 185 (+7,0%/a) y 243 (+13,0%/a, el organico de Biscoff en 2025). Resultado: bajista -75% y alcista -44%. TAMBIEN SE RETIRA la recomendacion de subir los multiplos de 15x/25x a 17x/28x: era contar dos veces el mismo argumento, porque yo habia subido el FCF por normalizacion Y ademas pedia mas multiplo. A 13.100 EUR Lotus cotiza a 56 veces beneficio y 82 veces caja libre. El negocio sigue siendo de los mejores del libro; el precio no.</t>
  </si>
  <si>
    <t>Deep dive 2a version - FCF de ciclo completo</t>
  </si>
  <si>
    <t>TFF Group. RECTIFICA LA ENTRADA DE ESTA MANANA, que decia que TFF era la unica del grupo con asimetria positiva (+180%). Estaba construida sobre UN ano anomalo. El historico de cinco ejercicios: FCF de +18,0 / -29,2 / -55,7 / -17,5 / +59,1, o sea un ACUMULADO DE -25,3 M EUR en cinco anos. El unico ano positivo de verdad es el ultimo y es el del desalmacenamiento de madera. A traves del ciclo TFF no genera caja libre: el beneficio se reinvierte en roble secandose tres anos. BD/BF pasan a 12 y 42 (antes 59 y 104), que es lo que se puede defender sobre el ciclo completo y no sobre el ano de destocking. Resultado: bajista -100% (topado) y alcista -34%. SE RETIRA la recomendacion de subir el multiplo bajista de 6x a 8x: Roger tiene razon en que en un ciclico el multiplo es alto en el suelo y bajo en el pico, asi que lo que debe crecer es el FCF, no el multiplo. AVISO METODOLOGICO: para esta fila el EV/FCF da falsos positivos en el suelo y falsos negativos en la recuperacion. La metrica honesta es EV/EBITDA (14,6x hoy, unas 8x a mitad de ciclo).</t>
  </si>
  <si>
    <t>Deep dive 2a version - pico de ciclo</t>
  </si>
  <si>
    <t>Mips AB. El historico dice que hoy es MAXIMO HISTORICO de ingresos y que el ciclo es violento: 608 (2021) - 563 - 357 (2023, un -41% desde el pico) - 483 - 533 - 664 LTM. Y el margen EBIT del 46,7% de hoy tampoco es record: en 2021 fue del 52%. Rebasar el caso alcista al 18% anual desde este punto era anclar la valoracion en el mejor momento del ciclo, que es justo lo que el paso 4 del framework prohibe. BD pasa de 121 a 90 (el bajista repite la caida de 2023) y BF de 384 a 270 (+10,0%/a, el recorrido de volumen que da la propia guia de Safety). Resultado: bajista -85% y alcista -39%. SE RETIRA la recomendacion de subir el multiplo alcista de 22,5x a 25x, por la misma razon que en TFF: no se sube el multiplo de salida de un negocio que esta en pico de ciclo.</t>
  </si>
  <si>
    <t>AE (R3 Risk of Disappearance)</t>
  </si>
  <si>
    <t>Revertido por indicacion de Roger</t>
  </si>
  <si>
    <t>Oatly. R3 Risk of Disappearance vuelve de -12 a -10. Roger no ve tanto riesgo de desaparicion: la distribucion es buena y muchos consumidores perciben el producto como unico, y ademas la mejora financiera es real - estan reduciendo gastos y creciendo a la vez, con apalancamiento operativo. Se mantiene el resto de la fila como estaba, incluido BD=0 (en el escenario malo la accion vale cero) y BF=114. La asimetria a 15,57 $ es exigente; a 8 $ el planteamiento era razonable.</t>
  </si>
  <si>
    <t>BL4:BM71 (Worst IRR y Best IRR)</t>
  </si>
  <si>
    <t>Suelo de -99% en las TIR</t>
  </si>
  <si>
    <t>Se anade suelo: =IF($BJn&lt;=0,-0,99,MAX(-0,99,($BJn/Gn)^(1/5)-1)) y la equivalente en BM. Antes, cuando el FVE salia negativo la formula devolvia disparates (-188% anual en TFF, -216% en Oatly) que contaminaban cualquier media por categoria; y cuando el FVE era negativo con exponente fraccionario podia dar error. Una accion no puede perder mas del 100%. El pipeline de Python ya hacia esto (devuelve -0,99); ahora el Excel coincide. BL y BM son columnas protegidas: se tocan por indicacion expresa de Roger. AVISO: en la primera pasada la plantilla de BL se escribio con comillas dobles y PowerShell interpolo $BJ como variable vacia, dejando =IF(57&lt;=0,...) en las 68 filas; detectado y corregido en el mismo turno con comillas simples.</t>
  </si>
  <si>
    <t>Framework Notes filas 58 y 59</t>
  </si>
  <si>
    <t>Condicion nueva para normalizar el FCF</t>
  </si>
  <si>
    <t>Fila 58: la normalizacion solo vale si el capex elevado es TEMPORAL. Si lleva TRES O MAS EJERCICIOS SEGUIDOS por encima del doble del D&amp;A, no es una fase de inversion sino como funciona el negocio, y se usa el FCF reportado. Sale LOTB y quedan doce filas normalizadas. PENDIENTE: pasar este test a las doce restantes, empezando por META, GOOG, MSFT y AMZN, que tambien llevan varios ejercicios de capex alto. Fila 59: advertencia nueva sobre los negocios cuyo FCF a traves del ciclo no existe porque el beneficio se reinvierte en circulante y no en activo fijo, con TFF como caso extremo del libro.</t>
  </si>
  <si>
    <t>AH (R3 Financing Source); AI (R3 Incentives)</t>
  </si>
  <si>
    <t>Correccion de un error propio</t>
  </si>
  <si>
    <t>SentinelOne. CORRIGE UN ERROR MIO DEL 25-AGO: el mapa de columnas del script tenia AH en la posicion 35, que es AI, asi que el cambio previsto -Financing Source de 0 a 1- se escribio en Incentives y lo bajo de 6 a 1. Efecto real: el R3 cayo 5 puntos en vez de subir 1. Restaurado: AH=1 (que era la intencion, por 657 M$ de caja e inversiones a corto mas 156 a largo, sin deuda y FCF LTM positivo de 62 M$) y AI=6 (valor original). El R3 pasa de 2,86 a 3,71.</t>
  </si>
  <si>
    <t>Deep dive completo del 25-ago-2026</t>
  </si>
  <si>
    <t>Costco. R2 Potential 11 -&gt; 13. El 11 estaba calibrado como el de un retailer americano maduro y el deep dive muestra que el motor no son las aperturas: el parque solo ha crecido un 17% en seis anos (795 a 931 almacenes) mientras la FACTURACION POR ALMACEN subia de 209,8 a 315,3 M$ (+50%) y el BENEFICIO POR ALMACEN de 5,03 a 9,50 M$ (+89%). O sea apalancamiento operativo sobre una base de costes ya pagada, mas subidas de cuota cada cinco anos, mas penetracion de Kirkland, mas comercio electronico apalancando los mismos almacenes. Y Europa sigue practicamente sin ejecutar. FLYWHEEL confirmado con el indicador que la tesis de 2021 eligio como senal de alarma: la renovacion EE.UU./Canada ha subido del 91% al 92,2% y la mundial del 88% al 89,7%. Las cuotas son el 49% del beneficio operativo. NO se sube Optionality (sigue en 1 sobre 3): Europa lleva cinco anos prometida y sin ejecutar, y una opcion no ejercida no se premia.</t>
  </si>
  <si>
    <t>AD (R3 Durability); L (R1 Optionality); BF</t>
  </si>
  <si>
    <t>Inditex. R3 Durability 14 -&gt; 15 y R1 Optionality 2 -&gt; 1,5. Durability al maximo porque el deep dive responde la pregunta que la tesis de 2021 dejo abierta: el online iba a comprimir el margen y ha hecho lo contrario. Es el 26,7% de las ventas (10.700 M EUR) y el margen bruto SUBIO 42 pb hasta el 58,3%, con el EBIT en 20,2% frente al 16-16,5% que se esperaba. Ademas han cerrado casi 2.000 tiendas desde 2019 (7.400 a 5.460) y venden mas que nunca. Absorber un cambio de canal que ha matado a media industria textil expandiendo margen ES antifragilidad demostrada. Optionality baja porque la palanca online ya esta ejercida y esta en la base, no en el futuro; Asia, que era la otra palanca de la tesis, lleva cinco anos sin arrancar; y no lanzan una marca organica desde Uterque en 2008 ni compran una desde Stradivarius en 1998. BF pasa de 12.407 a 10.832 (+12,0%/a a +9,0%/a): con el parque de tiendas ENCOGIENDO y Asia sin ejecutar, un 12% anual de FCF durante cinco anos exige que el margen siga expandiendo por encima del 20,2%. El +9%/a es lo que da el historial real (beneficio neto +9,5% anual entre 2019 y 2025). Alcista pasa de +67% a +46%, asimetria 2,3:1. AVISO ya recogido: la hoja tenia DEUDA CERO y son 6.040 M EUR, casi todo arrendamientos NIIF 16 de 5.460 tiendas; la caja neta excluyendo arrendamientos ronda los 10.000 M EUR.</t>
  </si>
  <si>
    <t>Ninguno - nota de proceso</t>
  </si>
  <si>
    <t>Revision de las tesis del Drive</t>
  </si>
  <si>
    <t>Revisadas las 36 tesis de la carpeta de Drive (2020-2021). Once son de empresas de la watchlist: COST, ITX, AMZN, MSFT, NTO, ABNB, GOOG, META, VID, SIKA y SPOT, mas Brookfield Asset Management que no es la matriz que seguimos. PATRON QUE CONVIENE ANOTAR: en Costco e Inditex el analisis del NEGOCIO fue solido -las dos identificaron la metrica correcta a vigilar- y la estimacion del RECORRIDO se quedo corta por un factor de dos o tres. Costco con precio de venta en 450 $ y hoy 947; Inditex con techo en 35-40 EUR y hoy 58,28. Es un sesgo consistente, no mala suerte, y hay que tenerlo delante al fijar los multiplos de salida del escenario alcista. Indice completo en Inversion Roger/00_Tesis_en_Drive_indice.md.</t>
  </si>
  <si>
    <t>Ninguno - deep dive sin cambio de rating</t>
  </si>
  <si>
    <t>Nintendo. SIN CAMBIO DE RATING, y se explica por que. El deep dive confirma la tesis del Drive en lo esencial -las IP tienen efecto Lindy, la explotacion fuera de la consola ya esta ocurriendo (Osaka, cine, series) y la caja neta sigue siendo el 19% de la capitalizacion, igual proporcion que en 2021- y no aparece ningun hecho nuevo que mueva R1, R2 ni R3. LO QUE SI APARECE ES UN PROBLEMA DE MEDICION: en el ano de lanzamiento Nintendo fabrica e inventaria millones de consolas antes de venderlas, asi que el circulante absorbe caja justo cuando el beneficio hace maximo y el FCF se deprime en el PICO de ventas. Por eso el EV/FCF sale en 38,1x en el mejor ejercicio de su historia. La tesis de 2021 decia que en la parte alta del ciclo la empresa PARECERIA BARATA y es justo al reves. Mismo mecanismo que TFF Group: negocios donde el circulante se mueve al reves que el beneficio. Para Nintendo la metrica honesta es EV/EBIT sobre beneficio medio de ciclo. Contexto: FY2026 cerro con ventas de 2.313 mm JPY (+98,6%) y la propia guia FY2027 es de 2.050 mm (-11,4%); el +150% de resultado operativo del Q1 incluye unos 300 M$ de devoluciones de aranceles que no se repiten.</t>
  </si>
  <si>
    <t>U (R2 MOAT)</t>
  </si>
  <si>
    <t>Airbnb. R2 MOAT 16 -&gt; 17. Hecho de largo plazo que las ratings no recogian: la marca se ha convertido en CATEGORIA -la gente dice un airbnb- y eso hace que el trafico directo sustituya al comprado. Consecuencia medible: margen operativo del 20,8% frente al 11% que proyectaba la tesis del Drive para este momento, y margen FCF del 37%. Un foso de marca que reduce estructuralmente el coste de adquisicion es exactamente lo que mide esta columna. NO se sube MOAT del R1 (sigue en 6 sobre 8): la observacion del 21-ago de que el anfitrion tiene Booking a un clic y de que la oferta es legislable ciudad a ciudad sigue siendo cierta. PENDIENTE: Experiencias lleva cinco anos sin monetizar; si sigue asi hay que sacarla del caso alcista. AVISO: de los 12.069 M$ de caja, una parte son fondos de anfitriones pendientes de pago -flotacion, no caja propia- y la fila no lo distingue.</t>
  </si>
  <si>
    <t>AF (R3 Capital Intensity)</t>
  </si>
  <si>
    <t>Alphabet. R3 Capital Intensity 6 -&gt; 5. El capex LTM es de 132.410 M$, el 29,7% de las ventas y CINCO VECES el D&amp;A. La tesis del Drive describia Alphabet como un negocio donde para cada dolar extra ganado no hace falta invertir practicamente nada; eso ha dejado de ser cierto. Precedente del libro: a Microsoft se le bajo esta misma columna de 5 a 4 con el capex al 35% de las ventas. El capital empleado sube a 795.872 M$ y el ROIC baja al 15,1%, bajo para Alphabet. RIESGO ESTRUCTURAL QUE HAY QUE VIGILAR y que no estaba en la tesis de 2021: si el usuario deja de teclear una consulta y pasa a preguntar a un asistente que da la respuesta directa SIN ensenar diez enlaces con anuncios encima, el inventario publicitario se encoge aunque la busqueda siga existiendo. Es lo que decide el valor terminal. AVISO: toda la asimetria de esta fila descansa en la normalizacion del FCF; con el reportado (53.270) el EV/FCF seria 76,5x.</t>
  </si>
  <si>
    <t>AF (R3 Capital Intensity); AH (R3 Financing Source)</t>
  </si>
  <si>
    <t>Meta. R3 Capital Intensity 7 -&gt; 5 y R3 Financing Source 4 -&gt; 3. Capex LTM de 89.320 M$, el 39,1% de las ventas y casi CUATRO VECES el D&amp;A: mas intensivo que Microsoft cuando se le bajo esta columna. Y por primera vez en su historia la DEUDA (112.320) SUPERA A LA CAJA (90.260), o sea que la apuesta se esta financiando con apalancamiento. Meta ha pasado de ser el negocio mas ligero en capital de las grandes tecnologicas a uno de los mas pesados. El negocio publicitario sigue siendo extraordinario -38,1% de margen operativo sobre 228.250 M$- y el bucle de la subasta que describia la tesis de 2021 sigue funcionando: el ARPU sube sin necesidad de anadir usuarios. AVISO SOBRE LA ASIMETRIA: 10,5:1 sobre el papel es la mas alta del libro, pero el rango entre el bajista (-5,4% anual de FCF) y el alcista (+16%) es enorme porque la incertidumbre es enorme. Un 10,5:1 no es senal de compra, es senal de resultado BINARIO, y un binario se penaliza por el divisor de riesgo terminal, no se premia por el numerador. WhatsApp sigue sin monetizar cinco anos despues: opcionalidad no ejercida que no se debe pagar.</t>
  </si>
  <si>
    <t>Sika. R2 Potential 11 -&gt; 10. La tesis del Drive es la mejor documentada del lote y su parte cualitativa no necesita correccion: el foso de la ESPECIFICACION es real -el prescriptor escribe el producto en el pliego y cambiarlo puede exigir una nueva homologacion, asi que el coste de cambio es regulatorio y no economico- y ademas se ensancha con la regulacion climatica. Cultura solida (promocion interna, el CEO llevaba 32 anos dentro, compromiso 86/100) y retribucion bien disenada, con el ROCE relativo pesando el 40% del incentivo largo. LO QUE BAJA POTENTIAL ES CUANTITATIVO Y DE LARGO PLAZO: la propia tesis reconoce que el crecimiento organico es bajo, y los numeros lo confirman -de 9.250 M CHF en 2021 a 11.760 en 2024 con MBCC aportando 2.100 de esos 2.500, o sea que casi todo el crecimiento de tres anos vino de una compra financiada con 2.250 M EUR de bonos-. Hoy el ROIC es del 9,6%, cerca del coste de capital, y la deuda neta 5.455 M CHF = 2,8x EBITDA, lo que limita la siguiente compra. Un consolidador que reinvierte al 9,6% no compone, administra. Contraste con la tesis: margen FCF 11,9% cumple lo esperado (9-12%), pero el EBITDA esta en 17,5% y no en el 20% previsto. AVISO: el multiplo de salida bajista de 18x es el 66% del actual, blando para un ciclico apalancado; 15x seria mas honesto.</t>
  </si>
  <si>
    <t>T (R2 Financials); AH (R3 Financing Source)</t>
  </si>
  <si>
    <t>Spotify. R2 Financials 13 -&gt; 15 y R3 Financing Source 2 -&gt; 4. Ha demostrado lo que tenia que demostrar: que el apalancamiento operativo existia. De perdidas estructurales a un resultado operativo de 2.653 M EUR (14,6% de margen), un FCF de 3.267 (18% de margen) y un ROIC del 24%, con 6.519 M EUR de CAJA NETA. Ya no depende de nadie para financiarse. LA LECCION QUE HAY QUE LLEVARSE AL RESTO DEL LIBRO: la tesis del Drive fijaba el caso alcista en 380 $ y la accion esta en 550,72 $; fallo en una unica variable, el margen, y ella misma la habia senalado como su punto debil (los margenes operativos me generan dudas, el apalancamiento operativo es poco visible). En negocios con base de costes fija grande y margen bruto creciente, el apalancamiento operativo NO es lineal: es explosivo al cruzar el umbral de rentabilidad. Mismo error que en Airbnb (11% proyectado, 20,8% real). Y es lo que puede estar pasando AHORA con SentinelOne, que acaba de cruzar a operativo no-GAAP positivo. NO se sube MOAT ni Concentration: Spotify no es dueno de lo que vende y tres discograficas pueden decidir su margen; el -2 de concentracion esta bien puesto.</t>
  </si>
  <si>
    <t>2026-08-26</t>
  </si>
  <si>
    <t>SAP</t>
  </si>
  <si>
    <t>XETR</t>
  </si>
  <si>
    <t>CTVA</t>
  </si>
  <si>
    <t>XNYS</t>
  </si>
  <si>
    <t>21/10/2026</t>
  </si>
  <si>
    <t>ALTA NUEVA - fila 72 completa</t>
  </si>
  <si>
    <t>Alta desde la tesis del Drive + deep dive del 26-ago-2026</t>
  </si>
  <si>
    <t>SAP SE. ALTA EN LA WATCHLIST. Cubre el unico hueco estructural que quedaba: software empresarial europeo con foso de coste de cambio, sin nada equivalente entre las 68 filas anteriores. La tesis del Drive (2021) acerto en el mecanismo -durante anos SAP se centro en EXTRAER valor en vez de aportarlo, y la migracion a la nube era la palanca- y se quedo corta en la magnitud, como todas: fijaba 36 B de ventas como escenario optimista y hoy son 38.190 M EUR. FLYWHEEL: el cliente implanta SAP en un proyecto de anos, toda su operativa queda codificada dentro, sacarlo es rehacer la empresa, y alrededor crece un ecosistema de consultoras y profesionales que actua de fuerza de ventas gratuita. La migracion a S/4HANA era la unica ventana en veinte anos en que la puerta estaba abierta y la han convertido en palanca: de licencia perpetua a suscripcion recurrente. FINANCIEROS LTM: ingresos 38.190, resultado operativo 10.990 (28,8% de margen), FCF 8.730 (22,9% de margen), caja neta de 1.690, capex del 1,9% de las ventas -no procede normalizar-, capital empleado 55.875 y ROIC del 14,1%. OJO CON EL ROIC: la tesis citaba un 40%, que es sobre capital invertido excluyendo fondo de comercio; con la definicion del libro sale 14,1% porque arrastra el goodwill de Concur, Ariba, SuccessFactors y Qualtrics. Las dos cifras son ciertas: el 40% dice que el negocio operativo es extraordinario, el 14,1% dice que han pagado mucho por comprar crecimiento. VALORACION: EV/FCF de 23,5x frente a la mediana del libro de 26,7x. Bajista 9.600 (+1,9%/a) a 16x y alcista 15.400 (+12,0%/a) a 24x: -25% y +80%, asimetria 3,2:1. RIESGO ESTRUCTURAL: si un agente de IA puede consultar y operar los datos de la empresa sin la capa de interfaz de SAP, el valor se desplaza del software al dato, y el dato es del cliente.</t>
  </si>
  <si>
    <t>ALTA NUEVA - fila 73 completa</t>
  </si>
  <si>
    <t>Corteva. ALTA EN LA WATCHLIST. Es el unico agricola del libro. La tesis del Drive (2021) hace el mejor trabajo del lote explicando POR QUE el agricultor no puede dejar de comprar: la semilla es el eslabon mas barato de la cosecha y el que mas la condiciona, y no puede guardar semilla de su propia cosecha porque la genetica se degrada en la segunda generacion. Es una suscripcion anual disfrazada de venta de producto. FLYWHEEL: 8-9% de las ventas en I+D, mas rendimiento por hectarea, recompra obligatoria cada campana, datos de cada parcela que mejoran la siguiente semilla, y un equipo comercial que llega a cada agricultor en las pocas semanas de la siembra. PROBLEMA DE MEDICION, EL TERCERO DEL LIBRO tras TFF y Nintendo: el FCF de un solo ano no significa nada. Cinco ejercicios: 2.154 / 267 / 1.174 / 1.548 / 2.815, con el capex plano en unos 590. Toda la variacion es circulante, porque entrega semilla en primavera y cobra tras la cosecha, y el corte LTM a junio cae en el pico de cuentas a cobrar (FCF LTM de solo 629). Se fija AS en 2.200, entre la media de cinco anos (1.592) y el calculo limpio de EBITDA menos capex, intereses e impuestos (2.560). EL ROIC DEL 6,8% ESTA DISTORSIONADO: el capital empleado de 30.853 incluye el fondo de comercio de la fusion DowDuPont de 2019; el ratio penaliza una fusion pagada hace siete anos, no el negocio de hoy. Por eso el EV/EBITDA de 13,5x es mejor lente que el EV/FCF de 26,3x. VALORACION: bajista 2.200 (0%/a) a 14x y alcista 3.543 (+10,0%/a) a 22x -multiplos bajos a proposito, por la regla de los ciclicos-. Sale -49% y +36%, asimetria 0,7:1. CONCLUSION HONESTA: buen negocio a precio exigente. La propia tesis decia -no brainer cerca de 28$- y hoy cotiza a 82,91.</t>
  </si>
  <si>
    <t>Deep dive del 26-ago-2026</t>
  </si>
  <si>
    <t>Halma. Financieros LTM al dia -llevaban desde el 24-jun- y deep dive nuevo. Correcciones: la DEUDA estaba infravalorada en 513 M GBP (400 -&gt; 913,4) y el CAPITAL EMPLEADO en 1.091 (2.100 -&gt; 3.191), asi que el ROIC baja del 17,6% al 12,6%. Tambien ingresos 2.340 -&gt; 2.580, EBITDA 515 -&gt; 622,8 y FCF 400 -&gt; 425,7. BD/BF rebasados sobre la base nueva manteniendo las CAGR implicitas. FLYWHEEL: compra fabricantes de nicho cuyo producto es OBLIGATORIO por norma -detectores de gas, sensores de humo, instrumentacion de agua-, y la norma solo se regula en una direccion, asi que cada revision AMPLIA el mercado. El producto es barato dentro del proyecto y critico para el resultado, por eso el cliente no negocia el precio y el margen operativo aguanta el 20,6% decadas. Es el mismo mecanismo que Sika pero mas cerca del extremo obligatorio. No procede normalizar el FCF: capex de 54,9 frente a un D&amp;A de 92,4, es de los negocios mas ligeros en capital del libro.</t>
  </si>
  <si>
    <t>Revision de la watchlist y archivo de material</t>
  </si>
  <si>
    <t>Roger revierte las cuatro salidas que propuse el 25-ago y las cuatro se quedan: IPCO por la expansion en marcha y por ser de los mejor gestionados en materias primas; KIST por el historial de Andrew Austin en RockRose y la opcionalidad de Noruega y Oman a estos precios; WOSG porque el acuerdo de distribucion con Rolex es de largo plazo y beneficia a las dos partes; BFIT se queda pero es la que mas dudas genera a los dos. El libro pasa de 68 a 70 empresas con SAP y Corteva. ARCHIVO: se encontro en la carpeta de Descargas material que existia pero no estaba en las carpetas de empresa y que por eso la auditoria de cobertura no contaba - la nota de analisis completa de Judges Scientific del 6-ago (con matriz C x A, sizing y disparadores de precio), el dashboard de Kaspi, los escenarios de Adyen, tres versiones del ecosistema de Brookfield, cuatro documentos de Celsius, dos de Monster y uno de Orca. Todo movido a su carpeta.</t>
  </si>
  <si>
    <t>Halma. R2 Financials 14 -&gt; 13. Hecho nuevo del deep dive: con el balance real el ROIC baja del 17,6% al 12,6%, porque el capital empleado son 3.191 M GBP y no 2.100, y la deuda 913,4 y no 400. El negocio operativo sigue siendo excelente -20,6% de margen operativo, capex del 2,1% de las ventas, conversion de caja del 80% del EBITDA- pero el retorno sobre TODO el capital empleado, incluido lo pagado por decadas de adquisiciones, es cinco puntos mas bajo de lo que decia la hoja. Ese es el numero relevante para juzgar a un comprador en serie. Contexto de largo plazo que NO cambia: sus mercados son obligatorios por norma y la norma solo se regula en una direccion, asi que cada revision normativa amplia el mercado. Por eso Durability sigue en 15 sobre 15, el maximo del libro. AVISO: con 13.600 M GBP de capitalizacion, cada compra de 50-100 M GBP mueve menos la aguja que hace diez anos; el crecimiento por adquisicion se diluye con la escala.</t>
  </si>
  <si>
    <t>Lifco. R2 Potential 13 -&gt; 12, por el mismo criterio que se aplico a Sika el 25-ago. El crecimiento organico es del 4,2% en 2025 y del 2,9% en el 1S26: la mayor parte del crecimiento es COMPRADO, no generado. Eso esta bien mientras el multiplo de entrada siga siendo bajo -Lifco paga 5-8 veces EBITA a fundadores que se jubilan, y ese es exactamente el modelo- pero el recorrido que mide esta columna depende de que siga habiendo empresas comprables a ese precio, y hay cada vez mas capital privado persiguiendo las mismas. FLYWHEEL, que es lo mejor de la compania: compra barato a un fundador que se jubila, NO integra, deja el nombre y el equipo, y ese trato le da reputacion entre fundadores, de modo que el flujo de operaciones llega solo. El foso es cultural, no financiero: cualquier fondo puede pagar 8 veces EBITA, muy pocos pueden prometer de forma creible que no tocaran la empresa en veinte anos. AVISO SOBRE EL CASO BAJISTA: asume el FCF creciendo un 7,0% anual, que para un comprador en serie es un ano normal y no un escenario malo. El bajista de verdad es que se seque el flujo de adquisiciones y quede el organico del 3%. Conviene endurecerlo.</t>
  </si>
  <si>
    <t>AH (R3 Financing Source)</t>
  </si>
  <si>
    <t>Schneider Electric. R3 Financing Source 4 -&gt; 3. La correccion de deuda del 25-ago -de 12.500 a 20.810 M EUR, ocho mil millones de diferencia por AVEVA y ETAP- deja la deuda neta en 16.290, o sea 1,9x EBITDA. Sigue siendo comodo pero ya no es la compania sin deuda que la hoja asumia, y limita la siguiente compra grande. FLYWHEEL: el instalador especifica Schneider una vez y el equipo dura decadas; toda ampliacion, repuesto o mantenimiento tiene que ser compatible con lo instalado, asi que el ingreso recurrente no exige volver a ganar al cliente. Encima del hardware venden software (EcoStruxure, AVEVA) que solo tiene sentido si el hardware es suyo. El riesgo real es perder la ESPECIFICACION frente a ABB o Siemens: es lento y silencioso, no se ve en los resultados hasta anos despues. COMPARACION UTIL: margen operativo 17,9% frente al 17,7% de ABB, pero ROIC del 13,2% frente al 17,6% de ABB. ABB convierte mejor el capital; Schneider tiene mas software. Y el viento de cola de la electrificacion NO es informacion: esta en el precio, a 30,3x FCF.</t>
  </si>
  <si>
    <t>AK (R3 Terminal Risk)</t>
  </si>
  <si>
    <t>Fair Isaac. R3 Terminal Risk -6 -&gt; -7. El deep dive deja claro que FICO tiene UN solo riesgo y es binario: el score esta escrito dentro de la normativa del mercado hipotecario estadounidense, y si la FHFA admite scores alternativos, el coste de cambio -que hoy no es de la entidad sino del SISTEMA- deja de existir. El proceso esta abierto. Ademas la compania se apalanca deliberadamente para recomprar acciones (2.200 M$ de deuda neta, 2,5x EBITDA), lo cual es matematicamente correcto con un ROIC del 29,1% pero amplifica el riesgo de cola. AVISO SOBRE EL CASO BAJISTA: +8,0% anual de FCF no es un caso bajista para FICO, es casi su caso base, porque solo con subir el precio por consulta ya llega. El bajista de verdad es regulatorio y es DISCONTINUO: si se abre el mercado, el FCF no crece al 8%, se estanca, y el multiplo se desploma a la vez. Esta fila tiene un riesgo de cola que el escenario lineal no captura, igual que Meta. ECONOMIA DEL NEGOCIO, que es de las mejores del libro: 50,9% de margen EBITDA, 42,4% de margen FCF, 29,1% de ROIC y capital empleado minimo. Casi todo el valor esta en el 40% de los ingresos que es el score; el software es una opcion, no la tesis.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</si>
</sst>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49" fontId="8" fillId="0" borderId="0" xfId="0" applyNumberFormat="1" applyFont="1" applyAlignment="1">
      <alignment horizontal="center" vertical="center"/>
    </xf>
    <xf numFmtId="49" fontId="0" fillId="0" borderId="0" xfId="0" applyNumberFormat="1"/>
    <xf numFmtId="14" fontId="0" fillId="0" borderId="0" xfId="0" applyNumberFormat="1"/>
    <xf numFmtId="3" fontId="0" fillId="0" borderId="0" xfId="0" applyNumberFormat="1"/>
    <xf numFmtId="14" fontId="8" fillId="0" borderId="0" xfId="0" applyNumberFormat="1" applyFont="1" applyAlignment="1">
      <alignment horizontal="center" vertical="center"/>
    </xf>
    <xf numFmtId="49" fontId="8" fillId="47" borderId="0" xfId="0" applyNumberFormat="1" applyFont="1" applyFill="1" applyAlignment="1">
      <alignment horizontal="center" vertical="center"/>
    </xf>
    <xf numFmtId="49" fontId="7" fillId="45" borderId="28" xfId="0" applyNumberFormat="1" applyFont="1" applyFill="1" applyBorder="1" applyAlignment="1">
      <alignment horizontal="left" vertical="center"/>
    </xf>
    <xf numFmtId="49" fontId="7" fillId="10" borderId="1" xfId="0" applyNumberFormat="1" applyFont="1" applyFill="1" applyBorder="1" applyAlignment="1">
      <alignment horizontal="center" vertical="center" wrapText="1"/>
    </xf>
    <xf numFmtId="49" fontId="8" fillId="10" borderId="1" xfId="0" applyNumberFormat="1" applyFont="1" applyFill="1" applyBorder="1" applyAlignment="1">
      <alignment horizontal="center" vertical="center" wrapText="1"/>
    </xf>
    <xf numFmtId="0" fontId="37" fillId="2" borderId="0" xfId="0" applyFont="1" applyFill="1" applyAlignment="1">
      <alignment horizontal="center" vertical="top"/>
    </xf>
    <xf numFmtId="0" fontId="0" fillId="0" borderId="0" xfId="0"/>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0" fillId="9" borderId="0" xfId="0" applyFill="1" applyAlignment="1">
      <alignment horizontal="center"/>
    </xf>
    <xf numFmtId="0" fontId="25" fillId="34" borderId="21" xfId="0" applyFont="1" applyFill="1" applyBorder="1" applyAlignment="1">
      <alignment horizontal="center"/>
    </xf>
    <xf numFmtId="0" fontId="0" fillId="0" borderId="26" xfId="0" applyBorder="1"/>
    <xf numFmtId="0" fontId="0" fillId="0" borderId="27" xfId="0" applyBorder="1"/>
    <xf numFmtId="0" fontId="22" fillId="27" borderId="0" xfId="0" applyFont="1" applyFill="1"/>
    <xf numFmtId="2" fontId="0" fillId="9" borderId="0" xfId="0" applyNumberFormat="1"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0" fontId="29" fillId="25" borderId="24" xfId="0" applyFont="1" applyFill="1" applyBorder="1" applyAlignment="1">
      <alignment horizontal="center"/>
    </xf>
    <xf numFmtId="0" fontId="0" fillId="0" borderId="24" xfId="0" applyBorder="1"/>
    <xf numFmtId="4" fontId="29" fillId="25" borderId="24" xfId="0" applyNumberFormat="1"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28" fillId="40" borderId="24" xfId="0" applyFont="1" applyFill="1" applyBorder="1" applyAlignment="1">
      <alignment horizontal="center"/>
    </xf>
    <xf numFmtId="0" fontId="19" fillId="24" borderId="10" xfId="0" applyFont="1" applyFill="1" applyBorder="1" applyAlignment="1">
      <alignment horizontal="center" vertical="center"/>
    </xf>
    <xf numFmtId="0" fontId="0" fillId="0" borderId="10" xfId="0" applyBorder="1"/>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3" fillId="27" borderId="0" xfId="0" applyFont="1" applyFill="1" applyAlignment="1">
      <alignment horizontal="center"/>
    </xf>
    <xf numFmtId="2" fontId="33" fillId="9" borderId="0" xfId="0" applyNumberFormat="1"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4080-4E7D-8FF4-F0E659FB7C45}"/>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4080-4E7D-8FF4-F0E659FB7C45}"/>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4080-4E7D-8FF4-F0E659FB7C45}"/>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4080-4E7D-8FF4-F0E659FB7C45}"/>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4080-4E7D-8FF4-F0E659FB7C45}"/>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4080-4E7D-8FF4-F0E659FB7C45}"/>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4080-4E7D-8FF4-F0E659FB7C45}"/>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4080-4E7D-8FF4-F0E659FB7C45}"/>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3</c:v>
                </c:pt>
                <c:pt idx="1">
                  <c:v>18</c:v>
                </c:pt>
                <c:pt idx="2">
                  <c:v>16</c:v>
                </c:pt>
                <c:pt idx="3">
                  <c:v>31</c:v>
                </c:pt>
              </c:numCache>
            </c:numRef>
          </c:val>
          <c:extLst>
            <c:ext xmlns:c16="http://schemas.microsoft.com/office/drawing/2014/chart" uri="{C3380CC4-5D6E-409C-BE32-E72D297353CC}">
              <c16:uniqueId val="{00000008-4080-4E7D-8FF4-F0E659FB7C45}"/>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8.33</c:v>
                </c:pt>
                <c:pt idx="1">
                  <c:v>7.86</c:v>
                </c:pt>
                <c:pt idx="2">
                  <c:v>7.8</c:v>
                </c:pt>
                <c:pt idx="3">
                  <c:v>7.97</c:v>
                </c:pt>
                <c:pt idx="4">
                  <c:v>8.1300000000000008</c:v>
                </c:pt>
                <c:pt idx="5">
                  <c:v>7.92</c:v>
                </c:pt>
                <c:pt idx="6">
                  <c:v>7.78</c:v>
                </c:pt>
                <c:pt idx="7">
                  <c:v>7.22</c:v>
                </c:pt>
                <c:pt idx="8">
                  <c:v>7.76</c:v>
                </c:pt>
                <c:pt idx="9">
                  <c:v>7.81</c:v>
                </c:pt>
                <c:pt idx="10">
                  <c:v>7.73</c:v>
                </c:pt>
                <c:pt idx="11">
                  <c:v>7.77</c:v>
                </c:pt>
                <c:pt idx="12">
                  <c:v>7.84</c:v>
                </c:pt>
                <c:pt idx="13">
                  <c:v>7.78</c:v>
                </c:pt>
                <c:pt idx="14">
                  <c:v>7.14</c:v>
                </c:pt>
              </c:numCache>
            </c:numRef>
          </c:xVal>
          <c:yVal>
            <c:numRef>
              <c:f>Dashboard!$Q$8:$Q$22</c:f>
              <c:numCache>
                <c:formatCode>0.00%</c:formatCode>
                <c:ptCount val="15"/>
                <c:pt idx="0">
                  <c:v>0.21535056770391781</c:v>
                </c:pt>
                <c:pt idx="1">
                  <c:v>0.12725933974662795</c:v>
                </c:pt>
                <c:pt idx="2">
                  <c:v>0.21268691268480011</c:v>
                </c:pt>
                <c:pt idx="3">
                  <c:v>0.21874186412022789</c:v>
                </c:pt>
                <c:pt idx="4">
                  <c:v>8.5040896509370301E-2</c:v>
                </c:pt>
                <c:pt idx="5">
                  <c:v>0.19690295456465767</c:v>
                </c:pt>
                <c:pt idx="6">
                  <c:v>0.12867081613737774</c:v>
                </c:pt>
                <c:pt idx="7">
                  <c:v>0.25943228470250812</c:v>
                </c:pt>
                <c:pt idx="8">
                  <c:v>1.423921438264375E-2</c:v>
                </c:pt>
                <c:pt idx="9">
                  <c:v>0.11256640658534334</c:v>
                </c:pt>
                <c:pt idx="10">
                  <c:v>9.4174490275463096E-2</c:v>
                </c:pt>
                <c:pt idx="11">
                  <c:v>7.8247362813344878E-2</c:v>
                </c:pt>
                <c:pt idx="12">
                  <c:v>-0.11087272348127619</c:v>
                </c:pt>
                <c:pt idx="13">
                  <c:v>9.3132290707818255E-2</c:v>
                </c:pt>
                <c:pt idx="14">
                  <c:v>0.10909212414512681</c:v>
                </c:pt>
              </c:numCache>
            </c:numRef>
          </c:yVal>
          <c:smooth val="0"/>
          <c:extLst>
            <c:ext xmlns:c16="http://schemas.microsoft.com/office/drawing/2014/chart" uri="{C3380CC4-5D6E-409C-BE32-E72D297353CC}">
              <c16:uniqueId val="{00000000-AD5E-4A7A-88EF-5308B096E744}"/>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E9E3-4EF5-9427-F42F92AC07B7}"/>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E9E3-4EF5-9427-F42F92AC07B7}"/>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E72E-4035-8D3D-932C0AE7B5A2}"/>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E72E-4035-8D3D-932C0AE7B5A2}"/>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0E62-4A00-A69F-24E930F2B80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14">
  <rv s="0">
    <v>https://www.bing.com/financeapi/forcetrigger?t=a259jc&amp;q=XNYS%3aVEEV&amp;form=skydnc</v>
    <v>Learn more on Bing</v>
  </rv>
  <rv s="1">
    <v>es-ES</v>
    <v>a259jc</v>
    <v>268435456</v>
    <v>1</v>
    <v>Con tecnología de Refinitiv</v>
    <v>0</v>
    <v>1</v>
    <v>VEEVA SYSTEMS INC. (XNYS:VEEV)</v>
    <v>3</v>
    <v>4</v>
    <v>Finance</v>
    <v>5</v>
    <v>XNYS</v>
    <v>162443300</v>
    <v>2007</v>
    <v>244.17</v>
    <v>0.94240000000000002</v>
    <v>-2.71</v>
    <v>-1.0907E-2</v>
    <v>39920440975</v>
    <v>248.46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46259.828987187502</v>
    <v>New York Stock Exchange</v>
    <v>0</v>
    <v>247.35</v>
    <v>310.5</v>
    <v>242.53</v>
    <v>148.05000000000001</v>
    <v>USD</v>
    <v>VEEVA SYSTEMS INC.</v>
    <v>VEEVA SYSTEMS INC.</v>
    <v>43.474800000000002</v>
    <v>245.75</v>
    <v>Healthcare Equipment &amp; Supplies</v>
    <v>4280 Hacienda Drive, PLEASANTON, CA, 94588 US</v>
    <v>VEEV</v>
    <v>Acciones</v>
    <v>VEEVA SYSTEMS INC. (XNYS:VEEV)</v>
    <v>1190369</v>
    <v>1649889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7425545000</v>
    <v>1993</v>
    <v>485.75</v>
    <v>1.1020000000000001</v>
    <v>3.7050000000000001</v>
    <v>7.6029999999999995E-3</v>
    <v>3646053978175</v>
    <v>487.31</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223000</v>
    <v>XNAS</v>
    <v>46259.829026874999</v>
    <v>6</v>
    <v>Nasdaq Stock Market</v>
    <v>7</v>
    <v>491.62</v>
    <v>553.72</v>
    <v>484.3</v>
    <v>349.2</v>
    <v>USD</v>
    <v>MICROSOFT CORPORATION</v>
    <v>MICROSOFT CORPORATION</v>
    <v>27.3596</v>
    <v>491.01499999999999</v>
    <v>Software &amp; IT Services</v>
    <v>One Microsoft Way, REDMOND, WA, 98052 US</v>
    <v>MSFT</v>
    <v>Acciones</v>
    <v>MICROSOFT CORPORATION (XNAS:MSFT)</v>
    <v>12138578</v>
    <v>34423023</v>
  </rv>
  <rv s="2">
    <v>8</v>
  </rv>
  <rv s="0">
    <v>https://www.bing.com/financeapi/forcetrigger?t=b1ao52&amp;q=XAMS%3aADYEN&amp;form=skydnc</v>
    <v>Learn more on Bing</v>
  </rv>
  <rv s="1">
    <v>es-ES</v>
    <v>b1ao52</v>
    <v>268435456</v>
    <v>1</v>
    <v>Con tecnología de Refinitiv</v>
    <v>0</v>
    <v>1</v>
    <v>Adyen N.V. (XAMS:ADYEN)</v>
    <v>3</v>
    <v>12</v>
    <v>Finance</v>
    <v>13</v>
    <v>XAMS</v>
    <v>31683550</v>
    <v>2006</v>
    <v>1079.8</v>
    <v>2.2585999999999999</v>
    <v>0.4</v>
    <v>3.7089999999999996E-4</v>
    <v>34173880000</v>
    <v>1078.5999999999999</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5020</v>
    <v>XAMS</v>
    <v>46259.666666666664</v>
    <v>Euronext Amsterdam</v>
    <v>10</v>
    <v>1082.2</v>
    <v>1600.8</v>
    <v>1065.4000000000001</v>
    <v>772.4</v>
    <v>EUR</v>
    <v>Adyen N.V.</v>
    <v>Adyen N.V.</v>
    <v>30.2348</v>
    <v>1079</v>
    <v>Financial Technology (Fintech) &amp; Infrastructure</v>
    <v>Simon Carmiggeltstraat 6-50, AMSTERDAM, NOORD-HOLLAND, 1011DJ NL</v>
    <v>ADYEN</v>
    <v>Acciones</v>
    <v>Adyen N.V. (XAMS:ADYEN)</v>
    <v>99023</v>
    <v>189500</v>
  </rv>
  <rv s="2">
    <v>11</v>
  </rv>
  <rv s="0">
    <v>https://www.bing.com/financeapi/forcetrigger?t=a1o5ur&amp;q=XNYS%3aBAM&amp;form=skydnc</v>
    <v>Learn more on Bing</v>
  </rv>
  <rv s="1">
    <v>es-ES</v>
    <v>a1o5ur</v>
    <v>268435456</v>
    <v>1</v>
    <v>Con tecnología de Refinitiv</v>
    <v>0</v>
    <v>1</v>
    <v>Brookfield Corporation (XNYS:BN)</v>
    <v>3</v>
    <v>4</v>
    <v>Finance</v>
    <v>5</v>
    <v>XNYS</v>
    <v>2451915000</v>
    <v>2005</v>
    <v>42.21</v>
    <v>1.5463</v>
    <v>0.15</v>
    <v>3.5739999999999999E-3</v>
    <v>103274659800</v>
    <v>41.97</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46259.828978460158</v>
    <v>New York Stock Exchange</v>
    <v>13</v>
    <v>42.301499999999997</v>
    <v>49.564999999999998</v>
    <v>41.78</v>
    <v>37.93</v>
    <v>USD</v>
    <v>Brookfield Corporation</v>
    <v>Brookfield Corporation</v>
    <v>82.362099999999998</v>
    <v>42.12</v>
    <v>Investment Banking &amp; Investment Services</v>
    <v>Brookfield Place, 181 Bay St, Ste 100, Po Box 762, TORONTO, ON, M5J 2T3 CA</v>
    <v>BN</v>
    <v>Acciones</v>
    <v>Brookfield Corporation (XNYS:BN)</v>
    <v>1947163</v>
    <v>4358850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966.56</v>
    <v>0.8669</v>
    <v>-10.039999999999999</v>
    <v>-1.0336000000000001E-2</v>
    <v>426342779168</v>
    <v>971.4</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46259.828993390627</v>
    <v>Nasdaq Stock Market</v>
    <v>16</v>
    <v>968.76</v>
    <v>1096.5</v>
    <v>959.89</v>
    <v>844.06</v>
    <v>USD</v>
    <v>COSTCO WHOLESALE CORPORATION</v>
    <v>COSTCO WHOLESALE CORPORATION</v>
    <v>48.352800000000002</v>
    <v>961.36</v>
    <v>Diversified Retail</v>
    <v>999 Lake Dr, ISSAQUAH, WA, 98027- US</v>
    <v>COST</v>
    <v>Acciones</v>
    <v>COSTCO WHOLESALE CORPORATION (XNAS:COST)</v>
    <v>641406</v>
    <v>1860725</v>
  </rv>
  <rv s="2">
    <v>17</v>
  </rv>
  <rv s="0">
    <v>https://www.bing.com/financeapi/forcetrigger?t=a1rb5r&amp;q=XNAS%3aDSGX&amp;form=skydnc</v>
    <v>Learn more on Bing</v>
  </rv>
  <rv s="1">
    <v>es-ES</v>
    <v>a1rb5r</v>
    <v>268435456</v>
    <v>1</v>
    <v>Con tecnología de Refinitiv</v>
    <v>0</v>
    <v>1</v>
    <v>The Descartes Systems Group Inc. (XNAS:DSGX)</v>
    <v>3</v>
    <v>14</v>
    <v>Finance</v>
    <v>5</v>
    <v>XNAS</v>
    <v>85653660</v>
    <v>2023</v>
    <v>77.709999999999994</v>
    <v>0.19470000000000001</v>
    <v>-0.99</v>
    <v>-1.2616E-2</v>
    <v>9370206000</v>
    <v>78.47</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46259.828948750001</v>
    <v>Nasdaq Stock Market</v>
    <v>19</v>
    <v>79.209999999999994</v>
    <v>109</v>
    <v>76.81</v>
    <v>62.555</v>
    <v>USD</v>
    <v>The Descartes Systems Group Inc.</v>
    <v>The Descartes Systems Group Inc.</v>
    <v>38.533799999999999</v>
    <v>77.48</v>
    <v>Software &amp; IT Services</v>
    <v>120 Randall Drive, WATERLOO, ON, N2V 1C6 CA</v>
    <v>DSGX</v>
    <v>Acciones</v>
    <v>The Descartes Systems Group Inc. (XNAS:DSGX)</v>
    <v>246721</v>
    <v>477978</v>
  </rv>
  <rv s="2">
    <v>20</v>
  </rv>
  <rv s="0">
    <v>https://www.bing.com/financeapi/forcetrigger?t=afjdk2&amp;q=XFRA%3aRAA&amp;form=skydnc</v>
    <v>Learn more on Bing</v>
  </rv>
  <rv s="1">
    <v>es-ES</v>
    <v>afjdk2</v>
    <v>268435456</v>
    <v>1</v>
    <v>Con tecnología de Refinitiv</v>
    <v>0</v>
    <v>1</v>
    <v>Rational (XFRA:RAA)</v>
    <v>3</v>
    <v>12</v>
    <v>Finance</v>
    <v>13</v>
    <v>XFRA</v>
    <v>11370000</v>
    <v>1999</v>
    <v>623</v>
    <v>1.3577999999999999</v>
    <v>5.5</v>
    <v>8.7580000000000002E-3</v>
    <v>7123305000</v>
    <v>628</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2912</v>
    <v>XFRA</v>
    <v>46259.765972222223</v>
    <v>Deutsche Boerse AG</v>
    <v>22</v>
    <v>633.5</v>
    <v>1028</v>
    <v>623</v>
    <v>388.4</v>
    <v>EUR</v>
    <v>Rational</v>
    <v>Rational</v>
    <v>27.084199999999999</v>
    <v>633.5</v>
    <v>Household Goods</v>
    <v>Siegfried-Meister-Strasse 1, BAYERN, 86899 DE</v>
    <v>RAA</v>
    <v>Acciones</v>
    <v>Rational (XFRA:RAA)</v>
    <v>2</v>
    <v>11770</v>
  </rv>
  <rv s="2">
    <v>23</v>
  </rv>
  <rv s="0">
    <v>https://www.bing.com/financeapi/forcetrigger?t=azbtyc&amp;q=XNAS%3aZS&amp;form=skydnc</v>
    <v>Learn more on Bing</v>
  </rv>
  <rv s="1">
    <v>es-ES</v>
    <v>azbtyc</v>
    <v>268435456</v>
    <v>1</v>
    <v>Con tecnología de Refinitiv</v>
    <v>0</v>
    <v>1</v>
    <v>ZSCALER, INC. (XNAS:ZS)</v>
    <v>3</v>
    <v>4</v>
    <v>Finance</v>
    <v>5</v>
    <v>XNAS</v>
    <v>161709500</v>
    <v>2007</v>
    <v>175</v>
    <v>0.93230000000000002</v>
    <v>-7.52</v>
    <v>-4.2713000000000001E-2</v>
    <v>27254519130</v>
    <v>176.06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46259.82901887656</v>
    <v>Nasdaq Stock Market</v>
    <v>25</v>
    <v>176.81</v>
    <v>336.99</v>
    <v>166.66</v>
    <v>114.625</v>
    <v>USD</v>
    <v>ZSCALER, INC.</v>
    <v>ZSCALER, INC.</v>
    <v>0</v>
    <v>168.54</v>
    <v>Software &amp; IT Services</v>
    <v>120 Holger Way, SAN JOSE, CA, 95134 US</v>
    <v>ZS</v>
    <v>Acciones</v>
    <v>ZSCALER, INC. (XNAS:ZS)</v>
    <v>1528902</v>
    <v>2141928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47.5</v>
    <v>0.1275</v>
    <v>2.605</v>
    <v>5.4848000000000001E-2</v>
    <v>11318880000000</v>
    <v>47.494999999999997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8666</v>
    <v>XFRA</v>
    <v>46259.815972222219</v>
    <v>Deutsche Boerse AG</v>
    <v>28</v>
    <v>50.1</v>
    <v>546.1</v>
    <v>47.5</v>
    <v>34.6</v>
    <v>EUR</v>
    <v>Nintendo Co., Ltd.</v>
    <v>Nintendo Co., Ltd.</v>
    <v>22.669699999999999</v>
    <v>50.1</v>
    <v>Leisure Products</v>
    <v>11-1, Kamitoba Hokotate-cho, Minami-ku, KYOTO-SHI, KYOTO-FU, 601-8501 JP</v>
    <v>NTO</v>
    <v>Acciones</v>
    <v>Nintendo Co., Ltd. (XFRA:NTO)</v>
    <v>851</v>
    <v>12187950</v>
  </rv>
  <rv s="2">
    <v>29</v>
  </rv>
  <rv s="0">
    <v>https://www.bing.com/financeapi/forcetrigger?t=a1nhlh&amp;q=XNAS%3aAMZN&amp;form=skydnc</v>
    <v>Learn more on Bing</v>
  </rv>
  <rv s="1">
    <v>es-ES</v>
    <v>a1nhlh</v>
    <v>268435456</v>
    <v>1</v>
    <v>Con tecnología de Refinitiv</v>
    <v>0</v>
    <v>1</v>
    <v>AMAZON.COM, INC. (XNAS:AMZN)</v>
    <v>3</v>
    <v>4</v>
    <v>Finance</v>
    <v>5</v>
    <v>XNAS</v>
    <v>10786310000</v>
    <v>1996</v>
    <v>262.73</v>
    <v>1.4475</v>
    <v>-1.32</v>
    <v>-5.0370000000000007E-3</v>
    <v>2812530332500</v>
    <v>262.07</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1595000</v>
    <v>XNAS</v>
    <v>46259.828995474221</v>
    <v>Nasdaq Stock Market</v>
    <v>31</v>
    <v>263.87189999999998</v>
    <v>287.2</v>
    <v>259.83</v>
    <v>196</v>
    <v>USD</v>
    <v>AMAZON.COM, INC.</v>
    <v>AMAZON.COM, INC.</v>
    <v>20.973099999999999</v>
    <v>260.75</v>
    <v>Diversified Retail</v>
    <v>410 Terry Avenue North, SEATTLE, WA, 98109 US</v>
    <v>AMZN</v>
    <v>Acciones</v>
    <v>AMAZON.COM, INC. (XNAS:AMZN)</v>
    <v>16235193</v>
    <v>45276854</v>
  </rv>
  <rv s="2">
    <v>32</v>
  </rv>
  <rv s="0">
    <v>https://www.bing.com/financeapi/forcetrigger?t=aea5k2&amp;q=XPAR%3aSU&amp;form=skydnc</v>
    <v>Learn more on Bing</v>
  </rv>
  <rv s="1">
    <v>es-ES</v>
    <v>aea5k2</v>
    <v>268435456</v>
    <v>1</v>
    <v>Con tecnología de Refinitiv</v>
    <v>0</v>
    <v>1</v>
    <v>Schneider Electric SE (XPAR:SU)</v>
    <v>3</v>
    <v>12</v>
    <v>Finance</v>
    <v>13</v>
    <v>XPAR</v>
    <v>578605300</v>
    <v>1988</v>
    <v>294.64999999999998</v>
    <v>1.4120999999999999</v>
    <v>4.45</v>
    <v>1.525E-2</v>
    <v>168837000000</v>
    <v>291.8</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46259.666666666664</v>
    <v>Euronext Paris</v>
    <v>34</v>
    <v>298.55</v>
    <v>312.3</v>
    <v>294.10000000000002</v>
    <v>208.8</v>
    <v>EUR</v>
    <v>Schneider Electric SE</v>
    <v>Schneider Electric SE</v>
    <v>35.21</v>
    <v>296.25</v>
    <v>Machinery, Equipment &amp; Components</v>
    <v>35 rue Joseph Monier, RUEIL-MALMAISON, ILE-DE-FRANCE, 92500 FR</v>
    <v>SU</v>
    <v>Acciones</v>
    <v>Schneider Electric SE (XPAR:SU)</v>
    <v>533996</v>
    <v>629630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58.76</v>
    <v>1.1346000000000001</v>
    <v>-0.14000000000000001</v>
    <v>-2.3960000000000001E-3</v>
    <v>182074800000</v>
    <v>58.42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46259.666666666664</v>
    <v>Bolsas y Mercados Espanoles</v>
    <v>37</v>
    <v>58.88</v>
    <v>59.42</v>
    <v>58.12</v>
    <v>41.24</v>
    <v>EUR</v>
    <v>Industria de Diseño Textil, S.A.</v>
    <v>Industria de Diseño Textil, S.A.</v>
    <v>28.877199999999998</v>
    <v>58.28</v>
    <v>Specialty Retailers</v>
    <v>Edificio Inditex, Avda. Diputacion, s/n, ARTEIXO, LA CORUNA, 15143 ES</v>
    <v>ITX</v>
    <v>Acciones</v>
    <v>Industria de Diseño Textil, S.A. (BMEX:ITX)</v>
    <v>720248</v>
    <v>1043490</v>
  </rv>
  <rv s="2">
    <v>38</v>
  </rv>
  <rv s="0">
    <v>https://www.bing.com/financeapi/forcetrigger?t=aaq652&amp;q=XBRU%3aLOTB&amp;form=skydnc</v>
    <v>Learn more on Bing</v>
  </rv>
  <rv s="1">
    <v>es-ES</v>
    <v>aaq652</v>
    <v>268435456</v>
    <v>1</v>
    <v>Con tecnología de Refinitiv</v>
    <v>0</v>
    <v>1</v>
    <v>Lotus Bakeries (XBRU:LOTB)</v>
    <v>3</v>
    <v>12</v>
    <v>Finance</v>
    <v>13</v>
    <v>XBRU</v>
    <v>816010</v>
    <v>1934</v>
    <v>12980</v>
    <v>0.87239999999999995</v>
    <v>100</v>
    <v>7.6920000000000001E-3</v>
    <v>10608170000</v>
    <v>13000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46259.666666666664</v>
    <v>Euronext Brussels</v>
    <v>40</v>
    <v>13200</v>
    <v>13200</v>
    <v>12900</v>
    <v>7270</v>
    <v>EUR</v>
    <v>Lotus Bakeries</v>
    <v>Lotus Bakeries</v>
    <v>55.741500000000002</v>
    <v>13100</v>
    <v>Food &amp; Tobacco</v>
    <v>Gentstraat 1, Lembeke, OOST-VLAANDEREN, 9971 BE</v>
    <v>LOTB</v>
    <v>Acciones</v>
    <v>Lotus Bakeries (XBRU:LOTB)</v>
    <v>862</v>
    <v>760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3580</v>
    <v>1.1296999999999999</v>
    <v>22</v>
    <v>6.1900000000000002E-3</v>
    <v>13492590000</v>
    <v>3554</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9625</v>
    <v>XLON</v>
    <v>46259.662939814814</v>
    <v>London Stock Exchange</v>
    <v>43</v>
    <v>3624</v>
    <v>4902</v>
    <v>3562</v>
    <v>3194</v>
    <v>GBp</v>
    <v>HALMA PUBLIC LIMITED COMPANY</v>
    <v>HALMA PUBLIC LIMITED COMPANY</v>
    <v>36.286099999999998</v>
    <v>3576</v>
    <v>Electronic Equipment &amp; Parts</v>
    <v>Misbourne Court, Rectory Way, AMERSHAM, BUCKINGHAMSHIRE, HP7 0DE GB</v>
    <v>HLMA</v>
    <v>Acciones</v>
    <v>HALMA PUBLIC LIMITED COMPANY (XLON:HLMA)</v>
    <v>539503</v>
    <v>976310</v>
  </rv>
  <rv s="2">
    <v>44</v>
  </rv>
  <rv s="0">
    <v>https://www.bing.com/financeapi/forcetrigger?t=a1svnm&amp;q=XNYS%3aFICO&amp;form=skydnc</v>
    <v>Learn more on Bing</v>
  </rv>
  <rv s="1">
    <v>es-ES</v>
    <v>a1svnm</v>
    <v>268435456</v>
    <v>1</v>
    <v>Con tecnología de Refinitiv</v>
    <v>0</v>
    <v>1</v>
    <v>FAIR ISAAC CORPORATION (XNYS:FICO)</v>
    <v>3</v>
    <v>4</v>
    <v>Finance</v>
    <v>5</v>
    <v>XNYS</v>
    <v>21597640</v>
    <v>1987</v>
    <v>1157.24</v>
    <v>1.3213999999999999</v>
    <v>-29.13</v>
    <v>-2.4974E-2</v>
    <v>24562348042</v>
    <v>1166.4000000000001</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3876</v>
    <v>XNYS</v>
    <v>46259.829016608594</v>
    <v>New York Stock Exchange</v>
    <v>46</v>
    <v>1169.2663</v>
    <v>1998.01</v>
    <v>1133.1600000000001</v>
    <v>870.01</v>
    <v>USD</v>
    <v>FAIR ISAAC CORPORATION</v>
    <v>FAIR ISAAC CORPORATION</v>
    <v>32.855400000000003</v>
    <v>1137.27</v>
    <v>Software &amp; IT Services</v>
    <v>5 West Mendenhall, Suites 105, BOZEMAN, MT, 59715 US</v>
    <v>FICO</v>
    <v>Acciones</v>
    <v>FAIR ISAAC CORPORATION (XNYS:FICO)</v>
    <v>138611</v>
    <v>368737</v>
  </rv>
  <rv s="2">
    <v>47</v>
  </rv>
  <rv s="0">
    <v>https://www.bing.com/financeapi/forcetrigger?t=amwtu2&amp;q=XSTO%3aLIFCO+B&amp;form=skydnc</v>
    <v>Learn more on Bing</v>
  </rv>
  <rv s="6">
    <v>es-ES</v>
    <v>amwtu2</v>
    <v>268435456</v>
    <v>1</v>
    <v>Con tecnología de Refinitiv</v>
    <v>18</v>
    <v>19</v>
    <v>Lifco (XSTO:LIFCO B)</v>
    <v>3</v>
    <v>20</v>
    <v>Finance</v>
    <v>21</v>
    <v>XSTO</v>
    <v>423836500</v>
    <v>1993</v>
    <v>318</v>
    <v>1.3004</v>
    <v>0.4</v>
    <v>0</v>
    <v>1.263E-3</v>
    <v>0</v>
    <v>134271400000</v>
    <v>316.8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8140</v>
    <v>XSTO</v>
    <v>46259.666666666664</v>
    <v>NASDAQ Stockholm</v>
    <v>49</v>
    <v>319.60000000000002</v>
    <v>956.5</v>
    <v>315.39999999999998</v>
    <v>140.30000000000001</v>
    <v>SEK</v>
    <v>Lifco</v>
    <v>Lifco</v>
    <v>37.405700000000003</v>
    <v>317.2</v>
    <v>317.2</v>
    <v>Consumer Goods Conglomerates</v>
    <v>Verkmastaregatan 1, ENKOPING, UPPSALA, 745 85 SE</v>
    <v>LIFCO B</v>
    <v>Acciones</v>
    <v>Lifco (XSTO:LIFCO B)</v>
    <v>252931</v>
    <v>300770</v>
  </rv>
  <rv s="2">
    <v>50</v>
  </rv>
  <rv s="0">
    <v>https://www.bing.com/financeapi/forcetrigger?t=af9n8m&amp;q=XFRA%3aEVD&amp;form=skydnc</v>
    <v>Learn more on Bing</v>
  </rv>
  <rv s="1">
    <v>es-ES</v>
    <v>af9n8m</v>
    <v>268435456</v>
    <v>1</v>
    <v>Con tecnología de Refinitiv</v>
    <v>0</v>
    <v>1</v>
    <v>Eventim (XFRA:EVD)</v>
    <v>3</v>
    <v>12</v>
    <v>Finance</v>
    <v>13</v>
    <v>XFRA</v>
    <v>96000000</v>
    <v>2014</v>
    <v>61.45</v>
    <v>1.3953</v>
    <v>-1</v>
    <v>-1.6639000000000001E-2</v>
    <v>5836800000</v>
    <v>60.1</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5280</v>
    <v>XFRA</v>
    <v>46259.81527777778</v>
    <v>Deutsche Boerse AG</v>
    <v>52</v>
    <v>61.5</v>
    <v>113.8</v>
    <v>59.1</v>
    <v>25.98</v>
    <v>EUR</v>
    <v>Eventim</v>
    <v>Eventim</v>
    <v>18.468800000000002</v>
    <v>59.1</v>
    <v>Software &amp; IT Services</v>
    <v>Contrescarpe 75 A, BREMEN, BREMEN, 28195 DE</v>
    <v>EVD</v>
    <v>Acciones</v>
    <v>Eventim (XFRA:EVD)</v>
    <v>603</v>
    <v>219770</v>
  </rv>
  <rv s="2">
    <v>53</v>
  </rv>
  <rv s="0">
    <v>https://www.bing.com/financeapi/forcetrigger?t=a1xth7&amp;q=XNAS%3aMNST&amp;form=skydnc</v>
    <v>Learn more on Bing</v>
  </rv>
  <rv s="1">
    <v>es-ES</v>
    <v>a1xth7</v>
    <v>268435456</v>
    <v>1</v>
    <v>Con tecnología de Refinitiv</v>
    <v>0</v>
    <v>1</v>
    <v>MONSTER BEVERAGE CORPORATION (XNAS:MNST)</v>
    <v>3</v>
    <v>4</v>
    <v>Finance</v>
    <v>5</v>
    <v>XNAS</v>
    <v>1956016000</v>
    <v>2014</v>
    <v>48.82</v>
    <v>0.52370000000000005</v>
    <v>-7.4999999999999997E-2</v>
    <v>-1.5329999999999999E-3</v>
    <v>95541601520</v>
    <v>48.92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46259.829009710156</v>
    <v>Nasdaq Stock Market</v>
    <v>55</v>
    <v>49.24</v>
    <v>50.17</v>
    <v>48.34</v>
    <v>30.484999999999999</v>
    <v>USD</v>
    <v>MONSTER BEVERAGE CORPORATION</v>
    <v>MONSTER BEVERAGE CORPORATION</v>
    <v>45.331800000000001</v>
    <v>48.844999999999999</v>
    <v>Beverages</v>
    <v>1 Monster Way, CORONA, CA, 92879-7101 US</v>
    <v>MNST</v>
    <v>Acciones</v>
    <v>MONSTER BEVERAGE CORPORATION (XNAS:MNST)</v>
    <v>4476151</v>
    <v>11028559</v>
  </rv>
  <rv s="2">
    <v>56</v>
  </rv>
  <rv s="0">
    <v>https://www.bing.com/financeapi/forcetrigger?t=bwvem7&amp;q=XNAS%3aABNB&amp;form=skydnc</v>
    <v>Learn more on Bing</v>
  </rv>
  <rv s="1">
    <v>es-ES</v>
    <v>bwvem7</v>
    <v>268435456</v>
    <v>1</v>
    <v>Con tecnología de Refinitiv</v>
    <v>0</v>
    <v>1</v>
    <v>AIRBNB, INC. (XNAS:ABNB)</v>
    <v>3</v>
    <v>4</v>
    <v>Finance</v>
    <v>5</v>
    <v>XNAS</v>
    <v>589585700</v>
    <v>2008</v>
    <v>190.13</v>
    <v>1.1597999999999999</v>
    <v>-0.1</v>
    <v>-5.2570000000000004E-4</v>
    <v>112086137427</v>
    <v>190.21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46259.828997175784</v>
    <v>Nasdaq Stock Market</v>
    <v>58</v>
    <v>191.3595</v>
    <v>193.4529</v>
    <v>189.03</v>
    <v>110.81</v>
    <v>USD</v>
    <v>AIRBNB, INC.</v>
    <v>AIRBNB, INC.</v>
    <v>43.227400000000003</v>
    <v>190.11</v>
    <v>Software &amp; IT Services</v>
    <v>888 Brannan St., SAN FRANCISCO, CA, 94103 US</v>
    <v>ABNB</v>
    <v>Acciones</v>
    <v>AIRBNB, INC. (XNAS:ABNB)</v>
    <v>2482826</v>
    <v>4988542</v>
  </rv>
  <rv s="2">
    <v>59</v>
  </rv>
  <rv s="0">
    <v>https://www.bing.com/financeapi/forcetrigger?t=aqbzjc&amp;q=XWAR%3aDNP&amp;form=skydnc</v>
    <v>Learn more on Bing</v>
  </rv>
  <rv s="1">
    <v>es-ES</v>
    <v>aqbzjc</v>
    <v>268435456</v>
    <v>1</v>
    <v>Con tecnología de Refinitiv</v>
    <v>0</v>
    <v>1</v>
    <v>Dino Polska (XWAR:DNP)</v>
    <v>3</v>
    <v>22</v>
    <v>Finance</v>
    <v>23</v>
    <v>XWAR</v>
    <v>980400000</v>
    <v>2012</v>
    <v>35.049999999999997</v>
    <v>1.0213000000000001</v>
    <v>1.1299999999999999</v>
    <v>3.2240000000000005E-2</v>
    <v>34363020000</v>
    <v>35.049999999999997</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58431</v>
    <v>XWAR</v>
    <v>46259.628376411718</v>
    <v>Warsaw Stock Exchange</v>
    <v>61</v>
    <v>36.450000000000003</v>
    <v>48.21</v>
    <v>34.520000000000003</v>
    <v>26.89</v>
    <v>PLN</v>
    <v>Dino Polska</v>
    <v>Dino Polska</v>
    <v>22.6281</v>
    <v>36.18</v>
    <v>Food &amp; Drug Retailing</v>
    <v>ul. Ostrowska 122, KROTOSZYN, WOJ. WIELKOPOLSKIE, 63-700 PL</v>
    <v>DNP</v>
    <v>Acciones</v>
    <v>Dino Polska (XWAR:DNP)</v>
    <v>5864181</v>
    <v>5461920</v>
  </rv>
  <rv s="2">
    <v>62</v>
  </rv>
  <rv s="7">
    <v>es-ES</v>
    <v>caydcw</v>
    <v>268435456</v>
    <v>1</v>
    <v>Con tecnología de Refinitiv</v>
    <v>24</v>
    <v>25</v>
    <v>VERALTO CORPORATION (XNYS:VLTO)</v>
    <v>26</v>
    <v>4</v>
    <v>Finance</v>
    <v>5</v>
    <v>XNYS</v>
    <v>243793300</v>
    <v>2022</v>
    <v>99.11</v>
    <v>0.68899999999999995</v>
    <v>-0.52500000000000002</v>
    <v>-5.2829999999999995E-3</v>
    <v>24097748738</v>
    <v>99.37</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46259.828968414062</v>
    <v>New York Stock Exchange</v>
    <v>99.69</v>
    <v>109.86</v>
    <v>98.09</v>
    <v>80.03</v>
    <v>USD</v>
    <v>VERALTO CORPORATION</v>
    <v>VERALTO CORPORATION</v>
    <v>24.916799999999999</v>
    <v>98.844999999999999</v>
    <v>Professional &amp; Commercial Services</v>
    <v>225 Wyman Street, Suite 250, WALTHAM, MA, 02451 US</v>
    <v>VLTO</v>
    <v>Acciones</v>
    <v>VERALTO CORPORATION (XNYS:VLTO)</v>
    <v>801832</v>
    <v>1598214</v>
  </rv>
  <rv s="2">
    <v>64</v>
  </rv>
  <rv s="0">
    <v>https://www.bing.com/financeapi/forcetrigger?t=ae94vh&amp;q=XPAR%3aLR&amp;form=skydnc</v>
    <v>Learn more on Bing</v>
  </rv>
  <rv s="1">
    <v>es-ES</v>
    <v>ae94vh</v>
    <v>268435456</v>
    <v>1</v>
    <v>Con tecnología de Refinitiv</v>
    <v>0</v>
    <v>1</v>
    <v>Legrand SA (XPAR:LR)</v>
    <v>3</v>
    <v>12</v>
    <v>Finance</v>
    <v>13</v>
    <v>XPAR</v>
    <v>262245700</v>
    <v>1998</v>
    <v>134.1</v>
    <v>1.2539</v>
    <v>3.3</v>
    <v>2.4775000000000002E-2</v>
    <v>34931130000</v>
    <v>133.19999999999999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40931</v>
    <v>XPAR</v>
    <v>46259.666666666664</v>
    <v>Euronext Paris</v>
    <v>66</v>
    <v>137.05000000000001</v>
    <v>166.95</v>
    <v>134.1</v>
    <v>121.95</v>
    <v>EUR</v>
    <v>Legrand SA</v>
    <v>Legrand SA</v>
    <v>26.524899999999999</v>
    <v>136.5</v>
    <v>Machinery, Equipment &amp; Components</v>
    <v>128, av. du Marechal de Lattre de Tassigny, LIMOGES, NOUVELLE-AQUITAINE, 87000 FR</v>
    <v>LR</v>
    <v>Acciones</v>
    <v>Legrand SA (XPAR:LR)</v>
    <v>471768</v>
    <v>356710</v>
  </rv>
  <rv s="2">
    <v>67</v>
  </rv>
  <rv s="0">
    <v>https://www.bing.com/financeapi/forcetrigger?t=aoaorw&amp;q=XLON%3aJDG&amp;form=skydnc</v>
    <v>Learn more on Bing</v>
  </rv>
  <rv s="1">
    <v>es-ES</v>
    <v>aoaorw</v>
    <v>268435456</v>
    <v>1</v>
    <v>Con tecnología de Refinitiv</v>
    <v>0</v>
    <v>1</v>
    <v>Judges (XLON:JDG)</v>
    <v>3</v>
    <v>16</v>
    <v>Finance</v>
    <v>17</v>
    <v>XLON</v>
    <v>6660690</v>
    <v>2002</v>
    <v>3925</v>
    <v>0.76480000000000004</v>
    <v>100</v>
    <v>2.5316000000000002E-2</v>
    <v>263097400</v>
    <v>3950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46259.328709409376</v>
    <v>London Stock Exchange</v>
    <v>69</v>
    <v>4050</v>
    <v>7000</v>
    <v>3950</v>
    <v>3480</v>
    <v>GBp</v>
    <v>Judges</v>
    <v>Judges</v>
    <v>47.721800000000002</v>
    <v>4050</v>
    <v>Machinery, Equipment &amp; Components</v>
    <v>52c Borough High Street, LONDON, SE1 1XN GB</v>
    <v>JDG</v>
    <v>Acciones</v>
    <v>Judges (XLON:JDG)</v>
    <v>16570</v>
    <v>9410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93.32</v>
    <v>1.3734</v>
    <v>-1.36</v>
    <v>1.9659999999999999E-3</v>
    <v>-1.4638999999999999E-2</v>
    <v>0.18</v>
    <v>14813390000</v>
    <v>92.9</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11582</v>
    <v>XSWX</v>
    <v>46259.726388888892</v>
    <v>SIX Swiss Exchange</v>
    <v>72</v>
    <v>93.44</v>
    <v>109.8</v>
    <v>91.48</v>
    <v>73.02</v>
    <v>CHF</v>
    <v>Straumann Holding Ltd</v>
    <v>Straumann Holding Ltd</v>
    <v>39.456899999999997</v>
    <v>91.54</v>
    <v>91.72</v>
    <v>Healthcare Equipment &amp; Supplies</v>
    <v>Peter Merian-Weg 12, BASEL, BASEL-STADT, 4002 CH</v>
    <v>STMN</v>
    <v>Acciones</v>
    <v>Straumann Holding Ltd (XSWX:STMN)</v>
    <v>443674</v>
    <v>393000</v>
  </rv>
  <rv s="2">
    <v>73</v>
  </rv>
  <rv s="0">
    <v>https://www.bing.com/financeapi/forcetrigger?t=a1slm7&amp;q=XNAS%3aMETA&amp;form=skydnc</v>
    <v>Learn more on Bing</v>
  </rv>
  <rv s="1">
    <v>es-ES</v>
    <v>a1slm7</v>
    <v>268435456</v>
    <v>1</v>
    <v>Con tecnología de Refinitiv</v>
    <v>0</v>
    <v>1</v>
    <v>META PLATFORMS, INC. (XNAS:META)</v>
    <v>3</v>
    <v>4</v>
    <v>Finance</v>
    <v>5</v>
    <v>XNAS</v>
    <v>2547506000</v>
    <v>2004</v>
    <v>563.29999999999995</v>
    <v>1.2408999999999999</v>
    <v>9.68</v>
    <v>1.7316000000000002E-2</v>
    <v>1448766662200</v>
    <v>559.02</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75472</v>
    <v>XNAS</v>
    <v>46259.829016318748</v>
    <v>Nasdaq Stock Market</v>
    <v>75</v>
    <v>570.79999999999995</v>
    <v>790.8</v>
    <v>561.40009999999995</v>
    <v>520.26</v>
    <v>USD</v>
    <v>META PLATFORMS, INC.</v>
    <v>META PLATFORMS, INC.</v>
    <v>19.693000000000001</v>
    <v>568.70000000000005</v>
    <v>Software &amp; IT Services</v>
    <v>1 Meta Way, MENLO PARK, CA, 94025 US</v>
    <v>META</v>
    <v>Acciones</v>
    <v>META PLATFORMS, INC. (XNAS:META)</v>
    <v>7154819</v>
    <v>16293971</v>
  </rv>
  <rv s="2">
    <v>76</v>
  </rv>
  <rv s="0">
    <v>https://www.bing.com/financeapi/forcetrigger?t=a1wj9c&amp;q=XNYS%3aKKR&amp;form=skydnc</v>
    <v>Learn more on Bing</v>
  </rv>
  <rv s="1">
    <v>es-ES</v>
    <v>a1wj9c</v>
    <v>268435456</v>
    <v>1</v>
    <v>Con tecnología de Refinitiv</v>
    <v>0</v>
    <v>1</v>
    <v>KKR &amp; CO. INC. (XNYS:KKR)</v>
    <v>3</v>
    <v>4</v>
    <v>Finance</v>
    <v>5</v>
    <v>XNYS</v>
    <v>897635600</v>
    <v>2021</v>
    <v>106.78</v>
    <v>1.7875000000000001</v>
    <v>0.40500000000000003</v>
    <v>3.774E-3</v>
    <v>96697795010</v>
    <v>107.32</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46259.828982707812</v>
    <v>New York Stock Exchange</v>
    <v>78</v>
    <v>108.02</v>
    <v>152.095</v>
    <v>105.92</v>
    <v>82.67</v>
    <v>USD</v>
    <v>KKR &amp; CO. INC.</v>
    <v>KKR &amp; CO. INC.</v>
    <v>34.342300000000002</v>
    <v>107.72499999999999</v>
    <v>Investment Banking &amp; Investment Services</v>
    <v>30 Hudson Yards, NEW YORK, NY, 10001 US</v>
    <v>KKR</v>
    <v>Acciones</v>
    <v>KKR &amp; CO. INC. (XNYS:KKR)</v>
    <v>1407436</v>
    <v>4782292</v>
  </rv>
  <rv s="2">
    <v>79</v>
  </rv>
  <rv s="0">
    <v>https://www.bing.com/financeapi/forcetrigger?t=brh6oc&amp;q=XNYS%3aNET&amp;form=skydnc</v>
    <v>Learn more on Bing</v>
  </rv>
  <rv s="1">
    <v>es-ES</v>
    <v>brh6oc</v>
    <v>268435456</v>
    <v>1</v>
    <v>Con tecnología de Refinitiv</v>
    <v>0</v>
    <v>1</v>
    <v>CLOUDFLARE, INC. (XNYS:NET)</v>
    <v>3</v>
    <v>4</v>
    <v>Finance</v>
    <v>5</v>
    <v>XNYS</v>
    <v>356079700</v>
    <v>2009</v>
    <v>285.42</v>
    <v>1.6548</v>
    <v>-2.96</v>
    <v>-1.0558000000000001E-2</v>
    <v>98772947983</v>
    <v>280.35000000000002</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46259.828989062502</v>
    <v>New York Stock Exchange</v>
    <v>81</v>
    <v>287</v>
    <v>332.22</v>
    <v>273.21010000000001</v>
    <v>158.83000000000001</v>
    <v>USD</v>
    <v>CLOUDFLARE, INC.</v>
    <v>CLOUDFLARE, INC.</v>
    <v>0</v>
    <v>277.39</v>
    <v>Software &amp; IT Services</v>
    <v>101 Townsend St, SAN FRANCISCO, CA, 94107-1934 US</v>
    <v>NET</v>
    <v>Acciones</v>
    <v>CLOUDFLARE, INC. (XNYS:NET)</v>
    <v>1385138</v>
    <v>3817041</v>
  </rv>
  <rv s="2">
    <v>82</v>
  </rv>
  <rv s="0">
    <v>https://www.bing.com/financeapi/forcetrigger?t=bq8rqh&amp;q=XNAS%3aCRWD&amp;form=skydnc</v>
    <v>Learn more on Bing</v>
  </rv>
  <rv s="1">
    <v>es-ES</v>
    <v>bq8rqh</v>
    <v>268435456</v>
    <v>1</v>
    <v>Con tecnología de Refinitiv</v>
    <v>0</v>
    <v>1</v>
    <v>CROWDSTRIKE HOLDINGS, INC. (XNAS:CRWD)</v>
    <v>3</v>
    <v>4</v>
    <v>Finance</v>
    <v>5</v>
    <v>XNAS</v>
    <v>1018322000</v>
    <v>2011</v>
    <v>191.25</v>
    <v>1.2294</v>
    <v>-5.4749999999999996</v>
    <v>-2.8713000000000002E-2</v>
    <v>188598326010</v>
    <v>190.68</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46259.829008263281</v>
    <v>Nasdaq Stock Market</v>
    <v>84</v>
    <v>194.45</v>
    <v>227.5</v>
    <v>182.35</v>
    <v>85.68</v>
    <v>USD</v>
    <v>CROWDSTRIKE HOLDINGS, INC.</v>
    <v>CROWDSTRIKE HOLDINGS, INC.</v>
    <v>0</v>
    <v>185.20500000000001</v>
    <v>Software &amp; IT Services</v>
    <v>206 E. 9TH STREET, SUITE 1400, AUSTIN, TX, 78701 US</v>
    <v>CRWD</v>
    <v>Acciones</v>
    <v>CROWDSTRIKE HOLDINGS, INC. (XNAS:CRWD)</v>
    <v>6664502</v>
    <v>7663469</v>
  </rv>
  <rv s="2">
    <v>85</v>
  </rv>
  <rv s="0">
    <v>https://www.bing.com/financeapi/forcetrigger?t=a1u3p2&amp;q=XNAS%3aGOOG&amp;form=skydnc</v>
    <v>Learn more on Bing</v>
  </rv>
  <rv s="1">
    <v>es-ES</v>
    <v>a1u3p2</v>
    <v>268435456</v>
    <v>1</v>
    <v>Con tecnología de Refinitiv</v>
    <v>0</v>
    <v>1</v>
    <v>ALPHABET INC. (XNAS:GOOG)</v>
    <v>3</v>
    <v>4</v>
    <v>Finance</v>
    <v>5</v>
    <v>XNAS</v>
    <v>12230000000</v>
    <v>2015</v>
    <v>345.61</v>
    <v>1.2306999999999999</v>
    <v>-0.82489999999999997</v>
    <v>-2.3939999999999999E-3</v>
    <v>4204247173000</v>
    <v>344.59</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198933</v>
    <v>XNAS</v>
    <v>46259.829016642965</v>
    <v>Nasdaq Stock Market</v>
    <v>87</v>
    <v>346.7</v>
    <v>404.47</v>
    <v>342.14499999999998</v>
    <v>205.95</v>
    <v>USD</v>
    <v>ALPHABET INC.</v>
    <v>ALPHABET INC.</v>
    <v>17.279900000000001</v>
    <v>343.76510000000002</v>
    <v>Software &amp; IT Services</v>
    <v>1600 Amphitheatre Parkway, MOUNTAIN VIEW, CA, 94043 US</v>
    <v>GOOG</v>
    <v>Acciones</v>
    <v>ALPHABET INC. (XNAS:GOOG)</v>
    <v>7457351</v>
    <v>19444835</v>
  </rv>
  <rv s="2">
    <v>88</v>
  </rv>
  <rv s="8">
    <v>es-ES</v>
    <v>cjjy9c</v>
    <v>268435456</v>
    <v>1</v>
    <v>Con tecnología de Refinitiv</v>
    <v>29</v>
    <v>30</v>
    <v>Abb Ltd (XSWX:ABBNE)</v>
    <v>26</v>
    <v>31</v>
    <v>Finance</v>
    <v>13</v>
    <v>XSWX</v>
    <v>1823154000</v>
    <v>1999</v>
    <v>79.52</v>
    <v>1.1416999999999999</v>
    <v>1.48</v>
    <v>1.8881999999999999E-2</v>
    <v>142783400000</v>
    <v>78.38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46259.63559027778</v>
    <v>SIX Swiss Exchange</v>
    <v>80.400000000000006</v>
    <v>79.16</v>
    <v>CHF</v>
    <v>Abb Ltd</v>
    <v>Abb Ltd</v>
    <v>79.86</v>
    <v>Machinery, Equipment &amp; Components</v>
    <v>Affolternstrasse 44, ZUERICH, ZUERICH, 8050 CH</v>
    <v>ABBNE</v>
    <v>Acciones</v>
    <v>Abb Ltd (XSWX:ABBNE)</v>
    <v>74553</v>
    <v>1683890</v>
  </rv>
  <rv s="2">
    <v>90</v>
  </rv>
  <rv s="0">
    <v>https://www.bing.com/financeapi/forcetrigger?t=a1u6sm&amp;q=XNYS%3aGRMN&amp;form=skydnc</v>
    <v>Learn more on Bing</v>
  </rv>
  <rv s="1">
    <v>es-ES</v>
    <v>a1u6sm</v>
    <v>268435456</v>
    <v>1</v>
    <v>Con tecnología de Refinitiv</v>
    <v>0</v>
    <v>1</v>
    <v>Garmin Ltd. (XNYS:GRMN)</v>
    <v>3</v>
    <v>4</v>
    <v>Finance</v>
    <v>5</v>
    <v>XNYS</v>
    <v>192852500</v>
    <v>2010</v>
    <v>292.01</v>
    <v>0.87039999999999995</v>
    <v>-2.2349999999999999</v>
    <v>-7.6739999999999994E-3</v>
    <v>55737265287</v>
    <v>291.25</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46259.82903050859</v>
    <v>New York Stock Exchange</v>
    <v>92</v>
    <v>294.99</v>
    <v>314.27999999999997</v>
    <v>286.95</v>
    <v>186.67</v>
    <v>USD</v>
    <v>Garmin Ltd.</v>
    <v>Garmin Ltd.</v>
    <v>29.805199999999999</v>
    <v>289.01499999999999</v>
    <v>Communications &amp; Networking</v>
    <v>Muehlentalstrasse 2, SCHAFFHAUSEN, SCHAFFHAUSEN, 8200 CH</v>
    <v>GRMN</v>
    <v>Acciones</v>
    <v>Garmin Ltd. (XNYS:GRMN)</v>
    <v>382888</v>
    <v>1036306</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180369900</v>
    <v>1979</v>
    <v>98.6</v>
    <v>1.2549999999999999</v>
    <v>-0.6</v>
    <v>-5.8370000000000002E-3</v>
    <v>18181290000</v>
    <v>102.8</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46259.754861111112</v>
    <v>Deutsche Boerse AG</v>
    <v>95</v>
    <v>102.2</v>
    <v>108.4</v>
    <v>98.6</v>
    <v>32.01</v>
    <v>EUR</v>
    <v>KINGSPAN GROUP PUBLIC LIMITED COMPANY</v>
    <v>KINGSPAN GROUP PUBLIC LIMITED COMPANY</v>
    <v>27.036999999999999</v>
    <v>102.2</v>
    <v>Homebuilding &amp; Construction Supplies</v>
    <v>Dublin Road,, KINGSCOURT, CAVAN, A82 XY31 IE</v>
    <v>KRX</v>
    <v>Acciones</v>
    <v>KINGSPAN GROUP PUBLIC LIMITED COMPANY (XFRA:KRX)</v>
    <v>114</v>
    <v>447680</v>
  </rv>
  <rv s="2">
    <v>96</v>
  </rv>
  <rv s="0">
    <v>https://www.bing.com/financeapi/forcetrigger?t=bpiour&amp;q=OTCM%3aKAKZF&amp;form=skydnc</v>
    <v>Learn more on Bing</v>
  </rv>
  <rv s="1">
    <v>es-ES</v>
    <v>bpiour</v>
    <v>268435456</v>
    <v>1</v>
    <v>Con tecnología de Refinitiv</v>
    <v>0</v>
    <v>1</v>
    <v>Kaspi.kz AO (XNAS:KSPI)</v>
    <v>3</v>
    <v>4</v>
    <v>Finance</v>
    <v>5</v>
    <v>XNAS</v>
    <v>189333500</v>
    <v>2008</v>
    <v>106.5</v>
    <v>0.20369999999999999</v>
    <v>2.33</v>
    <v>2.1886000000000003E-2</v>
    <v>20597591465</v>
    <v>106.46</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46259.828997939061</v>
    <v>Nasdaq Stock Market</v>
    <v>98</v>
    <v>108.79</v>
    <v>108.79</v>
    <v>105.1</v>
    <v>68.59</v>
    <v>USD</v>
    <v>Kaspi.kz AO</v>
    <v>Kaspi.kz AO</v>
    <v>9.3363999999999994</v>
    <v>108.79</v>
    <v>Financial Technology (Fintech) &amp; Infrastructure</v>
    <v>Bostandykskiy Rayon, Ul. Nauryzbay Batyra, 154A, ALMATY, ALMATY, 050013 KZ</v>
    <v>KSPI</v>
    <v>Acciones</v>
    <v>Kaspi.kz AO (XNAS:KSPI)</v>
    <v>643071</v>
    <v>542477</v>
  </rv>
  <rv s="2">
    <v>99</v>
  </rv>
  <rv s="0">
    <v>https://www.bing.com/financeapi/forcetrigger?t=amft3m&amp;q=BMEX%3aCBAV&amp;form=skydnc</v>
    <v>Learn more on Bing</v>
  </rv>
  <rv s="9">
    <v>es-ES</v>
    <v>amft3m</v>
    <v>268435456</v>
    <v>1</v>
    <v>Con tecnología de Refinitiv</v>
    <v>32</v>
    <v>33</v>
    <v>CLINICA BAVIERA S.A (BMEX:CBAV)</v>
    <v>3</v>
    <v>34</v>
    <v>Finance</v>
    <v>13</v>
    <v>BMEX</v>
    <v>16307580</v>
    <v>58.2</v>
    <v>0.70199999999999996</v>
    <v>0.2</v>
    <v>3.4009999999999999E-3</v>
    <v>958885700</v>
    <v>58.8</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2009</v>
    <v>BMEX</v>
    <v>46259.666666666664</v>
    <v>Bolsas y Mercados Espanoles</v>
    <v>101</v>
    <v>59</v>
    <v>62</v>
    <v>58.2</v>
    <v>40.1</v>
    <v>EUR</v>
    <v>CLINICA BAVIERA S.A</v>
    <v>CLINICA BAVIERA S.A</v>
    <v>20.5962</v>
    <v>59</v>
    <v>Healthcare Providers &amp; Services</v>
    <v>Paseo de la Castellana 20, MADRID, MADRID, 28046 ES</v>
    <v>CBAV</v>
    <v>Acciones</v>
    <v>CLINICA BAVIERA S.A (BMEX:CBAV)</v>
    <v>133</v>
    <v>1660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210.8</v>
    <v>2.2109999999999999</v>
    <v>4.2350000000000003</v>
    <v>2.0314000000000002E-2</v>
    <v>5147703000000</v>
    <v>208.48</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46259.829004640625</v>
    <v>Nasdaq Stock Market</v>
    <v>104</v>
    <v>214.72909999999999</v>
    <v>236.54</v>
    <v>210.11</v>
    <v>164.07</v>
    <v>USD</v>
    <v>NVIDIA CORPORATION</v>
    <v>NVIDIA CORPORATION</v>
    <v>32.575000000000003</v>
    <v>212.715</v>
    <v>Semiconductors &amp; Semiconductor Equipment</v>
    <v>2788 San Tomas Expressway, SANTA CLARA, CA, 95051 US</v>
    <v>NVDA</v>
    <v>Acciones</v>
    <v>NVIDIA CORPORATION (XNAS:NVDA)</v>
    <v>88410411</v>
    <v>117539452</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6.99</v>
    <v>0.43309999999999998</v>
    <v>7.0000000000000007E-2</v>
    <v>1.0014E-2</v>
    <v>929670000</v>
    <v>6.99</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46259.666666666664</v>
    <v>Euronext Lisbon</v>
    <v>107</v>
    <v>7.09</v>
    <v>7.9</v>
    <v>6.99</v>
    <v>6.04</v>
    <v>EUR</v>
    <v>Corticeira Amori</v>
    <v>Corticeira Amori</v>
    <v>21.4069</v>
    <v>7.06</v>
    <v>Paper &amp; Forest Products</v>
    <v>Rua Comendador Americo Ferreira Amorim, N 380, Apartado 20, Mozelos, AVEIRO, 4536-902 PT</v>
    <v>COR</v>
    <v>Acciones</v>
    <v>Corticeira Amori (XLIS:COR)</v>
    <v>122430</v>
    <v>114900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414.91</v>
    <v>1.3940999999999999</v>
    <v>6.35</v>
    <v>1.5483E-2</v>
    <v>2160010826780</v>
    <v>410.12</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46259.829015207812</v>
    <v>New York Stock Exchange</v>
    <v>110</v>
    <v>419.76949999999999</v>
    <v>479</v>
    <v>414.03</v>
    <v>225.6301</v>
    <v>USD</v>
    <v>Taiwan Semiconductor Manufacturing Company Limited</v>
    <v>Taiwan Semiconductor Manufacturing Company Limited</v>
    <v>30.291399999999999</v>
    <v>416.47</v>
    <v>Semiconductors &amp; Semiconductor Equipment</v>
    <v>No.8, Li-Hsin 6th Road, Hsinchu Science Park, HSINCHU, HSINCHU, 300 TW</v>
    <v>TSM</v>
    <v>Acciones</v>
    <v>Taiwan Semiconductor Manufacturing Company Limited (XNYS:TSM)</v>
    <v>5714738</v>
    <v>12203006</v>
  </rv>
  <rv s="2">
    <v>111</v>
  </rv>
  <rv s="0">
    <v>https://www.bing.com/financeapi/forcetrigger?t=azgv7w&amp;q=XNYS%3aSPOT&amp;form=skydnc</v>
    <v>Learn more on Bing</v>
  </rv>
  <rv s="1">
    <v>es-ES</v>
    <v>azgv7w</v>
    <v>268435456</v>
    <v>1</v>
    <v>Con tecnología de Refinitiv</v>
    <v>0</v>
    <v>1</v>
    <v>Spotify Technology S.A. (XNYS:SPOT)</v>
    <v>3</v>
    <v>4</v>
    <v>Finance</v>
    <v>5</v>
    <v>XNYS</v>
    <v>205534200</v>
    <v>2007</v>
    <v>532.49</v>
    <v>1.5842000000000001</v>
    <v>12.88</v>
    <v>2.3948000000000001E-2</v>
    <v>113191794624</v>
    <v>537.84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46259.82901400391</v>
    <v>New York Stock Exchange</v>
    <v>113</v>
    <v>554.21</v>
    <v>745</v>
    <v>532.49</v>
    <v>405</v>
    <v>USD</v>
    <v>Spotify Technology S.A.</v>
    <v>Spotify Technology S.A.</v>
    <v>30.428999999999998</v>
    <v>550.72</v>
    <v>Software &amp; IT Services</v>
    <v>33, Boulevard Prince Henri, LUXEMBOURG, 1724 LU</v>
    <v>SPOT</v>
    <v>Acciones</v>
    <v>Spotify Technology S.A. (XNYS:SPOT)</v>
    <v>1051649</v>
    <v>2048995</v>
  </rv>
  <rv s="2">
    <v>114</v>
  </rv>
  <rv s="0">
    <v>https://www.bing.com/financeapi/forcetrigger?t=ajg6ec&amp;q=XMIL%3aPRY&amp;form=skydnc</v>
    <v>Learn more on Bing</v>
  </rv>
  <rv s="9">
    <v>es-ES</v>
    <v>ajg6ec</v>
    <v>268435456</v>
    <v>1</v>
    <v>Con tecnología de Refinitiv</v>
    <v>32</v>
    <v>33</v>
    <v>Prysmian S.p.A. (XMIL:PRY)</v>
    <v>3</v>
    <v>34</v>
    <v>Finance</v>
    <v>35</v>
    <v>XMIL</v>
    <v>301836800</v>
    <v>119.9</v>
    <v>0.98719999999999997</v>
    <v>3.4</v>
    <v>2.8912E-2</v>
    <v>35496010000</v>
    <v>117.6</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46259.666666666664</v>
    <v>Borsa Italiana</v>
    <v>116</v>
    <v>123.25</v>
    <v>157.25</v>
    <v>119.8</v>
    <v>73.12</v>
    <v>EUR</v>
    <v>Prysmian S.p.A.</v>
    <v>Prysmian S.p.A.</v>
    <v>24.757000000000001</v>
    <v>121</v>
    <v>Machinery, Equipment &amp; Components</v>
    <v>Via Chiese 6, MILANO, MILANO, 20126 IT</v>
    <v>PRY</v>
    <v>Acciones</v>
    <v>Prysmian S.p.A. (XMIL:PRY)</v>
    <v>1043254</v>
    <v>1037820</v>
  </rv>
  <rv s="2">
    <v>117</v>
  </rv>
  <rv s="0">
    <v>https://www.bing.com/financeapi/forcetrigger?t=an2bf2&amp;q=XSWX%3aJFN&amp;form=skydnc</v>
    <v>Learn more on Bing</v>
  </rv>
  <rv s="6">
    <v>es-ES</v>
    <v>an2bf2</v>
    <v>268435456</v>
    <v>1</v>
    <v>Con tecnología de Refinitiv</v>
    <v>18</v>
    <v>19</v>
    <v>Jungfraubahn (XSWX:JFN)</v>
    <v>3</v>
    <v>27</v>
    <v>Finance</v>
    <v>28</v>
    <v>XSWX</v>
    <v>5835000</v>
    <v>1952</v>
    <v>251</v>
    <v>0.56010000000000004</v>
    <v>3.5</v>
    <v>-3.9290000000000002E-3</v>
    <v>1.3944000000000002E-2</v>
    <v>-1</v>
    <v>1464585000</v>
    <v>251</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46259.652777777781</v>
    <v>SIX Swiss Exchange</v>
    <v>119</v>
    <v>255</v>
    <v>327</v>
    <v>251</v>
    <v>201</v>
    <v>CHF</v>
    <v>Jungfraubahn</v>
    <v>Jungfraubahn</v>
    <v>18.713200000000001</v>
    <v>254.5</v>
    <v>253.5</v>
    <v>Hotels &amp; Entertainment Services</v>
    <v>Harderstrasse 14, BERN, 3800 CH</v>
    <v>JFN</v>
    <v>Acciones</v>
    <v>Jungfraubahn (XSWX:JFN)</v>
    <v>5603</v>
    <v>6270</v>
  </rv>
  <rv s="2">
    <v>120</v>
  </rv>
  <rv s="0">
    <v>https://www.bing.com/financeapi/forcetrigger?t=ajejhw&amp;q=XMIL%3aCPR&amp;form=skydnc</v>
    <v>Learn more on Bing</v>
  </rv>
  <rv s="1">
    <v>es-ES</v>
    <v>ajejhw</v>
    <v>268435456</v>
    <v>1</v>
    <v>Con tecnología de Refinitiv</v>
    <v>0</v>
    <v>1</v>
    <v>Davide Campari Milano NV (XMIL:CPR)</v>
    <v>3</v>
    <v>12</v>
    <v>Finance</v>
    <v>35</v>
    <v>XMIL</v>
    <v>1231268000</v>
    <v>2020</v>
    <v>5.9740000000000002</v>
    <v>0.32779999999999998</v>
    <v>-7.1999999999999995E-2</v>
    <v>-1.2052E-2</v>
    <v>7355593000</v>
    <v>5.9740000000000002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4935</v>
    <v>XMIL</v>
    <v>46259.666666666664</v>
    <v>Borsa Italiana</v>
    <v>122</v>
    <v>6</v>
    <v>6.82</v>
    <v>5.8920000000000003</v>
    <v>5.27</v>
    <v>EUR</v>
    <v>Davide Campari Milano NV</v>
    <v>Davide Campari Milano NV</v>
    <v>25.897300000000001</v>
    <v>5.9020000000000001</v>
    <v>Beverages</v>
    <v>Via Sacchetti, 20, SESTO SAN GIOVANNI, MILANO, 20099 IT</v>
    <v>CPR</v>
    <v>Acciones</v>
    <v>Davide Campari Milano NV (XMIL:CPR)</v>
    <v>3135656</v>
    <v>3856410</v>
  </rv>
  <rv s="2">
    <v>123</v>
  </rv>
  <rv s="0">
    <v>https://www.bing.com/financeapi/forcetrigger?t=b1lbp2&amp;q=XSWX%3aSIKA&amp;form=skydnc</v>
    <v>Learn more on Bing</v>
  </rv>
  <rv s="6">
    <v>es-ES</v>
    <v>b1lbp2</v>
    <v>268435456</v>
    <v>1</v>
    <v>Con tecnología de Refinitiv</v>
    <v>18</v>
    <v>19</v>
    <v>Sika Ltd (XSWX:SIKA)</v>
    <v>3</v>
    <v>27</v>
    <v>Finance</v>
    <v>28</v>
    <v>XSWX</v>
    <v>160479300</v>
    <v>1971</v>
    <v>188</v>
    <v>1.6383000000000001</v>
    <v>2.85</v>
    <v>-1.5759999999999999E-3</v>
    <v>1.52E-2</v>
    <v>-0.3</v>
    <v>30089870000</v>
    <v>187.5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33856</v>
    <v>XSWX</v>
    <v>46259.818414351852</v>
    <v>SIX Swiss Exchange</v>
    <v>125</v>
    <v>191.5</v>
    <v>197.6</v>
    <v>187.1</v>
    <v>120.35</v>
    <v>CHF</v>
    <v>Sika Ltd</v>
    <v>Sika Ltd</v>
    <v>29.375</v>
    <v>190.35</v>
    <v>190.05</v>
    <v>Chemicals</v>
    <v>Zugerstrasse 50, BAAR, ZUG, 6340 CH</v>
    <v>SIKA</v>
    <v>Acciones</v>
    <v>Sika Ltd (XSWX:SIKA)</v>
    <v>293223</v>
    <v>313960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102100600</v>
    <v>1993</v>
    <v>129.80000000000001</v>
    <v>0.49270000000000003</v>
    <v>-0.89</v>
    <v>-6.8200000000000005E-3</v>
    <v>13233258766</v>
    <v>130.5</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46259.828961157029</v>
    <v>Nasdaq Stock Market</v>
    <v>128</v>
    <v>130.35</v>
    <v>210.66</v>
    <v>127.645</v>
    <v>112.23</v>
    <v>USD</v>
    <v>CHECK POINT SOFTWARE TECHNOLOGIES LTD.</v>
    <v>CHECK POINT SOFTWARE TECHNOLOGIES LTD.</v>
    <v>13.2774</v>
    <v>129.61000000000001</v>
    <v>Software &amp; IT Services</v>
    <v>5 Shlomo Kaplan Street, TEL AVIV, TEL AVIV, 6789159 IL</v>
    <v>CHKP</v>
    <v>Acciones</v>
    <v>CHECK POINT SOFTWARE TECHNOLOGIES LTD. (XNAS:CHKP)</v>
    <v>584269</v>
    <v>1187282</v>
  </rv>
  <rv s="2">
    <v>129</v>
  </rv>
  <rv s="0">
    <v>https://www.bing.com/financeapi/forcetrigger?t=ajgoa2&amp;q=XMIL%3aTGYM&amp;form=skydnc</v>
    <v>Learn more on Bing</v>
  </rv>
  <rv s="9">
    <v>es-ES</v>
    <v>ajgoa2</v>
    <v>268435456</v>
    <v>1</v>
    <v>Con tecnología de Refinitiv</v>
    <v>32</v>
    <v>33</v>
    <v>Technogym S.p.A. (XMIL:TGYM)</v>
    <v>3</v>
    <v>34</v>
    <v>Finance</v>
    <v>35</v>
    <v>XMIL</v>
    <v>201327500</v>
    <v>13.04</v>
    <v>0.84530000000000005</v>
    <v>0.04</v>
    <v>3.094E-3</v>
    <v>2603165000</v>
    <v>12.93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2800</v>
    <v>XMIL</v>
    <v>46259.666666666664</v>
    <v>Borsa Italiana</v>
    <v>131</v>
    <v>13.13</v>
    <v>21.82</v>
    <v>12.96</v>
    <v>12.92</v>
    <v>EUR</v>
    <v>Technogym S.p.A.</v>
    <v>Technogym S.p.A.</v>
    <v>22.5213</v>
    <v>12.97</v>
    <v>Leisure Products</v>
    <v>Via Calcinaro, 2861, CESENA, FORLI CESENA, 47521 IT</v>
    <v>TGYM</v>
    <v>Acciones</v>
    <v>Technogym S.p.A. (XMIL:TGYM)</v>
    <v>168721</v>
    <v>321200</v>
  </rv>
  <rv s="2">
    <v>132</v>
  </rv>
  <rv s="0">
    <v>https://www.bing.com/financeapi/forcetrigger?t=amg4gh&amp;q=BMEX%3aVID&amp;form=skydnc</v>
    <v>Learn more on Bing</v>
  </rv>
  <rv s="9">
    <v>es-ES</v>
    <v>amg4gh</v>
    <v>268435456</v>
    <v>1</v>
    <v>Con tecnología de Refinitiv</v>
    <v>32</v>
    <v>33</v>
    <v>VIDRALA, S.A. (BMEX:VID)</v>
    <v>3</v>
    <v>34</v>
    <v>Finance</v>
    <v>13</v>
    <v>BMEX</v>
    <v>35206260</v>
    <v>90</v>
    <v>1.0364</v>
    <v>0</v>
    <v>0</v>
    <v>3200249000</v>
    <v>90.9</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46259.666666666664</v>
    <v>Bolsas y Mercados Espanoles</v>
    <v>134</v>
    <v>91</v>
    <v>92.8</v>
    <v>89.9</v>
    <v>70.400000000000006</v>
    <v>EUR</v>
    <v>VIDRALA, S.A.</v>
    <v>VIDRALA, S.A.</v>
    <v>14.5563</v>
    <v>90.9</v>
    <v>Containers &amp; Packaging</v>
    <v>Barrio Munegazo, 22, LLODIO, ALAVA, 01400 ES</v>
    <v>VID</v>
    <v>Acciones</v>
    <v>VIDRALA, S.A. (BMEX:VID)</v>
    <v>22124</v>
    <v>21130</v>
  </rv>
  <rv s="2">
    <v>135</v>
  </rv>
  <rv s="0">
    <v>https://www.bing.com/financeapi/forcetrigger?t=c276a2&amp;q=XTSE%3aTFPM&amp;form=skydnc</v>
    <v>Learn more on Bing</v>
  </rv>
  <rv s="1">
    <v>es-ES</v>
    <v>c276a2</v>
    <v>268435456</v>
    <v>1</v>
    <v>Con tecnología de Refinitiv</v>
    <v>0</v>
    <v>1</v>
    <v>Triple Flag Prec (XTSE:TFPM)</v>
    <v>3</v>
    <v>36</v>
    <v>Finance</v>
    <v>37</v>
    <v>XTSE</v>
    <v>206003000</v>
    <v>2019</v>
    <v>47.25</v>
    <v>0.3654</v>
    <v>1.2</v>
    <v>2.4958000000000001E-2</v>
    <v>10151827840</v>
    <v>48.08</v>
    <v>Triple Flag Precious Metals Corp. is a precious metal streaming and royalty company. It offers investors exposure to gold and silver from a total of 242 assets, consisting of 17 streams and 225 royalties, from the Americas and Australia. These streams and royalties are tied to mining assets at various stages of the mine life cycle, including 36 producing mines and 206 development and exploration stage projects and other assets. It has a diversified portfolio of properties in Australia, Peru, South Africa, Colombia, Canada, Mexico, the United States, Mongolia, Cote d’Ivoire, and others. Its diversified portfolio of streams and royalties provides exposure to production from a suite of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46259.818495370368</v>
    <v>Toronto Stock Exchange</v>
    <v>137</v>
    <v>49.365000000000002</v>
    <v>57.26</v>
    <v>47.15</v>
    <v>35.950000000000003</v>
    <v>CAD</v>
    <v>Triple Flag Prec</v>
    <v>Triple Flag Prec</v>
    <v>17.436199999999999</v>
    <v>49.28</v>
    <v>Metals &amp; Mining</v>
    <v>TD Canada Trust Tower, 161 Bay Street, Suite 4535, Toronto, ON, M5J 2S1 CA</v>
    <v>TFPM</v>
    <v>Acciones</v>
    <v>Triple Flag Prec (XTSE:TFPM)</v>
    <v>126600</v>
    <v>238650</v>
  </rv>
  <rv s="2">
    <v>138</v>
  </rv>
  <rv s="0">
    <v>https://www.bing.com/financeapi/forcetrigger?t=a1ygoc&amp;q=XNAS%3aNFLX&amp;form=skydnc</v>
    <v>Learn more on Bing</v>
  </rv>
  <rv s="1">
    <v>es-ES</v>
    <v>a1ygoc</v>
    <v>268435456</v>
    <v>1</v>
    <v>Con tecnología de Refinitiv</v>
    <v>0</v>
    <v>1</v>
    <v>NETFLIX, INC. (XNAS:NFLX)</v>
    <v>3</v>
    <v>4</v>
    <v>Finance</v>
    <v>5</v>
    <v>XNAS</v>
    <v>4163939000</v>
    <v>1997</v>
    <v>79.510000000000005</v>
    <v>1.5216000000000001</v>
    <v>2.335</v>
    <v>2.9184000000000002E-2</v>
    <v>342879556955</v>
    <v>80.010000000000005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46259.829037823438</v>
    <v>Nasdaq Stock Market</v>
    <v>140</v>
    <v>82.454999999999998</v>
    <v>126.71</v>
    <v>79.400000000000006</v>
    <v>65.08</v>
    <v>USD</v>
    <v>NETFLIX, INC.</v>
    <v>NETFLIX, INC.</v>
    <v>25.942</v>
    <v>82.344999999999999</v>
    <v>Software &amp; IT Services</v>
    <v>121 Albright Way, LOS GATOS, CA, 95032 US</v>
    <v>NFLX</v>
    <v>Acciones</v>
    <v>NETFLIX, INC. (XNAS:NFLX)</v>
    <v>22268965</v>
    <v>35113398</v>
  </rv>
  <rv s="2">
    <v>141</v>
  </rv>
  <rv s="0">
    <v>https://www.bing.com/financeapi/forcetrigger?t=a1yjxm&amp;q=XNYS%3aNKE&amp;form=skydnc</v>
    <v>Learn more on Bing</v>
  </rv>
  <rv s="1">
    <v>es-ES</v>
    <v>a1yjxm</v>
    <v>268435456</v>
    <v>1</v>
    <v>Con tecnología de Refinitiv</v>
    <v>0</v>
    <v>1</v>
    <v>NIKE, INC. (XNYS:NKE)</v>
    <v>3</v>
    <v>4</v>
    <v>Finance</v>
    <v>5</v>
    <v>XNYS</v>
    <v>1483499000</v>
    <v>1969</v>
    <v>39.6</v>
    <v>1.1161000000000001</v>
    <v>-1.28</v>
    <v>-3.1410999999999994E-2</v>
    <v>58553705530</v>
    <v>40.75</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73000</v>
    <v>XNYS</v>
    <v>46259.829026145315</v>
    <v>New York Stock Exchange</v>
    <v>143</v>
    <v>39.865000000000002</v>
    <v>80.165000000000006</v>
    <v>39.03</v>
    <v>38.86</v>
    <v>USD</v>
    <v>NIKE, INC.</v>
    <v>NIKE, INC.</v>
    <v>18.811399999999999</v>
    <v>39.47</v>
    <v>Textiles &amp; Apparel</v>
    <v>One Bowerman Dr, BEAVERTON, OR, 97005-6453 US</v>
    <v>NKE</v>
    <v>Acciones</v>
    <v>NIKE, INC. (XNYS:NKE)</v>
    <v>33114441</v>
    <v>23006900</v>
  </rv>
  <rv s="2">
    <v>144</v>
  </rv>
  <rv s="0">
    <v>https://www.bing.com/financeapi/forcetrigger?t=amwwgh&amp;q=XSTO%3aMIPS&amp;form=skydnc</v>
    <v>Learn more on Bing</v>
  </rv>
  <rv s="10">
    <v>es-ES</v>
    <v>amwwgh</v>
    <v>268435456</v>
    <v>1</v>
    <v>Con tecnología de Refinitiv</v>
    <v>38</v>
    <v>39</v>
    <v>MIPS (XSTO:MIPS)</v>
    <v>3</v>
    <v>40</v>
    <v>Finance</v>
    <v>21</v>
    <v>XSTO</v>
    <v>26491120</v>
    <v>2001</v>
    <v>366.2</v>
    <v>2.0165999999999999</v>
    <v>3.4</v>
    <v>0</v>
    <v>9.3610000000000013E-3</v>
    <v>0</v>
    <v>9621575000</v>
    <v>363.2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127</v>
    <v>XSTO</v>
    <v>46259.666666666664</v>
    <v>NASDAQ Stockholm</v>
    <v>146</v>
    <v>372</v>
    <v>360.6</v>
    <v>SEK</v>
    <v>MIPS</v>
    <v>MIPS</v>
    <v>58.655999999999999</v>
    <v>366.6</v>
    <v>366.6</v>
    <v>Leisure Products</v>
    <v>Kemistvagen 1B, STOCKHOLM, 183 79 SE</v>
    <v>MIPS</v>
    <v>Acciones</v>
    <v>MIPS (XSTO:MIPS)</v>
    <v>65660</v>
    <v>92810</v>
  </rv>
  <rv s="2">
    <v>147</v>
  </rv>
  <rv s="0">
    <v>https://www.bing.com/financeapi/forcetrigger?t=a325ur&amp;q=XNYS%3aFERG&amp;form=skydnc</v>
    <v>Learn more on Bing</v>
  </rv>
  <rv s="1">
    <v>es-ES</v>
    <v>a325ur</v>
    <v>268435456</v>
    <v>1</v>
    <v>Con tecnología de Refinitiv</v>
    <v>0</v>
    <v>1</v>
    <v>FERGUSON ENTERPRISES INC. (XNYS:FERG)</v>
    <v>3</v>
    <v>4</v>
    <v>Finance</v>
    <v>5</v>
    <v>XNYS</v>
    <v>193452700</v>
    <v>2024</v>
    <v>237.21</v>
    <v>1.1198999999999999</v>
    <v>-3.9950000000000001</v>
    <v>-1.6896000000000001E-2</v>
    <v>44969047378</v>
    <v>236.45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46259.828951863281</v>
    <v>New York Stock Exchange</v>
    <v>149</v>
    <v>237.76499999999999</v>
    <v>271.64</v>
    <v>232.1901</v>
    <v>207.64</v>
    <v>USD</v>
    <v>FERGUSON ENTERPRISES INC.</v>
    <v>FERGUSON ENTERPRISES INC.</v>
    <v>22.874700000000001</v>
    <v>232.45500000000001</v>
    <v>Homebuilding &amp; Construction Supplies</v>
    <v>751 Lakefront Commons, NEWPORT NEWS, VA, 23606 US</v>
    <v>FERG</v>
    <v>Acciones</v>
    <v>FERGUSON ENTERPRISES INC. (XNYS:FERG)</v>
    <v>1241057</v>
    <v>3782353</v>
  </rv>
  <rv s="2">
    <v>150</v>
  </rv>
  <rv s="0">
    <v>https://www.bing.com/financeapi/forcetrigger?t=c2kadm&amp;q=XNYS%3aS&amp;form=skydnc</v>
    <v>Learn more on Bing</v>
  </rv>
  <rv s="1">
    <v>es-ES</v>
    <v>c2kadm</v>
    <v>268435456</v>
    <v>1</v>
    <v>Con tecnología de Refinitiv</v>
    <v>0</v>
    <v>1</v>
    <v>SENTINELONE, INC. (XNYS:S)</v>
    <v>3</v>
    <v>4</v>
    <v>Finance</v>
    <v>5</v>
    <v>XNYS</v>
    <v>342803700</v>
    <v>2013</v>
    <v>20.76</v>
    <v>0.76</v>
    <v>-0.56499999999999995</v>
    <v>-2.7136999999999998E-2</v>
    <v>6943488943</v>
    <v>20.82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46259.829034039059</v>
    <v>New York Stock Exchange</v>
    <v>152</v>
    <v>20.91</v>
    <v>23.95</v>
    <v>19.934999999999999</v>
    <v>11.81</v>
    <v>USD</v>
    <v>SENTINELONE, INC.</v>
    <v>SENTINELONE, INC.</v>
    <v>0</v>
    <v>20.254999999999999</v>
    <v>Software &amp; IT Services</v>
    <v>444 Castro Street, Suite 400, MOUNTAIN VIEW, CA, 94041 US</v>
    <v>S</v>
    <v>Acciones</v>
    <v>SENTINELONE, INC. (XNYS:S)</v>
    <v>3458387</v>
    <v>6492375</v>
  </rv>
  <rv s="2">
    <v>153</v>
  </rv>
  <rv s="0">
    <v>https://www.bing.com/financeapi/forcetrigger?t=a24grw&amp;q=XNYS%3aTREX&amp;form=skydnc</v>
    <v>Learn more on Bing</v>
  </rv>
  <rv s="1">
    <v>es-ES</v>
    <v>a24grw</v>
    <v>268435456</v>
    <v>1</v>
    <v>Con tecnología de Refinitiv</v>
    <v>0</v>
    <v>1</v>
    <v>TREX COMPANY, INC. (XNYS:TREX)</v>
    <v>3</v>
    <v>4</v>
    <v>Finance</v>
    <v>5</v>
    <v>XNYS</v>
    <v>101865200</v>
    <v>1998</v>
    <v>47.75</v>
    <v>1.4733000000000001</v>
    <v>-0.49</v>
    <v>-1.0366E-2</v>
    <v>4765254056</v>
    <v>47.27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46259.82898721016</v>
    <v>New York Stock Exchange</v>
    <v>155</v>
    <v>48</v>
    <v>66.055000000000007</v>
    <v>46.486800000000002</v>
    <v>29.77</v>
    <v>USD</v>
    <v>TREX COMPANY, INC.</v>
    <v>TREX COMPANY, INC.</v>
    <v>27.608599999999999</v>
    <v>46.78</v>
    <v>Homebuilding &amp; Construction Supplies</v>
    <v>2500 TREX WAY, WINCHESTER, VA, 22601 US</v>
    <v>TREX</v>
    <v>Acciones</v>
    <v>TREX COMPANY, INC. (XNYS:TREX)</v>
    <v>856422</v>
    <v>2039791</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81</v>
    <v>1.4041999999999999</v>
    <v>1.02</v>
    <v>1.2712000000000001E-2</v>
    <v>39705480000</v>
    <v>80.239999999999995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46259.666666666664</v>
    <v>Euronext Paris</v>
    <v>158</v>
    <v>81.64</v>
    <v>97.84</v>
    <v>80.08</v>
    <v>65.88</v>
    <v>EUR</v>
    <v>Compagnie de Saint Gobain SA</v>
    <v>Compagnie de Saint Gobain SA</v>
    <v>14.949</v>
    <v>81.260000000000005</v>
    <v>Homebuilding &amp; Construction Supplies</v>
    <v>Tour Saint-Gobain, 12 place de l'Iris, La Defense Cedex, 92096 FR</v>
    <v>SGO</v>
    <v>Acciones</v>
    <v>Compagnie de Saint Gobain SA (XPAR:SGO)</v>
    <v>673629</v>
    <v>833630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0.56579999999999997</v>
    <v>-0.12</v>
    <v>-7.143E-3</v>
    <v>364224000</v>
    <v>16.8</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46259.666666666664</v>
    <v>Euronext Paris</v>
    <v>161</v>
    <v>16.899999999999999</v>
    <v>20</v>
    <v>16.68</v>
    <v>14.65</v>
    <v>EUR</v>
    <v>Tonnellerie FF</v>
    <v>Tonnellerie FF</v>
    <v>15.438700000000001</v>
    <v>16.68</v>
    <v>Containers &amp; Packaging</v>
    <v>Route departementale 17, Saint-Romain, SAINT-ROMAIN-AU-MONT-D OR, AUVERGNE-RHONE-ALPES, 21190 FR</v>
    <v>TFF</v>
    <v>Acciones</v>
    <v>Tonnellerie FF (XPAR:TFF)</v>
    <v>510</v>
    <v>6040</v>
  </rv>
  <rv s="2">
    <v>162</v>
  </rv>
  <rv s="0">
    <v>https://www.bing.com/financeapi/forcetrigger?t=a1pghw&amp;q=XNAS%3aCELH&amp;form=skydnc</v>
    <v>Learn more on Bing</v>
  </rv>
  <rv s="1">
    <v>es-ES</v>
    <v>a1pghw</v>
    <v>268435456</v>
    <v>1</v>
    <v>Con tecnología de Refinitiv</v>
    <v>0</v>
    <v>1</v>
    <v>CELSIUS HOLDINGS, INC. (XNAS:CELH)</v>
    <v>3</v>
    <v>4</v>
    <v>Finance</v>
    <v>5</v>
    <v>XNAS</v>
    <v>253035000</v>
    <v>2005</v>
    <v>35</v>
    <v>0.93210000000000004</v>
    <v>0.47</v>
    <v>1.3416999999999998E-2</v>
    <v>8982742500</v>
    <v>35.03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46259.829011515627</v>
    <v>Nasdaq Stock Market</v>
    <v>164</v>
    <v>35.65</v>
    <v>66.739999999999995</v>
    <v>34.590000000000003</v>
    <v>23.555</v>
    <v>USD</v>
    <v>CELSIUS HOLDINGS, INC.</v>
    <v>CELSIUS HOLDINGS, INC.</v>
    <v>152.6225</v>
    <v>35.5</v>
    <v>Beverages</v>
    <v>2424 N. Federal Hwy, Suite 208, BOCA RATON, FL, 33431 US</v>
    <v>CELH</v>
    <v>Acciones</v>
    <v>CELSIUS HOLDINGS, INC. (XNAS:CELH)</v>
    <v>6020025</v>
    <v>12600191</v>
  </rv>
  <rv s="2">
    <v>165</v>
  </rv>
  <rv s="0">
    <v>https://www.bing.com/financeapi/forcetrigger?t=alo1ar&amp;q=XAMS%3aBFIT&amp;form=skydnc</v>
    <v>Learn more on Bing</v>
  </rv>
  <rv s="1">
    <v>es-ES</v>
    <v>alo1ar</v>
    <v>268435456</v>
    <v>1</v>
    <v>Con tecnología de Refinitiv</v>
    <v>0</v>
    <v>1</v>
    <v>Basic-Fit N.V. (XAMS:BFIT)</v>
    <v>3</v>
    <v>12</v>
    <v>Finance</v>
    <v>13</v>
    <v>XAMS</v>
    <v>66000000</v>
    <v>2016</v>
    <v>34</v>
    <v>0.86470000000000002</v>
    <v>-0.18</v>
    <v>-5.3220000000000003E-3</v>
    <v>2232120000</v>
    <v>33.82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46259.666666666664</v>
    <v>Euronext Amsterdam</v>
    <v>167</v>
    <v>34.020000000000003</v>
    <v>36.700000000000003</v>
    <v>33.64</v>
    <v>22.84</v>
    <v>EUR</v>
    <v>Basic-Fit N.V.</v>
    <v>Basic-Fit N.V.</v>
    <v>47.433700000000002</v>
    <v>33.64</v>
    <v>Hotels &amp; Entertainment Services</v>
    <v>Wegalaan 60, HOOFDDORP, NOORD-HOLLAND, 2132JC NL</v>
    <v>BFIT</v>
    <v>Acciones</v>
    <v>Basic-Fit N.V. (XAMS:BFIT)</v>
    <v>75847</v>
    <v>96200</v>
  </rv>
  <rv s="2">
    <v>168</v>
  </rv>
  <rv s="0">
    <v>https://www.bing.com/financeapi/forcetrigger?t=bscvur&amp;q=XWBO%3aVRLA&amp;form=skydnc</v>
    <v>Learn more on Bing</v>
  </rv>
  <rv s="11">
    <v>es-ES</v>
    <v>bscvur</v>
    <v>268435456</v>
    <v>1</v>
    <v>Con tecnología de Refinitiv</v>
    <v>41</v>
    <v>42</v>
    <v>Verallia SA (XWBO:VRLA)</v>
    <v>3</v>
    <v>43</v>
    <v>Finance</v>
    <v>13</v>
    <v>XWBO</v>
    <v>127587300</v>
    <v>2015</v>
    <v>18.45</v>
    <v>1.1122000000000001</v>
    <v>-0.96</v>
    <v>-4.9611999999999996E-2</v>
    <v>2467538000</v>
    <v>19.350000000000001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46232</v>
    <v>Wiener Boerse</v>
    <v>170</v>
    <v>18.739999999999998</v>
    <v>18.39</v>
    <v>EUR</v>
    <v>Verallia SA</v>
    <v>Verallia SA</v>
    <v>47.34</v>
    <v>18.39</v>
    <v>Containers &amp; Packaging</v>
    <v>TOUR CARPE DIEM - ESPLANADE NORD, 31 PLACE DES COROLLES, COURBEVOIE, ILE-DE-FRANCE, 92400 FR</v>
    <v>VRLA</v>
    <v>Acciones</v>
    <v>Verallia SA (XWBO:VRLA)</v>
    <v>798</v>
    <v>28540</v>
  </rv>
  <rv s="2">
    <v>171</v>
  </rv>
  <rv s="7">
    <v>es-ES</v>
    <v>c8f4a2</v>
    <v>268435456</v>
    <v>1</v>
    <v>Con tecnología de Refinitiv</v>
    <v>24</v>
    <v>25</v>
    <v>Kistos Holdings (XLON:KIST)</v>
    <v>26</v>
    <v>16</v>
    <v>Finance</v>
    <v>17</v>
    <v>XLON</v>
    <v>83117650</v>
    <v>2022</v>
    <v>287.5</v>
    <v>1.1780999999999999</v>
    <v>-5</v>
    <v>-1.7391E-2</v>
    <v>239018600</v>
    <v>287.5</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the Netherlands, it is engaged in the production and sale of gas and other hydrocarbons from the Q10-A field, and the appraisal and development of other Dutch licenses. In Norway, it is engaged in the production of oil and gas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v>
    <v>53</v>
    <v>XLON</v>
    <v>46259.631193066409</v>
    <v>London Stock Exchange</v>
    <v>280</v>
    <v>335</v>
    <v>280</v>
    <v>145</v>
    <v>GBp</v>
    <v>Kistos Holdings</v>
    <v>Kistos Holdings</v>
    <v>0</v>
    <v>282.5</v>
    <v>Oil &amp; Gas</v>
    <v>2nd Floor, 3 St James Square, NaN, LONDON, ENGLAND, SW1Y 4JU GB</v>
    <v>KIST</v>
    <v>Acciones</v>
    <v>Kistos Holdings (XLON:KIST)</v>
    <v>54971</v>
    <v>227200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675.5</v>
    <v>2.4213</v>
    <v>6</v>
    <v>8.8370000000000011E-3</v>
    <v>1584118000</v>
    <v>679</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2790</v>
    <v>XLON</v>
    <v>46259.65185256875</v>
    <v>London Stock Exchange</v>
    <v>175</v>
    <v>696.5</v>
    <v>801.5</v>
    <v>675.5</v>
    <v>316.2</v>
    <v>GBp</v>
    <v>Watches of CH</v>
    <v>Watches of CH</v>
    <v>16.239599999999999</v>
    <v>685</v>
    <v>Specialty Retailers</v>
    <v>Aurum House, 2 Elland Road, LEICESTER, LEICESTERSHIRE, LE3 1TT GB</v>
    <v>WOSG</v>
    <v>Acciones</v>
    <v>Watches of CH (XLON:WOSG)</v>
    <v>607013</v>
    <v>447060</v>
  </rv>
  <rv s="2">
    <v>176</v>
  </rv>
  <rv s="0">
    <v>https://www.bing.com/financeapi/forcetrigger?t=aayx5r&amp;q=XTSE%3aIPCO&amp;form=skydnc</v>
    <v>Learn more on Bing</v>
  </rv>
  <rv s="1">
    <v>es-ES</v>
    <v>aayx5r</v>
    <v>268435456</v>
    <v>1</v>
    <v>Con tecnología de Refinitiv</v>
    <v>0</v>
    <v>1</v>
    <v>INTERNATIONAL PETROLEUM CORPORATION (XTSE:IPCO)</v>
    <v>3</v>
    <v>44</v>
    <v>Finance</v>
    <v>37</v>
    <v>XTSE</v>
    <v>112826800</v>
    <v>2017</v>
    <v>34.56</v>
    <v>0.3357</v>
    <v>-0.27</v>
    <v>-7.6659999999999992E-3</v>
    <v>27016750000</v>
    <v>35.22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46259.817511574074</v>
    <v>Toronto Stock Exchange</v>
    <v>178</v>
    <v>35.35</v>
    <v>39.47</v>
    <v>34.450000000000003</v>
    <v>20.74</v>
    <v>CAD</v>
    <v>INTERNATIONAL PETROLEUM CORPORATION</v>
    <v>INTERNATIONAL PETROLEUM CORPORATION</v>
    <v>133.65199999999999</v>
    <v>34.950000000000003</v>
    <v>Oil &amp; Gas</v>
    <v>Suite 2800, 1055 Dunsmuir Street, VANCOUVER, BC, V7X 1L2 CA</v>
    <v>IPCO</v>
    <v>Acciones</v>
    <v>INTERNATIONAL PETROLEUM CORPORATION (XTSE:IPCO)</v>
    <v>121836</v>
    <v>159030</v>
  </rv>
  <rv s="2">
    <v>179</v>
  </rv>
  <rv s="0">
    <v>https://www.bing.com/financeapi/forcetrigger?t=c1w41h&amp;q=XNAS%3aOTLY&amp;form=skydnc</v>
    <v>Learn more on Bing</v>
  </rv>
  <rv s="1">
    <v>es-ES</v>
    <v>c1w41h</v>
    <v>268435456</v>
    <v>1</v>
    <v>Con tecnología de Refinitiv</v>
    <v>0</v>
    <v>1</v>
    <v>Oatly Group (XNAS:OTLY)</v>
    <v>3</v>
    <v>4</v>
    <v>Finance</v>
    <v>5</v>
    <v>XNAS</v>
    <v>31912260</v>
    <v>2016</v>
    <v>15.9</v>
    <v>1.8165</v>
    <v>-0.32</v>
    <v>-2.0131999999999997E-2</v>
    <v>497033449</v>
    <v>15.895</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1404</v>
    <v>XNAS</v>
    <v>46259.828983517968</v>
    <v>Nasdaq Stock Market</v>
    <v>181</v>
    <v>16.2</v>
    <v>18.84</v>
    <v>15.505000000000001</v>
    <v>8.01</v>
    <v>USD</v>
    <v>Oatly Group</v>
    <v>Oatly Group</v>
    <v>0</v>
    <v>15.574999999999999</v>
    <v>Food &amp; Tobacco</v>
    <v>Angfarjekajen 8, MALMO, SKANE, 211 36 SE</v>
    <v>OTLY</v>
    <v>Acciones</v>
    <v>Oatly Group (XNAS:OTLY)</v>
    <v>109722</v>
    <v>207028</v>
  </rv>
  <rv s="2">
    <v>182</v>
  </rv>
  <rv s="0">
    <v>https://www.bing.com/financeapi/forcetrigger?t=aaxn6h&amp;q=XTSE%3aCSU&amp;form=skydnc</v>
    <v>Learn more on Bing</v>
  </rv>
  <rv s="1">
    <v>es-ES</v>
    <v>aaxn6h</v>
    <v>268435456</v>
    <v>1</v>
    <v>Con tecnología de Refinitiv</v>
    <v>0</v>
    <v>1</v>
    <v>Constellation Software Inc. (XTSE:CSU)</v>
    <v>3</v>
    <v>36</v>
    <v>Finance</v>
    <v>37</v>
    <v>XTSE</v>
    <v>21191530</v>
    <v>2002</v>
    <v>3106.02</v>
    <v>0.69550000000000001</v>
    <v>-43.69</v>
    <v>-1.41E-2</v>
    <v>64739700319</v>
    <v>3098.67</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46259.816851851851</v>
    <v>Toronto Stock Exchange</v>
    <v>184</v>
    <v>3106.02</v>
    <v>4634.9799999999996</v>
    <v>3014.7150000000001</v>
    <v>2196</v>
    <v>CAD</v>
    <v>Constellation Software Inc.</v>
    <v>Constellation Software Inc.</v>
    <v>47.458300000000001</v>
    <v>3054.98</v>
    <v>Software &amp; IT Services</v>
    <v>#66 Wellington Street West, Suite 5300, TD Bank Tower, TORONTO, ON, M5K 1E6 CA</v>
    <v>CSU</v>
    <v>Acciones</v>
    <v>Constellation Software Inc. (XTSE:CSU)</v>
    <v>22539</v>
    <v>53640</v>
  </rv>
  <rv s="2">
    <v>185</v>
  </rv>
  <rv s="0">
    <v>https://www.bing.com/financeapi/forcetrigger?t=bptw77&amp;q=XNYS%3aUBER&amp;form=skydnc</v>
    <v>Learn more on Bing</v>
  </rv>
  <rv s="1">
    <v>es-ES</v>
    <v>bptw77</v>
    <v>268435456</v>
    <v>1</v>
    <v>Con tecnología de Refinitiv</v>
    <v>0</v>
    <v>1</v>
    <v>UBER TECHNOLOGIES, INC. (XNYS:UBER)</v>
    <v>3</v>
    <v>4</v>
    <v>Finance</v>
    <v>5</v>
    <v>XNYS</v>
    <v>2042560000</v>
    <v>2010</v>
    <v>79.38</v>
    <v>1.1629</v>
    <v>0.82499999999999996</v>
    <v>1.0404999999999999E-2</v>
    <v>163639694400</v>
    <v>79.290000000000006</v>
    <v>Uber Technologies, Inc. Opera una plataforma tecnológica que utiliza redes y tecnología para impulsar el movimiento desde el punto A al punto B. Desarrolla y opera aplicaciones tecnológicas que soportan una variedad de ofertas en su plataforma (plataforma(s)). Sus segmentos incluyen Movilidad, Entrega y Carga. Los productos de movilidad conectan a los consumidores con conductores que ofrecen viajes en una variedad de vehículos, como automóviles, rickshaws de automóviles, motos, minibuses, etc. o taxis. Las ofertas de entrega permiten a los consumidores buscar y descubrir restaurantes locales, pedir una comida y recoger en el restaurante o hacer que se les entregue la comida. En ciertos mercados, el segmento de Entrega ofrece ofertas para la entrega de comestibles, alcohol y tiendas de conveniencia, así como otros productos seleccionados. El segmento de carga conecta a los transportistas con los transportistas en su plataforma, y ofrece a los transportistas por adelantado, precios y la capacidad de reservar un envío. El segmento de carga también incluye la gestión del transporte y otras ofertas de servicios logísticos.</v>
    <v>34000</v>
    <v>XNYS</v>
    <v>46259.829024513281</v>
    <v>New York Stock Exchange</v>
    <v>187</v>
    <v>80.290000000000006</v>
    <v>101.99</v>
    <v>78.61</v>
    <v>65.41</v>
    <v>USD</v>
    <v>UBER TECHNOLOGIES, INC.</v>
    <v>UBER TECHNOLOGIES, INC.</v>
    <v>17.585999999999999</v>
    <v>80.114999999999995</v>
    <v>Software &amp; IT Services</v>
    <v>1725 3Rd Street, SAN FRANCISCO, CA, 94158 US</v>
    <v>UBER</v>
    <v>Acciones</v>
    <v>UBER TECHNOLOGIES, INC. (XNYS:UBER)</v>
    <v>10572650</v>
    <v>19803871</v>
  </rv>
  <rv s="2">
    <v>188</v>
  </rv>
  <rv s="0">
    <v>https://www.bing.com/financeapi/forcetrigger?t=aodtkr&amp;q=XLON%3aSOM&amp;form=skydnc</v>
    <v>Learn more on Bing</v>
  </rv>
  <rv s="1">
    <v>es-ES</v>
    <v>aodtkr</v>
    <v>268435456</v>
    <v>1</v>
    <v>Con tecnología de Refinitiv</v>
    <v>0</v>
    <v>1</v>
    <v>Somero (XLON:SOM)</v>
    <v>3</v>
    <v>16</v>
    <v>Finance</v>
    <v>17</v>
    <v>XLON</v>
    <v>51776020</v>
    <v>2002</v>
    <v>240</v>
    <v>0.86370000000000002</v>
    <v>0</v>
    <v>0</v>
    <v>124291200</v>
    <v>240</v>
    <v>Somero Enterprises, Inc. provides concrete-levelling equipment, training, education and support to customers in over 90 countries. The Company's technology allows its customers to install horizontal concrete floors. Its equipment that incorporates laser-technology and wide-placement methods is used to place and screed the concrete slab in all building types and has been specified for use in a range of commercial construction projects for numerous global blue-chip companies. The Company's product categories include lightweight screeds, ride-on laser concrete screeds, boom screeds, stationary screeds, materials placement, software packaging, factory certified remanufactured, and parts and accessories. Its lightweight screeds include Mini Screed C and CH XD 3.0. The Company's ride-on laser concrete screeds include S-485 Laser Screed, S-940 Laser Screed and S-940e Laser Screed-Electric. Its software packages include 3D Concrete Profiler System, SiteShape System and Floor Levelness System.</v>
    <v>179</v>
    <v>XLON</v>
    <v>46259.641760925784</v>
    <v>London Stock Exchange</v>
    <v>190</v>
    <v>245</v>
    <v>250</v>
    <v>245</v>
    <v>170</v>
    <v>GBp</v>
    <v>Somero</v>
    <v>Somero</v>
    <v>17.103400000000001</v>
    <v>240</v>
    <v>Machinery, Equipment &amp; Components</v>
    <v>14530 Global Pkwy, FORT MYERS, FL, 33913 US</v>
    <v>SOM</v>
    <v>Acciones</v>
    <v>Somero (XLON:SOM)</v>
    <v>28224</v>
    <v>47850</v>
  </rv>
  <rv s="2">
    <v>191</v>
  </rv>
  <rv s="0">
    <v>https://www.bing.com/financeapi/forcetrigger?t=ajflbh&amp;q=XMIL%3aIP&amp;form=skydnc</v>
    <v>Learn more on Bing</v>
  </rv>
  <rv s="9">
    <v>es-ES</v>
    <v>ajflbh</v>
    <v>268435456</v>
    <v>1</v>
    <v>Con tecnología de Refinitiv</v>
    <v>32</v>
    <v>33</v>
    <v>Interpump Group S.p.A. (XMIL:IP)</v>
    <v>3</v>
    <v>34</v>
    <v>Finance</v>
    <v>35</v>
    <v>XMIL</v>
    <v>108879300</v>
    <v>37.5</v>
    <v>1.2612000000000001</v>
    <v>0.54</v>
    <v>1.4477E-2</v>
    <v>4061198000</v>
    <v>37.299999999999997</v>
    <v>Interpump Group SpA es una empresa con sede en Italia que fabrica y comercializa bombas de émbolo de alta y muy alta presión, sistemas de muy alta presión, tomas de fuerza, bombas de engranajes, cilindros hidráulicos, controles direccionales, válvulas, mangueras y accesorios hidráulicos, y otros productos hidráulicos. Opera a través de dos segmentos: el Sector Hidráulico y el Sector de Chorro de Agua. El Sector Hidráulico incluye la producción y venta de tomas de fuerza para vehículos industriales, cilindros, bombas, válvulas, mangueras y otros accesorios hidráulicos bajo marcas como Hydrocar, PZB, Muncie, Penta entre otras. El Sector de Chorro de Agua está formado por bombas y sistemas de bombeo de alta y muy alta presión utilizados en diversos sectores industriales para el transporte de fluidos. Este sector además fabrica componentes y sistemas para la industria alimentaria, cosmética y farmacéutica bajo las marcas Bertoli, Inoxpa y Mariotti &amp; Pecini. La Empresa opera a través del sistema de fluido 80.</v>
    <v>9712</v>
    <v>XMIL</v>
    <v>46259.666666666664</v>
    <v>Borsa Italiana</v>
    <v>193</v>
    <v>38</v>
    <v>51.3</v>
    <v>37.340000000000003</v>
    <v>30.1</v>
    <v>EUR</v>
    <v>Interpump Group S.p.A.</v>
    <v>Interpump Group S.p.A.</v>
    <v>18.860600000000002</v>
    <v>37.840000000000003</v>
    <v>Machinery, Equipment &amp; Components</v>
    <v>Via E. Fermi, 25, SANT'ILARIO D'ENZA, REGGIO EMILIA, 42049 IT</v>
    <v>IP</v>
    <v>Acciones</v>
    <v>Interpump Group S.p.A. (XMIL:IP)</v>
    <v>70543</v>
    <v>122450</v>
  </rv>
  <rv s="2">
    <v>194</v>
  </rv>
  <rv s="0">
    <v>https://www.bing.com/financeapi/forcetrigger?t=ae9vtc&amp;q=XPAR%3aRBT&amp;form=skydnc</v>
    <v>Learn more on Bing</v>
  </rv>
  <rv s="1">
    <v>es-ES</v>
    <v>ae9vtc</v>
    <v>268435456</v>
    <v>1</v>
    <v>Con tecnología de Refinitiv</v>
    <v>0</v>
    <v>1</v>
    <v>Robertet (XPAR:RBT)</v>
    <v>3</v>
    <v>12</v>
    <v>Finance</v>
    <v>13</v>
    <v>XPAR</v>
    <v>2169300</v>
    <v>1957</v>
    <v>801</v>
    <v>0.42430000000000001</v>
    <v>-1</v>
    <v>-1.2520000000000001E-3</v>
    <v>1717833000</v>
    <v>799</v>
    <v>Robertet SA is a France-based holding company engaged in the production and distribution of flavor and perfume additives and ingredients. The Company's operations are conducted through three divisions: Raw Materials, which supplies ingredients to the cosmetics industry for products such as soaps, shampoos, and other beauty products, as well as air fresheners; Fragrance, providing ingredients that go into the creations of a number of perfumes and scents, and flavours, including products for food and beverage industries. The Company operates globally through a network of subsidiaries, including Bionov, Robertet GmbH, Robertet Argentina, Robertet Do Brasil, Robertet Hiyoki, Robertet Turkey, Robertet de Mexico, Robertet USA, Robertet Italia, Robertet Savoury, and Aroma Esencial Sl, among others.</v>
    <v>2750</v>
    <v>XPAR</v>
    <v>46259.666666666664</v>
    <v>Euronext Paris</v>
    <v>196</v>
    <v>802</v>
    <v>922</v>
    <v>790</v>
    <v>743</v>
    <v>EUR</v>
    <v>Robertet</v>
    <v>Robertet</v>
    <v>16.690000000000001</v>
    <v>798</v>
    <v>Chemicals</v>
    <v>37 Avenue Sidi Brahim, Bp 52100, GRASSE, PACA, 06130 FR</v>
    <v>RBT</v>
    <v>Acciones</v>
    <v>Robertet (XPAR:RBT)</v>
    <v>631</v>
    <v>710</v>
  </rv>
  <rv s="2">
    <v>197</v>
  </rv>
  <rv s="12">
    <v>es-ES</v>
    <v>cg32pr</v>
    <v>268435456</v>
    <v>1</v>
    <v>Con tecnología de Refinitiv</v>
    <v>45</v>
    <v>46</v>
    <v>Roko (XSTO:ROKO B)</v>
    <v>26</v>
    <v>40</v>
    <v>Finance</v>
    <v>21</v>
    <v>XSTO</v>
    <v>12136500</v>
    <v>2019</v>
    <v>1882</v>
    <v>0.74</v>
    <v>4</v>
    <v>0</v>
    <v>2.1279999999999997E-3</v>
    <v>0</v>
    <v>22816620000</v>
    <v>1880</v>
    <v>Roko AB (publ) is a Sweden-based company primarily engaged in the investment and risk capital industry. The Company focuses on acquiring and managing small- and medium-sized profitable businesses across Europe. Their key product is equity capital investment, which is a financial service.</v>
    <v>1829</v>
    <v>XSTO</v>
    <v>46259.666666666664</v>
    <v>NASDAQ Stockholm</v>
    <v>1908</v>
    <v>1878</v>
    <v>SEK</v>
    <v>Roko</v>
    <v>Roko</v>
    <v>35.155799999999999</v>
    <v>1884</v>
    <v>1884</v>
    <v>Investment Banking &amp; Investment Services</v>
    <v>Ostermalmsgatan 33, STOCKSUND, STOCKHOLM, 114 26 SE</v>
    <v>ROKO B</v>
    <v>Acciones</v>
    <v>Roko (XSTO:ROKO B)</v>
    <v>5335</v>
    <v>6010</v>
  </rv>
  <rv s="2">
    <v>199</v>
  </rv>
  <rv s="0">
    <v>https://www.bing.com/financeapi/forcetrigger?t=a253tc&amp;q=XNYS%3aUSPH&amp;form=skydnc</v>
    <v>Learn more on Bing</v>
  </rv>
  <rv s="1">
    <v>es-ES</v>
    <v>a253tc</v>
    <v>268435456</v>
    <v>1</v>
    <v>Con tecnología de Refinitiv</v>
    <v>0</v>
    <v>1</v>
    <v>US Physical (XNYS:USPH)</v>
    <v>3</v>
    <v>4</v>
    <v>Finance</v>
    <v>5</v>
    <v>XNYS</v>
    <v>14922700</v>
    <v>1992</v>
    <v>78.254999999999995</v>
    <v>1.1266</v>
    <v>0.28000000000000003</v>
    <v>3.6189999999999998E-3</v>
    <v>1158896882</v>
    <v>77.38</v>
    <v>U.S. Physical Therapy, Inc. is an operator of outpatient physical therapy clinics and provider of industrial injury prevention services. It owns and/or manages 795 outpatient physical therapy clinics in 45 states. Its reportable segments include the Physical Therapy Operations segment and the Industrial Injury Prevention Services (IIP) segment. The Physical Therapy Operations segment consists of physical therapy, speech therapy and occupational therapy clinics and home-care physical and speech therapy practices that provide pre- and post-operative care and treatment for a variety of orthopedic-related disorders, sports-related injuries, and rehabilitation of injured workers. The IIP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4200</v>
    <v>XNYS</v>
    <v>46259.828895381252</v>
    <v>New York Stock Exchange</v>
    <v>201</v>
    <v>78.499899999999997</v>
    <v>93.5</v>
    <v>76.650000000000006</v>
    <v>58.19</v>
    <v>USD</v>
    <v>US Physical</v>
    <v>US Physical</v>
    <v>442.0034</v>
    <v>77.66</v>
    <v>Healthcare Providers &amp; Services</v>
    <v>1300 West Sam Houston Parkway South, Suite 300, HOUSTON, TX, 77043 US</v>
    <v>USPH</v>
    <v>Acciones</v>
    <v>US Physical (XNYS:USPH)</v>
    <v>92360</v>
    <v>237137</v>
  </rv>
  <rv s="2">
    <v>202</v>
  </rv>
  <rv s="13">
    <v>es-ES</v>
    <v>av8wim</v>
    <v>268435456</v>
    <v>1</v>
    <v>Con tecnología de Refinitiv</v>
    <v>47</v>
    <v>48</v>
    <v>EUR/JPY</v>
    <v>49</v>
    <v>50</v>
    <v>Finance</v>
    <v>51</v>
    <v>185.52</v>
    <v>0.2</v>
    <v>1.078E-3</v>
    <v>185.52</v>
    <v>EUR</v>
    <v>46259.829027777778</v>
    <v>185.94</v>
    <v>187.93</v>
    <v>185.53</v>
    <v>171.06</v>
    <v>JPY</v>
    <v>Euro/Japanese Yen FX Cross Rate</v>
    <v>185.72</v>
    <v>EURJPY</v>
    <v>Par de divisa</v>
    <v>EUR/JPY</v>
  </rv>
  <rv s="2">
    <v>204</v>
  </rv>
  <rv s="13">
    <v>es-ES</v>
    <v>avv7r7</v>
    <v>268435456</v>
    <v>1</v>
    <v>Con tecnología de Refinitiv</v>
    <v>47</v>
    <v>48</v>
    <v>CHF/USD</v>
    <v>49</v>
    <v>52</v>
    <v>Finance</v>
    <v>51</v>
    <v>1.2458</v>
    <v>1.4E-3</v>
    <v>1.124E-3</v>
    <v>1.2461</v>
    <v>CHF</v>
    <v>46259.829027777778</v>
    <v>1.2478</v>
    <v>1.3149</v>
    <v>1.2435</v>
    <v>1.2181999999999999</v>
    <v>USD</v>
    <v>Swiss Franc/US Dollar FX Cross Rate</v>
    <v>1.2475000000000001</v>
    <v>CHFUSD</v>
    <v>Par de divisa</v>
    <v>CHF/USD</v>
  </rv>
  <rv s="2">
    <v>206</v>
  </rv>
  <rv s="13">
    <v>es-ES</v>
    <v>avyosm</v>
    <v>268435456</v>
    <v>1</v>
    <v>Con tecnología de Refinitiv</v>
    <v>47</v>
    <v>48</v>
    <v>USD/KZT</v>
    <v>49</v>
    <v>53</v>
    <v>Finance</v>
    <v>51</v>
    <v>457.19</v>
    <v>0.66</v>
    <v>1.444E-3</v>
    <v>457.15</v>
    <v>USD</v>
    <v>46259.77611111111</v>
    <v>459.69</v>
    <v>549.66</v>
    <v>456.73</v>
    <v>453.81</v>
    <v>KZT</v>
    <v>US Dollar/Kazakhstan Tenge FX Spot Rate</v>
    <v>457.81</v>
    <v>USDKZT</v>
    <v>Par de divisa</v>
    <v>USD/KZT</v>
  </rv>
  <rv s="2">
    <v>208</v>
  </rv>
  <rv s="13">
    <v>es-ES</v>
    <v>av3wnm</v>
    <v>268435456</v>
    <v>1</v>
    <v>Con tecnología de Refinitiv</v>
    <v>47</v>
    <v>48</v>
    <v>CAD/USD</v>
    <v>49</v>
    <v>52</v>
    <v>Finance</v>
    <v>51</v>
    <v>0.72209999999999996</v>
    <v>6.9999999999999999E-4</v>
    <v>9.6909999999999997E-4</v>
    <v>0.72230000000000005</v>
    <v>CAD</v>
    <v>46259.829016203701</v>
    <v>0.72330000000000005</v>
    <v>0.74170000000000003</v>
    <v>0.72109999999999996</v>
    <v>0.70169999999999999</v>
    <v>USD</v>
    <v>Canadian Dollar/US Dollar FX Cross Rate</v>
    <v>0.72299999999999998</v>
    <v>CADUSD</v>
    <v>Par de divisa</v>
    <v>CAD/USD</v>
  </rv>
  <rv s="2">
    <v>210</v>
  </rv>
  <rv s="13">
    <v>es-ES</v>
    <v>avyn9c</v>
    <v>268435456</v>
    <v>1</v>
    <v>Con tecnología de Refinitiv</v>
    <v>47</v>
    <v>48</v>
    <v>USD/EUR</v>
    <v>49</v>
    <v>54</v>
    <v>Finance</v>
    <v>51</v>
    <v>0.85729999999999995</v>
    <v>-8.0000000000000004E-4</v>
    <v>-9.3320000000000002E-4</v>
    <v>0.85729999999999995</v>
    <v>USD</v>
    <v>46259.828981481478</v>
    <v>0.85819999999999996</v>
    <v>0.88300000000000001</v>
    <v>0.85629999999999995</v>
    <v>0.82779999999999998</v>
    <v>EUR</v>
    <v>US Dollar/Euro FX Cross Rate</v>
    <v>0.85650000000000004</v>
    <v>USDEUR</v>
    <v>Par de divisa</v>
    <v>USD/EUR</v>
  </rv>
  <rv s="2">
    <v>212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3">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5">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4</v>
      <v>Name</v>
    </spb>
    <spb s="20">
      <v>1</v>
      <v>21</v>
      <v>21</v>
      <v>21</v>
      <v>3</v>
      <v>21</v>
      <v>4</v>
      <v>21</v>
      <v>4</v>
      <v>5</v>
      <v>21</v>
      <v>4</v>
      <v>6</v>
      <v>7</v>
      <v>4</v>
      <v>22</v>
      <v>9</v>
    </spb>
    <spb s="21">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5</v>
      <v>Name</v>
      <v>LearnMoreOnLink</v>
    </spb>
    <spb s="22">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6</v>
      <v>Name</v>
      <v>LearnMoreOnLink</v>
    </spb>
    <spb s="24">
      <v>1</v>
      <v>1</v>
      <v>17</v>
      <v>17</v>
      <v>17</v>
      <v>3</v>
      <v>17</v>
      <v>4</v>
      <v>17</v>
      <v>4</v>
      <v>5</v>
      <v>17</v>
      <v>4</v>
      <v>6</v>
      <v>7</v>
      <v>4</v>
      <v>17</v>
      <v>18</v>
      <v>17</v>
      <v>5</v>
      <v>9</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11</v>
      <v>11</v>
      <v>11</v>
      <v>3</v>
      <v>11</v>
      <v>4</v>
      <v>11</v>
      <v>4</v>
      <v>5</v>
      <v>11</v>
      <v>4</v>
      <v>6</v>
      <v>7</v>
      <v>4</v>
      <v>12</v>
      <v>24</v>
    </spb>
    <spb s="4">
      <v>1</v>
      <v>1</v>
      <v>23</v>
      <v>23</v>
      <v>23</v>
      <v>3</v>
      <v>23</v>
      <v>4</v>
      <v>23</v>
      <v>4</v>
      <v>5</v>
      <v>23</v>
      <v>4</v>
      <v>6</v>
      <v>7</v>
      <v>23</v>
      <v>23</v>
      <v>4</v>
      <v>18</v>
      <v>9</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Change (Extended hours)</v>
      <v>Market cap</v>
      <v>Price (Extended hours)</v>
      <v>Exchange abbreviation</v>
      <v>Change % (Extended hours)</v>
      <v>Last trade time</v>
    </spb>
    <spb s="16">
      <v>8</v>
      <v>Name</v>
    </spb>
    <spb s="28">
      <v>Change</v>
      <v>Currency</v>
      <v>High</v>
      <v>Low</v>
      <v>Name</v>
      <v>Price</v>
      <v>Open</v>
      <v>Change (%)</v>
      <v>UniqueName</v>
      <v>From currency</v>
      <v>%ProviderInfo</v>
      <v>Previous close</v>
      <v>Ticker symbol</v>
      <v>Instrument type</v>
      <v>52 week high</v>
      <v>52 week low</v>
      <v>Last trade time</v>
    </spb>
    <spb s="16">
      <v>9</v>
      <v>Name</v>
    </spb>
    <spb s="29">
      <v>2</v>
      <v>2</v>
    </spb>
    <spb s="30">
      <v>25</v>
      <v>25</v>
      <v>25</v>
      <v>3</v>
      <v>25</v>
      <v>25</v>
      <v>5</v>
      <v>25</v>
      <v>6</v>
      <v>25</v>
      <v>25</v>
      <v>9</v>
    </spb>
    <spb s="31">
      <v>GMT</v>
    </spb>
    <spb s="30">
      <v>2</v>
      <v>2</v>
      <v>2</v>
      <v>3</v>
      <v>2</v>
      <v>2</v>
      <v>5</v>
      <v>2</v>
      <v>6</v>
      <v>2</v>
      <v>2</v>
      <v>9</v>
    </spb>
    <spb s="30">
      <v>26</v>
      <v>26</v>
      <v>26</v>
      <v>3</v>
      <v>26</v>
      <v>26</v>
      <v>5</v>
      <v>26</v>
      <v>6</v>
      <v>26</v>
      <v>26</v>
      <v>9</v>
    </spb>
    <spb s="30">
      <v>11</v>
      <v>11</v>
      <v>11</v>
      <v>3</v>
      <v>11</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73"/>
  <sheetViews>
    <sheetView tabSelected="1" zoomScaleNormal="100" workbookViewId="0">
      <pane xSplit="2" ySplit="3" topLeftCell="C62" activePane="bottomRight" state="frozen"/>
      <selection pane="topRight" activeCell="C1" sqref="C1"/>
      <selection pane="bottomLeft" activeCell="A4" sqref="A4"/>
      <selection pane="bottomRight" activeCell="A73" sqref="A73:BP73"/>
    </sheetView>
  </sheetViews>
  <sheetFormatPr baseColWidth="10" defaultColWidth="8.54296875" defaultRowHeight="14.5" x14ac:dyDescent="0.35"/>
  <cols>
    <col min="1" max="1" width="27" customWidth="1"/>
    <col min="2" max="2" width="10" customWidth="1"/>
    <col min="3" max="3" width="12.1796875" bestFit="1" customWidth="1"/>
    <col min="4" max="4" width="14.7265625" bestFit="1" customWidth="1"/>
    <col min="5" max="5" width="22" customWidth="1"/>
    <col min="6" max="6" width="9.7265625" bestFit="1"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1640625" customWidth="1"/>
    <col min="42" max="42" width="9.1796875" customWidth="1"/>
    <col min="43" max="43" width="7.54296875" customWidth="1"/>
    <col min="44" max="44" width="10.26953125" customWidth="1"/>
    <col min="46" max="47" width="7.54296875" customWidth="1"/>
    <col min="48" max="48" width="9.1796875" customWidth="1"/>
    <col min="49" max="49" width="10.1796875" bestFit="1" customWidth="1"/>
    <col min="50" max="50" width="11.81640625" customWidth="1"/>
    <col min="52" max="52" width="9.1796875" customWidth="1"/>
    <col min="56" max="56" width="10" customWidth="1"/>
    <col min="57" max="57" width="7.81640625" customWidth="1"/>
    <col min="58" max="58" width="9.1796875" customWidth="1"/>
    <col min="59" max="59" width="8.81640625" bestFit="1" customWidth="1"/>
    <col min="60" max="61" width="11.26953125" customWidth="1"/>
    <col min="62" max="62" width="9.54296875" customWidth="1"/>
    <col min="63" max="63" width="10.54296875" customWidth="1"/>
    <col min="64" max="65" width="10.1796875" bestFit="1" customWidth="1"/>
    <col min="66" max="66" width="9.54296875" customWidth="1"/>
    <col min="67" max="67" width="11.81640625" customWidth="1"/>
  </cols>
  <sheetData>
    <row r="1" spans="1:68" ht="27.75" customHeight="1" x14ac:dyDescent="0.35">
      <c r="A1" s="109" t="s">
        <v>0</v>
      </c>
      <c r="B1" s="105"/>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row>
    <row r="2" spans="1:68" ht="21.75" customHeight="1" x14ac:dyDescent="0.35">
      <c r="A2" s="112" t="s">
        <v>1</v>
      </c>
      <c r="B2" s="105"/>
      <c r="C2" s="105"/>
      <c r="D2" s="105"/>
      <c r="E2" s="105"/>
      <c r="F2" s="105"/>
      <c r="G2" s="105"/>
      <c r="H2" s="105"/>
      <c r="I2" s="105"/>
      <c r="J2" s="107" t="s">
        <v>2</v>
      </c>
      <c r="K2" s="105"/>
      <c r="L2" s="105"/>
      <c r="M2" s="105"/>
      <c r="N2" s="105"/>
      <c r="O2" s="105"/>
      <c r="P2" s="105"/>
      <c r="Q2" s="105"/>
      <c r="R2" s="105"/>
      <c r="S2" s="105"/>
      <c r="T2" s="106" t="s">
        <v>3</v>
      </c>
      <c r="U2" s="105"/>
      <c r="V2" s="105"/>
      <c r="W2" s="105"/>
      <c r="X2" s="105"/>
      <c r="Y2" s="105"/>
      <c r="Z2" s="105"/>
      <c r="AA2" s="105"/>
      <c r="AB2" s="105"/>
      <c r="AC2" s="105"/>
      <c r="AD2" s="110" t="s">
        <v>4</v>
      </c>
      <c r="AE2" s="105"/>
      <c r="AF2" s="105"/>
      <c r="AG2" s="105"/>
      <c r="AH2" s="105"/>
      <c r="AI2" s="105"/>
      <c r="AJ2" s="105"/>
      <c r="AK2" s="105"/>
      <c r="AL2" s="105"/>
      <c r="AM2" s="105"/>
      <c r="AN2" s="108" t="s">
        <v>5</v>
      </c>
      <c r="AO2" s="113" t="s">
        <v>6</v>
      </c>
      <c r="AP2" s="105"/>
      <c r="AQ2" s="105"/>
      <c r="AR2" s="105"/>
      <c r="AS2" s="105"/>
      <c r="AT2" s="105"/>
      <c r="AU2" s="105"/>
      <c r="AV2" s="105"/>
      <c r="AW2" s="105"/>
      <c r="AX2" s="105"/>
      <c r="AY2" s="105"/>
      <c r="AZ2" s="105"/>
      <c r="BA2" s="105"/>
      <c r="BB2" s="105"/>
      <c r="BC2" s="105"/>
      <c r="BD2" s="105"/>
      <c r="BE2" s="105"/>
      <c r="BF2" s="105"/>
      <c r="BG2" s="1"/>
      <c r="BH2" s="1"/>
      <c r="BI2" s="1"/>
      <c r="BJ2" s="111" t="s">
        <v>7</v>
      </c>
      <c r="BK2" s="105"/>
      <c r="BL2" s="105"/>
      <c r="BM2" s="105"/>
      <c r="BN2" s="104" t="s">
        <v>8</v>
      </c>
      <c r="BO2" s="105"/>
      <c r="BP2" s="105"/>
    </row>
    <row r="3" spans="1:68" ht="45" customHeight="1" x14ac:dyDescent="0.3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105"/>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3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245.75</v>
      </c>
      <c r="H4" s="13" cm="1">
        <f t="array" aca="1" ref="H4" ca="1">_FV(A4,"Acciones en circulación",TRUE)/1000000</f>
        <v>162.44329999999999</v>
      </c>
      <c r="I4" s="14">
        <f t="shared" ref="I4:I16" ca="1" si="0">G4*H4</f>
        <v>39920.440974999998</v>
      </c>
      <c r="J4" s="90">
        <v>1.5</v>
      </c>
      <c r="K4" s="90">
        <v>8</v>
      </c>
      <c r="L4" s="90">
        <v>2</v>
      </c>
      <c r="M4" s="90">
        <v>1</v>
      </c>
      <c r="N4" s="90">
        <v>-1.5</v>
      </c>
      <c r="O4" s="90">
        <v>0.72</v>
      </c>
      <c r="P4" s="90">
        <v>1</v>
      </c>
      <c r="Q4" s="90">
        <v>1</v>
      </c>
      <c r="R4" s="15">
        <f t="shared" ref="R4:R35" si="1">SUM(J4:N4)+SUM(P4:Q4)</f>
        <v>13</v>
      </c>
      <c r="S4" s="16">
        <f t="shared" ref="S4:S35" si="2">ROUND(R4/16*10,2)</f>
        <v>8.1300000000000008</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ROUND(S4*0.2+AC4*0.4+AM4*0.4,2)</f>
        <v>8.33</v>
      </c>
      <c r="AO4" s="18" t="s">
        <v>78</v>
      </c>
      <c r="AP4" s="19">
        <v>7313</v>
      </c>
      <c r="AQ4" s="19">
        <v>100</v>
      </c>
      <c r="AR4" s="19">
        <f t="shared" ref="AR4:AR11" ca="1" si="8">I4-AP4+AQ4</f>
        <v>32707.440974999998</v>
      </c>
      <c r="AS4" s="19">
        <v>1640</v>
      </c>
      <c r="AT4" s="19">
        <v>810</v>
      </c>
      <c r="AU4" s="19">
        <v>1050</v>
      </c>
      <c r="AV4" s="19">
        <v>3319</v>
      </c>
      <c r="AW4" s="20">
        <f t="shared" ref="AW4:AW35" ca="1" si="9">AR4/AS4</f>
        <v>19.94356157012195</v>
      </c>
      <c r="AX4" s="20">
        <f t="shared" ref="AX4:AX35" ca="1" si="10">AR4/AU4</f>
        <v>31.149943785714285</v>
      </c>
      <c r="AY4" s="20">
        <f t="shared" ref="AY4:AY35" ca="1" si="11">AR4/AV4</f>
        <v>9.8546071030430848</v>
      </c>
      <c r="AZ4" s="21">
        <v>1500</v>
      </c>
      <c r="BA4" s="22">
        <f t="shared" ref="BA4:BA35" si="12">AT4/AV4</f>
        <v>0.24404941247363665</v>
      </c>
      <c r="BB4" s="22">
        <f t="shared" ref="BB4:BB35" si="13">AV4/AZ4</f>
        <v>2.2126666666666668</v>
      </c>
      <c r="BC4" s="23">
        <f t="shared" ref="BC4:BC35" si="14">BA4*BB4</f>
        <v>0.54</v>
      </c>
      <c r="BD4" s="98">
        <v>1497</v>
      </c>
      <c r="BE4" s="23">
        <f t="shared" ref="BE4:BE35" si="15">(BD4/AS4)^(1/5)-1</f>
        <v>-1.8081165477835559E-2</v>
      </c>
      <c r="BF4">
        <v>3288</v>
      </c>
      <c r="BG4" s="23">
        <f t="shared" ref="BG4:BG35" si="16">(BF4/AS4)^(1/5)-1</f>
        <v>0.14925814978284069</v>
      </c>
      <c r="BH4" s="24">
        <v>18</v>
      </c>
      <c r="BI4" s="24">
        <v>30</v>
      </c>
      <c r="BJ4" s="25">
        <f ca="1">(BD4*BH4+$AP4-$AQ4)/$H4</f>
        <v>210.28260322217045</v>
      </c>
      <c r="BK4" s="25">
        <f t="shared" ref="BK4:BK11" ca="1" si="17">(BF4*BI4+$AP4-$AQ4)/$H4</f>
        <v>651.6304458232504</v>
      </c>
      <c r="BL4" s="23">
        <f t="shared" ref="BL4:BL35" ca="1" si="18">IF($BJ4&lt;=0,-0.99,MAX(-0.99,($BJ4/G4)^(1/5)-1))</f>
        <v>-3.0691628302968677E-2</v>
      </c>
      <c r="BM4" s="23">
        <f t="shared" ref="BM4:BM35" ca="1" si="19">IF(BK4&lt;=0,-0.99,MAX(-0.99,(BK4/G4)^(1/5)-1))</f>
        <v>0.21535056770391781</v>
      </c>
      <c r="BN4" t="s">
        <v>79</v>
      </c>
      <c r="BO4" t="s">
        <v>80</v>
      </c>
      <c r="BP4" t="s">
        <v>81</v>
      </c>
    </row>
    <row r="5" spans="1:68" ht="15" customHeight="1" x14ac:dyDescent="0.3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491.01499999999999</v>
      </c>
      <c r="H5" s="13">
        <f t="array" aca="1" ref="H5" ca="1">_FV(A5,"Acciones en circulación",TRUE())/1000000</f>
        <v>7425.5450000000001</v>
      </c>
      <c r="I5" s="14">
        <f t="shared" ca="1" si="0"/>
        <v>3646053.9781749998</v>
      </c>
      <c r="J5" s="91">
        <v>1</v>
      </c>
      <c r="K5" s="91">
        <v>8</v>
      </c>
      <c r="L5" s="91">
        <v>3</v>
      </c>
      <c r="M5" s="91">
        <v>1</v>
      </c>
      <c r="N5" s="91">
        <v>0</v>
      </c>
      <c r="O5" s="91">
        <v>0.8</v>
      </c>
      <c r="P5" s="91">
        <v>1</v>
      </c>
      <c r="Q5" s="91">
        <v>0</v>
      </c>
      <c r="R5" s="26">
        <f t="shared" si="1"/>
        <v>14</v>
      </c>
      <c r="S5" s="16">
        <f t="shared" si="2"/>
        <v>8.75</v>
      </c>
      <c r="T5" s="91">
        <v>16</v>
      </c>
      <c r="U5" s="91">
        <v>19</v>
      </c>
      <c r="V5" s="91">
        <v>15</v>
      </c>
      <c r="W5" s="91">
        <v>10</v>
      </c>
      <c r="X5" s="91">
        <v>9</v>
      </c>
      <c r="Y5" s="91">
        <v>13</v>
      </c>
      <c r="Z5" s="91">
        <v>7</v>
      </c>
      <c r="AA5" s="91">
        <v>-12</v>
      </c>
      <c r="AB5" s="26">
        <f t="shared" si="3"/>
        <v>77</v>
      </c>
      <c r="AC5" s="16">
        <f t="shared" si="4"/>
        <v>7.7</v>
      </c>
      <c r="AD5" s="91">
        <v>14</v>
      </c>
      <c r="AE5" s="91">
        <v>0</v>
      </c>
      <c r="AF5" s="91">
        <v>4</v>
      </c>
      <c r="AG5" s="91">
        <v>14</v>
      </c>
      <c r="AH5" s="91">
        <v>5</v>
      </c>
      <c r="AI5" s="91">
        <v>9</v>
      </c>
      <c r="AJ5" s="91">
        <v>13</v>
      </c>
      <c r="AK5" s="91">
        <v>-6</v>
      </c>
      <c r="AL5" s="26">
        <f t="shared" si="5"/>
        <v>53</v>
      </c>
      <c r="AM5" s="16">
        <f t="shared" si="6"/>
        <v>7.57</v>
      </c>
      <c r="AN5" s="17">
        <f t="shared" si="7"/>
        <v>7.86</v>
      </c>
      <c r="AO5" s="18" t="s">
        <v>78</v>
      </c>
      <c r="AP5" s="19">
        <v>76843</v>
      </c>
      <c r="AQ5" s="19">
        <v>40294</v>
      </c>
      <c r="AR5" s="19">
        <f t="shared" ca="1" si="8"/>
        <v>3609504.9781749998</v>
      </c>
      <c r="AS5" s="19">
        <v>124961</v>
      </c>
      <c r="AT5" s="19">
        <v>125127</v>
      </c>
      <c r="AU5" s="19">
        <v>193771</v>
      </c>
      <c r="AV5" s="19">
        <v>331839</v>
      </c>
      <c r="AW5" s="20">
        <f t="shared" ca="1" si="9"/>
        <v>28.885051961612021</v>
      </c>
      <c r="AX5" s="20">
        <f t="shared" ca="1" si="10"/>
        <v>18.627684112560701</v>
      </c>
      <c r="AY5" s="20">
        <f t="shared" ca="1" si="11"/>
        <v>10.877277770771368</v>
      </c>
      <c r="AZ5" s="21">
        <v>589551</v>
      </c>
      <c r="BA5" s="22">
        <f t="shared" si="12"/>
        <v>0.37707141113612325</v>
      </c>
      <c r="BB5" s="22">
        <f t="shared" si="13"/>
        <v>0.56286733463262717</v>
      </c>
      <c r="BC5" s="23">
        <f t="shared" si="14"/>
        <v>0.21224118015235321</v>
      </c>
      <c r="BD5" s="98">
        <v>145000</v>
      </c>
      <c r="BE5" s="23">
        <f t="shared" si="15"/>
        <v>3.0193254901657696E-2</v>
      </c>
      <c r="BF5">
        <v>220000</v>
      </c>
      <c r="BG5" s="23">
        <f t="shared" si="16"/>
        <v>0.11977208778058923</v>
      </c>
      <c r="BH5" s="24">
        <v>20</v>
      </c>
      <c r="BI5" s="24">
        <v>30</v>
      </c>
      <c r="BJ5" s="25">
        <f t="shared" ref="BJ5:BJ11" ca="1" si="20">(BD5*BH5+$AP5-$AQ5)/$H5</f>
        <v>395.4657873597157</v>
      </c>
      <c r="BK5" s="25">
        <f t="shared" ca="1" si="17"/>
        <v>893.74571159423317</v>
      </c>
      <c r="BL5" s="23">
        <f t="shared" ca="1" si="18"/>
        <v>-4.2358779191663531E-2</v>
      </c>
      <c r="BM5" s="23">
        <f t="shared" ca="1" si="19"/>
        <v>0.12725933974662795</v>
      </c>
      <c r="BN5" s="99">
        <v>46256</v>
      </c>
      <c r="BO5" s="93" t="s">
        <v>84</v>
      </c>
      <c r="BP5" s="93" t="s">
        <v>85</v>
      </c>
    </row>
    <row r="6" spans="1:68" ht="15" customHeight="1" x14ac:dyDescent="0.3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1079</v>
      </c>
      <c r="H6" s="13">
        <f t="array" aca="1" ref="H6" ca="1">_FV(A6,"Acciones en circulación",TRUE())/1000000</f>
        <v>31.68355</v>
      </c>
      <c r="I6" s="14">
        <f t="shared" ca="1" si="0"/>
        <v>34186.550450000002</v>
      </c>
      <c r="J6" s="90">
        <v>1</v>
      </c>
      <c r="K6" s="90">
        <v>7</v>
      </c>
      <c r="L6" s="90">
        <v>2</v>
      </c>
      <c r="M6" s="90">
        <v>1</v>
      </c>
      <c r="N6" s="90">
        <v>-0.5</v>
      </c>
      <c r="O6" s="90">
        <v>0.74</v>
      </c>
      <c r="P6" s="90">
        <v>1</v>
      </c>
      <c r="Q6" s="90">
        <v>1</v>
      </c>
      <c r="R6" s="15">
        <f t="shared" si="1"/>
        <v>12.5</v>
      </c>
      <c r="S6" s="16">
        <f t="shared" si="2"/>
        <v>7.81</v>
      </c>
      <c r="T6" s="90">
        <v>15.5</v>
      </c>
      <c r="U6" s="90">
        <v>18</v>
      </c>
      <c r="V6" s="90">
        <v>13</v>
      </c>
      <c r="W6" s="90">
        <v>8</v>
      </c>
      <c r="X6" s="90">
        <v>7.5</v>
      </c>
      <c r="Y6" s="90">
        <v>11</v>
      </c>
      <c r="Z6" s="90">
        <v>10</v>
      </c>
      <c r="AA6" s="90">
        <v>-10</v>
      </c>
      <c r="AB6" s="15">
        <f t="shared" si="3"/>
        <v>73</v>
      </c>
      <c r="AC6" s="16">
        <f t="shared" si="4"/>
        <v>7.3</v>
      </c>
      <c r="AD6" s="90">
        <v>13</v>
      </c>
      <c r="AE6" s="90">
        <v>-1</v>
      </c>
      <c r="AF6" s="90">
        <v>9</v>
      </c>
      <c r="AG6" s="90">
        <v>14</v>
      </c>
      <c r="AH6" s="90">
        <v>5</v>
      </c>
      <c r="AI6" s="90">
        <v>10</v>
      </c>
      <c r="AJ6" s="90">
        <v>14</v>
      </c>
      <c r="AK6" s="90">
        <v>-6</v>
      </c>
      <c r="AL6" s="15">
        <f t="shared" si="5"/>
        <v>58</v>
      </c>
      <c r="AM6" s="16">
        <f t="shared" si="6"/>
        <v>8.2899999999999991</v>
      </c>
      <c r="AN6" s="17">
        <f t="shared" si="7"/>
        <v>7.8</v>
      </c>
      <c r="AO6" s="18" t="s">
        <v>87</v>
      </c>
      <c r="AP6" s="19">
        <v>3000</v>
      </c>
      <c r="AQ6" s="19">
        <v>0</v>
      </c>
      <c r="AR6" s="19">
        <f t="shared" ca="1" si="8"/>
        <v>31186.550450000002</v>
      </c>
      <c r="AS6" s="19">
        <v>1036</v>
      </c>
      <c r="AT6" s="19">
        <v>600</v>
      </c>
      <c r="AU6" s="19">
        <v>1144</v>
      </c>
      <c r="AV6" s="19">
        <v>2258</v>
      </c>
      <c r="AW6" s="20">
        <f t="shared" ca="1" si="9"/>
        <v>30.102847924710428</v>
      </c>
      <c r="AX6" s="20">
        <f t="shared" ca="1" si="10"/>
        <v>27.260970673076926</v>
      </c>
      <c r="AY6" s="20">
        <f t="shared" ca="1" si="11"/>
        <v>13.811581244464129</v>
      </c>
      <c r="AZ6" s="21">
        <v>2500</v>
      </c>
      <c r="BA6" s="22">
        <f t="shared" si="12"/>
        <v>0.26572187776793621</v>
      </c>
      <c r="BB6" s="22">
        <f t="shared" si="13"/>
        <v>0.9032</v>
      </c>
      <c r="BC6" s="23">
        <f t="shared" si="14"/>
        <v>0.24</v>
      </c>
      <c r="BD6" s="98">
        <v>1150</v>
      </c>
      <c r="BE6" s="23">
        <f t="shared" si="15"/>
        <v>2.1098450102299937E-2</v>
      </c>
      <c r="BF6">
        <v>3095</v>
      </c>
      <c r="BG6" s="23">
        <f t="shared" si="16"/>
        <v>0.24468707439913118</v>
      </c>
      <c r="BH6" s="24">
        <v>17.5</v>
      </c>
      <c r="BI6" s="24">
        <v>28</v>
      </c>
      <c r="BJ6" s="25">
        <f t="shared" ca="1" si="20"/>
        <v>729.87401979891774</v>
      </c>
      <c r="BK6" s="25">
        <f t="shared" ca="1" si="17"/>
        <v>2829.85965903442</v>
      </c>
      <c r="BL6" s="23">
        <f t="shared" ca="1" si="18"/>
        <v>-7.5205385336348685E-2</v>
      </c>
      <c r="BM6" s="23">
        <f t="shared" ca="1" si="19"/>
        <v>0.21268691268480011</v>
      </c>
      <c r="BN6" s="93" t="s">
        <v>79</v>
      </c>
      <c r="BO6" s="93" t="s">
        <v>88</v>
      </c>
      <c r="BP6" s="93" t="s">
        <v>85</v>
      </c>
    </row>
    <row r="7" spans="1:68" ht="15" customHeight="1" x14ac:dyDescent="0.35">
      <c r="A7" s="86" t="e" vm="4">
        <v>#VALUE!</v>
      </c>
      <c r="B7" s="10" t="str">
        <f t="array" aca="1" ref="B7" ca="1">_FV(A7,"Símbolo bursátil",TRUE())</f>
        <v>BN</v>
      </c>
      <c r="C7" s="88" t="s">
        <v>89</v>
      </c>
      <c r="D7" s="88" t="s">
        <v>77</v>
      </c>
      <c r="E7" s="11" t="str">
        <f t="array" aca="1" ref="E7" ca="1">_FV(A7,"Abreviatura de intercambio",TRUE())</f>
        <v>XNYS</v>
      </c>
      <c r="F7" s="11" t="str">
        <f t="array" aca="1" ref="F7" ca="1">_FV(A7,"Moneda")</f>
        <v>USD</v>
      </c>
      <c r="G7" s="12">
        <f t="array" aca="1" ref="G7" ca="1">_FV(A7,"Precio")</f>
        <v>42.12</v>
      </c>
      <c r="H7" s="13">
        <f t="array" aca="1" ref="H7" ca="1">_FV(A7,"Acciones en circulación",TRUE())/1000000</f>
        <v>2451.915</v>
      </c>
      <c r="I7" s="14">
        <f t="shared" ca="1" si="0"/>
        <v>103274.65979999999</v>
      </c>
      <c r="J7" s="91">
        <v>1</v>
      </c>
      <c r="K7" s="91">
        <v>7</v>
      </c>
      <c r="L7" s="91">
        <v>3</v>
      </c>
      <c r="M7" s="91">
        <v>0.5</v>
      </c>
      <c r="N7" s="91">
        <v>0</v>
      </c>
      <c r="O7" s="91">
        <v>0.66</v>
      </c>
      <c r="P7" s="91">
        <v>1</v>
      </c>
      <c r="Q7" s="91">
        <v>1</v>
      </c>
      <c r="R7" s="26">
        <f t="shared" si="1"/>
        <v>13.5</v>
      </c>
      <c r="S7" s="16">
        <f t="shared" si="2"/>
        <v>8.44</v>
      </c>
      <c r="T7" s="91">
        <v>13</v>
      </c>
      <c r="U7" s="91">
        <v>17</v>
      </c>
      <c r="V7" s="91">
        <v>15</v>
      </c>
      <c r="W7" s="91">
        <v>10</v>
      </c>
      <c r="X7" s="91">
        <v>9</v>
      </c>
      <c r="Y7" s="91">
        <v>14</v>
      </c>
      <c r="Z7" s="91">
        <v>10</v>
      </c>
      <c r="AA7" s="91">
        <v>-8</v>
      </c>
      <c r="AB7" s="26">
        <f t="shared" si="3"/>
        <v>80</v>
      </c>
      <c r="AC7" s="16">
        <f t="shared" si="4"/>
        <v>8</v>
      </c>
      <c r="AD7" s="91">
        <v>14</v>
      </c>
      <c r="AE7" s="91">
        <v>-1</v>
      </c>
      <c r="AF7" s="91">
        <v>5</v>
      </c>
      <c r="AG7" s="91">
        <v>15</v>
      </c>
      <c r="AH7" s="91">
        <v>2</v>
      </c>
      <c r="AI7" s="91">
        <v>10</v>
      </c>
      <c r="AJ7" s="91">
        <v>14</v>
      </c>
      <c r="AK7" s="91">
        <v>-5</v>
      </c>
      <c r="AL7" s="26">
        <f t="shared" si="5"/>
        <v>54</v>
      </c>
      <c r="AM7" s="16">
        <f t="shared" si="6"/>
        <v>7.71</v>
      </c>
      <c r="AN7" s="17">
        <f t="shared" si="7"/>
        <v>7.97</v>
      </c>
      <c r="AO7" s="18" t="s">
        <v>78</v>
      </c>
      <c r="AP7" s="19">
        <v>10000</v>
      </c>
      <c r="AQ7" s="19">
        <v>17815</v>
      </c>
      <c r="AR7" s="19">
        <f t="shared" ca="1" si="8"/>
        <v>111089.65979999999</v>
      </c>
      <c r="AS7" s="19">
        <v>6200</v>
      </c>
      <c r="AT7" s="19">
        <v>5700</v>
      </c>
      <c r="AU7" s="19">
        <v>5700</v>
      </c>
      <c r="AV7" s="19">
        <v>80690</v>
      </c>
      <c r="AW7" s="20">
        <f t="shared" ca="1" si="9"/>
        <v>17.917687064516127</v>
      </c>
      <c r="AX7" s="20">
        <f t="shared" ca="1" si="10"/>
        <v>19.489414</v>
      </c>
      <c r="AY7" s="20">
        <f t="shared" ca="1" si="11"/>
        <v>1.3767463105713222</v>
      </c>
      <c r="AZ7" s="21">
        <v>90000</v>
      </c>
      <c r="BA7" s="22">
        <f t="shared" si="12"/>
        <v>7.0640723757590784E-2</v>
      </c>
      <c r="BB7" s="22">
        <f t="shared" si="13"/>
        <v>0.89655555555555555</v>
      </c>
      <c r="BC7" s="23">
        <f t="shared" si="14"/>
        <v>6.3333333333333339E-2</v>
      </c>
      <c r="BD7" s="98">
        <v>6845</v>
      </c>
      <c r="BE7" s="23">
        <f t="shared" si="15"/>
        <v>1.9991030201967463E-2</v>
      </c>
      <c r="BF7">
        <v>11420</v>
      </c>
      <c r="BG7" s="23">
        <f t="shared" si="16"/>
        <v>0.12993869883637732</v>
      </c>
      <c r="BH7" s="24">
        <v>17.5</v>
      </c>
      <c r="BI7" s="24">
        <v>25</v>
      </c>
      <c r="BJ7" s="25">
        <f t="shared" ca="1" si="20"/>
        <v>45.66736611995114</v>
      </c>
      <c r="BK7" s="25">
        <f t="shared" ca="1" si="17"/>
        <v>113.25229463500978</v>
      </c>
      <c r="BL7" s="23">
        <f t="shared" ca="1" si="18"/>
        <v>1.6303731954826928E-2</v>
      </c>
      <c r="BM7" s="23">
        <f t="shared" ca="1" si="19"/>
        <v>0.21874186412022789</v>
      </c>
      <c r="BN7" s="96" t="s">
        <v>677</v>
      </c>
      <c r="BO7" t="s">
        <v>88</v>
      </c>
      <c r="BP7" s="96" t="s">
        <v>676</v>
      </c>
    </row>
    <row r="8" spans="1:68" ht="15" customHeight="1" x14ac:dyDescent="0.35">
      <c r="A8" s="86" t="e" vm="5">
        <v>#VALUE!</v>
      </c>
      <c r="B8" s="10" t="str">
        <f t="array" aca="1" ref="B8" ca="1">_FV(A8,"Símbolo bursátil",TRUE())</f>
        <v>COST</v>
      </c>
      <c r="C8" s="88" t="s">
        <v>90</v>
      </c>
      <c r="D8" s="88" t="s">
        <v>90</v>
      </c>
      <c r="E8" s="11" t="str">
        <f t="array" aca="1" ref="E8" ca="1">_FV(A8,"Abreviatura de intercambio",TRUE())</f>
        <v>XNAS</v>
      </c>
      <c r="F8" s="11" t="str">
        <f t="array" aca="1" ref="F8" ca="1">_FV(A8,"Moneda")</f>
        <v>USD</v>
      </c>
      <c r="G8" s="12">
        <f t="array" aca="1" ref="G8" ca="1">_FV(A8,"Precio")</f>
        <v>961.36</v>
      </c>
      <c r="H8" s="13">
        <f t="array" aca="1" ref="H8" ca="1">_FV(A8,"Acciones en circulación",TRUE())/1000000</f>
        <v>443.47879999999998</v>
      </c>
      <c r="I8" s="14">
        <f t="shared" ca="1" si="0"/>
        <v>426342.77916799998</v>
      </c>
      <c r="J8" s="90">
        <v>1.5</v>
      </c>
      <c r="K8" s="90">
        <v>8</v>
      </c>
      <c r="L8" s="90">
        <v>1</v>
      </c>
      <c r="M8" s="90">
        <v>1</v>
      </c>
      <c r="N8" s="90">
        <v>0</v>
      </c>
      <c r="O8" s="90">
        <v>0.78</v>
      </c>
      <c r="P8" s="90">
        <v>1</v>
      </c>
      <c r="Q8" s="90">
        <v>0</v>
      </c>
      <c r="R8" s="15">
        <f t="shared" si="1"/>
        <v>12.5</v>
      </c>
      <c r="S8" s="16">
        <f t="shared" si="2"/>
        <v>7.81</v>
      </c>
      <c r="T8" s="90">
        <v>15</v>
      </c>
      <c r="U8" s="90">
        <v>19</v>
      </c>
      <c r="V8" s="90">
        <v>13</v>
      </c>
      <c r="W8" s="90">
        <v>10</v>
      </c>
      <c r="X8" s="90">
        <v>10</v>
      </c>
      <c r="Y8" s="90">
        <v>13</v>
      </c>
      <c r="Z8" s="90">
        <v>7</v>
      </c>
      <c r="AA8" s="90">
        <v>-7</v>
      </c>
      <c r="AB8" s="15">
        <f t="shared" si="3"/>
        <v>80</v>
      </c>
      <c r="AC8" s="16">
        <f t="shared" si="4"/>
        <v>8</v>
      </c>
      <c r="AD8" s="90">
        <v>15</v>
      </c>
      <c r="AE8" s="90">
        <v>0</v>
      </c>
      <c r="AF8" s="90">
        <v>6</v>
      </c>
      <c r="AG8" s="90">
        <v>13</v>
      </c>
      <c r="AH8" s="90">
        <v>5</v>
      </c>
      <c r="AI8" s="90">
        <v>9</v>
      </c>
      <c r="AJ8" s="90">
        <v>14</v>
      </c>
      <c r="AK8" s="90">
        <v>-3</v>
      </c>
      <c r="AL8" s="15">
        <f t="shared" si="5"/>
        <v>59</v>
      </c>
      <c r="AM8" s="16">
        <f t="shared" si="6"/>
        <v>8.43</v>
      </c>
      <c r="AN8" s="17">
        <f t="shared" si="7"/>
        <v>8.1300000000000008</v>
      </c>
      <c r="AO8" s="18" t="s">
        <v>78</v>
      </c>
      <c r="AP8" s="19">
        <v>20000</v>
      </c>
      <c r="AQ8" s="19">
        <v>8230</v>
      </c>
      <c r="AR8" s="19">
        <f t="shared" ca="1" si="8"/>
        <v>414572.77916799998</v>
      </c>
      <c r="AS8" s="19">
        <v>11905</v>
      </c>
      <c r="AT8" s="19">
        <v>8445</v>
      </c>
      <c r="AU8" s="19">
        <v>13790</v>
      </c>
      <c r="AV8" s="19">
        <v>293590</v>
      </c>
      <c r="AW8" s="20">
        <f t="shared" ca="1" si="9"/>
        <v>34.823416981772361</v>
      </c>
      <c r="AX8" s="20">
        <f t="shared" ca="1" si="10"/>
        <v>30.06329073009427</v>
      </c>
      <c r="AY8" s="20">
        <f t="shared" ca="1" si="11"/>
        <v>1.4120807219864435</v>
      </c>
      <c r="AZ8" s="21">
        <v>44305</v>
      </c>
      <c r="BA8" s="22">
        <f t="shared" si="12"/>
        <v>2.8764603699036072E-2</v>
      </c>
      <c r="BB8" s="22">
        <f t="shared" si="13"/>
        <v>6.6265658503554903</v>
      </c>
      <c r="BC8" s="23">
        <f t="shared" si="14"/>
        <v>0.19061054057104165</v>
      </c>
      <c r="BD8" s="98">
        <v>15931.7</v>
      </c>
      <c r="BE8" s="23">
        <f t="shared" si="15"/>
        <v>6.0001656687121763E-2</v>
      </c>
      <c r="BF8">
        <v>20980.799999999999</v>
      </c>
      <c r="BG8" s="23">
        <f t="shared" si="16"/>
        <v>0.12000130532070519</v>
      </c>
      <c r="BH8" s="24">
        <v>20</v>
      </c>
      <c r="BI8" s="24">
        <v>30</v>
      </c>
      <c r="BJ8" s="25">
        <f t="shared" ca="1" si="20"/>
        <v>745.02772173100504</v>
      </c>
      <c r="BK8" s="25">
        <f t="shared" ca="1" si="17"/>
        <v>1445.8278501700645</v>
      </c>
      <c r="BL8" s="23">
        <f t="shared" ca="1" si="18"/>
        <v>-4.9707554230484341E-2</v>
      </c>
      <c r="BM8" s="23">
        <f t="shared" ca="1" si="19"/>
        <v>8.5040896509370301E-2</v>
      </c>
      <c r="BN8" s="96" t="s">
        <v>677</v>
      </c>
      <c r="BO8" t="s">
        <v>92</v>
      </c>
      <c r="BP8" t="s">
        <v>93</v>
      </c>
    </row>
    <row r="9" spans="1:68" ht="15" customHeight="1" x14ac:dyDescent="0.3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77.48</v>
      </c>
      <c r="H9" s="13">
        <f t="array" aca="1" ref="H9" ca="1">_FV(A9,"Acciones en circulación",TRUE())/1000000</f>
        <v>85.653660000000002</v>
      </c>
      <c r="I9" s="14">
        <f t="shared" ca="1" si="0"/>
        <v>6636.4455768000007</v>
      </c>
      <c r="J9" s="91">
        <v>1</v>
      </c>
      <c r="K9" s="91">
        <v>7</v>
      </c>
      <c r="L9" s="91">
        <v>2</v>
      </c>
      <c r="M9" s="91">
        <v>1</v>
      </c>
      <c r="N9" s="91">
        <v>0</v>
      </c>
      <c r="O9" s="91">
        <v>0.8</v>
      </c>
      <c r="P9" s="91">
        <v>0.5</v>
      </c>
      <c r="Q9" s="91">
        <v>0</v>
      </c>
      <c r="R9" s="26">
        <f t="shared" si="1"/>
        <v>11.5</v>
      </c>
      <c r="S9" s="16">
        <f t="shared" si="2"/>
        <v>7.19</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7.92</v>
      </c>
      <c r="AO9" s="18" t="s">
        <v>78</v>
      </c>
      <c r="AP9" s="19">
        <v>377</v>
      </c>
      <c r="AQ9" s="19">
        <v>8.1</v>
      </c>
      <c r="AR9" s="19">
        <f t="shared" ca="1" si="8"/>
        <v>6267.5455768000011</v>
      </c>
      <c r="AS9" s="19">
        <v>281</v>
      </c>
      <c r="AT9" s="19">
        <v>176</v>
      </c>
      <c r="AU9" s="19">
        <v>320</v>
      </c>
      <c r="AV9" s="19">
        <v>754</v>
      </c>
      <c r="AW9" s="20">
        <f t="shared" ca="1" si="9"/>
        <v>22.304432657651251</v>
      </c>
      <c r="AX9" s="20">
        <f t="shared" ca="1" si="10"/>
        <v>19.586079927500002</v>
      </c>
      <c r="AY9" s="20">
        <f t="shared" ca="1" si="11"/>
        <v>8.3123946641909825</v>
      </c>
      <c r="AZ9" s="21">
        <v>1676</v>
      </c>
      <c r="BA9" s="22">
        <f t="shared" si="12"/>
        <v>0.23342175066312998</v>
      </c>
      <c r="BB9" s="22">
        <f t="shared" si="13"/>
        <v>0.44988066825775658</v>
      </c>
      <c r="BC9" s="23">
        <f t="shared" si="14"/>
        <v>0.10501193317422435</v>
      </c>
      <c r="BD9" s="98">
        <v>292.8</v>
      </c>
      <c r="BE9" s="23">
        <f t="shared" si="15"/>
        <v>8.260957498062993E-3</v>
      </c>
      <c r="BF9">
        <v>590.1</v>
      </c>
      <c r="BG9" s="23">
        <f t="shared" si="16"/>
        <v>0.15996225865400127</v>
      </c>
      <c r="BH9" s="24">
        <v>17.5</v>
      </c>
      <c r="BI9" s="24">
        <v>27</v>
      </c>
      <c r="BJ9" s="25">
        <f t="shared" ca="1" si="20"/>
        <v>64.129191910771823</v>
      </c>
      <c r="BK9" s="25">
        <f t="shared" ca="1" si="17"/>
        <v>190.31994663158585</v>
      </c>
      <c r="BL9" s="23">
        <f t="shared" ca="1" si="18"/>
        <v>-3.7117638736870018E-2</v>
      </c>
      <c r="BM9" s="23">
        <f t="shared" ca="1" si="19"/>
        <v>0.19690295456465767</v>
      </c>
      <c r="BN9" s="96" t="s">
        <v>677</v>
      </c>
      <c r="BO9" t="s">
        <v>80</v>
      </c>
      <c r="BP9" s="96" t="s">
        <v>678</v>
      </c>
    </row>
    <row r="10" spans="1:68" ht="15" customHeight="1" x14ac:dyDescent="0.35">
      <c r="A10" s="86" t="e" vm="7">
        <v>#VALUE!</v>
      </c>
      <c r="B10" s="10" t="str">
        <f t="array" aca="1" ref="B10" ca="1">_FV(A10,"Símbolo bursátil",TRUE())</f>
        <v>RAA</v>
      </c>
      <c r="C10" s="88" t="s">
        <v>95</v>
      </c>
      <c r="D10" s="88" t="s">
        <v>77</v>
      </c>
      <c r="E10" s="11" t="str">
        <f t="array" aca="1" ref="E10" ca="1">_FV(A10,"Abreviatura de intercambio",TRUE())</f>
        <v>XFRA</v>
      </c>
      <c r="F10" s="11" t="str">
        <f t="array" aca="1" ref="F10" ca="1">_FV(A10,"Moneda")</f>
        <v>EUR</v>
      </c>
      <c r="G10" s="12">
        <f t="array" aca="1" ref="G10" ca="1">_FV(A10,"Precio")</f>
        <v>633.5</v>
      </c>
      <c r="H10" s="13">
        <f t="array" aca="1" ref="H10" ca="1">_FV(A10,"Acciones en circulación",TRUE())/1000000</f>
        <v>11.37</v>
      </c>
      <c r="I10" s="14">
        <f t="shared" ca="1" si="0"/>
        <v>7202.8949999999995</v>
      </c>
      <c r="J10" s="90">
        <v>1</v>
      </c>
      <c r="K10" s="90">
        <v>7</v>
      </c>
      <c r="L10" s="90">
        <v>2</v>
      </c>
      <c r="M10" s="90">
        <v>1</v>
      </c>
      <c r="N10" s="90">
        <v>-1</v>
      </c>
      <c r="O10" s="90">
        <v>0.82</v>
      </c>
      <c r="P10" s="90">
        <v>1</v>
      </c>
      <c r="Q10" s="90">
        <v>1</v>
      </c>
      <c r="R10" s="15">
        <f t="shared" si="1"/>
        <v>12</v>
      </c>
      <c r="S10" s="16">
        <f t="shared" si="2"/>
        <v>7.5</v>
      </c>
      <c r="T10" s="90">
        <v>15</v>
      </c>
      <c r="U10" s="90">
        <v>17</v>
      </c>
      <c r="V10" s="90">
        <v>10</v>
      </c>
      <c r="W10" s="90">
        <v>9</v>
      </c>
      <c r="X10" s="90">
        <v>8</v>
      </c>
      <c r="Y10" s="90">
        <v>13</v>
      </c>
      <c r="Z10" s="90">
        <v>10</v>
      </c>
      <c r="AA10" s="90">
        <v>-8</v>
      </c>
      <c r="AB10" s="15">
        <f t="shared" si="3"/>
        <v>74</v>
      </c>
      <c r="AC10" s="16">
        <f t="shared" si="4"/>
        <v>7.4</v>
      </c>
      <c r="AD10" s="90">
        <v>14</v>
      </c>
      <c r="AE10" s="90">
        <v>-1</v>
      </c>
      <c r="AF10" s="90">
        <v>8</v>
      </c>
      <c r="AG10" s="90">
        <v>13</v>
      </c>
      <c r="AH10" s="90">
        <v>5</v>
      </c>
      <c r="AI10" s="90">
        <v>9</v>
      </c>
      <c r="AJ10" s="90">
        <v>13</v>
      </c>
      <c r="AK10" s="90">
        <v>-3</v>
      </c>
      <c r="AL10" s="15">
        <f t="shared" si="5"/>
        <v>58</v>
      </c>
      <c r="AM10" s="16">
        <f t="shared" si="6"/>
        <v>8.2899999999999991</v>
      </c>
      <c r="AN10" s="17">
        <f t="shared" si="7"/>
        <v>7.78</v>
      </c>
      <c r="AO10" s="18" t="s">
        <v>87</v>
      </c>
      <c r="AP10" s="19">
        <v>280</v>
      </c>
      <c r="AQ10" s="19">
        <v>20</v>
      </c>
      <c r="AR10" s="19">
        <f t="shared" ca="1" si="8"/>
        <v>6942.8949999999995</v>
      </c>
      <c r="AS10" s="19">
        <v>260</v>
      </c>
      <c r="AT10" s="19">
        <v>230</v>
      </c>
      <c r="AU10" s="19">
        <v>350</v>
      </c>
      <c r="AV10" s="19">
        <v>1296</v>
      </c>
      <c r="AW10" s="20">
        <f t="shared" ca="1" si="9"/>
        <v>26.703442307692306</v>
      </c>
      <c r="AX10" s="20">
        <f t="shared" ca="1" si="10"/>
        <v>19.836842857142855</v>
      </c>
      <c r="AY10" s="20">
        <f t="shared" ca="1" si="11"/>
        <v>5.3571720679012342</v>
      </c>
      <c r="AZ10" s="21">
        <v>600</v>
      </c>
      <c r="BA10" s="22">
        <f t="shared" si="12"/>
        <v>0.17746913580246915</v>
      </c>
      <c r="BB10" s="22">
        <f t="shared" si="13"/>
        <v>2.16</v>
      </c>
      <c r="BC10" s="23">
        <f t="shared" si="14"/>
        <v>0.38333333333333336</v>
      </c>
      <c r="BD10" s="98">
        <v>332</v>
      </c>
      <c r="BE10" s="23">
        <f t="shared" si="15"/>
        <v>5.0105533884466924E-2</v>
      </c>
      <c r="BF10" t="s">
        <v>96</v>
      </c>
      <c r="BG10" s="23">
        <f t="shared" si="16"/>
        <v>0.12998436153517012</v>
      </c>
      <c r="BH10" s="24">
        <v>15</v>
      </c>
      <c r="BI10" s="24">
        <v>27</v>
      </c>
      <c r="BJ10" s="25">
        <f t="shared" ca="1" si="20"/>
        <v>460.86191732629732</v>
      </c>
      <c r="BK10" s="25">
        <f t="shared" ca="1" si="17"/>
        <v>1160.3342128408092</v>
      </c>
      <c r="BL10" s="23">
        <f t="shared" ca="1" si="18"/>
        <v>-6.165003828172777E-2</v>
      </c>
      <c r="BM10" s="23">
        <f t="shared" ca="1" si="19"/>
        <v>0.12867081613737774</v>
      </c>
      <c r="BN10" s="95" t="s">
        <v>677</v>
      </c>
      <c r="BO10" s="95" t="s">
        <v>124</v>
      </c>
      <c r="BP10" s="95" t="s">
        <v>143</v>
      </c>
    </row>
    <row r="11" spans="1:68" ht="15" customHeight="1" x14ac:dyDescent="0.35">
      <c r="A11" s="86" t="e" vm="8">
        <v>#VALUE!</v>
      </c>
      <c r="B11" s="10" t="str">
        <f t="array" aca="1" ref="B11" ca="1">_FV(A11,"Símbolo bursátil",TRUE())</f>
        <v>ZS</v>
      </c>
      <c r="C11" s="88" t="s">
        <v>99</v>
      </c>
      <c r="D11" s="88" t="s">
        <v>100</v>
      </c>
      <c r="E11" s="11" t="str">
        <f t="array" aca="1" ref="E11" ca="1">_FV(A11,"Abreviatura de intercambio",TRUE())</f>
        <v>XNAS</v>
      </c>
      <c r="F11" s="11" t="str">
        <f t="array" aca="1" ref="F11" ca="1">_FV(A11,"Moneda")</f>
        <v>USD</v>
      </c>
      <c r="G11" s="12">
        <f t="array" aca="1" ref="G11" ca="1">_FV(A11,"Precio")</f>
        <v>168.54</v>
      </c>
      <c r="H11" s="13">
        <f t="array" aca="1" ref="H11" ca="1">_FV(A11,"Acciones en circulación",TRUE())/1000000</f>
        <v>161.70949999999999</v>
      </c>
      <c r="I11" s="14">
        <f t="shared" ca="1" si="0"/>
        <v>27254.519129999997</v>
      </c>
      <c r="J11" s="91">
        <v>1</v>
      </c>
      <c r="K11" s="91">
        <v>6</v>
      </c>
      <c r="L11" s="91">
        <v>2</v>
      </c>
      <c r="M11" s="91">
        <v>1</v>
      </c>
      <c r="N11" s="91">
        <v>0</v>
      </c>
      <c r="O11" s="91">
        <v>0.72</v>
      </c>
      <c r="P11" s="91">
        <v>1</v>
      </c>
      <c r="Q11" s="91">
        <v>1</v>
      </c>
      <c r="R11" s="26">
        <f t="shared" si="1"/>
        <v>12</v>
      </c>
      <c r="S11" s="16">
        <f t="shared" si="2"/>
        <v>7.5</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7.22</v>
      </c>
      <c r="AO11" s="18" t="s">
        <v>78</v>
      </c>
      <c r="AP11" s="19">
        <v>3540</v>
      </c>
      <c r="AQ11" s="19">
        <v>1870</v>
      </c>
      <c r="AR11" s="19">
        <f t="shared" ca="1" si="8"/>
        <v>25584.519129999997</v>
      </c>
      <c r="AS11" s="19">
        <v>963</v>
      </c>
      <c r="AT11" s="19">
        <v>-135</v>
      </c>
      <c r="AU11" s="19">
        <v>-61</v>
      </c>
      <c r="AV11" s="19">
        <v>3170</v>
      </c>
      <c r="AW11" s="20">
        <f t="shared" ca="1" si="9"/>
        <v>26.567517268951192</v>
      </c>
      <c r="AX11" s="20">
        <f t="shared" ca="1" si="10"/>
        <v>-419.41834639344256</v>
      </c>
      <c r="AY11" s="20">
        <f t="shared" ca="1" si="11"/>
        <v>8.0708262239747626</v>
      </c>
      <c r="AZ11" s="21">
        <v>4597</v>
      </c>
      <c r="BA11" s="22">
        <f t="shared" si="12"/>
        <v>-4.2586750788643532E-2</v>
      </c>
      <c r="BB11" s="22">
        <f t="shared" si="13"/>
        <v>0.68958016097454866</v>
      </c>
      <c r="BC11" s="23">
        <f t="shared" si="14"/>
        <v>-2.9366978464215793E-2</v>
      </c>
      <c r="BD11" s="98">
        <v>1121.5</v>
      </c>
      <c r="BE11" s="23">
        <f t="shared" si="15"/>
        <v>3.0942867066001467E-2</v>
      </c>
      <c r="BF11">
        <v>2823</v>
      </c>
      <c r="BG11" s="23">
        <f t="shared" si="16"/>
        <v>0.23998638943061512</v>
      </c>
      <c r="BH11" s="24">
        <v>20</v>
      </c>
      <c r="BI11" s="24">
        <v>30</v>
      </c>
      <c r="BJ11" s="25">
        <f t="shared" ca="1" si="20"/>
        <v>149.03267897062327</v>
      </c>
      <c r="BK11" s="25">
        <f t="shared" ca="1" si="17"/>
        <v>534.04407285904665</v>
      </c>
      <c r="BL11" s="23">
        <f t="shared" ca="1" si="18"/>
        <v>-2.430135078832063E-2</v>
      </c>
      <c r="BM11" s="23">
        <f t="shared" ca="1" si="19"/>
        <v>0.25943228470250812</v>
      </c>
      <c r="BN11" s="96" t="s">
        <v>677</v>
      </c>
      <c r="BO11" t="s">
        <v>92</v>
      </c>
      <c r="BP11" t="s">
        <v>101</v>
      </c>
    </row>
    <row r="12" spans="1:68" ht="15" customHeight="1" x14ac:dyDescent="0.35">
      <c r="A12" s="86" t="e" vm="9">
        <v>#VALUE!</v>
      </c>
      <c r="B12" s="10" t="str">
        <f t="array" aca="1" ref="B12" ca="1">_FV(A12,"Símbolo bursátil",TRUE())</f>
        <v>NTO</v>
      </c>
      <c r="C12" s="88" t="s">
        <v>102</v>
      </c>
      <c r="D12" s="88" t="s">
        <v>77</v>
      </c>
      <c r="E12" s="11" t="str">
        <f t="array" aca="1" ref="E12" ca="1">_FV(A12,"Abreviatura de intercambio",TRUE())</f>
        <v>XFRA</v>
      </c>
      <c r="F12" s="11" t="str">
        <f t="array" aca="1" ref="F12" ca="1">_FV(A12,"Moneda")</f>
        <v>EUR</v>
      </c>
      <c r="G12" s="12">
        <f t="array" aca="1" ref="G12" ca="1">_FV(A12,"Precio")</f>
        <v>50.1</v>
      </c>
      <c r="H12" s="13">
        <f t="array" aca="1" ref="H12" ca="1">_FV(A12,"Acciones en circulación",TRUE())/1000000</f>
        <v>1287.26</v>
      </c>
      <c r="I12" s="14">
        <f t="shared" ca="1" si="0"/>
        <v>64491.726000000002</v>
      </c>
      <c r="J12" s="90">
        <v>1</v>
      </c>
      <c r="K12" s="90">
        <v>7</v>
      </c>
      <c r="L12" s="90">
        <v>3</v>
      </c>
      <c r="M12" s="90">
        <v>1</v>
      </c>
      <c r="N12" s="90">
        <v>-1</v>
      </c>
      <c r="O12" s="90">
        <v>0.82</v>
      </c>
      <c r="P12" s="90">
        <v>1</v>
      </c>
      <c r="Q12" s="90">
        <v>0</v>
      </c>
      <c r="R12" s="15">
        <f t="shared" si="1"/>
        <v>12</v>
      </c>
      <c r="S12" s="16">
        <f t="shared" si="2"/>
        <v>7.5</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7.76</v>
      </c>
      <c r="AO12" s="18" t="s">
        <v>103</v>
      </c>
      <c r="AP12" s="19">
        <v>1967908</v>
      </c>
      <c r="AQ12" s="19">
        <v>0</v>
      </c>
      <c r="AR12" s="19">
        <f ca="1">I12*'Framework Notes'!E4-AP12+AQ12</f>
        <v>10009495.35272</v>
      </c>
      <c r="AS12" s="19">
        <v>262620</v>
      </c>
      <c r="AT12" s="19">
        <v>325400</v>
      </c>
      <c r="AU12" s="19">
        <v>461600</v>
      </c>
      <c r="AV12" s="19">
        <v>2258501</v>
      </c>
      <c r="AW12" s="20">
        <f t="shared" ca="1" si="9"/>
        <v>38.113987330439414</v>
      </c>
      <c r="AX12" s="20">
        <f t="shared" ca="1" si="10"/>
        <v>21.684348684402078</v>
      </c>
      <c r="AY12" s="20">
        <f t="shared" ca="1" si="11"/>
        <v>4.431919823245595</v>
      </c>
      <c r="AZ12" s="21">
        <v>1600000</v>
      </c>
      <c r="BA12" s="22">
        <f t="shared" si="12"/>
        <v>0.14407786403459641</v>
      </c>
      <c r="BB12" s="22">
        <f t="shared" si="13"/>
        <v>1.411563125</v>
      </c>
      <c r="BC12" s="23">
        <f t="shared" si="14"/>
        <v>0.20337500000000003</v>
      </c>
      <c r="BD12" s="98">
        <v>262620</v>
      </c>
      <c r="BE12" s="23">
        <f t="shared" si="15"/>
        <v>0</v>
      </c>
      <c r="BF12">
        <v>483861</v>
      </c>
      <c r="BG12" s="23">
        <f t="shared" si="16"/>
        <v>0.1300003144417341</v>
      </c>
      <c r="BH12" s="24">
        <v>15</v>
      </c>
      <c r="BI12" s="24">
        <v>22.5</v>
      </c>
      <c r="BJ12" s="25">
        <f ca="1">((BD12*BH12+$AP12-$AQ12)/$H12)/'Framework Notes'!E4</f>
        <v>24.709122009554029</v>
      </c>
      <c r="BK12" s="25">
        <f ca="1">((BF12*BI12+$AP12-$AQ12)/$H12)/'Framework Notes'!E4</f>
        <v>53.76996032314014</v>
      </c>
      <c r="BL12" s="23">
        <f t="shared" ca="1" si="18"/>
        <v>-0.13183171301735208</v>
      </c>
      <c r="BM12" s="23">
        <f t="shared" ca="1" si="19"/>
        <v>1.423921438264375E-2</v>
      </c>
      <c r="BN12" s="95" t="s">
        <v>677</v>
      </c>
      <c r="BO12" s="100" t="s">
        <v>124</v>
      </c>
      <c r="BP12" s="95" t="s">
        <v>143</v>
      </c>
    </row>
    <row r="13" spans="1:68" ht="15" customHeight="1" x14ac:dyDescent="0.3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260.75</v>
      </c>
      <c r="H13" s="13">
        <f t="array" aca="1" ref="H13" ca="1">_FV(A13,"Acciones en circulación",TRUE())/1000000</f>
        <v>10786.31</v>
      </c>
      <c r="I13" s="14">
        <f t="shared" ca="1" si="0"/>
        <v>2812530.3325</v>
      </c>
      <c r="J13" s="91">
        <v>1.5</v>
      </c>
      <c r="K13" s="91">
        <v>8</v>
      </c>
      <c r="L13" s="91">
        <v>3</v>
      </c>
      <c r="M13" s="91">
        <v>1</v>
      </c>
      <c r="N13" s="91">
        <v>0</v>
      </c>
      <c r="O13" s="91">
        <v>0.72</v>
      </c>
      <c r="P13" s="91">
        <v>1</v>
      </c>
      <c r="Q13" s="91">
        <v>0.5</v>
      </c>
      <c r="R13" s="26">
        <f t="shared" si="1"/>
        <v>15</v>
      </c>
      <c r="S13" s="16">
        <f t="shared" si="2"/>
        <v>9.3800000000000008</v>
      </c>
      <c r="T13" s="91">
        <v>14</v>
      </c>
      <c r="U13" s="91">
        <v>19</v>
      </c>
      <c r="V13" s="91">
        <v>15</v>
      </c>
      <c r="W13" s="91">
        <v>10</v>
      </c>
      <c r="X13" s="91">
        <v>9</v>
      </c>
      <c r="Y13" s="91">
        <v>12</v>
      </c>
      <c r="Z13" s="91">
        <v>6</v>
      </c>
      <c r="AA13" s="91">
        <v>-8</v>
      </c>
      <c r="AB13" s="26">
        <f t="shared" si="3"/>
        <v>77</v>
      </c>
      <c r="AC13" s="16">
        <f t="shared" si="4"/>
        <v>7.7</v>
      </c>
      <c r="AD13" s="91">
        <v>14</v>
      </c>
      <c r="AE13" s="91">
        <v>-1</v>
      </c>
      <c r="AF13" s="91">
        <v>3</v>
      </c>
      <c r="AG13" s="91">
        <v>13</v>
      </c>
      <c r="AH13" s="91">
        <v>4</v>
      </c>
      <c r="AI13" s="91">
        <v>8</v>
      </c>
      <c r="AJ13" s="91">
        <v>14</v>
      </c>
      <c r="AK13" s="91">
        <v>-5</v>
      </c>
      <c r="AL13" s="26">
        <f t="shared" si="5"/>
        <v>50</v>
      </c>
      <c r="AM13" s="16">
        <f t="shared" si="6"/>
        <v>7.14</v>
      </c>
      <c r="AN13" s="17">
        <f t="shared" si="7"/>
        <v>7.81</v>
      </c>
      <c r="AO13" s="18" t="s">
        <v>78</v>
      </c>
      <c r="AP13" s="19">
        <v>78213</v>
      </c>
      <c r="AQ13" s="19">
        <v>128894</v>
      </c>
      <c r="AR13" s="19">
        <f t="shared" ref="AR13:AR32" ca="1" si="21">I13-AP13+AQ13</f>
        <v>2863211.3325</v>
      </c>
      <c r="AS13" s="19">
        <v>76899</v>
      </c>
      <c r="AT13" s="19">
        <v>55000</v>
      </c>
      <c r="AU13" s="19">
        <v>138000</v>
      </c>
      <c r="AV13" s="19">
        <v>775656</v>
      </c>
      <c r="AW13" s="20">
        <f t="shared" ca="1" si="9"/>
        <v>37.233401377131045</v>
      </c>
      <c r="AX13" s="20">
        <f t="shared" ca="1" si="10"/>
        <v>20.747908206521739</v>
      </c>
      <c r="AY13" s="20">
        <f t="shared" ca="1" si="11"/>
        <v>3.6913416933537548</v>
      </c>
      <c r="AZ13" s="21">
        <v>300000</v>
      </c>
      <c r="BA13" s="22">
        <f t="shared" si="12"/>
        <v>7.0907721979846738E-2</v>
      </c>
      <c r="BB13" s="22">
        <f t="shared" si="13"/>
        <v>2.5855199999999998</v>
      </c>
      <c r="BC13" s="23">
        <f t="shared" si="14"/>
        <v>0.18333333333333332</v>
      </c>
      <c r="BD13" s="98">
        <v>93500</v>
      </c>
      <c r="BE13" s="23">
        <f t="shared" si="15"/>
        <v>3.9867927971268147E-2</v>
      </c>
      <c r="BF13">
        <v>161500</v>
      </c>
      <c r="BG13" s="23">
        <f t="shared" si="16"/>
        <v>0.15997964091321126</v>
      </c>
      <c r="BH13" s="24">
        <v>22.5</v>
      </c>
      <c r="BI13" s="24">
        <v>30</v>
      </c>
      <c r="BJ13" s="25">
        <f ca="1">(BD13*BH13+$AP13-$AQ13)/$H13</f>
        <v>190.34025537927243</v>
      </c>
      <c r="BK13" s="25">
        <f ca="1">(BF13*BI13+$AP13-$AQ13)/$H13</f>
        <v>444.48184782376921</v>
      </c>
      <c r="BL13" s="23">
        <f t="shared" ca="1" si="18"/>
        <v>-6.1009353645609887E-2</v>
      </c>
      <c r="BM13" s="23">
        <f t="shared" ca="1" si="19"/>
        <v>0.11256640658534334</v>
      </c>
      <c r="BN13" s="95" t="s">
        <v>677</v>
      </c>
      <c r="BO13" s="93" t="s">
        <v>106</v>
      </c>
      <c r="BP13" s="95" t="s">
        <v>108</v>
      </c>
    </row>
    <row r="14" spans="1:68" ht="15" customHeight="1" x14ac:dyDescent="0.35">
      <c r="A14" s="86" t="e" vm="11">
        <v>#VALUE!</v>
      </c>
      <c r="B14" s="10" t="str">
        <f t="array" aca="1" ref="B14" ca="1">_FV(A14,"Símbolo bursátil",TRUE())</f>
        <v>SU</v>
      </c>
      <c r="C14" s="88" t="s">
        <v>107</v>
      </c>
      <c r="D14" s="88" t="s">
        <v>77</v>
      </c>
      <c r="E14" s="11" t="str">
        <f t="array" aca="1" ref="E14" ca="1">_FV(A14,"Abreviatura de intercambio",TRUE())</f>
        <v>XPAR</v>
      </c>
      <c r="F14" s="11" t="str">
        <f t="array" aca="1" ref="F14" ca="1">_FV(A14,"Moneda")</f>
        <v>EUR</v>
      </c>
      <c r="G14" s="12">
        <f t="array" aca="1" ref="G14" ca="1">_FV(A14,"Precio")</f>
        <v>296.25</v>
      </c>
      <c r="H14" s="13">
        <f t="array" aca="1" ref="H14" ca="1">_FV(A14,"Acciones en circulación",TRUE())/1000000</f>
        <v>578.60530000000006</v>
      </c>
      <c r="I14" s="14">
        <f t="shared" ca="1" si="0"/>
        <v>171411.82012500003</v>
      </c>
      <c r="J14" s="90">
        <v>1</v>
      </c>
      <c r="K14" s="90">
        <v>7</v>
      </c>
      <c r="L14" s="90">
        <v>3</v>
      </c>
      <c r="M14" s="90">
        <v>1</v>
      </c>
      <c r="N14" s="90">
        <v>0</v>
      </c>
      <c r="O14" s="90">
        <v>0.84</v>
      </c>
      <c r="P14" s="90">
        <v>1</v>
      </c>
      <c r="Q14" s="90">
        <v>0</v>
      </c>
      <c r="R14" s="15">
        <f t="shared" si="1"/>
        <v>13</v>
      </c>
      <c r="S14" s="16">
        <f t="shared" si="2"/>
        <v>8.1300000000000008</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3</v>
      </c>
      <c r="AI14" s="90">
        <v>8</v>
      </c>
      <c r="AJ14" s="90">
        <v>13</v>
      </c>
      <c r="AK14" s="90">
        <v>-3</v>
      </c>
      <c r="AL14" s="15">
        <f t="shared" si="5"/>
        <v>53</v>
      </c>
      <c r="AM14" s="16">
        <f t="shared" si="6"/>
        <v>7.57</v>
      </c>
      <c r="AN14" s="17">
        <f t="shared" si="7"/>
        <v>7.73</v>
      </c>
      <c r="AO14" s="18" t="s">
        <v>87</v>
      </c>
      <c r="AP14" s="19">
        <v>4520</v>
      </c>
      <c r="AQ14" s="19">
        <v>20810</v>
      </c>
      <c r="AR14" s="19">
        <f t="shared" ca="1" si="21"/>
        <v>187701.82012500003</v>
      </c>
      <c r="AS14" s="19">
        <v>6190</v>
      </c>
      <c r="AT14" s="19">
        <v>5727</v>
      </c>
      <c r="AU14" s="19">
        <v>8520</v>
      </c>
      <c r="AV14" s="19">
        <v>42040</v>
      </c>
      <c r="AW14" s="20">
        <f t="shared" ca="1" si="9"/>
        <v>30.323395819870765</v>
      </c>
      <c r="AX14" s="20">
        <f t="shared" ca="1" si="10"/>
        <v>22.030730061619721</v>
      </c>
      <c r="AY14" s="20">
        <f t="shared" ca="1" si="11"/>
        <v>4.4648387279971464</v>
      </c>
      <c r="AZ14" s="21">
        <v>43259</v>
      </c>
      <c r="BA14" s="22">
        <f t="shared" si="12"/>
        <v>0.13622740247383444</v>
      </c>
      <c r="BB14" s="22">
        <f t="shared" si="13"/>
        <v>0.97182089276219974</v>
      </c>
      <c r="BC14" s="23">
        <f t="shared" si="14"/>
        <v>0.13238863589079727</v>
      </c>
      <c r="BD14" s="98">
        <v>7899.8</v>
      </c>
      <c r="BE14" s="23">
        <f t="shared" si="15"/>
        <v>4.998982243148653E-2</v>
      </c>
      <c r="BF14">
        <v>11404.7</v>
      </c>
      <c r="BG14" s="23">
        <f t="shared" si="16"/>
        <v>0.13000051998546613</v>
      </c>
      <c r="BH14" s="24">
        <v>17.5</v>
      </c>
      <c r="BI14" s="24">
        <v>25</v>
      </c>
      <c r="BJ14" s="25">
        <f ca="1">(BD14*BH14+$AP14-$AQ14)/$H14</f>
        <v>210.77667280268602</v>
      </c>
      <c r="BK14" s="25">
        <f ca="1">(BF14*BI14+$AP14-$AQ14)/$H14</f>
        <v>464.61292352489681</v>
      </c>
      <c r="BL14" s="23">
        <f t="shared" ca="1" si="18"/>
        <v>-6.5815112928822916E-2</v>
      </c>
      <c r="BM14" s="23">
        <f t="shared" ca="1" si="19"/>
        <v>9.4174490275463096E-2</v>
      </c>
      <c r="BN14" s="95" t="s">
        <v>836</v>
      </c>
      <c r="BO14" s="93" t="s">
        <v>106</v>
      </c>
      <c r="BP14" s="93" t="s">
        <v>108</v>
      </c>
    </row>
    <row r="15" spans="1:68" ht="15" customHeight="1" x14ac:dyDescent="0.35">
      <c r="A15" s="86" t="e" vm="12">
        <v>#VALUE!</v>
      </c>
      <c r="B15" s="10" t="str">
        <f t="array" aca="1" ref="B15" ca="1">_FV(A15,"Símbolo bursátil",TRUE())</f>
        <v>ITX</v>
      </c>
      <c r="C15" s="88" t="s">
        <v>109</v>
      </c>
      <c r="D15" s="88" t="s">
        <v>77</v>
      </c>
      <c r="E15" s="11" t="str">
        <f t="array" aca="1" ref="E15" ca="1">_FV(A15,"Abreviatura de intercambio",TRUE())</f>
        <v>BMEX</v>
      </c>
      <c r="F15" s="11" t="str">
        <f t="array" aca="1" ref="F15" ca="1">_FV(A15,"Moneda")</f>
        <v>EUR</v>
      </c>
      <c r="G15" s="12">
        <f t="array" aca="1" ref="G15" ca="1">_FV(A15,"Precio")</f>
        <v>58.28</v>
      </c>
      <c r="H15" s="13">
        <f t="array" aca="1" ref="H15" ca="1">_FV(A15,"Acciones en circulación",TRUE())/1000000</f>
        <v>3116.652</v>
      </c>
      <c r="I15" s="14">
        <f t="shared" ca="1" si="0"/>
        <v>181638.47856000002</v>
      </c>
      <c r="J15" s="91">
        <v>0</v>
      </c>
      <c r="K15" s="91">
        <v>6.5</v>
      </c>
      <c r="L15" s="91">
        <v>1.5</v>
      </c>
      <c r="M15" s="91">
        <v>1</v>
      </c>
      <c r="N15" s="91">
        <v>0</v>
      </c>
      <c r="O15" s="91">
        <v>0.74</v>
      </c>
      <c r="P15" s="91">
        <v>1</v>
      </c>
      <c r="Q15" s="91">
        <v>1</v>
      </c>
      <c r="R15" s="26">
        <f t="shared" si="1"/>
        <v>11</v>
      </c>
      <c r="S15" s="16">
        <f t="shared" si="2"/>
        <v>6.88</v>
      </c>
      <c r="T15" s="91">
        <v>16</v>
      </c>
      <c r="U15" s="91">
        <v>17</v>
      </c>
      <c r="V15" s="91">
        <v>10</v>
      </c>
      <c r="W15" s="91">
        <v>10</v>
      </c>
      <c r="X15" s="91">
        <v>9</v>
      </c>
      <c r="Y15" s="91">
        <v>13</v>
      </c>
      <c r="Z15" s="91">
        <v>10</v>
      </c>
      <c r="AA15" s="91">
        <v>-8</v>
      </c>
      <c r="AB15" s="26">
        <f t="shared" si="3"/>
        <v>77</v>
      </c>
      <c r="AC15" s="16">
        <f t="shared" si="4"/>
        <v>7.7</v>
      </c>
      <c r="AD15" s="91">
        <v>15</v>
      </c>
      <c r="AE15" s="91">
        <v>-1</v>
      </c>
      <c r="AF15" s="91">
        <v>8</v>
      </c>
      <c r="AG15" s="91">
        <v>13</v>
      </c>
      <c r="AH15" s="91">
        <v>5</v>
      </c>
      <c r="AI15" s="91">
        <v>9</v>
      </c>
      <c r="AJ15" s="91">
        <v>13</v>
      </c>
      <c r="AK15" s="91">
        <v>-4</v>
      </c>
      <c r="AL15" s="26">
        <f t="shared" si="5"/>
        <v>58</v>
      </c>
      <c r="AM15" s="16">
        <f t="shared" si="6"/>
        <v>8.2899999999999991</v>
      </c>
      <c r="AN15" s="17">
        <f t="shared" si="7"/>
        <v>7.77</v>
      </c>
      <c r="AO15" s="18" t="s">
        <v>87</v>
      </c>
      <c r="AP15" s="19">
        <v>10800</v>
      </c>
      <c r="AQ15" s="19">
        <v>6040</v>
      </c>
      <c r="AR15" s="19">
        <f t="shared" ca="1" si="21"/>
        <v>176878.47856000002</v>
      </c>
      <c r="AS15" s="19">
        <v>7040</v>
      </c>
      <c r="AT15" s="19">
        <v>6327</v>
      </c>
      <c r="AU15" s="19">
        <v>9510</v>
      </c>
      <c r="AV15" s="19">
        <v>40340</v>
      </c>
      <c r="AW15" s="20">
        <f t="shared" ca="1" si="9"/>
        <v>25.124783886363637</v>
      </c>
      <c r="AX15" s="20">
        <f t="shared" ca="1" si="10"/>
        <v>18.5992091019979</v>
      </c>
      <c r="AY15" s="20">
        <f t="shared" ca="1" si="11"/>
        <v>4.3846920813088754</v>
      </c>
      <c r="AZ15" s="21">
        <v>24023</v>
      </c>
      <c r="BA15" s="22">
        <f t="shared" si="12"/>
        <v>0.15684184432325235</v>
      </c>
      <c r="BB15" s="22">
        <f t="shared" si="13"/>
        <v>1.679224076926279</v>
      </c>
      <c r="BC15" s="23">
        <f t="shared" si="14"/>
        <v>0.26337260125712858</v>
      </c>
      <c r="BD15" s="98">
        <v>8565</v>
      </c>
      <c r="BE15" s="23">
        <f t="shared" si="15"/>
        <v>3.9994258350512402E-2</v>
      </c>
      <c r="BF15">
        <v>10832</v>
      </c>
      <c r="BG15" s="23">
        <f t="shared" si="16"/>
        <v>9.0001758126663889E-2</v>
      </c>
      <c r="BH15" s="24">
        <v>16</v>
      </c>
      <c r="BI15" s="24">
        <v>24</v>
      </c>
      <c r="BJ15" s="25">
        <f ca="1">(BD15*BH15+$AP15-$AQ15)/$H15</f>
        <v>45.497540309280602</v>
      </c>
      <c r="BK15" s="25">
        <f ca="1">(BF15*BI15+$AP15-$AQ15)/$H15</f>
        <v>84.93986495765327</v>
      </c>
      <c r="BL15" s="23">
        <f t="shared" ca="1" si="18"/>
        <v>-4.8314012051720368E-2</v>
      </c>
      <c r="BM15" s="23">
        <f t="shared" ca="1" si="19"/>
        <v>7.8247362813344878E-2</v>
      </c>
      <c r="BN15" s="96" t="s">
        <v>677</v>
      </c>
      <c r="BO15" t="s">
        <v>110</v>
      </c>
      <c r="BP15" t="s">
        <v>94</v>
      </c>
    </row>
    <row r="16" spans="1:68" ht="15" customHeight="1" x14ac:dyDescent="0.35">
      <c r="A16" s="86" t="e" vm="13">
        <v>#VALUE!</v>
      </c>
      <c r="B16" s="10" t="str">
        <f t="array" aca="1" ref="B16" ca="1">_FV(A16,"Símbolo bursátil",TRUE())</f>
        <v>LOTB</v>
      </c>
      <c r="C16" s="88" t="s">
        <v>109</v>
      </c>
      <c r="D16" s="88" t="s">
        <v>77</v>
      </c>
      <c r="E16" s="11" t="str">
        <f t="array" aca="1" ref="E16" ca="1">_FV(A16,"Abreviatura de intercambio",TRUE())</f>
        <v>XBRU</v>
      </c>
      <c r="F16" s="11" t="str">
        <f t="array" aca="1" ref="F16" ca="1">_FV(A16,"Moneda")</f>
        <v>EUR</v>
      </c>
      <c r="G16" s="12">
        <f t="array" aca="1" ref="G16" ca="1">_FV(A16,"Precio")</f>
        <v>13100</v>
      </c>
      <c r="H16" s="13">
        <f t="array" aca="1" ref="H16" ca="1">_FV(A16,"Acciones en circulación",TRUE())/1000000</f>
        <v>0.81601000000000001</v>
      </c>
      <c r="I16" s="14">
        <f t="shared" ca="1" si="0"/>
        <v>10689.731</v>
      </c>
      <c r="J16" s="90">
        <v>0</v>
      </c>
      <c r="K16" s="90">
        <v>7</v>
      </c>
      <c r="L16" s="90">
        <v>3</v>
      </c>
      <c r="M16" s="90">
        <v>1</v>
      </c>
      <c r="N16" s="90">
        <v>-1</v>
      </c>
      <c r="O16" s="90">
        <v>0.76</v>
      </c>
      <c r="P16" s="90">
        <v>1</v>
      </c>
      <c r="Q16" s="90">
        <v>1</v>
      </c>
      <c r="R16" s="15">
        <f t="shared" si="1"/>
        <v>12</v>
      </c>
      <c r="S16" s="16">
        <f t="shared" si="2"/>
        <v>7.5</v>
      </c>
      <c r="T16" s="90">
        <v>16</v>
      </c>
      <c r="U16" s="90">
        <v>16</v>
      </c>
      <c r="V16" s="90">
        <v>14</v>
      </c>
      <c r="W16" s="90">
        <v>9</v>
      </c>
      <c r="X16" s="90">
        <v>9</v>
      </c>
      <c r="Y16" s="90">
        <v>13</v>
      </c>
      <c r="Z16" s="90">
        <v>10</v>
      </c>
      <c r="AA16" s="90">
        <v>-7</v>
      </c>
      <c r="AB16" s="15">
        <f t="shared" si="3"/>
        <v>80</v>
      </c>
      <c r="AC16" s="16">
        <f t="shared" si="4"/>
        <v>8</v>
      </c>
      <c r="AD16" s="90">
        <v>14</v>
      </c>
      <c r="AE16" s="90">
        <v>-1</v>
      </c>
      <c r="AF16" s="90">
        <v>6</v>
      </c>
      <c r="AG16" s="90">
        <v>13</v>
      </c>
      <c r="AH16" s="90">
        <v>4</v>
      </c>
      <c r="AI16" s="90">
        <v>9</v>
      </c>
      <c r="AJ16" s="90">
        <v>13</v>
      </c>
      <c r="AK16" s="90">
        <v>-3</v>
      </c>
      <c r="AL16" s="15">
        <f t="shared" si="5"/>
        <v>55</v>
      </c>
      <c r="AM16" s="16">
        <f t="shared" si="6"/>
        <v>7.86</v>
      </c>
      <c r="AN16" s="17">
        <f t="shared" si="7"/>
        <v>7.84</v>
      </c>
      <c r="AO16" s="18" t="s">
        <v>87</v>
      </c>
      <c r="AP16" s="19">
        <v>274</v>
      </c>
      <c r="AQ16" s="19">
        <v>409</v>
      </c>
      <c r="AR16" s="19">
        <f t="shared" ca="1" si="21"/>
        <v>10824.731</v>
      </c>
      <c r="AS16" s="19">
        <v>131.69999999999999</v>
      </c>
      <c r="AT16" s="19">
        <v>190</v>
      </c>
      <c r="AU16" s="19">
        <v>291</v>
      </c>
      <c r="AV16" s="19">
        <v>1450</v>
      </c>
      <c r="AW16" s="20">
        <f t="shared" ca="1" si="9"/>
        <v>82.192338648443439</v>
      </c>
      <c r="AX16" s="20">
        <f t="shared" ca="1" si="10"/>
        <v>37.198388316151203</v>
      </c>
      <c r="AY16" s="20">
        <f t="shared" ca="1" si="11"/>
        <v>7.4653317241379309</v>
      </c>
      <c r="AZ16" s="21">
        <v>1309</v>
      </c>
      <c r="BA16" s="22">
        <f t="shared" si="12"/>
        <v>0.1310344827586207</v>
      </c>
      <c r="BB16" s="22">
        <f t="shared" si="13"/>
        <v>1.1077158135981666</v>
      </c>
      <c r="BC16" s="23">
        <f t="shared" si="14"/>
        <v>0.14514896867838048</v>
      </c>
      <c r="BD16" s="98">
        <v>185</v>
      </c>
      <c r="BE16" s="23">
        <f t="shared" si="15"/>
        <v>7.0328748919836093E-2</v>
      </c>
      <c r="BF16">
        <v>243</v>
      </c>
      <c r="BG16" s="23">
        <f t="shared" si="16"/>
        <v>0.13032699494236311</v>
      </c>
      <c r="BH16" s="24">
        <v>15</v>
      </c>
      <c r="BI16" s="24">
        <v>25</v>
      </c>
      <c r="BJ16" s="25">
        <f ca="1">(BD16*BH16+$AP16-$AQ16)/$H16</f>
        <v>3235.2544699207119</v>
      </c>
      <c r="BK16" s="25">
        <f ca="1">(BF16*BI16+$AP16-$AQ16)/$H16</f>
        <v>7279.3225573216014</v>
      </c>
      <c r="BL16" s="23">
        <f t="shared" ca="1" si="18"/>
        <v>-0.24399019156889146</v>
      </c>
      <c r="BM16" s="23">
        <f t="shared" ca="1" si="19"/>
        <v>-0.11087272348127619</v>
      </c>
      <c r="BN16" s="95" t="s">
        <v>677</v>
      </c>
      <c r="BO16" s="95" t="s">
        <v>104</v>
      </c>
      <c r="BP16" s="95" t="s">
        <v>679</v>
      </c>
    </row>
    <row r="17" spans="1:68" ht="15" customHeight="1" x14ac:dyDescent="0.35">
      <c r="A17" s="86" t="e" vm="14">
        <v>#VALUE!</v>
      </c>
      <c r="B17" s="10" t="str">
        <f t="array" aca="1" ref="B17" ca="1">_FV(A17,"Símbolo bursátil",TRUE())</f>
        <v>HLMA</v>
      </c>
      <c r="C17" s="88" t="s">
        <v>112</v>
      </c>
      <c r="D17" s="88" t="s">
        <v>77</v>
      </c>
      <c r="E17" s="11" t="str">
        <f t="array" aca="1" ref="E17" ca="1">_FV(A17,"Abreviatura de intercambio",TRUE())</f>
        <v>XLON</v>
      </c>
      <c r="F17" s="11" t="str">
        <f t="array" aca="1" ref="F17" ca="1">_FV(A17,"Moneda")</f>
        <v>GBp</v>
      </c>
      <c r="G17" s="12">
        <f t="array" aca="1" ref="G17" ca="1">_FV(A17,"Precio")</f>
        <v>3576</v>
      </c>
      <c r="H17" s="13">
        <f t="array" aca="1" ref="H17" ca="1">_FV(A17,"Acciones en circulación",TRUE())/1000000</f>
        <v>379.64530000000002</v>
      </c>
      <c r="I17" s="14">
        <f ca="1">G17/100*H17</f>
        <v>13576.115927999999</v>
      </c>
      <c r="J17" s="91">
        <v>2</v>
      </c>
      <c r="K17" s="91">
        <v>6</v>
      </c>
      <c r="L17" s="91">
        <v>3</v>
      </c>
      <c r="M17" s="91">
        <v>1</v>
      </c>
      <c r="N17" s="91">
        <v>0</v>
      </c>
      <c r="O17" s="91">
        <v>0.86</v>
      </c>
      <c r="P17" s="91">
        <v>1</v>
      </c>
      <c r="Q17" s="91">
        <v>0</v>
      </c>
      <c r="R17" s="26">
        <f t="shared" si="1"/>
        <v>13</v>
      </c>
      <c r="S17" s="16">
        <f t="shared" si="2"/>
        <v>8.1300000000000008</v>
      </c>
      <c r="T17" s="91">
        <v>13</v>
      </c>
      <c r="U17" s="91">
        <v>15</v>
      </c>
      <c r="V17" s="91">
        <v>12</v>
      </c>
      <c r="W17" s="91">
        <v>10</v>
      </c>
      <c r="X17" s="91">
        <v>10</v>
      </c>
      <c r="Y17" s="91">
        <v>12</v>
      </c>
      <c r="Z17" s="91">
        <v>6</v>
      </c>
      <c r="AA17" s="91">
        <v>-7</v>
      </c>
      <c r="AB17" s="26">
        <f t="shared" si="3"/>
        <v>71</v>
      </c>
      <c r="AC17" s="16">
        <f t="shared" si="4"/>
        <v>7.1</v>
      </c>
      <c r="AD17" s="91">
        <v>15</v>
      </c>
      <c r="AE17" s="91">
        <v>-1</v>
      </c>
      <c r="AF17" s="91">
        <v>8</v>
      </c>
      <c r="AG17" s="91">
        <v>14</v>
      </c>
      <c r="AH17" s="91">
        <v>4</v>
      </c>
      <c r="AI17" s="91">
        <v>8</v>
      </c>
      <c r="AJ17" s="91">
        <v>13</v>
      </c>
      <c r="AK17" s="91">
        <v>-3</v>
      </c>
      <c r="AL17" s="26">
        <f t="shared" si="5"/>
        <v>58</v>
      </c>
      <c r="AM17" s="16">
        <f t="shared" si="6"/>
        <v>8.2899999999999991</v>
      </c>
      <c r="AN17" s="17">
        <f t="shared" si="7"/>
        <v>7.78</v>
      </c>
      <c r="AO17" s="18" t="s">
        <v>113</v>
      </c>
      <c r="AP17" s="19">
        <v>143.4</v>
      </c>
      <c r="AQ17" s="19">
        <v>913.4</v>
      </c>
      <c r="AR17" s="19">
        <f t="shared" ca="1" si="21"/>
        <v>14346.115927999999</v>
      </c>
      <c r="AS17" s="19">
        <v>425.7</v>
      </c>
      <c r="AT17" s="19">
        <v>403</v>
      </c>
      <c r="AU17" s="19">
        <v>622.79999999999995</v>
      </c>
      <c r="AV17" s="19">
        <v>2580</v>
      </c>
      <c r="AW17" s="20">
        <f t="shared" ca="1" si="9"/>
        <v>33.70006090674184</v>
      </c>
      <c r="AX17" s="20">
        <f t="shared" ca="1" si="10"/>
        <v>23.0348682209377</v>
      </c>
      <c r="AY17" s="20">
        <f t="shared" ca="1" si="11"/>
        <v>5.5605100496124029</v>
      </c>
      <c r="AZ17" s="21">
        <v>3191</v>
      </c>
      <c r="BA17" s="22">
        <f t="shared" si="12"/>
        <v>0.15620155038759689</v>
      </c>
      <c r="BB17" s="22">
        <f t="shared" si="13"/>
        <v>0.80852397367596363</v>
      </c>
      <c r="BC17" s="23">
        <f t="shared" si="14"/>
        <v>0.1262926982137261</v>
      </c>
      <c r="BD17" s="98">
        <v>543.29999999999995</v>
      </c>
      <c r="BE17" s="23">
        <f t="shared" si="15"/>
        <v>4.9994951586140646E-2</v>
      </c>
      <c r="BF17">
        <v>784.3</v>
      </c>
      <c r="BG17" s="23">
        <f t="shared" si="16"/>
        <v>0.12999289543283266</v>
      </c>
      <c r="BH17" s="24">
        <v>18</v>
      </c>
      <c r="BI17" s="24">
        <v>28</v>
      </c>
      <c r="BJ17" s="25">
        <f ca="1">(BD17*BH17+$AP17-$AQ17)/$H17*100</f>
        <v>2373.1098475340004</v>
      </c>
      <c r="BK17" s="25">
        <f ca="1">(BF17*BI17+$AP17-$AQ17)/$H17*100</f>
        <v>5581.6310645752746</v>
      </c>
      <c r="BL17" s="23">
        <f t="shared" ca="1" si="18"/>
        <v>-7.8736072982842797E-2</v>
      </c>
      <c r="BM17" s="23">
        <f t="shared" ca="1" si="19"/>
        <v>9.3132290707818255E-2</v>
      </c>
      <c r="BN17" s="95" t="s">
        <v>836</v>
      </c>
      <c r="BO17" s="94" t="s">
        <v>114</v>
      </c>
      <c r="BP17" s="93" t="s">
        <v>115</v>
      </c>
    </row>
    <row r="18" spans="1:68" ht="15" customHeight="1" x14ac:dyDescent="0.3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1137.27</v>
      </c>
      <c r="H18" s="13">
        <f t="array" aca="1" ref="H18" ca="1">_FV(A18,"Acciones en circulación",TRUE())/1000000</f>
        <v>21.597639999999998</v>
      </c>
      <c r="I18" s="14">
        <f t="shared" ref="I18:I25" ca="1" si="22">G18*H18</f>
        <v>24562.348042799997</v>
      </c>
      <c r="J18" s="90">
        <v>0</v>
      </c>
      <c r="K18" s="90">
        <v>8</v>
      </c>
      <c r="L18" s="90">
        <v>2</v>
      </c>
      <c r="M18" s="90">
        <v>1</v>
      </c>
      <c r="N18" s="90">
        <v>-1</v>
      </c>
      <c r="O18" s="90">
        <v>0.78</v>
      </c>
      <c r="P18" s="90">
        <v>1</v>
      </c>
      <c r="Q18" s="90">
        <v>0</v>
      </c>
      <c r="R18" s="15">
        <f t="shared" si="1"/>
        <v>11</v>
      </c>
      <c r="S18" s="16">
        <f t="shared" si="2"/>
        <v>6.88</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-7</v>
      </c>
      <c r="AL18" s="15">
        <f t="shared" si="5"/>
        <v>56</v>
      </c>
      <c r="AM18" s="16">
        <f t="shared" si="6"/>
        <v>8</v>
      </c>
      <c r="AN18" s="17">
        <f t="shared" si="7"/>
        <v>7.14</v>
      </c>
      <c r="AO18" s="18" t="s">
        <v>78</v>
      </c>
      <c r="AP18" s="19">
        <v>200</v>
      </c>
      <c r="AQ18" s="19">
        <v>2400</v>
      </c>
      <c r="AR18" s="19">
        <f t="shared" ca="1" si="21"/>
        <v>26762.348042799997</v>
      </c>
      <c r="AS18" s="19">
        <v>730</v>
      </c>
      <c r="AT18" s="19">
        <v>640</v>
      </c>
      <c r="AU18" s="19">
        <v>875</v>
      </c>
      <c r="AV18" s="19">
        <v>1720</v>
      </c>
      <c r="AW18" s="20">
        <f t="shared" ca="1" si="9"/>
        <v>36.660750743561643</v>
      </c>
      <c r="AX18" s="20">
        <f t="shared" ca="1" si="10"/>
        <v>30.585540620342854</v>
      </c>
      <c r="AY18" s="20">
        <f t="shared" ca="1" si="11"/>
        <v>15.55950467604651</v>
      </c>
      <c r="AZ18" s="21">
        <v>2200</v>
      </c>
      <c r="BA18" s="22">
        <f t="shared" si="12"/>
        <v>0.37209302325581395</v>
      </c>
      <c r="BB18" s="22">
        <f t="shared" si="13"/>
        <v>0.78181818181818186</v>
      </c>
      <c r="BC18" s="23">
        <f t="shared" si="14"/>
        <v>0.29090909090909089</v>
      </c>
      <c r="BD18" s="98">
        <v>1073</v>
      </c>
      <c r="BE18" s="23">
        <f t="shared" si="15"/>
        <v>8.0078627468473051E-2</v>
      </c>
      <c r="BF18" t="s">
        <v>116</v>
      </c>
      <c r="BG18" s="23">
        <f t="shared" si="16"/>
        <v>0.17999107424955563</v>
      </c>
      <c r="BH18" s="24">
        <v>18</v>
      </c>
      <c r="BI18" s="24">
        <v>26</v>
      </c>
      <c r="BJ18" s="25">
        <f t="shared" ref="BJ18:BJ25" ca="1" si="23">(BD18*BH18+$AP18-$AQ18)/$H18</f>
        <v>792.40139200394128</v>
      </c>
      <c r="BK18" s="25">
        <f t="shared" ref="BK18:BK25" ca="1" si="24">(BF18*BI18+$AP18-$AQ18)/$H18</f>
        <v>1908.5418592031353</v>
      </c>
      <c r="BL18" s="23">
        <f t="shared" ca="1" si="18"/>
        <v>-6.9714333956378272E-2</v>
      </c>
      <c r="BM18" s="23">
        <f t="shared" ca="1" si="19"/>
        <v>0.10909212414512681</v>
      </c>
      <c r="BN18" s="95" t="s">
        <v>836</v>
      </c>
      <c r="BO18" s="93" t="s">
        <v>84</v>
      </c>
      <c r="BP18" s="93" t="s">
        <v>117</v>
      </c>
    </row>
    <row r="19" spans="1:68" ht="15" customHeight="1" x14ac:dyDescent="0.35">
      <c r="A19" s="86" t="e" vm="16">
        <v>#VALUE!</v>
      </c>
      <c r="B19" s="10" t="str">
        <f t="array" aca="1" ref="B19" ca="1">_FV(A19,"Símbolo bursátil",TRUE())</f>
        <v>LIFCO B</v>
      </c>
      <c r="C19" s="88" t="s">
        <v>118</v>
      </c>
      <c r="D19" s="88" t="s">
        <v>77</v>
      </c>
      <c r="E19" s="11" t="str">
        <f t="array" aca="1" ref="E19" ca="1">_FV(A19,"Abreviatura de intercambio",TRUE())</f>
        <v>XSTO</v>
      </c>
      <c r="F19" s="11" t="str">
        <f t="array" aca="1" ref="F19" ca="1">_FV(A19,"Moneda")</f>
        <v>SEK</v>
      </c>
      <c r="G19" s="12">
        <f t="array" aca="1" ref="G19" ca="1">_FV(A19,"Precio")</f>
        <v>317.2</v>
      </c>
      <c r="H19" s="13">
        <f t="array" aca="1" ref="H19" ca="1">_FV(A19,"Acciones en circulación",TRUE())/1000000</f>
        <v>423.8365</v>
      </c>
      <c r="I19" s="14">
        <f t="shared" ca="1" si="22"/>
        <v>134440.93779999999</v>
      </c>
      <c r="J19" s="91">
        <v>0</v>
      </c>
      <c r="K19" s="91">
        <v>7</v>
      </c>
      <c r="L19" s="91">
        <v>3</v>
      </c>
      <c r="M19" s="91">
        <v>1</v>
      </c>
      <c r="N19" s="91">
        <v>0</v>
      </c>
      <c r="O19" s="91">
        <v>0.7</v>
      </c>
      <c r="P19" s="91">
        <v>0.5</v>
      </c>
      <c r="Q19" s="91">
        <v>1</v>
      </c>
      <c r="R19" s="26">
        <f t="shared" si="1"/>
        <v>12.5</v>
      </c>
      <c r="S19" s="16">
        <f t="shared" si="2"/>
        <v>7.81</v>
      </c>
      <c r="T19" s="91">
        <v>15</v>
      </c>
      <c r="U19" s="91">
        <v>15</v>
      </c>
      <c r="V19" s="91">
        <v>12</v>
      </c>
      <c r="W19" s="91">
        <v>10</v>
      </c>
      <c r="X19" s="91">
        <v>9</v>
      </c>
      <c r="Y19" s="91">
        <v>13</v>
      </c>
      <c r="Z19" s="91">
        <v>10</v>
      </c>
      <c r="AA19" s="91">
        <v>-7</v>
      </c>
      <c r="AB19" s="26">
        <f t="shared" si="3"/>
        <v>77</v>
      </c>
      <c r="AC19" s="16">
        <f t="shared" si="4"/>
        <v>7.7</v>
      </c>
      <c r="AD19" s="91">
        <v>14</v>
      </c>
      <c r="AE19" s="91">
        <v>-1</v>
      </c>
      <c r="AF19" s="91">
        <v>7</v>
      </c>
      <c r="AG19" s="91">
        <v>14</v>
      </c>
      <c r="AH19" s="91">
        <v>4</v>
      </c>
      <c r="AI19" s="91">
        <v>9</v>
      </c>
      <c r="AJ19" s="91">
        <v>13</v>
      </c>
      <c r="AK19" s="91">
        <v>-3</v>
      </c>
      <c r="AL19" s="26">
        <f t="shared" si="5"/>
        <v>57</v>
      </c>
      <c r="AM19" s="16">
        <f t="shared" si="6"/>
        <v>8.14</v>
      </c>
      <c r="AN19" s="17">
        <f t="shared" si="7"/>
        <v>7.9</v>
      </c>
      <c r="AO19" s="18" t="s">
        <v>119</v>
      </c>
      <c r="AP19" s="19">
        <v>3000</v>
      </c>
      <c r="AQ19" s="19">
        <v>12500</v>
      </c>
      <c r="AR19" s="19">
        <f t="shared" ca="1" si="21"/>
        <v>143940.93779999999</v>
      </c>
      <c r="AS19" s="19">
        <v>3800</v>
      </c>
      <c r="AT19" s="19">
        <v>3400</v>
      </c>
      <c r="AU19" s="19">
        <v>6627</v>
      </c>
      <c r="AV19" s="19">
        <v>29251</v>
      </c>
      <c r="AW19" s="20">
        <f t="shared" ca="1" si="9"/>
        <v>37.87919415789473</v>
      </c>
      <c r="AX19" s="20">
        <f t="shared" ca="1" si="10"/>
        <v>21.720376912630147</v>
      </c>
      <c r="AY19" s="20">
        <f t="shared" ca="1" si="11"/>
        <v>4.9208894670267682</v>
      </c>
      <c r="AZ19" s="21">
        <v>22000</v>
      </c>
      <c r="BA19" s="22">
        <f t="shared" si="12"/>
        <v>0.11623534238145704</v>
      </c>
      <c r="BB19" s="22">
        <f t="shared" si="13"/>
        <v>1.329590909090909</v>
      </c>
      <c r="BC19" s="23">
        <f t="shared" si="14"/>
        <v>0.15454545454545454</v>
      </c>
      <c r="BD19" s="98">
        <v>5330</v>
      </c>
      <c r="BE19" s="23">
        <f t="shared" si="15"/>
        <v>7.001218289169242E-2</v>
      </c>
      <c r="BF19" t="s">
        <v>120</v>
      </c>
      <c r="BG19" s="23">
        <f t="shared" si="16"/>
        <v>0.1699915026044907</v>
      </c>
      <c r="BH19" s="24">
        <v>16</v>
      </c>
      <c r="BI19" s="24">
        <v>26</v>
      </c>
      <c r="BJ19" s="25">
        <f t="shared" ca="1" si="23"/>
        <v>178.79536094696894</v>
      </c>
      <c r="BK19" s="25">
        <f t="shared" ca="1" si="24"/>
        <v>488.64597551178343</v>
      </c>
      <c r="BL19" s="23">
        <f t="shared" ca="1" si="18"/>
        <v>-0.10832905889492062</v>
      </c>
      <c r="BM19" s="23">
        <f t="shared" ca="1" si="19"/>
        <v>9.0265399313141259E-2</v>
      </c>
      <c r="BN19" s="95" t="s">
        <v>836</v>
      </c>
      <c r="BO19" s="93" t="s">
        <v>121</v>
      </c>
      <c r="BP19" s="93" t="s">
        <v>122</v>
      </c>
    </row>
    <row r="20" spans="1:68" ht="15" customHeight="1" x14ac:dyDescent="0.35">
      <c r="A20" s="86" t="e" vm="17">
        <v>#VALUE!</v>
      </c>
      <c r="B20" s="10" t="str">
        <f t="array" aca="1" ref="B20" ca="1">_FV(A20,"Símbolo bursátil",TRUE())</f>
        <v>EVD</v>
      </c>
      <c r="C20" s="88" t="s">
        <v>109</v>
      </c>
      <c r="D20" s="88" t="s">
        <v>77</v>
      </c>
      <c r="E20" s="11" t="str">
        <f t="array" aca="1" ref="E20" ca="1">_FV(A20,"Abreviatura de intercambio",TRUE())</f>
        <v>XFRA</v>
      </c>
      <c r="F20" s="11" t="str">
        <f t="array" aca="1" ref="F20" ca="1">_FV(A20,"Moneda")</f>
        <v>EUR</v>
      </c>
      <c r="G20" s="12">
        <f t="array" aca="1" ref="G20" ca="1">_FV(A20,"Precio")</f>
        <v>59.1</v>
      </c>
      <c r="H20" s="13">
        <f t="array" aca="1" ref="H20" ca="1">_FV(A20,"Acciones en circulación",TRUE())/1000000</f>
        <v>96</v>
      </c>
      <c r="I20" s="14">
        <f t="shared" ca="1" si="22"/>
        <v>5673.6</v>
      </c>
      <c r="J20" s="90">
        <v>0.5</v>
      </c>
      <c r="K20" s="90">
        <v>7</v>
      </c>
      <c r="L20" s="90">
        <v>2</v>
      </c>
      <c r="M20" s="90">
        <v>0.5</v>
      </c>
      <c r="N20" s="90">
        <v>-0.5</v>
      </c>
      <c r="O20" s="90">
        <v>0.5</v>
      </c>
      <c r="P20" s="90">
        <v>0.5</v>
      </c>
      <c r="Q20" s="90">
        <v>0.5</v>
      </c>
      <c r="R20" s="15">
        <f t="shared" si="1"/>
        <v>10.5</v>
      </c>
      <c r="S20" s="16">
        <f t="shared" si="2"/>
        <v>6.56</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6.7</v>
      </c>
      <c r="AO20" s="18" t="s">
        <v>87</v>
      </c>
      <c r="AP20" s="19">
        <v>1360</v>
      </c>
      <c r="AQ20" s="19">
        <v>120</v>
      </c>
      <c r="AR20" s="19">
        <f t="shared" ca="1" si="21"/>
        <v>4433.6000000000004</v>
      </c>
      <c r="AS20" s="19">
        <v>274</v>
      </c>
      <c r="AT20" s="19">
        <v>332</v>
      </c>
      <c r="AU20" s="19">
        <v>529</v>
      </c>
      <c r="AV20" s="19">
        <v>3300</v>
      </c>
      <c r="AW20" s="20">
        <f t="shared" ca="1" si="9"/>
        <v>16.181021897810222</v>
      </c>
      <c r="AX20" s="20">
        <f t="shared" ca="1" si="10"/>
        <v>8.3810964083175818</v>
      </c>
      <c r="AY20" s="20">
        <f t="shared" ca="1" si="11"/>
        <v>1.3435151515151516</v>
      </c>
      <c r="AZ20" s="21">
        <v>1573</v>
      </c>
      <c r="BA20" s="22">
        <f t="shared" si="12"/>
        <v>0.1006060606060606</v>
      </c>
      <c r="BB20" s="22">
        <f t="shared" si="13"/>
        <v>2.0979020979020979</v>
      </c>
      <c r="BC20" s="23">
        <f t="shared" si="14"/>
        <v>0.21106166560712014</v>
      </c>
      <c r="BD20" s="98">
        <v>287</v>
      </c>
      <c r="BE20" s="23">
        <f t="shared" si="15"/>
        <v>9.3139290534360875E-3</v>
      </c>
      <c r="BF20">
        <v>527.29999999999995</v>
      </c>
      <c r="BG20" s="23">
        <f t="shared" si="16"/>
        <v>0.1398860577051344</v>
      </c>
      <c r="BH20" s="24">
        <v>12</v>
      </c>
      <c r="BI20" s="24">
        <v>20</v>
      </c>
      <c r="BJ20" s="25">
        <f t="shared" ca="1" si="23"/>
        <v>48.791666666666664</v>
      </c>
      <c r="BK20" s="25">
        <f t="shared" ca="1" si="24"/>
        <v>122.77083333333333</v>
      </c>
      <c r="BL20" s="23">
        <f t="shared" ca="1" si="18"/>
        <v>-3.7608819307332841E-2</v>
      </c>
      <c r="BM20" s="23">
        <f t="shared" ca="1" si="19"/>
        <v>0.15744814854748856</v>
      </c>
      <c r="BN20" s="96" t="s">
        <v>677</v>
      </c>
      <c r="BO20" t="s">
        <v>92</v>
      </c>
      <c r="BP20" t="s">
        <v>123</v>
      </c>
    </row>
    <row r="21" spans="1:68" ht="15" customHeight="1" x14ac:dyDescent="0.35">
      <c r="A21" s="86" t="e" vm="18">
        <v>#VALUE!</v>
      </c>
      <c r="B21" s="10" t="str">
        <f t="array" aca="1" ref="B21" ca="1">_FV(A21,"Símbolo bursátil",TRUE())</f>
        <v>MNST</v>
      </c>
      <c r="C21" s="88" t="s">
        <v>109</v>
      </c>
      <c r="D21" s="88" t="s">
        <v>77</v>
      </c>
      <c r="E21" s="11" t="str">
        <f t="array" aca="1" ref="E21" ca="1">_FV(A21,"Abreviatura de intercambio",TRUE())</f>
        <v>XNAS</v>
      </c>
      <c r="F21" s="11" t="str">
        <f t="array" aca="1" ref="F21" ca="1">_FV(A21,"Moneda")</f>
        <v>USD</v>
      </c>
      <c r="G21" s="12">
        <f t="array" aca="1" ref="G21" ca="1">_FV(A21,"Precio")</f>
        <v>48.844999999999999</v>
      </c>
      <c r="H21" s="13">
        <f t="array" aca="1" ref="H21" ca="1">_FV(A21,"Acciones en circulación",TRUE())/1000000</f>
        <v>1956.0160000000001</v>
      </c>
      <c r="I21" s="14">
        <f t="shared" ca="1" si="22"/>
        <v>95541.601519999997</v>
      </c>
      <c r="J21" s="91">
        <v>0</v>
      </c>
      <c r="K21" s="91">
        <v>7</v>
      </c>
      <c r="L21" s="91">
        <v>2</v>
      </c>
      <c r="M21" s="91">
        <v>1</v>
      </c>
      <c r="N21" s="91">
        <v>-1</v>
      </c>
      <c r="O21" s="91">
        <v>0.78</v>
      </c>
      <c r="P21" s="91">
        <v>1</v>
      </c>
      <c r="Q21" s="91">
        <v>1</v>
      </c>
      <c r="R21" s="26">
        <f t="shared" si="1"/>
        <v>11</v>
      </c>
      <c r="S21" s="16">
        <f t="shared" si="2"/>
        <v>6.88</v>
      </c>
      <c r="T21" s="91">
        <v>16</v>
      </c>
      <c r="U21" s="91">
        <v>17</v>
      </c>
      <c r="V21" s="91">
        <v>12</v>
      </c>
      <c r="W21" s="91">
        <v>9</v>
      </c>
      <c r="X21" s="91">
        <v>9</v>
      </c>
      <c r="Y21" s="91">
        <v>12</v>
      </c>
      <c r="Z21" s="91">
        <v>9</v>
      </c>
      <c r="AA21" s="91">
        <v>-9</v>
      </c>
      <c r="AB21" s="26">
        <f t="shared" si="3"/>
        <v>75</v>
      </c>
      <c r="AC21" s="16">
        <f t="shared" si="4"/>
        <v>7.5</v>
      </c>
      <c r="AD21" s="91">
        <v>13</v>
      </c>
      <c r="AE21" s="91">
        <v>-1</v>
      </c>
      <c r="AF21" s="91">
        <v>9</v>
      </c>
      <c r="AG21" s="91">
        <v>12</v>
      </c>
      <c r="AH21" s="91">
        <v>5</v>
      </c>
      <c r="AI21" s="91">
        <v>9</v>
      </c>
      <c r="AJ21" s="91">
        <v>13</v>
      </c>
      <c r="AK21" s="91">
        <v>-4</v>
      </c>
      <c r="AL21" s="26">
        <f t="shared" si="5"/>
        <v>56</v>
      </c>
      <c r="AM21" s="16">
        <f t="shared" si="6"/>
        <v>8</v>
      </c>
      <c r="AN21" s="17">
        <f t="shared" si="7"/>
        <v>7.58</v>
      </c>
      <c r="AO21" s="18" t="s">
        <v>78</v>
      </c>
      <c r="AP21" s="19">
        <v>3419</v>
      </c>
      <c r="AQ21" s="19">
        <v>93</v>
      </c>
      <c r="AR21" s="19">
        <f t="shared" ca="1" si="21"/>
        <v>92215.601519999997</v>
      </c>
      <c r="AS21" s="19">
        <v>2100</v>
      </c>
      <c r="AT21" s="19">
        <v>2154</v>
      </c>
      <c r="AU21" s="19">
        <v>2930</v>
      </c>
      <c r="AV21" s="19">
        <v>9220</v>
      </c>
      <c r="AW21" s="20">
        <f t="shared" ca="1" si="9"/>
        <v>43.912191199999995</v>
      </c>
      <c r="AX21" s="20">
        <f t="shared" ca="1" si="10"/>
        <v>31.472901542662115</v>
      </c>
      <c r="AY21" s="20">
        <f t="shared" ca="1" si="11"/>
        <v>10.001692138828632</v>
      </c>
      <c r="AZ21" s="21">
        <v>9665</v>
      </c>
      <c r="BA21" s="22">
        <f t="shared" si="12"/>
        <v>0.23362255965292841</v>
      </c>
      <c r="BB21" s="22">
        <f t="shared" si="13"/>
        <v>0.95395757889291255</v>
      </c>
      <c r="BC21" s="23">
        <f t="shared" si="14"/>
        <v>0.22286601138127263</v>
      </c>
      <c r="BD21" s="98">
        <v>2555</v>
      </c>
      <c r="BE21" s="23">
        <f t="shared" si="15"/>
        <v>4.0002353139918068E-2</v>
      </c>
      <c r="BF21">
        <v>4043</v>
      </c>
      <c r="BG21" s="23">
        <f t="shared" si="16"/>
        <v>0.1399791003201496</v>
      </c>
      <c r="BH21" s="24">
        <v>18</v>
      </c>
      <c r="BI21" s="24">
        <v>24</v>
      </c>
      <c r="BJ21" s="25">
        <f t="shared" ca="1" si="23"/>
        <v>25.212472699609819</v>
      </c>
      <c r="BK21" s="25">
        <f t="shared" ca="1" si="24"/>
        <v>51.307351269110271</v>
      </c>
      <c r="BL21" s="23">
        <f t="shared" ca="1" si="18"/>
        <v>-0.12388913665846968</v>
      </c>
      <c r="BM21" s="23">
        <f t="shared" ca="1" si="19"/>
        <v>9.8849409169941005E-3</v>
      </c>
      <c r="BN21" s="95" t="s">
        <v>677</v>
      </c>
      <c r="BO21" s="93" t="s">
        <v>124</v>
      </c>
      <c r="BP21" s="95" t="s">
        <v>143</v>
      </c>
    </row>
    <row r="22" spans="1:68" ht="15" customHeight="1" x14ac:dyDescent="0.35">
      <c r="A22" s="86" t="e" vm="19">
        <v>#VALUE!</v>
      </c>
      <c r="B22" s="10" t="str">
        <f t="array" aca="1" ref="B22" ca="1">_FV(A22,"Símbolo bursátil",TRUE())</f>
        <v>ABNB</v>
      </c>
      <c r="C22" s="88" t="s">
        <v>109</v>
      </c>
      <c r="D22" s="88" t="s">
        <v>100</v>
      </c>
      <c r="E22" s="11" t="str">
        <f t="array" aca="1" ref="E22" ca="1">_FV(A22,"Abreviatura de intercambio",TRUE())</f>
        <v>XNAS</v>
      </c>
      <c r="F22" s="11" t="str">
        <f t="array" aca="1" ref="F22" ca="1">_FV(A22,"Moneda")</f>
        <v>USD</v>
      </c>
      <c r="G22" s="12">
        <f t="array" aca="1" ref="G22" ca="1">_FV(A22,"Precio")</f>
        <v>190.11</v>
      </c>
      <c r="H22" s="13">
        <f t="array" aca="1" ref="H22" ca="1">_FV(A22,"Acciones en circulación",TRUE())/1000000</f>
        <v>589.58569999999997</v>
      </c>
      <c r="I22" s="14">
        <f t="shared" ca="1" si="22"/>
        <v>112086.13742700001</v>
      </c>
      <c r="J22" s="90">
        <v>1.5</v>
      </c>
      <c r="K22" s="90">
        <v>6</v>
      </c>
      <c r="L22" s="90">
        <v>2</v>
      </c>
      <c r="M22" s="90">
        <v>1</v>
      </c>
      <c r="N22" s="90">
        <v>0</v>
      </c>
      <c r="O22" s="90">
        <v>0.82</v>
      </c>
      <c r="P22" s="90">
        <v>1</v>
      </c>
      <c r="Q22" s="90">
        <v>1</v>
      </c>
      <c r="R22" s="15">
        <f t="shared" si="1"/>
        <v>12.5</v>
      </c>
      <c r="S22" s="16">
        <f t="shared" si="2"/>
        <v>7.81</v>
      </c>
      <c r="T22" s="90">
        <v>14</v>
      </c>
      <c r="U22" s="90">
        <v>17</v>
      </c>
      <c r="V22" s="90">
        <v>14</v>
      </c>
      <c r="W22" s="90">
        <v>9</v>
      </c>
      <c r="X22" s="90">
        <v>7</v>
      </c>
      <c r="Y22" s="90">
        <v>12</v>
      </c>
      <c r="Z22" s="90">
        <v>9</v>
      </c>
      <c r="AA22" s="90">
        <v>-10</v>
      </c>
      <c r="AB22" s="15">
        <f t="shared" si="3"/>
        <v>72</v>
      </c>
      <c r="AC22" s="16">
        <f t="shared" si="4"/>
        <v>7.2</v>
      </c>
      <c r="AD22" s="90">
        <v>12</v>
      </c>
      <c r="AE22" s="90">
        <v>-2</v>
      </c>
      <c r="AF22" s="90">
        <v>10</v>
      </c>
      <c r="AG22" s="90">
        <v>11</v>
      </c>
      <c r="AH22" s="90">
        <v>4</v>
      </c>
      <c r="AI22" s="90">
        <v>8</v>
      </c>
      <c r="AJ22" s="90">
        <v>12</v>
      </c>
      <c r="AK22" s="90">
        <v>-5</v>
      </c>
      <c r="AL22" s="15">
        <f t="shared" si="5"/>
        <v>50</v>
      </c>
      <c r="AM22" s="16">
        <f t="shared" si="6"/>
        <v>7.14</v>
      </c>
      <c r="AN22" s="17">
        <f t="shared" si="7"/>
        <v>7.3</v>
      </c>
      <c r="AO22" s="18" t="s">
        <v>78</v>
      </c>
      <c r="AP22" s="19">
        <v>12069</v>
      </c>
      <c r="AQ22" s="19">
        <v>2496</v>
      </c>
      <c r="AR22" s="19">
        <f t="shared" ca="1" si="21"/>
        <v>102513.13742700001</v>
      </c>
      <c r="AS22" s="19">
        <v>4800</v>
      </c>
      <c r="AT22" s="19">
        <v>2081</v>
      </c>
      <c r="AU22" s="19">
        <v>2874</v>
      </c>
      <c r="AV22" s="19">
        <v>13159</v>
      </c>
      <c r="AW22" s="20">
        <f t="shared" ca="1" si="9"/>
        <v>21.356903630625002</v>
      </c>
      <c r="AX22" s="20">
        <f t="shared" ca="1" si="10"/>
        <v>35.669150113778706</v>
      </c>
      <c r="AY22" s="20">
        <f t="shared" ca="1" si="11"/>
        <v>7.7903440555513344</v>
      </c>
      <c r="AZ22" s="21">
        <v>10662</v>
      </c>
      <c r="BA22" s="22">
        <f t="shared" si="12"/>
        <v>0.15814271601185501</v>
      </c>
      <c r="BB22" s="22">
        <f t="shared" si="13"/>
        <v>1.2341962108422435</v>
      </c>
      <c r="BC22" s="23">
        <f t="shared" si="14"/>
        <v>0.19517914087413243</v>
      </c>
      <c r="BD22" s="98">
        <v>5100</v>
      </c>
      <c r="BE22" s="23">
        <f t="shared" si="15"/>
        <v>1.2198729249942586E-2</v>
      </c>
      <c r="BF22">
        <v>9655</v>
      </c>
      <c r="BG22" s="23">
        <f t="shared" si="16"/>
        <v>0.15001156585905306</v>
      </c>
      <c r="BH22" s="24">
        <v>16</v>
      </c>
      <c r="BI22" s="24">
        <v>24</v>
      </c>
      <c r="BJ22" s="25">
        <f t="shared" ca="1" si="23"/>
        <v>154.63909657238975</v>
      </c>
      <c r="BK22" s="25">
        <f t="shared" ca="1" si="24"/>
        <v>409.25856919528411</v>
      </c>
      <c r="BL22" s="23">
        <f t="shared" ca="1" si="18"/>
        <v>-4.0460475765684678E-2</v>
      </c>
      <c r="BM22" s="23">
        <f t="shared" ca="1" si="19"/>
        <v>0.1657315857896311</v>
      </c>
      <c r="BN22" s="95" t="s">
        <v>677</v>
      </c>
      <c r="BO22" s="95" t="s">
        <v>124</v>
      </c>
      <c r="BP22" s="95" t="s">
        <v>143</v>
      </c>
    </row>
    <row r="23" spans="1:68" ht="15" customHeight="1" x14ac:dyDescent="0.35">
      <c r="A23" s="86" t="e" vm="20">
        <v>#VALUE!</v>
      </c>
      <c r="B23" s="10" t="str">
        <f t="array" aca="1" ref="B23" ca="1">_FV(A23,"Símbolo bursátil",TRUE())</f>
        <v>DNP</v>
      </c>
      <c r="C23" s="88" t="s">
        <v>90</v>
      </c>
      <c r="D23" s="88" t="s">
        <v>90</v>
      </c>
      <c r="E23" s="11" t="str">
        <f t="array" aca="1" ref="E23" ca="1">_FV(A23,"Abreviatura de intercambio",TRUE())</f>
        <v>XWAR</v>
      </c>
      <c r="F23" s="11" t="str">
        <f t="array" aca="1" ref="F23" ca="1">_FV(A23,"Moneda")</f>
        <v>PLN</v>
      </c>
      <c r="G23" s="12">
        <f t="array" aca="1" ref="G23" ca="1">_FV(A23,"Precio")</f>
        <v>36.18</v>
      </c>
      <c r="H23" s="13">
        <f t="array" aca="1" ref="H23" ca="1">_FV(A23,"Acciones en circulación",TRUE())/1000000</f>
        <v>980.4</v>
      </c>
      <c r="I23" s="14">
        <f t="shared" ca="1" si="22"/>
        <v>35470.871999999996</v>
      </c>
      <c r="J23" s="91">
        <v>0.5</v>
      </c>
      <c r="K23" s="91">
        <v>7</v>
      </c>
      <c r="L23" s="91">
        <v>2</v>
      </c>
      <c r="M23" s="91">
        <v>1</v>
      </c>
      <c r="N23" s="91">
        <v>0</v>
      </c>
      <c r="O23" s="91">
        <v>0.3</v>
      </c>
      <c r="P23" s="91">
        <v>1</v>
      </c>
      <c r="Q23" s="91">
        <v>1</v>
      </c>
      <c r="R23" s="26">
        <f t="shared" si="1"/>
        <v>12.5</v>
      </c>
      <c r="S23" s="16">
        <f t="shared" si="2"/>
        <v>7.81</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7.48</v>
      </c>
      <c r="AO23" s="18" t="s">
        <v>125</v>
      </c>
      <c r="AP23" s="19">
        <v>771</v>
      </c>
      <c r="AQ23" s="19">
        <v>852</v>
      </c>
      <c r="AR23" s="19">
        <f t="shared" ca="1" si="21"/>
        <v>35551.871999999996</v>
      </c>
      <c r="AS23" s="19">
        <v>1681</v>
      </c>
      <c r="AT23" s="19">
        <v>1656</v>
      </c>
      <c r="AU23" s="19">
        <v>2609</v>
      </c>
      <c r="AV23" s="19">
        <v>35628</v>
      </c>
      <c r="AW23" s="20">
        <f t="shared" ca="1" si="9"/>
        <v>21.149239738251037</v>
      </c>
      <c r="AX23" s="20">
        <f t="shared" ca="1" si="10"/>
        <v>13.626627826753543</v>
      </c>
      <c r="AY23" s="20">
        <f t="shared" ca="1" si="11"/>
        <v>0.99786325362074757</v>
      </c>
      <c r="AZ23" s="21">
        <v>9909</v>
      </c>
      <c r="BA23" s="22">
        <f t="shared" si="12"/>
        <v>4.6480296396092961E-2</v>
      </c>
      <c r="BB23" s="22">
        <f t="shared" si="13"/>
        <v>3.5955192249470178</v>
      </c>
      <c r="BC23" s="23">
        <f t="shared" si="14"/>
        <v>0.16712079927338783</v>
      </c>
      <c r="BD23" s="98">
        <v>1900</v>
      </c>
      <c r="BE23" s="23">
        <f t="shared" si="15"/>
        <v>2.4795424020782386E-2</v>
      </c>
      <c r="BF23">
        <v>3381</v>
      </c>
      <c r="BG23" s="23">
        <f t="shared" si="16"/>
        <v>0.1499937802242195</v>
      </c>
      <c r="BH23" s="24">
        <v>15</v>
      </c>
      <c r="BI23" s="24">
        <v>20</v>
      </c>
      <c r="BJ23" s="25">
        <f t="shared" ca="1" si="23"/>
        <v>28.98714810281518</v>
      </c>
      <c r="BK23" s="25">
        <f t="shared" ca="1" si="24"/>
        <v>68.889228886168908</v>
      </c>
      <c r="BL23" s="23">
        <f t="shared" ca="1" si="18"/>
        <v>-4.3362534677412246E-2</v>
      </c>
      <c r="BM23" s="23">
        <f t="shared" ca="1" si="19"/>
        <v>0.13746109747208712</v>
      </c>
      <c r="BN23" s="96" t="s">
        <v>677</v>
      </c>
      <c r="BO23" s="96" t="s">
        <v>88</v>
      </c>
      <c r="BP23" s="96" t="s">
        <v>676</v>
      </c>
    </row>
    <row r="24" spans="1:68" ht="15" customHeight="1" x14ac:dyDescent="0.35">
      <c r="A24" s="86" t="e" vm="21">
        <v>#VALUE!</v>
      </c>
      <c r="B24" s="10" t="str">
        <f t="array" aca="1" ref="B24" ca="1">_FV(A24,"Símbolo bursátil",TRUE())</f>
        <v>VLTO</v>
      </c>
      <c r="C24" s="88" t="s">
        <v>118</v>
      </c>
      <c r="D24" s="88" t="s">
        <v>77</v>
      </c>
      <c r="E24" s="11" t="str">
        <f t="array" aca="1" ref="E24" ca="1">_FV(A24,"Abreviatura de intercambio",TRUE())</f>
        <v>XNYS</v>
      </c>
      <c r="F24" s="11" t="str">
        <f t="array" aca="1" ref="F24" ca="1">_FV(A24,"Moneda")</f>
        <v>USD</v>
      </c>
      <c r="G24" s="12">
        <f t="array" aca="1" ref="G24" ca="1">_FV(A24,"Precio")</f>
        <v>98.844999999999999</v>
      </c>
      <c r="H24" s="13">
        <f t="array" aca="1" ref="H24" ca="1">_FV(A24,"Acciones en circulación",TRUE())/1000000</f>
        <v>243.79329999999999</v>
      </c>
      <c r="I24" s="14">
        <f t="shared" ca="1" si="22"/>
        <v>24097.748738499999</v>
      </c>
      <c r="J24" s="90">
        <v>2</v>
      </c>
      <c r="K24" s="90">
        <v>6.5</v>
      </c>
      <c r="L24" s="90">
        <v>1</v>
      </c>
      <c r="M24" s="90">
        <v>1</v>
      </c>
      <c r="N24" s="90">
        <v>0</v>
      </c>
      <c r="O24" s="90">
        <v>0</v>
      </c>
      <c r="P24" s="90">
        <v>0</v>
      </c>
      <c r="Q24" s="90">
        <v>0</v>
      </c>
      <c r="R24" s="15">
        <f t="shared" si="1"/>
        <v>10.5</v>
      </c>
      <c r="S24" s="16">
        <f t="shared" si="2"/>
        <v>6.56</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7.3</v>
      </c>
      <c r="AO24" s="18" t="s">
        <v>78</v>
      </c>
      <c r="AP24" s="19">
        <v>2120</v>
      </c>
      <c r="AQ24" s="19">
        <v>3590</v>
      </c>
      <c r="AR24" s="19">
        <f t="shared" ca="1" si="21"/>
        <v>25567.748738499999</v>
      </c>
      <c r="AS24" s="19">
        <v>1050</v>
      </c>
      <c r="AT24" s="19">
        <v>1062</v>
      </c>
      <c r="AU24" s="19">
        <v>1390</v>
      </c>
      <c r="AV24" s="19">
        <v>5700</v>
      </c>
      <c r="AW24" s="20">
        <f t="shared" ca="1" si="9"/>
        <v>24.350236893809523</v>
      </c>
      <c r="AX24" s="20">
        <f t="shared" ca="1" si="10"/>
        <v>18.39406384064748</v>
      </c>
      <c r="AY24" s="20">
        <f t="shared" ca="1" si="11"/>
        <v>4.4855699541228065</v>
      </c>
      <c r="AZ24" s="21">
        <v>6501</v>
      </c>
      <c r="BA24" s="22">
        <f t="shared" si="12"/>
        <v>0.18631578947368421</v>
      </c>
      <c r="BB24" s="22">
        <f t="shared" si="13"/>
        <v>0.8767881864328565</v>
      </c>
      <c r="BC24" s="23">
        <f t="shared" si="14"/>
        <v>0.16335948315643747</v>
      </c>
      <c r="BD24" s="98">
        <v>1277.2</v>
      </c>
      <c r="BE24" s="23">
        <f t="shared" si="15"/>
        <v>3.9953503039349858E-2</v>
      </c>
      <c r="BF24">
        <v>1850.9</v>
      </c>
      <c r="BG24" s="23">
        <f t="shared" si="16"/>
        <v>0.12005340658633479</v>
      </c>
      <c r="BH24" s="24">
        <v>12.5</v>
      </c>
      <c r="BI24" s="24">
        <v>20</v>
      </c>
      <c r="BJ24" s="25">
        <f t="shared" ca="1" si="23"/>
        <v>59.456104823225253</v>
      </c>
      <c r="BK24" s="25">
        <f t="shared" ca="1" si="24"/>
        <v>145.81204651645473</v>
      </c>
      <c r="BL24" s="23">
        <f t="shared" ca="1" si="18"/>
        <v>-9.6666014737439077E-2</v>
      </c>
      <c r="BM24" s="23">
        <f t="shared" ca="1" si="19"/>
        <v>8.0855756616710517E-2</v>
      </c>
      <c r="BN24" s="95" t="s">
        <v>677</v>
      </c>
      <c r="BO24" s="93" t="s">
        <v>127</v>
      </c>
      <c r="BP24" s="93" t="s">
        <v>128</v>
      </c>
    </row>
    <row r="25" spans="1:68" ht="15" customHeight="1" x14ac:dyDescent="0.35">
      <c r="A25" s="86" t="e" vm="22">
        <v>#VALUE!</v>
      </c>
      <c r="B25" s="10" t="str">
        <f t="array" aca="1" ref="B25" ca="1">_FV(A25,"Símbolo bursátil",TRUE())</f>
        <v>LR</v>
      </c>
      <c r="C25" s="88" t="s">
        <v>107</v>
      </c>
      <c r="D25" s="88" t="s">
        <v>77</v>
      </c>
      <c r="E25" s="11" t="str">
        <f t="array" aca="1" ref="E25" ca="1">_FV(A25,"Abreviatura de intercambio",TRUE())</f>
        <v>XPAR</v>
      </c>
      <c r="F25" s="11" t="str">
        <f t="array" aca="1" ref="F25" ca="1">_FV(A25,"Moneda")</f>
        <v>EUR</v>
      </c>
      <c r="G25" s="12">
        <f t="array" aca="1" ref="G25" ca="1">_FV(A25,"Precio")</f>
        <v>136.5</v>
      </c>
      <c r="H25" s="13">
        <f t="array" aca="1" ref="H25" ca="1">_FV(A25,"Acciones en circulación",TRUE())/1000000</f>
        <v>262.2457</v>
      </c>
      <c r="I25" s="14">
        <f t="shared" ca="1" si="22"/>
        <v>35796.538050000003</v>
      </c>
      <c r="J25" s="91">
        <v>1</v>
      </c>
      <c r="K25" s="91">
        <v>6</v>
      </c>
      <c r="L25" s="91">
        <v>2</v>
      </c>
      <c r="M25" s="91">
        <v>1</v>
      </c>
      <c r="N25" s="91">
        <v>0</v>
      </c>
      <c r="O25" s="91">
        <v>1</v>
      </c>
      <c r="P25" s="91">
        <v>0</v>
      </c>
      <c r="Q25" s="91">
        <v>0</v>
      </c>
      <c r="R25" s="26">
        <f t="shared" si="1"/>
        <v>10</v>
      </c>
      <c r="S25" s="16">
        <f t="shared" si="2"/>
        <v>6.25</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6.98</v>
      </c>
      <c r="AO25" s="18" t="s">
        <v>87</v>
      </c>
      <c r="AP25" s="19">
        <v>1971</v>
      </c>
      <c r="AQ25" s="19">
        <v>7724</v>
      </c>
      <c r="AR25" s="19">
        <f t="shared" ca="1" si="21"/>
        <v>41549.538050000003</v>
      </c>
      <c r="AS25" s="19">
        <v>1340</v>
      </c>
      <c r="AT25" s="19">
        <v>1409</v>
      </c>
      <c r="AU25" s="19">
        <v>2319</v>
      </c>
      <c r="AV25" s="19">
        <v>10107</v>
      </c>
      <c r="AW25" s="20">
        <f t="shared" ca="1" si="9"/>
        <v>31.007117947761195</v>
      </c>
      <c r="AX25" s="20">
        <f t="shared" ca="1" si="10"/>
        <v>17.917006489866324</v>
      </c>
      <c r="AY25" s="20">
        <f t="shared" ca="1" si="11"/>
        <v>4.1109664638369452</v>
      </c>
      <c r="AZ25" s="21">
        <v>15683</v>
      </c>
      <c r="BA25" s="22">
        <f t="shared" si="12"/>
        <v>0.13940833085980014</v>
      </c>
      <c r="BB25" s="22">
        <f t="shared" si="13"/>
        <v>0.64445578014410509</v>
      </c>
      <c r="BC25" s="23">
        <f t="shared" si="14"/>
        <v>8.9842504622840019E-2</v>
      </c>
      <c r="BD25" s="98">
        <v>1794</v>
      </c>
      <c r="BE25" s="23">
        <f t="shared" si="15"/>
        <v>6.0091929105499542E-2</v>
      </c>
      <c r="BF25">
        <v>2696</v>
      </c>
      <c r="BG25" s="23">
        <f t="shared" si="16"/>
        <v>0.15006667139119911</v>
      </c>
      <c r="BH25" s="24">
        <v>13</v>
      </c>
      <c r="BI25" s="24">
        <v>24</v>
      </c>
      <c r="BJ25" s="25">
        <f t="shared" ca="1" si="23"/>
        <v>66.994425456737702</v>
      </c>
      <c r="BK25" s="25">
        <f t="shared" ca="1" si="24"/>
        <v>224.79300899881295</v>
      </c>
      <c r="BL25" s="23">
        <f t="shared" ca="1" si="18"/>
        <v>-0.13267632141108832</v>
      </c>
      <c r="BM25" s="23">
        <f t="shared" ca="1" si="19"/>
        <v>0.10491795222211375</v>
      </c>
      <c r="BN25" s="95" t="s">
        <v>677</v>
      </c>
      <c r="BO25" s="95" t="s">
        <v>124</v>
      </c>
      <c r="BP25" s="95" t="s">
        <v>143</v>
      </c>
    </row>
    <row r="26" spans="1:68" ht="15" customHeight="1" x14ac:dyDescent="0.35">
      <c r="A26" s="86" t="e" vm="23">
        <v>#VALUE!</v>
      </c>
      <c r="B26" s="10" t="str">
        <f t="array" aca="1" ref="B26" ca="1">_FV(A26,"Símbolo bursátil",TRUE())</f>
        <v>JDG</v>
      </c>
      <c r="C26" s="88" t="s">
        <v>112</v>
      </c>
      <c r="D26" s="88" t="s">
        <v>77</v>
      </c>
      <c r="E26" s="11" t="str">
        <f t="array" aca="1" ref="E26" ca="1">_FV(A26,"Abreviatura de intercambio",TRUE())</f>
        <v>XLON</v>
      </c>
      <c r="F26" s="11" t="str">
        <f t="array" aca="1" ref="F26" ca="1">_FV(A26,"Moneda")</f>
        <v>GBp</v>
      </c>
      <c r="G26" s="12">
        <f t="array" aca="1" ref="G26" ca="1">_FV(A26,"Precio")</f>
        <v>4050</v>
      </c>
      <c r="H26" s="13">
        <f t="array" aca="1" ref="H26" ca="1">_FV(A26,"Acciones en circulación",TRUE())/1000000</f>
        <v>6.6606899999999998</v>
      </c>
      <c r="I26" s="14">
        <f ca="1">G26/100*H26</f>
        <v>269.75794500000001</v>
      </c>
      <c r="J26" s="90">
        <v>1</v>
      </c>
      <c r="K26" s="90">
        <v>5</v>
      </c>
      <c r="L26" s="90">
        <v>2</v>
      </c>
      <c r="M26" s="90">
        <v>0</v>
      </c>
      <c r="N26" s="90">
        <v>0</v>
      </c>
      <c r="O26" s="90">
        <v>1</v>
      </c>
      <c r="P26" s="90">
        <v>1</v>
      </c>
      <c r="Q26" s="90">
        <v>1</v>
      </c>
      <c r="R26" s="15">
        <f t="shared" si="1"/>
        <v>10</v>
      </c>
      <c r="S26" s="16">
        <f t="shared" si="2"/>
        <v>6.25</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6.75</v>
      </c>
      <c r="AO26" s="18" t="s">
        <v>113</v>
      </c>
      <c r="AP26" s="19">
        <v>19.399999999999999</v>
      </c>
      <c r="AQ26" s="19">
        <v>65.2</v>
      </c>
      <c r="AR26" s="19">
        <f t="shared" ca="1" si="21"/>
        <v>315.55794500000002</v>
      </c>
      <c r="AS26" s="19">
        <v>24.2</v>
      </c>
      <c r="AT26" s="19">
        <v>8.4</v>
      </c>
      <c r="AU26" s="19">
        <v>29.2</v>
      </c>
      <c r="AV26" s="19">
        <v>145.80000000000001</v>
      </c>
      <c r="AW26" s="20">
        <f t="shared" ca="1" si="9"/>
        <v>13.039584504132232</v>
      </c>
      <c r="AX26" s="20">
        <f t="shared" ca="1" si="10"/>
        <v>10.806778938356166</v>
      </c>
      <c r="AY26" s="20">
        <f t="shared" ca="1" si="11"/>
        <v>2.1643206104252402</v>
      </c>
      <c r="AZ26" s="21">
        <v>158</v>
      </c>
      <c r="BA26" s="22">
        <f t="shared" si="12"/>
        <v>5.761316872427983E-2</v>
      </c>
      <c r="BB26" s="22">
        <f t="shared" si="13"/>
        <v>0.92278481012658231</v>
      </c>
      <c r="BC26" s="23">
        <f t="shared" si="14"/>
        <v>5.3164556962025315E-2</v>
      </c>
      <c r="BD26" s="98">
        <v>25.9</v>
      </c>
      <c r="BE26" s="23">
        <f t="shared" si="15"/>
        <v>1.3670667699461791E-2</v>
      </c>
      <c r="BF26">
        <v>55.7</v>
      </c>
      <c r="BG26" s="23">
        <f t="shared" si="16"/>
        <v>0.18142992153499971</v>
      </c>
      <c r="BH26" s="24">
        <v>10</v>
      </c>
      <c r="BI26" s="24">
        <v>20</v>
      </c>
      <c r="BJ26" s="25">
        <f ca="1">(BD26*BH26+$AP26-$AQ26)/$H26*100</f>
        <v>3200.8695795780918</v>
      </c>
      <c r="BK26" s="25">
        <f ca="1">(BF26*BI26+$AP26-$AQ26)/$H26*100</f>
        <v>16037.377508936763</v>
      </c>
      <c r="BL26" s="23">
        <f t="shared" ca="1" si="18"/>
        <v>-4.596877066919991E-2</v>
      </c>
      <c r="BM26" s="23">
        <f t="shared" ca="1" si="19"/>
        <v>0.31684805256802173</v>
      </c>
      <c r="BN26" s="95" t="s">
        <v>677</v>
      </c>
      <c r="BO26" s="95" t="s">
        <v>146</v>
      </c>
      <c r="BP26" s="95" t="s">
        <v>680</v>
      </c>
    </row>
    <row r="27" spans="1:68" ht="15" customHeight="1" x14ac:dyDescent="0.35">
      <c r="A27" s="86" t="e" vm="24">
        <v>#VALUE!</v>
      </c>
      <c r="B27" s="10" t="str">
        <f t="array" aca="1" ref="B27" ca="1">_FV(A27,"Símbolo bursátil",TRUE())</f>
        <v>STMN</v>
      </c>
      <c r="C27" s="88" t="s">
        <v>112</v>
      </c>
      <c r="D27" s="88" t="s">
        <v>77</v>
      </c>
      <c r="E27" s="11" t="str">
        <f t="array" aca="1" ref="E27" ca="1">_FV(A27,"Abreviatura de intercambio",TRUE())</f>
        <v>XSWX</v>
      </c>
      <c r="F27" s="11" t="str">
        <f t="array" aca="1" ref="F27" ca="1">_FV(A27,"Moneda")</f>
        <v>CHF</v>
      </c>
      <c r="G27" s="12">
        <f t="array" aca="1" ref="G27" ca="1">_FV(A27,"Precio")</f>
        <v>91.54</v>
      </c>
      <c r="H27" s="13">
        <f t="array" aca="1" ref="H27" ca="1">_FV(A27,"Acciones en circulación",TRUE())/1000000</f>
        <v>159.45519999999999</v>
      </c>
      <c r="I27" s="14">
        <f t="shared" ref="I27:I60" ca="1" si="25">G27*H27</f>
        <v>14596.529008</v>
      </c>
      <c r="J27" s="91">
        <v>2</v>
      </c>
      <c r="K27" s="91">
        <v>6</v>
      </c>
      <c r="L27" s="91">
        <v>2</v>
      </c>
      <c r="M27" s="91">
        <v>0</v>
      </c>
      <c r="N27" s="91">
        <v>0</v>
      </c>
      <c r="O27" s="91">
        <v>1</v>
      </c>
      <c r="P27" s="91">
        <v>0</v>
      </c>
      <c r="Q27" s="91">
        <v>0</v>
      </c>
      <c r="R27" s="26">
        <f t="shared" si="1"/>
        <v>10</v>
      </c>
      <c r="S27" s="16">
        <f t="shared" si="2"/>
        <v>6.25</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6.71</v>
      </c>
      <c r="AO27" s="18" t="s">
        <v>129</v>
      </c>
      <c r="AP27" s="19">
        <v>415</v>
      </c>
      <c r="AQ27" s="19">
        <v>475</v>
      </c>
      <c r="AR27" s="19">
        <f t="shared" ca="1" si="21"/>
        <v>14656.529008</v>
      </c>
      <c r="AS27" s="19">
        <v>384</v>
      </c>
      <c r="AT27" s="19">
        <v>528</v>
      </c>
      <c r="AU27" s="19">
        <v>779</v>
      </c>
      <c r="AV27" s="19">
        <v>2637</v>
      </c>
      <c r="AW27" s="20">
        <f t="shared" ca="1" si="9"/>
        <v>38.168044291666668</v>
      </c>
      <c r="AX27" s="20">
        <f t="shared" ca="1" si="10"/>
        <v>18.814543014120666</v>
      </c>
      <c r="AY27" s="20">
        <f t="shared" ca="1" si="11"/>
        <v>5.5580314781949181</v>
      </c>
      <c r="AZ27" s="21">
        <v>3139</v>
      </c>
      <c r="BA27" s="22">
        <f t="shared" si="12"/>
        <v>0.20022753128555176</v>
      </c>
      <c r="BB27" s="22">
        <f t="shared" si="13"/>
        <v>0.84007645747053206</v>
      </c>
      <c r="BC27" s="23">
        <f t="shared" si="14"/>
        <v>0.16820643517043646</v>
      </c>
      <c r="BD27" s="98">
        <v>514</v>
      </c>
      <c r="BE27" s="23">
        <f t="shared" si="15"/>
        <v>6.0050069698980524E-2</v>
      </c>
      <c r="BF27">
        <v>807</v>
      </c>
      <c r="BG27" s="23">
        <f t="shared" si="16"/>
        <v>0.160134820735226</v>
      </c>
      <c r="BH27" s="24">
        <v>18</v>
      </c>
      <c r="BI27" s="24">
        <v>25</v>
      </c>
      <c r="BJ27" s="25">
        <f t="shared" ref="BJ27:BJ32" ca="1" si="26">(BD27*BH27+$AP27-$AQ27)/$H27</f>
        <v>57.646285602476432</v>
      </c>
      <c r="BK27" s="25">
        <f t="shared" ref="BK27:BK32" ca="1" si="27">(BF27*BI27+$AP27-$AQ27)/$H27</f>
        <v>126.14828491011896</v>
      </c>
      <c r="BL27" s="23">
        <f t="shared" ca="1" si="18"/>
        <v>-8.8341712743059575E-2</v>
      </c>
      <c r="BM27" s="23">
        <f t="shared" ca="1" si="19"/>
        <v>6.6237833093061527E-2</v>
      </c>
      <c r="BN27" s="95" t="s">
        <v>677</v>
      </c>
      <c r="BO27" s="100" t="s">
        <v>130</v>
      </c>
      <c r="BP27" s="95" t="s">
        <v>108</v>
      </c>
    </row>
    <row r="28" spans="1:68" ht="15" customHeight="1" x14ac:dyDescent="0.3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568.70000000000005</v>
      </c>
      <c r="H28" s="13">
        <f t="array" aca="1" ref="H28" ca="1">_FV(A28,"Acciones en circulación",TRUE())/1000000</f>
        <v>2547.5059999999999</v>
      </c>
      <c r="I28" s="14">
        <f t="shared" ca="1" si="25"/>
        <v>1448766.6622000001</v>
      </c>
      <c r="J28" s="90">
        <v>-0.5</v>
      </c>
      <c r="K28" s="90">
        <v>7</v>
      </c>
      <c r="L28" s="90">
        <v>2</v>
      </c>
      <c r="M28" s="90">
        <v>1</v>
      </c>
      <c r="N28" s="90">
        <v>-1</v>
      </c>
      <c r="O28" s="90">
        <v>0</v>
      </c>
      <c r="P28" s="90">
        <v>1</v>
      </c>
      <c r="Q28" s="90">
        <v>1</v>
      </c>
      <c r="R28" s="15">
        <f t="shared" si="1"/>
        <v>10.5</v>
      </c>
      <c r="S28" s="16">
        <f t="shared" si="2"/>
        <v>6.56</v>
      </c>
      <c r="T28" s="90">
        <v>15</v>
      </c>
      <c r="U28" s="90">
        <v>18</v>
      </c>
      <c r="V28" s="90">
        <v>12</v>
      </c>
      <c r="W28" s="90">
        <v>8</v>
      </c>
      <c r="X28" s="90">
        <v>8</v>
      </c>
      <c r="Y28" s="90">
        <v>10</v>
      </c>
      <c r="Z28" s="90">
        <v>9</v>
      </c>
      <c r="AA28" s="90">
        <v>-15</v>
      </c>
      <c r="AB28" s="15">
        <f t="shared" si="3"/>
        <v>65</v>
      </c>
      <c r="AC28" s="16">
        <f t="shared" si="4"/>
        <v>6.5</v>
      </c>
      <c r="AD28" s="90">
        <v>12</v>
      </c>
      <c r="AE28" s="90">
        <v>-3</v>
      </c>
      <c r="AF28" s="90">
        <v>5</v>
      </c>
      <c r="AG28" s="90">
        <v>12</v>
      </c>
      <c r="AH28" s="90">
        <v>3</v>
      </c>
      <c r="AI28" s="90">
        <v>8</v>
      </c>
      <c r="AJ28" s="90">
        <v>13</v>
      </c>
      <c r="AK28" s="90">
        <v>-5</v>
      </c>
      <c r="AL28" s="15">
        <f t="shared" si="5"/>
        <v>45</v>
      </c>
      <c r="AM28" s="16">
        <f t="shared" si="6"/>
        <v>6.43</v>
      </c>
      <c r="AN28" s="17">
        <f t="shared" si="7"/>
        <v>6.48</v>
      </c>
      <c r="AO28" s="18" t="s">
        <v>78</v>
      </c>
      <c r="AP28" s="19">
        <v>90260</v>
      </c>
      <c r="AQ28" s="19">
        <v>112320</v>
      </c>
      <c r="AR28" s="19">
        <f t="shared" ca="1" si="21"/>
        <v>1470826.6622000001</v>
      </c>
      <c r="AS28" s="19">
        <v>85640</v>
      </c>
      <c r="AT28" s="19">
        <v>67631</v>
      </c>
      <c r="AU28" s="19">
        <v>109660</v>
      </c>
      <c r="AV28" s="19">
        <v>228250</v>
      </c>
      <c r="AW28" s="20">
        <f t="shared" ca="1" si="9"/>
        <v>17.174528984119572</v>
      </c>
      <c r="AX28" s="20">
        <f t="shared" ca="1" si="10"/>
        <v>13.412608628488055</v>
      </c>
      <c r="AY28" s="20">
        <f t="shared" ca="1" si="11"/>
        <v>6.4439284214676897</v>
      </c>
      <c r="AZ28" s="21">
        <v>393577</v>
      </c>
      <c r="BA28" s="22">
        <f t="shared" si="12"/>
        <v>0.29630230010952902</v>
      </c>
      <c r="BB28" s="22">
        <f t="shared" si="13"/>
        <v>0.57993734389966889</v>
      </c>
      <c r="BC28" s="23">
        <f t="shared" si="14"/>
        <v>0.17183676891688282</v>
      </c>
      <c r="BD28" s="98">
        <v>65043.1</v>
      </c>
      <c r="BE28" s="23">
        <f t="shared" si="15"/>
        <v>-5.3534223870456921E-2</v>
      </c>
      <c r="BF28">
        <v>179873.1</v>
      </c>
      <c r="BG28" s="23">
        <f t="shared" si="16"/>
        <v>0.15999979420395416</v>
      </c>
      <c r="BH28" s="24">
        <v>18</v>
      </c>
      <c r="BI28" s="24">
        <v>26</v>
      </c>
      <c r="BJ28" s="25">
        <f t="shared" ca="1" si="26"/>
        <v>450.91779960478999</v>
      </c>
      <c r="BK28" s="25">
        <f t="shared" ca="1" si="27"/>
        <v>1827.1362658223379</v>
      </c>
      <c r="BL28" s="23">
        <f t="shared" ca="1" si="18"/>
        <v>-4.5352960331777936E-2</v>
      </c>
      <c r="BM28" s="23">
        <f t="shared" ca="1" si="19"/>
        <v>0.26292494641153241</v>
      </c>
      <c r="BN28" s="95" t="s">
        <v>677</v>
      </c>
      <c r="BO28" s="93" t="s">
        <v>84</v>
      </c>
      <c r="BP28" s="93" t="s">
        <v>85</v>
      </c>
    </row>
    <row r="29" spans="1:68" ht="15" customHeight="1" x14ac:dyDescent="0.35">
      <c r="A29" s="86" t="e" vm="26">
        <v>#VALUE!</v>
      </c>
      <c r="B29" s="10" t="str">
        <f t="array" aca="1" ref="B29" ca="1">_FV(A29,"Símbolo bursátil",TRUE())</f>
        <v>KKR</v>
      </c>
      <c r="C29" s="88" t="s">
        <v>89</v>
      </c>
      <c r="D29" s="88" t="s">
        <v>77</v>
      </c>
      <c r="E29" s="11" t="str">
        <f t="array" aca="1" ref="E29" ca="1">_FV(A29,"Abreviatura de intercambio",TRUE())</f>
        <v>XNYS</v>
      </c>
      <c r="F29" s="11" t="str">
        <f t="array" aca="1" ref="F29" ca="1">_FV(A29,"Moneda")</f>
        <v>USD</v>
      </c>
      <c r="G29" s="12">
        <f t="array" aca="1" ref="G29" ca="1">_FV(A29,"Precio")</f>
        <v>107.72499999999999</v>
      </c>
      <c r="H29" s="13">
        <f t="array" aca="1" ref="H29" ca="1">_FV(A29,"Acciones en circulación",TRUE())/1000000</f>
        <v>897.63559999999995</v>
      </c>
      <c r="I29" s="14">
        <f t="shared" ca="1" si="25"/>
        <v>96697.795009999987</v>
      </c>
      <c r="J29" s="91">
        <v>0</v>
      </c>
      <c r="K29" s="91">
        <v>6</v>
      </c>
      <c r="L29" s="91">
        <v>2</v>
      </c>
      <c r="M29" s="91">
        <v>0</v>
      </c>
      <c r="N29" s="91">
        <v>0</v>
      </c>
      <c r="O29" s="91">
        <v>0</v>
      </c>
      <c r="P29" s="91">
        <v>1</v>
      </c>
      <c r="Q29" s="91">
        <v>1</v>
      </c>
      <c r="R29" s="26">
        <f t="shared" si="1"/>
        <v>10</v>
      </c>
      <c r="S29" s="16">
        <f t="shared" si="2"/>
        <v>6.25</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6.83</v>
      </c>
      <c r="AO29" s="18" t="s">
        <v>78</v>
      </c>
      <c r="AP29" s="19">
        <v>21080</v>
      </c>
      <c r="AQ29" s="19">
        <v>56164</v>
      </c>
      <c r="AR29" s="19">
        <f t="shared" ca="1" si="21"/>
        <v>131781.79501</v>
      </c>
      <c r="AS29" s="19">
        <v>5000</v>
      </c>
      <c r="AT29" s="19">
        <v>5176</v>
      </c>
      <c r="AU29" s="19">
        <v>6752</v>
      </c>
      <c r="AV29" s="19">
        <v>25833</v>
      </c>
      <c r="AW29" s="20">
        <f t="shared" ca="1" si="9"/>
        <v>26.356359002000001</v>
      </c>
      <c r="AX29" s="20">
        <f t="shared" ca="1" si="10"/>
        <v>19.517445943424171</v>
      </c>
      <c r="AY29" s="20">
        <f t="shared" ca="1" si="11"/>
        <v>5.101296597762552</v>
      </c>
      <c r="AZ29" s="21">
        <v>80000</v>
      </c>
      <c r="BA29" s="22">
        <f t="shared" si="12"/>
        <v>0.20036387566291178</v>
      </c>
      <c r="BB29" s="22">
        <f t="shared" si="13"/>
        <v>0.32291249999999999</v>
      </c>
      <c r="BC29" s="23">
        <f t="shared" si="14"/>
        <v>6.4699999999999994E-2</v>
      </c>
      <c r="BD29" s="98">
        <v>7013</v>
      </c>
      <c r="BE29" s="23">
        <f t="shared" si="15"/>
        <v>7.0007364782187942E-2</v>
      </c>
      <c r="BF29">
        <v>12442</v>
      </c>
      <c r="BG29" s="23">
        <f t="shared" si="16"/>
        <v>0.20000771595015565</v>
      </c>
      <c r="BH29" s="24">
        <v>15</v>
      </c>
      <c r="BI29" s="24">
        <v>25</v>
      </c>
      <c r="BJ29" s="25">
        <f t="shared" ca="1" si="26"/>
        <v>78.106305052963592</v>
      </c>
      <c r="BK29" s="25">
        <f t="shared" ca="1" si="27"/>
        <v>307.43655888870717</v>
      </c>
      <c r="BL29" s="23">
        <f t="shared" ca="1" si="18"/>
        <v>-6.2278403886486977E-2</v>
      </c>
      <c r="BM29" s="23">
        <f t="shared" ca="1" si="19"/>
        <v>0.23335415587377817</v>
      </c>
      <c r="BN29" s="95" t="s">
        <v>677</v>
      </c>
      <c r="BO29" s="95" t="s">
        <v>106</v>
      </c>
      <c r="BP29" s="95" t="s">
        <v>166</v>
      </c>
    </row>
    <row r="30" spans="1:68" ht="15" customHeight="1" x14ac:dyDescent="0.35">
      <c r="A30" s="86" t="e" vm="27">
        <v>#VALUE!</v>
      </c>
      <c r="B30" s="10" t="str">
        <f t="array" aca="1" ref="B30" ca="1">_FV(A30,"Símbolo bursátil",TRUE())</f>
        <v>NET</v>
      </c>
      <c r="C30" s="88" t="s">
        <v>99</v>
      </c>
      <c r="D30" s="88" t="s">
        <v>100</v>
      </c>
      <c r="E30" s="11" t="str">
        <f t="array" aca="1" ref="E30" ca="1">_FV(A30,"Abreviatura de intercambio",TRUE())</f>
        <v>XNYS</v>
      </c>
      <c r="F30" s="11" t="str">
        <f t="array" aca="1" ref="F30" ca="1">_FV(A30,"Moneda")</f>
        <v>USD</v>
      </c>
      <c r="G30" s="12">
        <f t="array" aca="1" ref="G30" ca="1">_FV(A30,"Precio")</f>
        <v>277.39</v>
      </c>
      <c r="H30" s="13">
        <f t="array" aca="1" ref="H30" ca="1">_FV(A30,"Acciones en circulación",TRUE())/1000000</f>
        <v>356.0797</v>
      </c>
      <c r="I30" s="14">
        <f t="shared" ca="1" si="25"/>
        <v>98772.947982999991</v>
      </c>
      <c r="J30" s="90">
        <v>1</v>
      </c>
      <c r="K30" s="90">
        <v>5</v>
      </c>
      <c r="L30" s="90">
        <v>3</v>
      </c>
      <c r="M30" s="90">
        <v>0</v>
      </c>
      <c r="N30" s="90">
        <v>0</v>
      </c>
      <c r="O30" s="90">
        <v>1</v>
      </c>
      <c r="P30" s="90">
        <v>1</v>
      </c>
      <c r="Q30" s="90">
        <v>0</v>
      </c>
      <c r="R30" s="15">
        <f t="shared" si="1"/>
        <v>10</v>
      </c>
      <c r="S30" s="16">
        <f t="shared" si="2"/>
        <v>6.25</v>
      </c>
      <c r="T30" s="90">
        <v>7</v>
      </c>
      <c r="U30" s="90">
        <v>13</v>
      </c>
      <c r="V30" s="90">
        <v>16</v>
      </c>
      <c r="W30" s="90">
        <v>9</v>
      </c>
      <c r="X30" s="90">
        <v>7</v>
      </c>
      <c r="Y30" s="90">
        <v>12</v>
      </c>
      <c r="Z30" s="90">
        <v>6</v>
      </c>
      <c r="AA30" s="90">
        <v>-12</v>
      </c>
      <c r="AB30" s="15">
        <f t="shared" si="3"/>
        <v>58</v>
      </c>
      <c r="AC30" s="16">
        <f t="shared" si="4"/>
        <v>5.8</v>
      </c>
      <c r="AD30" s="90">
        <v>13</v>
      </c>
      <c r="AE30" s="90">
        <v>-1</v>
      </c>
      <c r="AF30" s="90">
        <v>6</v>
      </c>
      <c r="AG30" s="90">
        <v>10</v>
      </c>
      <c r="AH30" s="90">
        <v>3</v>
      </c>
      <c r="AI30" s="90">
        <v>8</v>
      </c>
      <c r="AJ30" s="90">
        <v>11</v>
      </c>
      <c r="AK30" s="90">
        <v>-4</v>
      </c>
      <c r="AL30" s="15">
        <f t="shared" si="5"/>
        <v>46</v>
      </c>
      <c r="AM30" s="16">
        <f t="shared" si="6"/>
        <v>6.57</v>
      </c>
      <c r="AN30" s="17">
        <f t="shared" si="7"/>
        <v>6.2</v>
      </c>
      <c r="AO30" s="18" t="s">
        <v>78</v>
      </c>
      <c r="AP30" s="19">
        <v>4163</v>
      </c>
      <c r="AQ30" s="19">
        <v>3529</v>
      </c>
      <c r="AR30" s="19">
        <f t="shared" ca="1" si="21"/>
        <v>98138.947982999991</v>
      </c>
      <c r="AS30" s="19">
        <v>342</v>
      </c>
      <c r="AT30" s="19">
        <v>-195</v>
      </c>
      <c r="AU30" s="19">
        <v>-2</v>
      </c>
      <c r="AV30" s="19">
        <v>2512</v>
      </c>
      <c r="AW30" s="20">
        <f t="shared" ca="1" si="9"/>
        <v>286.95598825438594</v>
      </c>
      <c r="AX30" s="20">
        <f t="shared" ca="1" si="10"/>
        <v>-49069.473991499995</v>
      </c>
      <c r="AY30" s="20">
        <f t="shared" ca="1" si="11"/>
        <v>39.068052541003183</v>
      </c>
      <c r="AZ30" s="21">
        <v>3846</v>
      </c>
      <c r="BA30" s="22">
        <f t="shared" si="12"/>
        <v>-7.7627388535031844E-2</v>
      </c>
      <c r="BB30" s="22">
        <f t="shared" si="13"/>
        <v>0.65314612584503384</v>
      </c>
      <c r="BC30" s="23">
        <f t="shared" si="14"/>
        <v>-5.0702028081123243E-2</v>
      </c>
      <c r="BD30" s="98">
        <v>658</v>
      </c>
      <c r="BE30" s="23">
        <f t="shared" si="15"/>
        <v>0.1398296698745809</v>
      </c>
      <c r="BF30">
        <v>1175</v>
      </c>
      <c r="BG30" s="23">
        <f t="shared" si="16"/>
        <v>0.27997754896055094</v>
      </c>
      <c r="BH30" s="24">
        <v>20</v>
      </c>
      <c r="BI30" s="24">
        <v>30</v>
      </c>
      <c r="BJ30" s="25">
        <f t="shared" ca="1" si="26"/>
        <v>38.73851837102761</v>
      </c>
      <c r="BK30" s="25">
        <f t="shared" ca="1" si="27"/>
        <v>100.77519162142633</v>
      </c>
      <c r="BL30" s="23">
        <f t="shared" ca="1" si="18"/>
        <v>-0.325455755361031</v>
      </c>
      <c r="BM30" s="23">
        <f t="shared" ca="1" si="19"/>
        <v>-0.18331878464113061</v>
      </c>
      <c r="BN30" s="95" t="s">
        <v>677</v>
      </c>
      <c r="BO30" s="95" t="s">
        <v>124</v>
      </c>
      <c r="BP30" s="95" t="s">
        <v>143</v>
      </c>
    </row>
    <row r="31" spans="1:68" ht="15" customHeight="1" x14ac:dyDescent="0.35">
      <c r="A31" s="86" t="e" vm="28">
        <v>#VALUE!</v>
      </c>
      <c r="B31" s="10" t="str">
        <f t="array" aca="1" ref="B31" ca="1">_FV(A31,"Símbolo bursátil",TRUE())</f>
        <v>CRWD</v>
      </c>
      <c r="C31" s="88" t="s">
        <v>99</v>
      </c>
      <c r="D31" s="88" t="s">
        <v>100</v>
      </c>
      <c r="E31" s="11" t="str">
        <f t="array" aca="1" ref="E31" ca="1">_FV(A31,"Abreviatura de intercambio",TRUE())</f>
        <v>XNAS</v>
      </c>
      <c r="F31" s="11" t="str">
        <f t="array" aca="1" ref="F31" ca="1">_FV(A31,"Moneda")</f>
        <v>USD</v>
      </c>
      <c r="G31" s="12">
        <f t="array" aca="1" ref="G31" ca="1">_FV(A31,"Precio")</f>
        <v>185.20500000000001</v>
      </c>
      <c r="H31" s="13">
        <f t="array" aca="1" ref="H31" ca="1">_FV(A31,"Acciones en circulación",TRUE())/1000000</f>
        <v>1018.322</v>
      </c>
      <c r="I31" s="14">
        <f t="shared" ca="1" si="25"/>
        <v>188598.32601000002</v>
      </c>
      <c r="J31" s="91">
        <v>1</v>
      </c>
      <c r="K31" s="91">
        <v>6</v>
      </c>
      <c r="L31" s="91">
        <v>2</v>
      </c>
      <c r="M31" s="91">
        <v>0</v>
      </c>
      <c r="N31" s="91">
        <v>0</v>
      </c>
      <c r="O31" s="91">
        <v>0</v>
      </c>
      <c r="P31" s="91">
        <v>1</v>
      </c>
      <c r="Q31" s="91">
        <v>0</v>
      </c>
      <c r="R31" s="26">
        <f t="shared" si="1"/>
        <v>10</v>
      </c>
      <c r="S31" s="16">
        <f t="shared" si="2"/>
        <v>6.25</v>
      </c>
      <c r="T31" s="91">
        <v>12</v>
      </c>
      <c r="U31" s="91">
        <v>16</v>
      </c>
      <c r="V31" s="91">
        <v>16</v>
      </c>
      <c r="W31" s="91">
        <v>8</v>
      </c>
      <c r="X31" s="91">
        <v>9</v>
      </c>
      <c r="Y31" s="91">
        <v>10</v>
      </c>
      <c r="Z31" s="91">
        <v>5</v>
      </c>
      <c r="AA31" s="91">
        <v>-10</v>
      </c>
      <c r="AB31" s="26">
        <f t="shared" si="3"/>
        <v>66</v>
      </c>
      <c r="AC31" s="16">
        <f t="shared" si="4"/>
        <v>6.6</v>
      </c>
      <c r="AD31" s="91">
        <v>12</v>
      </c>
      <c r="AE31" s="91">
        <v>-2</v>
      </c>
      <c r="AF31" s="91">
        <v>9</v>
      </c>
      <c r="AG31" s="91">
        <v>11</v>
      </c>
      <c r="AH31" s="91">
        <v>3</v>
      </c>
      <c r="AI31" s="91">
        <v>7</v>
      </c>
      <c r="AJ31" s="91">
        <v>12</v>
      </c>
      <c r="AK31" s="91">
        <v>-5</v>
      </c>
      <c r="AL31" s="26">
        <f t="shared" si="5"/>
        <v>47</v>
      </c>
      <c r="AM31" s="16">
        <f t="shared" si="6"/>
        <v>6.71</v>
      </c>
      <c r="AN31" s="17">
        <f t="shared" si="7"/>
        <v>6.57</v>
      </c>
      <c r="AO31" s="18" t="s">
        <v>78</v>
      </c>
      <c r="AP31" s="19">
        <v>4550</v>
      </c>
      <c r="AQ31" s="19">
        <v>821</v>
      </c>
      <c r="AR31" s="19">
        <f t="shared" ca="1" si="21"/>
        <v>184869.32601000002</v>
      </c>
      <c r="AS31" s="19">
        <v>1510</v>
      </c>
      <c r="AT31" s="19">
        <v>-160</v>
      </c>
      <c r="AU31" s="19">
        <v>59</v>
      </c>
      <c r="AV31" s="19">
        <v>5090</v>
      </c>
      <c r="AW31" s="20">
        <f t="shared" ca="1" si="9"/>
        <v>122.43001722516557</v>
      </c>
      <c r="AX31" s="20">
        <f t="shared" ca="1" si="10"/>
        <v>3133.378406949153</v>
      </c>
      <c r="AY31" s="20">
        <f t="shared" ca="1" si="11"/>
        <v>36.32010334184676</v>
      </c>
      <c r="AZ31" s="21">
        <v>7154</v>
      </c>
      <c r="BA31" s="22">
        <f t="shared" si="12"/>
        <v>-3.1434184675834968E-2</v>
      </c>
      <c r="BB31" s="22">
        <f t="shared" si="13"/>
        <v>0.71149007548224774</v>
      </c>
      <c r="BC31" s="23">
        <f t="shared" si="14"/>
        <v>-2.2365110427732735E-2</v>
      </c>
      <c r="BD31" s="98">
        <v>2661.4</v>
      </c>
      <c r="BE31" s="23">
        <f t="shared" si="15"/>
        <v>0.12002222612003988</v>
      </c>
      <c r="BF31">
        <v>4795.5</v>
      </c>
      <c r="BG31" s="23">
        <f t="shared" si="16"/>
        <v>0.26000245008299205</v>
      </c>
      <c r="BH31" s="24">
        <v>20</v>
      </c>
      <c r="BI31" s="24">
        <v>30</v>
      </c>
      <c r="BJ31" s="25">
        <f t="shared" ca="1" si="26"/>
        <v>55.932210047509528</v>
      </c>
      <c r="BK31" s="25">
        <f t="shared" ca="1" si="27"/>
        <v>144.93843794006219</v>
      </c>
      <c r="BL31" s="23">
        <f t="shared" ca="1" si="18"/>
        <v>-0.21295084941557374</v>
      </c>
      <c r="BM31" s="23">
        <f t="shared" ca="1" si="19"/>
        <v>-4.784824146586153E-2</v>
      </c>
      <c r="BN31" s="96" t="s">
        <v>677</v>
      </c>
      <c r="BO31" t="s">
        <v>80</v>
      </c>
      <c r="BP31" t="s">
        <v>101</v>
      </c>
    </row>
    <row r="32" spans="1:68" ht="15" customHeight="1" x14ac:dyDescent="0.3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343.76510000000002</v>
      </c>
      <c r="H32" s="13">
        <f t="array" aca="1" ref="H32" ca="1">_FV(A32,"Acciones en circulación",TRUE())/1000000</f>
        <v>12230</v>
      </c>
      <c r="I32" s="14">
        <f t="shared" ca="1" si="25"/>
        <v>4204247.1730000004</v>
      </c>
      <c r="J32" s="90">
        <v>1</v>
      </c>
      <c r="K32" s="90">
        <v>7</v>
      </c>
      <c r="L32" s="90">
        <v>3</v>
      </c>
      <c r="M32" s="90">
        <v>1</v>
      </c>
      <c r="N32" s="90">
        <v>-1</v>
      </c>
      <c r="O32" s="90">
        <v>1</v>
      </c>
      <c r="P32" s="90">
        <v>1</v>
      </c>
      <c r="Q32" s="90">
        <v>0</v>
      </c>
      <c r="R32" s="15">
        <f t="shared" si="1"/>
        <v>12</v>
      </c>
      <c r="S32" s="16">
        <f t="shared" si="2"/>
        <v>7.5</v>
      </c>
      <c r="T32" s="90">
        <v>16</v>
      </c>
      <c r="U32" s="90">
        <v>18</v>
      </c>
      <c r="V32" s="90">
        <v>13</v>
      </c>
      <c r="W32" s="90">
        <v>8</v>
      </c>
      <c r="X32" s="90">
        <v>8</v>
      </c>
      <c r="Y32" s="90">
        <v>11</v>
      </c>
      <c r="Z32" s="90">
        <v>6</v>
      </c>
      <c r="AA32" s="90">
        <v>-14</v>
      </c>
      <c r="AB32" s="15">
        <f t="shared" si="3"/>
        <v>66</v>
      </c>
      <c r="AC32" s="16">
        <f t="shared" si="4"/>
        <v>6.6</v>
      </c>
      <c r="AD32" s="90">
        <v>12</v>
      </c>
      <c r="AE32" s="90">
        <v>-4</v>
      </c>
      <c r="AF32" s="90">
        <v>5</v>
      </c>
      <c r="AG32" s="90">
        <v>11</v>
      </c>
      <c r="AH32" s="90">
        <v>4</v>
      </c>
      <c r="AI32" s="90">
        <v>7</v>
      </c>
      <c r="AJ32" s="90">
        <v>13</v>
      </c>
      <c r="AK32" s="90">
        <v>-6</v>
      </c>
      <c r="AL32" s="15">
        <f t="shared" si="5"/>
        <v>42</v>
      </c>
      <c r="AM32" s="16">
        <f t="shared" si="6"/>
        <v>6</v>
      </c>
      <c r="AN32" s="17">
        <f t="shared" si="7"/>
        <v>6.54</v>
      </c>
      <c r="AO32" s="18" t="s">
        <v>78</v>
      </c>
      <c r="AP32" s="19">
        <v>242470</v>
      </c>
      <c r="AQ32" s="19">
        <v>120790</v>
      </c>
      <c r="AR32" s="19">
        <f t="shared" ca="1" si="21"/>
        <v>4082567.1730000004</v>
      </c>
      <c r="AS32" s="19">
        <v>119475</v>
      </c>
      <c r="AT32" s="19">
        <v>120466</v>
      </c>
      <c r="AU32" s="19">
        <v>173160</v>
      </c>
      <c r="AV32" s="19">
        <v>445870</v>
      </c>
      <c r="AW32" s="20">
        <f t="shared" ca="1" si="9"/>
        <v>34.170890755388157</v>
      </c>
      <c r="AX32" s="20">
        <f t="shared" ca="1" si="10"/>
        <v>23.576849000924003</v>
      </c>
      <c r="AY32" s="20">
        <f t="shared" ca="1" si="11"/>
        <v>9.1564069639132484</v>
      </c>
      <c r="AZ32" s="21">
        <v>795872</v>
      </c>
      <c r="BA32" s="22">
        <f t="shared" si="12"/>
        <v>0.27018189158274836</v>
      </c>
      <c r="BB32" s="22">
        <f t="shared" si="13"/>
        <v>0.5602282779140364</v>
      </c>
      <c r="BC32" s="23">
        <f t="shared" si="14"/>
        <v>0.15136353584495998</v>
      </c>
      <c r="BD32" s="98">
        <v>152483.6</v>
      </c>
      <c r="BE32" s="23">
        <f t="shared" si="15"/>
        <v>4.999980763361922E-2</v>
      </c>
      <c r="BF32">
        <v>240307.20000000001</v>
      </c>
      <c r="BG32" s="23">
        <f t="shared" si="16"/>
        <v>0.15000028715511782</v>
      </c>
      <c r="BH32" s="24">
        <v>20</v>
      </c>
      <c r="BI32" s="24">
        <v>30</v>
      </c>
      <c r="BJ32" s="25">
        <f t="shared" ca="1" si="26"/>
        <v>259.30923957481605</v>
      </c>
      <c r="BK32" s="25">
        <f t="shared" ca="1" si="27"/>
        <v>599.41913327882253</v>
      </c>
      <c r="BL32" s="23">
        <f t="shared" ca="1" si="18"/>
        <v>-5.4827142402877116E-2</v>
      </c>
      <c r="BM32" s="23">
        <f t="shared" ca="1" si="19"/>
        <v>0.11761896695055585</v>
      </c>
      <c r="BN32" s="95" t="s">
        <v>677</v>
      </c>
      <c r="BO32" s="93" t="s">
        <v>132</v>
      </c>
      <c r="BP32" s="93" t="s">
        <v>128</v>
      </c>
    </row>
    <row r="33" spans="1:68" ht="15" customHeight="1" x14ac:dyDescent="0.35">
      <c r="A33" s="86" t="e" vm="30">
        <v>#VALUE!</v>
      </c>
      <c r="B33" s="10" t="str">
        <f t="array" aca="1" ref="B33" ca="1">_FV(A33,"Símbolo bursátil",TRUE())</f>
        <v>ABBNE</v>
      </c>
      <c r="C33" s="88" t="s">
        <v>107</v>
      </c>
      <c r="D33" s="88" t="s">
        <v>77</v>
      </c>
      <c r="E33" s="11" t="str">
        <f t="array" aca="1" ref="E33" ca="1">_FV(A33,"Abreviatura de intercambio",TRUE())</f>
        <v>XSWX</v>
      </c>
      <c r="F33" s="11" t="str">
        <f t="array" aca="1" ref="F33" ca="1">_FV(A33,"Moneda")</f>
        <v>CHF</v>
      </c>
      <c r="G33" s="12">
        <f t="array" aca="1" ref="G33" ca="1">_FV(A33,"Precio")</f>
        <v>79.86</v>
      </c>
      <c r="H33" s="13">
        <f t="array" aca="1" ref="H33" ca="1">_FV(A33,"Acciones en circulación",TRUE())/1000000</f>
        <v>1823.154</v>
      </c>
      <c r="I33" s="14">
        <f t="shared" ca="1" si="25"/>
        <v>145597.07844000001</v>
      </c>
      <c r="J33" s="91">
        <v>1</v>
      </c>
      <c r="K33" s="91">
        <v>6</v>
      </c>
      <c r="L33" s="91">
        <v>2</v>
      </c>
      <c r="M33" s="91">
        <v>1</v>
      </c>
      <c r="N33" s="91">
        <v>0</v>
      </c>
      <c r="O33" s="91">
        <v>0</v>
      </c>
      <c r="P33" s="91">
        <v>0</v>
      </c>
      <c r="Q33" s="91">
        <v>0</v>
      </c>
      <c r="R33" s="26">
        <f t="shared" si="1"/>
        <v>10</v>
      </c>
      <c r="S33" s="16">
        <f t="shared" si="2"/>
        <v>6.25</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6.38</v>
      </c>
      <c r="AO33" s="18" t="s">
        <v>78</v>
      </c>
      <c r="AP33" s="19">
        <v>5860</v>
      </c>
      <c r="AQ33" s="19">
        <v>9150</v>
      </c>
      <c r="AR33" s="19">
        <f ca="1">I33*'Framework Notes'!E5-AP33+AQ33</f>
        <v>184922.35535390003</v>
      </c>
      <c r="AS33" s="19">
        <v>4870</v>
      </c>
      <c r="AT33" s="19">
        <v>4811</v>
      </c>
      <c r="AU33" s="19">
        <v>7150</v>
      </c>
      <c r="AV33" s="19">
        <v>35750</v>
      </c>
      <c r="AW33" s="20">
        <f t="shared" ca="1" si="9"/>
        <v>37.971736212299803</v>
      </c>
      <c r="AX33" s="20">
        <f t="shared" ca="1" si="10"/>
        <v>25.86326648306294</v>
      </c>
      <c r="AY33" s="20">
        <f t="shared" ca="1" si="11"/>
        <v>5.1726532966125882</v>
      </c>
      <c r="AZ33" s="21">
        <v>27296</v>
      </c>
      <c r="BA33" s="22">
        <f t="shared" si="12"/>
        <v>0.13457342657342658</v>
      </c>
      <c r="BB33" s="22">
        <f t="shared" si="13"/>
        <v>1.3097157092614302</v>
      </c>
      <c r="BC33" s="23">
        <f t="shared" si="14"/>
        <v>0.17625293083235638</v>
      </c>
      <c r="BD33" s="98">
        <v>5925.2</v>
      </c>
      <c r="BE33" s="23">
        <f t="shared" si="15"/>
        <v>4.0003523289857901E-2</v>
      </c>
      <c r="BF33">
        <v>8582.7999999999993</v>
      </c>
      <c r="BG33" s="23">
        <f t="shared" si="16"/>
        <v>0.1200051154905597</v>
      </c>
      <c r="BH33" s="24">
        <v>14</v>
      </c>
      <c r="BI33" s="24">
        <v>25</v>
      </c>
      <c r="BJ33" s="25">
        <f ca="1">((BD33*BH33+$AP33-$AQ33)/$H33)/'Framework Notes'!E5</f>
        <v>35.02608990344406</v>
      </c>
      <c r="BK33" s="25">
        <f ca="1">((BF33*BI33+$AP33-$AQ33)/$H33)/'Framework Notes'!E5</f>
        <v>92.895457789578813</v>
      </c>
      <c r="BL33" s="23">
        <f t="shared" ca="1" si="18"/>
        <v>-0.15196755084126234</v>
      </c>
      <c r="BM33" s="23">
        <f t="shared" ca="1" si="19"/>
        <v>3.0701800457267003E-2</v>
      </c>
      <c r="BN33" s="95" t="s">
        <v>677</v>
      </c>
      <c r="BO33" s="93" t="s">
        <v>133</v>
      </c>
      <c r="BP33" s="93" t="s">
        <v>122</v>
      </c>
    </row>
    <row r="34" spans="1:68" ht="15" customHeight="1" x14ac:dyDescent="0.35">
      <c r="A34" s="86" t="e" vm="31">
        <v>#VALUE!</v>
      </c>
      <c r="B34" s="10" t="str">
        <f t="array" aca="1" ref="B34" ca="1">_FV(A34,"Símbolo bursátil",TRUE())</f>
        <v>GRMN</v>
      </c>
      <c r="C34" s="88" t="s">
        <v>134</v>
      </c>
      <c r="D34" s="88" t="s">
        <v>77</v>
      </c>
      <c r="E34" s="11" t="str">
        <f t="array" aca="1" ref="E34" ca="1">_FV(A34,"Abreviatura de intercambio",TRUE())</f>
        <v>XNYS</v>
      </c>
      <c r="F34" s="11" t="str">
        <f t="array" aca="1" ref="F34" ca="1">_FV(A34,"Moneda")</f>
        <v>USD</v>
      </c>
      <c r="G34" s="12">
        <f t="array" aca="1" ref="G34" ca="1">_FV(A34,"Precio")</f>
        <v>289.01499999999999</v>
      </c>
      <c r="H34" s="13">
        <f t="array" aca="1" ref="H34" ca="1">_FV(A34,"Acciones en circulación",TRUE())/1000000</f>
        <v>192.85249999999999</v>
      </c>
      <c r="I34" s="14">
        <f t="shared" ca="1" si="25"/>
        <v>55737.265287499999</v>
      </c>
      <c r="J34" s="90">
        <v>0</v>
      </c>
      <c r="K34" s="90">
        <v>5</v>
      </c>
      <c r="L34" s="90">
        <v>2</v>
      </c>
      <c r="M34" s="90">
        <v>1</v>
      </c>
      <c r="N34" s="90">
        <v>0</v>
      </c>
      <c r="O34" s="90">
        <v>1</v>
      </c>
      <c r="P34" s="90">
        <v>0</v>
      </c>
      <c r="Q34" s="90">
        <v>0</v>
      </c>
      <c r="R34" s="15">
        <f t="shared" si="1"/>
        <v>8</v>
      </c>
      <c r="S34" s="16">
        <f t="shared" si="2"/>
        <v>5</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6.16</v>
      </c>
      <c r="AO34" s="18" t="s">
        <v>78</v>
      </c>
      <c r="AP34" s="19">
        <v>2670</v>
      </c>
      <c r="AQ34" s="19">
        <v>227</v>
      </c>
      <c r="AR34" s="19">
        <f ca="1">I34-AP34+AQ34</f>
        <v>53294.265287499999</v>
      </c>
      <c r="AS34" s="19">
        <v>1600</v>
      </c>
      <c r="AT34" s="19">
        <v>1754</v>
      </c>
      <c r="AU34" s="19">
        <v>2310</v>
      </c>
      <c r="AV34" s="19">
        <v>7670</v>
      </c>
      <c r="AW34" s="20">
        <f t="shared" ca="1" si="9"/>
        <v>33.308915804687501</v>
      </c>
      <c r="AX34" s="20">
        <f t="shared" ca="1" si="10"/>
        <v>23.071110514069264</v>
      </c>
      <c r="AY34" s="20">
        <f t="shared" ca="1" si="11"/>
        <v>6.9484048614732723</v>
      </c>
      <c r="AZ34" s="21">
        <v>9341</v>
      </c>
      <c r="BA34" s="22">
        <f t="shared" si="12"/>
        <v>0.22868318122555412</v>
      </c>
      <c r="BB34" s="22">
        <f t="shared" si="13"/>
        <v>0.82111123006102127</v>
      </c>
      <c r="BC34" s="23">
        <f t="shared" si="14"/>
        <v>0.18777432823038218</v>
      </c>
      <c r="BD34" s="98">
        <v>1947.1</v>
      </c>
      <c r="BE34" s="23">
        <f t="shared" si="15"/>
        <v>4.0048650492360505E-2</v>
      </c>
      <c r="BF34">
        <v>2947.7</v>
      </c>
      <c r="BG34" s="23">
        <f t="shared" si="16"/>
        <v>0.12998495129674725</v>
      </c>
      <c r="BH34" s="24">
        <v>18</v>
      </c>
      <c r="BI34" s="24">
        <v>26</v>
      </c>
      <c r="BJ34" s="25">
        <f ca="1">(BD34*BH34+$AP34-$AQ34)/$H34</f>
        <v>194.40142077494457</v>
      </c>
      <c r="BK34" s="25">
        <f ca="1">(BF34*BI34+$AP34-$AQ34)/$H34</f>
        <v>410.0709091144787</v>
      </c>
      <c r="BL34" s="23">
        <f t="shared" ca="1" si="18"/>
        <v>-7.6247109723681095E-2</v>
      </c>
      <c r="BM34" s="23">
        <f t="shared" ca="1" si="19"/>
        <v>7.2476329076016865E-2</v>
      </c>
      <c r="BN34" s="95" t="s">
        <v>677</v>
      </c>
      <c r="BO34" s="93" t="s">
        <v>84</v>
      </c>
      <c r="BP34" s="93" t="s">
        <v>108</v>
      </c>
    </row>
    <row r="35" spans="1:68" ht="15" customHeight="1" x14ac:dyDescent="0.35">
      <c r="A35" s="86" t="e" vm="32">
        <v>#VALUE!</v>
      </c>
      <c r="B35" s="10" t="str">
        <f t="array" aca="1" ref="B35" ca="1">_FV(A35,"Símbolo bursátil",TRUE())</f>
        <v>KRX</v>
      </c>
      <c r="C35" s="88" t="s">
        <v>135</v>
      </c>
      <c r="D35" s="88" t="s">
        <v>77</v>
      </c>
      <c r="E35" s="11" t="s">
        <v>602</v>
      </c>
      <c r="F35" s="11" t="str">
        <f t="array" aca="1" ref="F35" ca="1">_FV(A35,"Moneda")</f>
        <v>EUR</v>
      </c>
      <c r="G35" s="12">
        <f t="array" aca="1" ref="G35" ca="1">_FV(A35,"Precio")</f>
        <v>102.2</v>
      </c>
      <c r="H35" s="13">
        <f t="array" aca="1" ref="H35" ca="1">_FV(A35,"Acciones en circulación",TRUE())/1000000</f>
        <v>180.3699</v>
      </c>
      <c r="I35" s="14">
        <f t="shared" ca="1" si="25"/>
        <v>18433.803780000002</v>
      </c>
      <c r="J35" s="91">
        <v>1</v>
      </c>
      <c r="K35" s="91">
        <v>5</v>
      </c>
      <c r="L35" s="91">
        <v>2</v>
      </c>
      <c r="M35" s="91">
        <v>0</v>
      </c>
      <c r="N35" s="91">
        <v>0</v>
      </c>
      <c r="O35" s="91">
        <v>0</v>
      </c>
      <c r="P35" s="91">
        <v>1</v>
      </c>
      <c r="Q35" s="91">
        <v>1</v>
      </c>
      <c r="R35" s="26">
        <f t="shared" si="1"/>
        <v>10</v>
      </c>
      <c r="S35" s="16">
        <f t="shared" si="2"/>
        <v>6.25</v>
      </c>
      <c r="T35" s="91">
        <v>12</v>
      </c>
      <c r="U35" s="91">
        <v>13</v>
      </c>
      <c r="V35" s="91">
        <v>14</v>
      </c>
      <c r="W35" s="91">
        <v>9</v>
      </c>
      <c r="X35" s="91">
        <v>7</v>
      </c>
      <c r="Y35" s="91">
        <v>11</v>
      </c>
      <c r="Z35" s="91">
        <v>8</v>
      </c>
      <c r="AA35" s="91">
        <v>-9</v>
      </c>
      <c r="AB35" s="26">
        <f t="shared" si="3"/>
        <v>65</v>
      </c>
      <c r="AC35" s="16">
        <f t="shared" si="4"/>
        <v>6.5</v>
      </c>
      <c r="AD35" s="91">
        <v>12</v>
      </c>
      <c r="AE35" s="91">
        <v>-2</v>
      </c>
      <c r="AF35" s="91">
        <v>4</v>
      </c>
      <c r="AG35" s="91">
        <v>11</v>
      </c>
      <c r="AH35" s="91">
        <v>2</v>
      </c>
      <c r="AI35" s="91">
        <v>8</v>
      </c>
      <c r="AJ35" s="91">
        <v>10</v>
      </c>
      <c r="AK35" s="91">
        <v>-4</v>
      </c>
      <c r="AL35" s="26">
        <f t="shared" si="5"/>
        <v>41</v>
      </c>
      <c r="AM35" s="16">
        <f t="shared" si="6"/>
        <v>5.86</v>
      </c>
      <c r="AN35" s="17">
        <f t="shared" si="7"/>
        <v>6.19</v>
      </c>
      <c r="AO35" s="18" t="s">
        <v>87</v>
      </c>
      <c r="AP35" s="19">
        <v>590</v>
      </c>
      <c r="AQ35" s="19">
        <v>2450</v>
      </c>
      <c r="AR35" s="19">
        <f ca="1">I35-AP35+AQ35</f>
        <v>20293.803780000002</v>
      </c>
      <c r="AS35" s="19">
        <v>594</v>
      </c>
      <c r="AT35" s="19">
        <v>780</v>
      </c>
      <c r="AU35" s="19">
        <v>1277</v>
      </c>
      <c r="AV35" s="19">
        <v>9561</v>
      </c>
      <c r="AW35" s="20">
        <f t="shared" ca="1" si="9"/>
        <v>34.164652828282833</v>
      </c>
      <c r="AX35" s="20">
        <f t="shared" ca="1" si="10"/>
        <v>15.891780563821458</v>
      </c>
      <c r="AY35" s="20">
        <f t="shared" ca="1" si="11"/>
        <v>2.1225607969877629</v>
      </c>
      <c r="AZ35" s="21">
        <v>6500</v>
      </c>
      <c r="BA35" s="22">
        <f t="shared" si="12"/>
        <v>8.1581424537182298E-2</v>
      </c>
      <c r="BB35" s="22">
        <f t="shared" si="13"/>
        <v>1.470923076923077</v>
      </c>
      <c r="BC35" s="23">
        <f t="shared" si="14"/>
        <v>0.12</v>
      </c>
      <c r="BD35" s="98">
        <v>723</v>
      </c>
      <c r="BE35" s="23">
        <f t="shared" si="15"/>
        <v>4.0088681882963773E-2</v>
      </c>
      <c r="BF35">
        <v>1195</v>
      </c>
      <c r="BG35" s="23">
        <f t="shared" si="16"/>
        <v>0.15004886065720457</v>
      </c>
      <c r="BH35" s="24">
        <v>14</v>
      </c>
      <c r="BI35" s="24">
        <v>22</v>
      </c>
      <c r="BJ35" s="25">
        <f ca="1">(BD35*BH35+$AP35-$AQ35)/$H35</f>
        <v>45.805868939329677</v>
      </c>
      <c r="BK35" s="25">
        <f ca="1">(BF35*BI35+$AP35-$AQ35)/$H35</f>
        <v>135.44388503846818</v>
      </c>
      <c r="BL35" s="23">
        <f t="shared" ca="1" si="18"/>
        <v>-0.14828548995806867</v>
      </c>
      <c r="BM35" s="23">
        <f t="shared" ca="1" si="19"/>
        <v>5.7941616311690369E-2</v>
      </c>
      <c r="BN35" s="95" t="s">
        <v>677</v>
      </c>
      <c r="BO35" s="95" t="s">
        <v>104</v>
      </c>
      <c r="BP35" s="95" t="s">
        <v>681</v>
      </c>
    </row>
    <row r="36" spans="1:68" ht="15" customHeight="1" x14ac:dyDescent="0.35">
      <c r="A36" s="86" t="e" vm="33">
        <v>#VALUE!</v>
      </c>
      <c r="B36" s="10" t="str">
        <f t="array" aca="1" ref="B36" ca="1">_FV(A36,"Símbolo bursátil",TRUE())</f>
        <v>KSPI</v>
      </c>
      <c r="C36" s="88" t="s">
        <v>86</v>
      </c>
      <c r="D36" s="88" t="s">
        <v>100</v>
      </c>
      <c r="E36" s="11" t="str">
        <f t="array" aca="1" ref="E36" ca="1">_FV(A36,"Abreviatura de intercambio",TRUE())</f>
        <v>XNAS</v>
      </c>
      <c r="F36" s="11" t="str">
        <f t="array" aca="1" ref="F36" ca="1">_FV(A36,"Moneda")</f>
        <v>USD</v>
      </c>
      <c r="G36" s="12">
        <f t="array" aca="1" ref="G36" ca="1">_FV(A36,"Precio")</f>
        <v>108.79</v>
      </c>
      <c r="H36" s="13">
        <f t="array" aca="1" ref="H36" ca="1">_FV(A36,"Acciones en circulación",TRUE())/1000000</f>
        <v>189.33349999999999</v>
      </c>
      <c r="I36" s="14">
        <f t="shared" ca="1" si="25"/>
        <v>20597.591465000001</v>
      </c>
      <c r="J36" s="90">
        <v>1</v>
      </c>
      <c r="K36" s="90">
        <v>6</v>
      </c>
      <c r="L36" s="90">
        <v>2</v>
      </c>
      <c r="M36" s="90">
        <v>1</v>
      </c>
      <c r="N36" s="90">
        <v>-2</v>
      </c>
      <c r="O36" s="90">
        <v>0</v>
      </c>
      <c r="P36" s="90">
        <v>1</v>
      </c>
      <c r="Q36" s="90">
        <v>1</v>
      </c>
      <c r="R36" s="15">
        <f t="shared" ref="R36:R67" si="28">SUM(J36:N36)+SUM(P36:Q36)</f>
        <v>10</v>
      </c>
      <c r="S36" s="16">
        <f t="shared" ref="S36:S67" si="29">ROUND(R36/16*10,2)</f>
        <v>6.25</v>
      </c>
      <c r="T36" s="90">
        <v>15</v>
      </c>
      <c r="U36" s="90">
        <v>16</v>
      </c>
      <c r="V36" s="90">
        <v>10</v>
      </c>
      <c r="W36" s="90">
        <v>7</v>
      </c>
      <c r="X36" s="90">
        <v>8</v>
      </c>
      <c r="Y36" s="90">
        <v>11</v>
      </c>
      <c r="Z36" s="90">
        <v>10</v>
      </c>
      <c r="AA36" s="90">
        <v>-16</v>
      </c>
      <c r="AB36" s="15">
        <f t="shared" ref="AB36:AB66" si="30">SUM(T36:AA36)</f>
        <v>61</v>
      </c>
      <c r="AC36" s="16">
        <f t="shared" ref="AC36:AC66" si="31">ROUND(AB36/10,2)</f>
        <v>6.1</v>
      </c>
      <c r="AD36" s="90">
        <v>10</v>
      </c>
      <c r="AE36" s="90">
        <v>-6</v>
      </c>
      <c r="AF36" s="90">
        <v>8</v>
      </c>
      <c r="AG36" s="90">
        <v>11</v>
      </c>
      <c r="AH36" s="90">
        <v>3</v>
      </c>
      <c r="AI36" s="90">
        <v>9</v>
      </c>
      <c r="AJ36" s="90">
        <v>11</v>
      </c>
      <c r="AK36" s="90">
        <v>-9</v>
      </c>
      <c r="AL36" s="15">
        <f t="shared" ref="AL36:AL66" si="32">SUM(AD36:AK36)</f>
        <v>37</v>
      </c>
      <c r="AM36" s="16">
        <f t="shared" ref="AM36:AM66" si="33">ROUND(AL36/70*10,2)</f>
        <v>5.29</v>
      </c>
      <c r="AN36" s="17">
        <f t="shared" ref="AN36:AN67" si="34">ROUND(S36*0.2+AC36*0.4+AM36*0.4,2)</f>
        <v>5.81</v>
      </c>
      <c r="AO36" s="18" t="s">
        <v>136</v>
      </c>
      <c r="AP36" s="19">
        <v>900000</v>
      </c>
      <c r="AQ36" s="19">
        <v>100000</v>
      </c>
      <c r="AR36" s="19">
        <f ca="1">I36*'Framework Notes'!E6-AP36+AQ36</f>
        <v>8629783.3485916499</v>
      </c>
      <c r="AS36" s="19">
        <v>940085</v>
      </c>
      <c r="AT36" s="19">
        <v>1065825</v>
      </c>
      <c r="AU36" s="19">
        <v>1606052</v>
      </c>
      <c r="AV36" s="19">
        <v>4449504</v>
      </c>
      <c r="AW36" s="20">
        <f t="shared" ref="AW36:AW66" ca="1" si="35">AR36/AS36</f>
        <v>9.1797904961696553</v>
      </c>
      <c r="AX36" s="20">
        <f t="shared" ref="AX36:AX66" ca="1" si="36">AR36/AU36</f>
        <v>5.3732901229796104</v>
      </c>
      <c r="AY36" s="20">
        <f t="shared" ref="AY36:AY66" ca="1" si="37">AR36/AV36</f>
        <v>1.9394933342214435</v>
      </c>
      <c r="AZ36" s="21">
        <v>2601577</v>
      </c>
      <c r="BA36" s="22">
        <f t="shared" ref="BA36:BA66" si="38">AT36/AV36</f>
        <v>0.23953793501477919</v>
      </c>
      <c r="BB36" s="22">
        <f t="shared" ref="BB36:BB66" si="39">AV36/AZ36</f>
        <v>1.7103103233154353</v>
      </c>
      <c r="BC36" s="23">
        <f t="shared" ref="BC36:BC67" si="40">BA36*BB36</f>
        <v>0.40968420308143871</v>
      </c>
      <c r="BD36" s="98">
        <v>785000</v>
      </c>
      <c r="BE36" s="23">
        <f t="shared" ref="BE36:BE67" si="41">(BD36/AS36)^(1/5)-1</f>
        <v>-3.541499404818127E-2</v>
      </c>
      <c r="BF36">
        <v>2735000</v>
      </c>
      <c r="BG36" s="23">
        <f t="shared" ref="BG36:BG67" si="42">(BF36/AS36)^(1/5)-1</f>
        <v>0.23810660798655969</v>
      </c>
      <c r="BH36" s="24">
        <v>8</v>
      </c>
      <c r="BI36" s="24">
        <v>15</v>
      </c>
      <c r="BJ36" s="25">
        <f ca="1">((BD36*BH36+$AP36-$AQ36)/$H36)/'Framework Notes'!E6</f>
        <v>81.680900984330179</v>
      </c>
      <c r="BK36" s="25">
        <f ca="1">((BF36*BI36+$AP36-$AQ36)/$H36)/'Framework Notes'!E6</f>
        <v>482.52876887988839</v>
      </c>
      <c r="BL36" s="23">
        <f t="shared" ref="BL36:BL71" ca="1" si="43">IF($BJ36&lt;=0,-0.99,MAX(-0.99,($BJ36/G36)^(1/5)-1))</f>
        <v>-5.5708003930611705E-2</v>
      </c>
      <c r="BM36" s="23">
        <f t="shared" ref="BM36:BM71" ca="1" si="44">IF(BK36&lt;=0,-0.99,MAX(-0.99,(BK36/G36)^(1/5)-1))</f>
        <v>0.34705971061379648</v>
      </c>
      <c r="BN36" s="96" t="s">
        <v>677</v>
      </c>
      <c r="BO36" t="s">
        <v>137</v>
      </c>
      <c r="BP36" s="96" t="s">
        <v>682</v>
      </c>
    </row>
    <row r="37" spans="1:68" ht="15" customHeight="1" x14ac:dyDescent="0.35">
      <c r="A37" s="86" t="e" vm="34">
        <v>#VALUE!</v>
      </c>
      <c r="B37" s="10" t="str">
        <f t="array" aca="1" ref="B37" ca="1">_FV(A37,"Símbolo bursátil",TRUE())</f>
        <v>CBAV</v>
      </c>
      <c r="C37" s="88" t="s">
        <v>112</v>
      </c>
      <c r="D37" s="88" t="s">
        <v>77</v>
      </c>
      <c r="E37" s="11" t="str">
        <f t="array" aca="1" ref="E37" ca="1">_FV(A37,"Abreviatura de intercambio",TRUE())</f>
        <v>BMEX</v>
      </c>
      <c r="F37" s="11" t="str">
        <f t="array" aca="1" ref="F37" ca="1">_FV(A37,"Moneda")</f>
        <v>EUR</v>
      </c>
      <c r="G37" s="12">
        <f t="array" aca="1" ref="G37" ca="1">_FV(A37,"Precio")</f>
        <v>59</v>
      </c>
      <c r="H37" s="13">
        <f t="array" aca="1" ref="H37" ca="1">_FV(A37,"Acciones en circulación",TRUE())/1000000</f>
        <v>16.307580000000002</v>
      </c>
      <c r="I37" s="14">
        <f t="shared" ca="1" si="25"/>
        <v>962.14722000000006</v>
      </c>
      <c r="J37" s="91">
        <v>2</v>
      </c>
      <c r="K37" s="91">
        <v>5</v>
      </c>
      <c r="L37" s="91">
        <v>2</v>
      </c>
      <c r="M37" s="91">
        <v>0</v>
      </c>
      <c r="N37" s="91">
        <v>-1</v>
      </c>
      <c r="O37" s="91">
        <v>0</v>
      </c>
      <c r="P37" s="91">
        <v>0</v>
      </c>
      <c r="Q37" s="91">
        <v>1</v>
      </c>
      <c r="R37" s="26">
        <f t="shared" si="28"/>
        <v>9</v>
      </c>
      <c r="S37" s="16">
        <f t="shared" si="29"/>
        <v>5.63</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6.02</v>
      </c>
      <c r="AO37" s="18" t="s">
        <v>87</v>
      </c>
      <c r="AP37" s="19">
        <v>51.6</v>
      </c>
      <c r="AQ37" s="19">
        <v>70</v>
      </c>
      <c r="AR37" s="19">
        <f ca="1">I37-AP37+AQ37</f>
        <v>980.54722000000004</v>
      </c>
      <c r="AS37" s="19">
        <v>42</v>
      </c>
      <c r="AT37" s="19">
        <v>50</v>
      </c>
      <c r="AU37" s="19">
        <v>95</v>
      </c>
      <c r="AV37" s="19">
        <v>320</v>
      </c>
      <c r="AW37" s="20">
        <f t="shared" ca="1" si="35"/>
        <v>23.346362380952382</v>
      </c>
      <c r="AX37" s="20">
        <f t="shared" ca="1" si="36"/>
        <v>10.321549684210527</v>
      </c>
      <c r="AY37" s="20">
        <f t="shared" ca="1" si="37"/>
        <v>3.0642100624999999</v>
      </c>
      <c r="AZ37" s="21">
        <v>220</v>
      </c>
      <c r="BA37" s="22">
        <f t="shared" si="38"/>
        <v>0.15625</v>
      </c>
      <c r="BB37" s="22">
        <f t="shared" si="39"/>
        <v>1.4545454545454546</v>
      </c>
      <c r="BC37" s="23">
        <f t="shared" si="40"/>
        <v>0.22727272727272729</v>
      </c>
      <c r="BD37" s="98">
        <v>56</v>
      </c>
      <c r="BE37" s="23">
        <f t="shared" si="41"/>
        <v>5.9223841048812176E-2</v>
      </c>
      <c r="BF37" t="s">
        <v>138</v>
      </c>
      <c r="BG37" s="23">
        <f t="shared" si="42"/>
        <v>0.16978946918768023</v>
      </c>
      <c r="BH37" s="24">
        <v>12</v>
      </c>
      <c r="BI37" s="24">
        <v>16.5</v>
      </c>
      <c r="BJ37" s="25">
        <f ca="1">(BD37*BH37+$AP37-$AQ37)/$H37</f>
        <v>40.07952130236368</v>
      </c>
      <c r="BK37" s="25">
        <f ca="1">(BF37*BI37+$AP37-$AQ37)/$H37</f>
        <v>91.957237063991087</v>
      </c>
      <c r="BL37" s="23">
        <f t="shared" ca="1" si="43"/>
        <v>-7.441969937976034E-2</v>
      </c>
      <c r="BM37" s="23">
        <f t="shared" ca="1" si="44"/>
        <v>9.2815334580940823E-2</v>
      </c>
      <c r="BN37" s="95" t="s">
        <v>677</v>
      </c>
      <c r="BO37" s="100" t="s">
        <v>84</v>
      </c>
      <c r="BP37" s="95" t="s">
        <v>679</v>
      </c>
    </row>
    <row r="38" spans="1:68" ht="15" customHeight="1" x14ac:dyDescent="0.35">
      <c r="A38" s="86" t="e" vm="35">
        <v>#VALUE!</v>
      </c>
      <c r="B38" s="10" t="str">
        <f t="array" aca="1" ref="B38" ca="1">_FV(A38,"Símbolo bursátil",TRUE())</f>
        <v>NVDA</v>
      </c>
      <c r="C38" s="88" t="s">
        <v>139</v>
      </c>
      <c r="D38" s="88" t="s">
        <v>100</v>
      </c>
      <c r="E38" s="11" t="str">
        <f t="array" aca="1" ref="E38" ca="1">_FV(A38,"Abreviatura de intercambio",TRUE())</f>
        <v>XNAS</v>
      </c>
      <c r="F38" s="11" t="str">
        <f t="array" aca="1" ref="F38" ca="1">_FV(A38,"Moneda")</f>
        <v>USD</v>
      </c>
      <c r="G38" s="12">
        <f t="array" aca="1" ref="G38" ca="1">_FV(A38,"Precio")</f>
        <v>212.715</v>
      </c>
      <c r="H38" s="13">
        <f t="array" aca="1" ref="H38" ca="1">_FV(A38,"Acciones en circulación",TRUE())/1000000</f>
        <v>24200</v>
      </c>
      <c r="I38" s="14">
        <f t="shared" ca="1" si="25"/>
        <v>5147703</v>
      </c>
      <c r="J38" s="90">
        <v>1</v>
      </c>
      <c r="K38" s="90">
        <v>7</v>
      </c>
      <c r="L38" s="90">
        <v>2</v>
      </c>
      <c r="M38" s="90">
        <v>1</v>
      </c>
      <c r="N38" s="90">
        <v>-2</v>
      </c>
      <c r="O38" s="90">
        <v>0</v>
      </c>
      <c r="P38" s="90">
        <v>1</v>
      </c>
      <c r="Q38" s="90">
        <v>0</v>
      </c>
      <c r="R38" s="15">
        <f t="shared" si="28"/>
        <v>10</v>
      </c>
      <c r="S38" s="16">
        <f t="shared" si="29"/>
        <v>6.25</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5.8</v>
      </c>
      <c r="AO38" s="18" t="s">
        <v>78</v>
      </c>
      <c r="AP38" s="19">
        <v>53170</v>
      </c>
      <c r="AQ38" s="19">
        <v>12810</v>
      </c>
      <c r="AR38" s="19">
        <f ca="1">I38-AP38+AQ38</f>
        <v>5107343</v>
      </c>
      <c r="AS38" s="19">
        <v>122365</v>
      </c>
      <c r="AT38" s="19">
        <v>136729</v>
      </c>
      <c r="AU38" s="19">
        <v>165510</v>
      </c>
      <c r="AV38" s="19">
        <v>253490</v>
      </c>
      <c r="AW38" s="20">
        <f t="shared" ca="1" si="35"/>
        <v>41.738593552077802</v>
      </c>
      <c r="AX38" s="20">
        <f t="shared" ca="1" si="36"/>
        <v>30.858214005196061</v>
      </c>
      <c r="AY38" s="20">
        <f t="shared" ca="1" si="37"/>
        <v>20.148104461714468</v>
      </c>
      <c r="AZ38" s="21">
        <v>215590</v>
      </c>
      <c r="BA38" s="22">
        <f t="shared" si="38"/>
        <v>0.53938616907964809</v>
      </c>
      <c r="BB38" s="22">
        <f t="shared" si="39"/>
        <v>1.1757966510506053</v>
      </c>
      <c r="BC38" s="23">
        <f t="shared" si="40"/>
        <v>0.63420845122686575</v>
      </c>
      <c r="BD38" s="98">
        <v>179795</v>
      </c>
      <c r="BE38" s="23">
        <f t="shared" si="41"/>
        <v>8.0000804777190515E-2</v>
      </c>
      <c r="BF38">
        <v>279941.5</v>
      </c>
      <c r="BG38" s="23">
        <f t="shared" si="42"/>
        <v>0.18000001862190462</v>
      </c>
      <c r="BH38" s="24">
        <v>20</v>
      </c>
      <c r="BI38" s="24">
        <v>30</v>
      </c>
      <c r="BJ38" s="25">
        <f ca="1">(BD38*BH38+$AP38-$AQ38)/$H38</f>
        <v>150.2586776859504</v>
      </c>
      <c r="BK38" s="25">
        <f ca="1">(BF38*BI38+$AP38-$AQ38)/$H38</f>
        <v>348.70268595041324</v>
      </c>
      <c r="BL38" s="23">
        <f t="shared" ca="1" si="43"/>
        <v>-6.715757490375629E-2</v>
      </c>
      <c r="BM38" s="23">
        <f t="shared" ca="1" si="44"/>
        <v>0.10390432610734335</v>
      </c>
      <c r="BN38" s="96" t="s">
        <v>677</v>
      </c>
      <c r="BO38" t="s">
        <v>140</v>
      </c>
      <c r="BP38" t="s">
        <v>81</v>
      </c>
    </row>
    <row r="39" spans="1:68" ht="15" customHeight="1" x14ac:dyDescent="0.35">
      <c r="A39" s="86" t="e" vm="36">
        <v>#VALUE!</v>
      </c>
      <c r="B39" s="10" t="str">
        <f t="array" aca="1" ref="B39" ca="1">_FV(A39,"Símbolo bursátil",TRUE())</f>
        <v>COR</v>
      </c>
      <c r="C39" s="88" t="s">
        <v>141</v>
      </c>
      <c r="D39" s="88" t="s">
        <v>90</v>
      </c>
      <c r="E39" s="11" t="str">
        <f t="array" aca="1" ref="E39" ca="1">_FV(A39,"Abreviatura de intercambio",TRUE())</f>
        <v>XLIS</v>
      </c>
      <c r="F39" s="11" t="str">
        <f t="array" aca="1" ref="F39" ca="1">_FV(A39,"Moneda")</f>
        <v>EUR</v>
      </c>
      <c r="G39" s="12">
        <f t="array" aca="1" ref="G39" ca="1">_FV(A39,"Precio")</f>
        <v>7.06</v>
      </c>
      <c r="H39" s="13">
        <f t="array" aca="1" ref="H39" ca="1">_FV(A39,"Acciones en circulación",TRUE())/1000000</f>
        <v>133</v>
      </c>
      <c r="I39" s="14">
        <f t="shared" ca="1" si="25"/>
        <v>938.9799999999999</v>
      </c>
      <c r="J39" s="91">
        <v>1</v>
      </c>
      <c r="K39" s="91">
        <v>6</v>
      </c>
      <c r="L39" s="91">
        <v>1</v>
      </c>
      <c r="M39" s="91">
        <v>0</v>
      </c>
      <c r="N39" s="91">
        <v>-1</v>
      </c>
      <c r="O39" s="91">
        <v>0</v>
      </c>
      <c r="P39" s="91">
        <v>0</v>
      </c>
      <c r="Q39" s="91">
        <v>1</v>
      </c>
      <c r="R39" s="26">
        <f t="shared" si="28"/>
        <v>8</v>
      </c>
      <c r="S39" s="16">
        <f t="shared" si="29"/>
        <v>5</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5.72</v>
      </c>
      <c r="AO39" s="18" t="s">
        <v>87</v>
      </c>
      <c r="AP39" s="19">
        <v>40</v>
      </c>
      <c r="AQ39" s="19">
        <v>140</v>
      </c>
      <c r="AR39" s="19">
        <f ca="1">I39-AP39+AQ39</f>
        <v>1038.98</v>
      </c>
      <c r="AS39" s="19">
        <v>80</v>
      </c>
      <c r="AT39" s="19">
        <v>100</v>
      </c>
      <c r="AU39" s="19">
        <v>170</v>
      </c>
      <c r="AV39" s="19">
        <v>900</v>
      </c>
      <c r="AW39" s="20">
        <f t="shared" ca="1" si="35"/>
        <v>12.98725</v>
      </c>
      <c r="AX39" s="20">
        <f t="shared" ca="1" si="36"/>
        <v>6.1116470588235297</v>
      </c>
      <c r="AY39" s="20">
        <f t="shared" ca="1" si="37"/>
        <v>1.1544222222222222</v>
      </c>
      <c r="AZ39" s="21">
        <v>750</v>
      </c>
      <c r="BA39" s="22">
        <f t="shared" si="38"/>
        <v>0.1111111111111111</v>
      </c>
      <c r="BB39" s="22">
        <f t="shared" si="39"/>
        <v>1.2</v>
      </c>
      <c r="BC39" s="23">
        <f t="shared" si="40"/>
        <v>0.13333333333333333</v>
      </c>
      <c r="BD39" s="98">
        <v>80</v>
      </c>
      <c r="BE39" s="23">
        <f t="shared" si="41"/>
        <v>0</v>
      </c>
      <c r="BF39" t="s">
        <v>142</v>
      </c>
      <c r="BG39" s="23">
        <f t="shared" si="42"/>
        <v>8.9840705850404712E-2</v>
      </c>
      <c r="BH39" s="24">
        <v>8.5</v>
      </c>
      <c r="BI39" s="24">
        <v>12</v>
      </c>
      <c r="BJ39" s="25">
        <f ca="1">(BD39*BH39+$AP39-$AQ39)/$H39</f>
        <v>4.3609022556390977</v>
      </c>
      <c r="BK39" s="25">
        <f ca="1">(BF39*BI39+$AP39-$AQ39)/$H39</f>
        <v>10.345864661654135</v>
      </c>
      <c r="BL39" s="23">
        <f t="shared" ca="1" si="43"/>
        <v>-9.1856810600527417E-2</v>
      </c>
      <c r="BM39" s="23">
        <f t="shared" ca="1" si="44"/>
        <v>7.9424865939422329E-2</v>
      </c>
      <c r="BN39" s="93" t="s">
        <v>126</v>
      </c>
      <c r="BO39" s="94" t="s">
        <v>84</v>
      </c>
      <c r="BP39" s="93" t="s">
        <v>143</v>
      </c>
    </row>
    <row r="40" spans="1:68" ht="15" customHeight="1" x14ac:dyDescent="0.35">
      <c r="A40" s="86" t="e" vm="37">
        <v>#VALUE!</v>
      </c>
      <c r="B40" s="10" t="str">
        <f t="array" aca="1" ref="B40" ca="1">_FV(A40,"Símbolo bursátil",TRUE())</f>
        <v>TSM</v>
      </c>
      <c r="C40" s="88" t="s">
        <v>139</v>
      </c>
      <c r="D40" s="88" t="s">
        <v>77</v>
      </c>
      <c r="E40" s="11" t="str">
        <f t="array" aca="1" ref="E40" ca="1">_FV(A40,"Abreviatura de intercambio",TRUE())</f>
        <v>XNYS</v>
      </c>
      <c r="F40" s="11" t="str">
        <f t="array" aca="1" ref="F40" ca="1">_FV(A40,"Moneda")</f>
        <v>USD</v>
      </c>
      <c r="G40" s="12">
        <f t="array" aca="1" ref="G40" ca="1">_FV(A40,"Precio")</f>
        <v>416.47</v>
      </c>
      <c r="H40" s="13">
        <f t="array" aca="1" ref="H40" ca="1">_FV(A40,"Acciones en circulación",TRUE())/1000000</f>
        <v>5186.4740000000002</v>
      </c>
      <c r="I40" s="14">
        <f t="shared" ca="1" si="25"/>
        <v>2160010.8267800002</v>
      </c>
      <c r="J40" s="90">
        <v>2</v>
      </c>
      <c r="K40" s="90">
        <v>7</v>
      </c>
      <c r="L40" s="90">
        <v>1</v>
      </c>
      <c r="M40" s="90">
        <v>1</v>
      </c>
      <c r="N40" s="90">
        <v>-2</v>
      </c>
      <c r="O40" s="90">
        <v>0</v>
      </c>
      <c r="P40" s="90">
        <v>1</v>
      </c>
      <c r="Q40" s="90">
        <v>0</v>
      </c>
      <c r="R40" s="15">
        <f t="shared" si="28"/>
        <v>10</v>
      </c>
      <c r="S40" s="16">
        <f t="shared" si="29"/>
        <v>6.25</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5.33</v>
      </c>
      <c r="AO40" s="18" t="s">
        <v>78</v>
      </c>
      <c r="AP40" s="19">
        <v>110580</v>
      </c>
      <c r="AQ40" s="19">
        <v>33590</v>
      </c>
      <c r="AR40" s="19">
        <f ca="1">I40-AP40+AQ40</f>
        <v>2083020.8267800002</v>
      </c>
      <c r="AS40" s="19">
        <v>59255</v>
      </c>
      <c r="AT40" s="19">
        <v>65027</v>
      </c>
      <c r="AU40" s="19">
        <v>99560</v>
      </c>
      <c r="AV40" s="19">
        <v>139570</v>
      </c>
      <c r="AW40" s="20">
        <f t="shared" ca="1" si="35"/>
        <v>35.153503109948531</v>
      </c>
      <c r="AX40" s="20">
        <f t="shared" ca="1" si="36"/>
        <v>20.922266239252714</v>
      </c>
      <c r="AY40" s="20">
        <f t="shared" ca="1" si="37"/>
        <v>14.924559911012397</v>
      </c>
      <c r="AZ40" s="21">
        <v>244100</v>
      </c>
      <c r="BA40" s="22">
        <f t="shared" si="38"/>
        <v>0.46590957942251199</v>
      </c>
      <c r="BB40" s="22">
        <f t="shared" si="39"/>
        <v>0.57177386317083168</v>
      </c>
      <c r="BC40" s="23">
        <f t="shared" si="40"/>
        <v>0.26639492011470711</v>
      </c>
      <c r="BD40" s="98">
        <v>87064.2</v>
      </c>
      <c r="BE40" s="23">
        <f t="shared" si="41"/>
        <v>7.9997927963835647E-2</v>
      </c>
      <c r="BF40">
        <v>124455.7</v>
      </c>
      <c r="BG40" s="23">
        <f t="shared" si="42"/>
        <v>0.15999991626184928</v>
      </c>
      <c r="BH40" s="24">
        <v>14</v>
      </c>
      <c r="BI40" s="24">
        <v>22</v>
      </c>
      <c r="BJ40" s="25">
        <f ca="1">(BD40*BH40+$AP40-$AQ40)/$H40</f>
        <v>249.85930711307913</v>
      </c>
      <c r="BK40" s="25">
        <f ca="1">(BF40*BI40+$AP40-$AQ40)/$H40</f>
        <v>542.76092003931763</v>
      </c>
      <c r="BL40" s="23">
        <f t="shared" ca="1" si="43"/>
        <v>-9.7135948059777655E-2</v>
      </c>
      <c r="BM40" s="23">
        <f t="shared" ca="1" si="44"/>
        <v>5.4398961280961888E-2</v>
      </c>
      <c r="BN40" s="95" t="s">
        <v>677</v>
      </c>
      <c r="BO40" s="93" t="s">
        <v>133</v>
      </c>
      <c r="BP40" s="93" t="s">
        <v>144</v>
      </c>
    </row>
    <row r="41" spans="1:68" ht="15" customHeight="1" x14ac:dyDescent="0.35">
      <c r="A41" s="86" t="e" vm="38">
        <v>#VALUE!</v>
      </c>
      <c r="B41" s="10" t="str">
        <f t="array" aca="1" ref="B41" ca="1">_FV(A41,"Símbolo bursátil",TRUE())</f>
        <v>SPOT</v>
      </c>
      <c r="C41" s="88" t="s">
        <v>109</v>
      </c>
      <c r="D41" s="88" t="s">
        <v>100</v>
      </c>
      <c r="E41" s="11" t="str">
        <f t="array" aca="1" ref="E41" ca="1">_FV(A41,"Abreviatura de intercambio",TRUE())</f>
        <v>XNYS</v>
      </c>
      <c r="F41" s="11" t="str">
        <f t="array" aca="1" ref="F41" ca="1">_FV(A41,"Moneda")</f>
        <v>USD</v>
      </c>
      <c r="G41" s="12">
        <f t="array" aca="1" ref="G41" ca="1">_FV(A41,"Precio")</f>
        <v>550.72</v>
      </c>
      <c r="H41" s="13">
        <f t="array" aca="1" ref="H41" ca="1">_FV(A41,"Acciones en circulación",TRUE())/1000000</f>
        <v>205.5342</v>
      </c>
      <c r="I41" s="14">
        <f t="shared" ca="1" si="25"/>
        <v>113191.794624</v>
      </c>
      <c r="J41" s="91">
        <v>1</v>
      </c>
      <c r="K41" s="91">
        <v>4</v>
      </c>
      <c r="L41" s="91">
        <v>2</v>
      </c>
      <c r="M41" s="91">
        <v>0</v>
      </c>
      <c r="N41" s="91">
        <v>-2</v>
      </c>
      <c r="O41" s="91">
        <v>0</v>
      </c>
      <c r="P41" s="91">
        <v>1</v>
      </c>
      <c r="Q41" s="91">
        <v>1</v>
      </c>
      <c r="R41" s="26">
        <f t="shared" si="28"/>
        <v>7</v>
      </c>
      <c r="S41" s="16">
        <f t="shared" si="29"/>
        <v>4.38</v>
      </c>
      <c r="T41" s="91">
        <v>15</v>
      </c>
      <c r="U41" s="91">
        <v>11</v>
      </c>
      <c r="V41" s="91">
        <v>12</v>
      </c>
      <c r="W41" s="91">
        <v>9</v>
      </c>
      <c r="X41" s="91">
        <v>7</v>
      </c>
      <c r="Y41" s="91">
        <v>11</v>
      </c>
      <c r="Z41" s="91">
        <v>8</v>
      </c>
      <c r="AA41" s="91">
        <v>-12</v>
      </c>
      <c r="AB41" s="26">
        <f t="shared" si="30"/>
        <v>61</v>
      </c>
      <c r="AC41" s="16">
        <f t="shared" si="31"/>
        <v>6.1</v>
      </c>
      <c r="AD41" s="91">
        <v>10</v>
      </c>
      <c r="AE41" s="91">
        <v>-3</v>
      </c>
      <c r="AF41" s="91">
        <v>7</v>
      </c>
      <c r="AG41" s="91">
        <v>9</v>
      </c>
      <c r="AH41" s="91">
        <v>4</v>
      </c>
      <c r="AI41" s="91">
        <v>8</v>
      </c>
      <c r="AJ41" s="91">
        <v>9</v>
      </c>
      <c r="AK41" s="91">
        <v>-5</v>
      </c>
      <c r="AL41" s="26">
        <f t="shared" si="32"/>
        <v>39</v>
      </c>
      <c r="AM41" s="16">
        <f t="shared" si="33"/>
        <v>5.57</v>
      </c>
      <c r="AN41" s="17">
        <f t="shared" si="34"/>
        <v>5.54</v>
      </c>
      <c r="AO41" s="18" t="s">
        <v>87</v>
      </c>
      <c r="AP41" s="19">
        <v>6985</v>
      </c>
      <c r="AQ41" s="19">
        <v>466</v>
      </c>
      <c r="AR41" s="19">
        <f ca="1">I41*'Framework Notes'!E8-AP41+AQ41</f>
        <v>90429.772095456006</v>
      </c>
      <c r="AS41" s="19">
        <v>3267</v>
      </c>
      <c r="AT41" s="19">
        <v>2122</v>
      </c>
      <c r="AU41" s="19">
        <v>2750</v>
      </c>
      <c r="AV41" s="19">
        <v>18113</v>
      </c>
      <c r="AW41" s="20">
        <f t="shared" ca="1" si="35"/>
        <v>27.679758829340681</v>
      </c>
      <c r="AX41" s="20">
        <f t="shared" ca="1" si="36"/>
        <v>32.883553489256727</v>
      </c>
      <c r="AY41" s="20">
        <f t="shared" ca="1" si="37"/>
        <v>4.9925342072244252</v>
      </c>
      <c r="AZ41" s="21">
        <v>8834</v>
      </c>
      <c r="BA41" s="22">
        <f t="shared" si="38"/>
        <v>0.11715342571633633</v>
      </c>
      <c r="BB41" s="22">
        <f t="shared" si="39"/>
        <v>2.0503735567127008</v>
      </c>
      <c r="BC41" s="23">
        <f t="shared" si="40"/>
        <v>0.2402082861670817</v>
      </c>
      <c r="BD41" s="98">
        <v>3787</v>
      </c>
      <c r="BE41" s="23">
        <f t="shared" si="41"/>
        <v>2.9981049223496647E-2</v>
      </c>
      <c r="BF41">
        <v>5262</v>
      </c>
      <c r="BG41" s="23">
        <f t="shared" si="42"/>
        <v>0.10001939338601362</v>
      </c>
      <c r="BH41" s="24">
        <v>18</v>
      </c>
      <c r="BI41" s="24">
        <v>25</v>
      </c>
      <c r="BJ41" s="25">
        <f ca="1">((BD41*BH41+$AP41-$AQ41)/$H41)/'Framework Notes'!E8</f>
        <v>424.25006847433599</v>
      </c>
      <c r="BK41" s="25">
        <f ca="1">((BF41*BI41+$AP41-$AQ41)/$H41)/'Framework Notes'!E8</f>
        <v>784.30451501885375</v>
      </c>
      <c r="BL41" s="23">
        <f t="shared" ca="1" si="43"/>
        <v>-5.0842651420662355E-2</v>
      </c>
      <c r="BM41" s="23">
        <f t="shared" ca="1" si="44"/>
        <v>7.3274406694289196E-2</v>
      </c>
      <c r="BN41" s="95" t="s">
        <v>677</v>
      </c>
      <c r="BO41" s="95" t="s">
        <v>84</v>
      </c>
      <c r="BP41" s="95" t="s">
        <v>85</v>
      </c>
    </row>
    <row r="42" spans="1:68" ht="15" customHeight="1" x14ac:dyDescent="0.35">
      <c r="A42" s="86" t="e" vm="39">
        <v>#VALUE!</v>
      </c>
      <c r="B42" s="10" t="str">
        <f t="array" aca="1" ref="B42" ca="1">_FV(A42,"Símbolo bursátil",TRUE())</f>
        <v>PRY</v>
      </c>
      <c r="C42" s="88" t="s">
        <v>107</v>
      </c>
      <c r="D42" s="88" t="s">
        <v>77</v>
      </c>
      <c r="E42" s="11" t="str">
        <f t="array" aca="1" ref="E42" ca="1">_FV(A42,"Abreviatura de intercambio",TRUE())</f>
        <v>XMIL</v>
      </c>
      <c r="F42" s="11" t="str">
        <f t="array" aca="1" ref="F42" ca="1">_FV(A42,"Moneda")</f>
        <v>EUR</v>
      </c>
      <c r="G42" s="12">
        <f t="array" aca="1" ref="G42" ca="1">_FV(A42,"Precio")</f>
        <v>121</v>
      </c>
      <c r="H42" s="13">
        <f t="array" aca="1" ref="H42" ca="1">_FV(A42,"Acciones en circulación",TRUE())/1000000</f>
        <v>301.83679999999998</v>
      </c>
      <c r="I42" s="14">
        <f t="shared" ca="1" si="25"/>
        <v>36522.252799999995</v>
      </c>
      <c r="J42" s="90">
        <v>1</v>
      </c>
      <c r="K42" s="90">
        <v>5.5</v>
      </c>
      <c r="L42" s="90">
        <v>2</v>
      </c>
      <c r="M42" s="90">
        <v>1</v>
      </c>
      <c r="N42" s="90">
        <v>-1</v>
      </c>
      <c r="O42" s="90">
        <v>0.5</v>
      </c>
      <c r="P42" s="90">
        <v>1</v>
      </c>
      <c r="Q42" s="90">
        <v>0</v>
      </c>
      <c r="R42" s="15">
        <f t="shared" si="28"/>
        <v>9.5</v>
      </c>
      <c r="S42" s="16">
        <f t="shared" si="29"/>
        <v>5.94</v>
      </c>
      <c r="T42" s="90">
        <v>12</v>
      </c>
      <c r="U42" s="90">
        <v>13</v>
      </c>
      <c r="V42" s="90">
        <v>14</v>
      </c>
      <c r="W42" s="90">
        <v>9</v>
      </c>
      <c r="X42" s="90">
        <v>7</v>
      </c>
      <c r="Y42" s="90">
        <v>10</v>
      </c>
      <c r="Z42" s="90">
        <v>4</v>
      </c>
      <c r="AA42" s="90">
        <v>-11</v>
      </c>
      <c r="AB42" s="15">
        <f t="shared" si="30"/>
        <v>58</v>
      </c>
      <c r="AC42" s="16">
        <f t="shared" si="31"/>
        <v>5.8</v>
      </c>
      <c r="AD42" s="90">
        <v>12</v>
      </c>
      <c r="AE42" s="90">
        <v>-1</v>
      </c>
      <c r="AF42" s="90">
        <v>4</v>
      </c>
      <c r="AG42" s="90">
        <v>12</v>
      </c>
      <c r="AH42" s="90">
        <v>3</v>
      </c>
      <c r="AI42" s="90">
        <v>7</v>
      </c>
      <c r="AJ42" s="90">
        <v>10</v>
      </c>
      <c r="AK42" s="90">
        <v>-6</v>
      </c>
      <c r="AL42" s="15">
        <f t="shared" si="32"/>
        <v>41</v>
      </c>
      <c r="AM42" s="16">
        <f t="shared" si="33"/>
        <v>5.86</v>
      </c>
      <c r="AN42" s="17">
        <f t="shared" si="34"/>
        <v>5.85</v>
      </c>
      <c r="AO42" s="18" t="s">
        <v>87</v>
      </c>
      <c r="AP42" s="19">
        <v>2600</v>
      </c>
      <c r="AQ42" s="19">
        <v>4917</v>
      </c>
      <c r="AR42" s="19">
        <f t="shared" ref="AR42:AR48" ca="1" si="45">I42-AP42+AQ42</f>
        <v>38839.252799999995</v>
      </c>
      <c r="AS42" s="19">
        <v>1171</v>
      </c>
      <c r="AT42" s="19">
        <v>1419</v>
      </c>
      <c r="AU42" s="19">
        <v>2398</v>
      </c>
      <c r="AV42" s="19">
        <v>19650</v>
      </c>
      <c r="AW42" s="20">
        <f t="shared" ca="1" si="35"/>
        <v>33.167594192997434</v>
      </c>
      <c r="AX42" s="20">
        <f t="shared" ca="1" si="36"/>
        <v>16.196519099249372</v>
      </c>
      <c r="AY42" s="20">
        <f t="shared" ca="1" si="37"/>
        <v>1.9765523053435112</v>
      </c>
      <c r="AZ42" s="21">
        <v>13130</v>
      </c>
      <c r="BA42" s="22">
        <f t="shared" si="38"/>
        <v>7.2213740458015263E-2</v>
      </c>
      <c r="BB42" s="22">
        <f t="shared" si="39"/>
        <v>1.4965727341964965</v>
      </c>
      <c r="BC42" s="23">
        <f t="shared" si="40"/>
        <v>0.10807311500380806</v>
      </c>
      <c r="BD42" s="98">
        <v>1701</v>
      </c>
      <c r="BE42" s="23">
        <f t="shared" si="41"/>
        <v>7.7530281153552538E-2</v>
      </c>
      <c r="BF42">
        <v>3496</v>
      </c>
      <c r="BG42" s="23">
        <f t="shared" si="42"/>
        <v>0.24452293859898422</v>
      </c>
      <c r="BH42" s="24">
        <v>18</v>
      </c>
      <c r="BI42" s="24">
        <v>22.5</v>
      </c>
      <c r="BJ42" s="25">
        <f t="shared" ref="BJ42:BJ48" ca="1" si="46">(BD42*BH42+$AP42-$AQ42)/$H42</f>
        <v>93.762589584835254</v>
      </c>
      <c r="BK42" s="25">
        <f t="shared" ref="BK42:BK48" ca="1" si="47">(BF42*BI42+$AP42-$AQ42)/$H42</f>
        <v>252.9280723887876</v>
      </c>
      <c r="BL42" s="23">
        <f t="shared" ca="1" si="43"/>
        <v>-4.9726004990056971E-2</v>
      </c>
      <c r="BM42" s="23">
        <f t="shared" ca="1" si="44"/>
        <v>0.15889031327299175</v>
      </c>
      <c r="BN42" s="95" t="s">
        <v>524</v>
      </c>
      <c r="BO42" s="93" t="s">
        <v>106</v>
      </c>
      <c r="BP42" s="93" t="s">
        <v>143</v>
      </c>
    </row>
    <row r="43" spans="1:68" ht="15" customHeight="1" x14ac:dyDescent="0.35">
      <c r="A43" s="86" t="e" vm="40">
        <v>#VALUE!</v>
      </c>
      <c r="B43" s="10" t="str">
        <f t="array" aca="1" ref="B43" ca="1">_FV(A43,"Símbolo bursátil",TRUE())</f>
        <v>JFN</v>
      </c>
      <c r="C43" s="88" t="s">
        <v>134</v>
      </c>
      <c r="D43" s="88" t="s">
        <v>90</v>
      </c>
      <c r="E43" s="11" t="str">
        <f t="array" aca="1" ref="E43" ca="1">_FV(A43,"Abreviatura de intercambio",TRUE())</f>
        <v>XSWX</v>
      </c>
      <c r="F43" s="11" t="str">
        <f t="array" aca="1" ref="F43" ca="1">_FV(A43,"Moneda")</f>
        <v>CHF</v>
      </c>
      <c r="G43" s="12">
        <f t="array" aca="1" ref="G43" ca="1">_FV(A43,"Precio")</f>
        <v>254.5</v>
      </c>
      <c r="H43" s="13">
        <f t="array" aca="1" ref="H43" ca="1">_FV(A43,"Acciones en circulación",TRUE())/1000000</f>
        <v>5.835</v>
      </c>
      <c r="I43" s="14">
        <f t="shared" ca="1" si="25"/>
        <v>1485.0074999999999</v>
      </c>
      <c r="J43" s="91">
        <v>0</v>
      </c>
      <c r="K43" s="91">
        <v>7</v>
      </c>
      <c r="L43" s="91">
        <v>0</v>
      </c>
      <c r="M43" s="91">
        <v>1</v>
      </c>
      <c r="N43" s="91">
        <v>-1</v>
      </c>
      <c r="O43" s="91">
        <v>0</v>
      </c>
      <c r="P43" s="91">
        <v>0</v>
      </c>
      <c r="Q43" s="91">
        <v>0</v>
      </c>
      <c r="R43" s="26">
        <f t="shared" si="28"/>
        <v>7</v>
      </c>
      <c r="S43" s="16">
        <f t="shared" si="29"/>
        <v>4.38</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5.52</v>
      </c>
      <c r="AO43" s="18" t="s">
        <v>129</v>
      </c>
      <c r="AP43" s="19">
        <v>75</v>
      </c>
      <c r="AQ43" s="19">
        <v>0</v>
      </c>
      <c r="AR43" s="19">
        <f t="shared" ca="1" si="45"/>
        <v>1410.0074999999999</v>
      </c>
      <c r="AS43" s="19">
        <v>75</v>
      </c>
      <c r="AT43" s="19">
        <v>78</v>
      </c>
      <c r="AU43" s="19">
        <v>138</v>
      </c>
      <c r="AV43" s="19">
        <v>306</v>
      </c>
      <c r="AW43" s="20">
        <f t="shared" ca="1" si="35"/>
        <v>18.8001</v>
      </c>
      <c r="AX43" s="20">
        <f t="shared" ca="1" si="36"/>
        <v>10.217445652173913</v>
      </c>
      <c r="AY43" s="20">
        <f t="shared" ca="1" si="37"/>
        <v>4.6078676470588231</v>
      </c>
      <c r="AZ43" s="21">
        <v>450</v>
      </c>
      <c r="BA43" s="22">
        <f t="shared" si="38"/>
        <v>0.25490196078431371</v>
      </c>
      <c r="BB43" s="22">
        <f t="shared" si="39"/>
        <v>0.68</v>
      </c>
      <c r="BC43" s="23">
        <f t="shared" si="40"/>
        <v>0.17333333333333334</v>
      </c>
      <c r="BD43" s="98">
        <v>55</v>
      </c>
      <c r="BE43" s="23">
        <f t="shared" si="41"/>
        <v>-6.0146235650011426E-2</v>
      </c>
      <c r="BF43" t="s">
        <v>145</v>
      </c>
      <c r="BG43" s="23">
        <f t="shared" si="42"/>
        <v>5.2773380130115566E-3</v>
      </c>
      <c r="BH43" s="24">
        <v>15</v>
      </c>
      <c r="BI43" s="24">
        <v>22</v>
      </c>
      <c r="BJ43" s="25">
        <f t="shared" ca="1" si="46"/>
        <v>154.24164524421593</v>
      </c>
      <c r="BK43" s="25">
        <f t="shared" ca="1" si="47"/>
        <v>303.17052270779777</v>
      </c>
      <c r="BL43" s="23">
        <f t="shared" ca="1" si="43"/>
        <v>-9.5303786822472536E-2</v>
      </c>
      <c r="BM43" s="23">
        <f t="shared" ca="1" si="44"/>
        <v>3.561858876315771E-2</v>
      </c>
      <c r="BN43" s="93" t="s">
        <v>105</v>
      </c>
      <c r="BO43" s="93" t="s">
        <v>146</v>
      </c>
      <c r="BP43" s="93" t="s">
        <v>147</v>
      </c>
    </row>
    <row r="44" spans="1:68" ht="15" customHeight="1" x14ac:dyDescent="0.35">
      <c r="A44" s="86" t="e" vm="41">
        <v>#VALUE!</v>
      </c>
      <c r="B44" s="10" t="str">
        <f t="array" aca="1" ref="B44" ca="1">_FV(A44,"Símbolo bursátil",TRUE())</f>
        <v>CPR</v>
      </c>
      <c r="C44" s="88" t="s">
        <v>141</v>
      </c>
      <c r="D44" s="88" t="s">
        <v>90</v>
      </c>
      <c r="E44" s="11" t="str">
        <f t="array" aca="1" ref="E44" ca="1">_FV(A44,"Abreviatura de intercambio",TRUE())</f>
        <v>XMIL</v>
      </c>
      <c r="F44" s="11" t="str">
        <f t="array" aca="1" ref="F44" ca="1">_FV(A44,"Moneda")</f>
        <v>EUR</v>
      </c>
      <c r="G44" s="12">
        <f t="array" aca="1" ref="G44" ca="1">_FV(A44,"Precio")</f>
        <v>5.9020000000000001</v>
      </c>
      <c r="H44" s="13">
        <f t="array" aca="1" ref="H44" ca="1">_FV(A44,"Acciones en circulación",TRUE())/1000000</f>
        <v>1231.268</v>
      </c>
      <c r="I44" s="14">
        <f t="shared" ca="1" si="25"/>
        <v>7266.9437360000002</v>
      </c>
      <c r="J44" s="90">
        <v>0</v>
      </c>
      <c r="K44" s="90">
        <v>6</v>
      </c>
      <c r="L44" s="90">
        <v>1</v>
      </c>
      <c r="M44" s="90">
        <v>-1</v>
      </c>
      <c r="N44" s="90">
        <v>0</v>
      </c>
      <c r="O44" s="90">
        <v>0</v>
      </c>
      <c r="P44" s="90">
        <v>0</v>
      </c>
      <c r="Q44" s="90">
        <v>1</v>
      </c>
      <c r="R44" s="15">
        <f t="shared" si="28"/>
        <v>7</v>
      </c>
      <c r="S44" s="16">
        <f t="shared" si="29"/>
        <v>4.38</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5.5</v>
      </c>
      <c r="AO44" s="18" t="s">
        <v>87</v>
      </c>
      <c r="AP44" s="19">
        <v>711</v>
      </c>
      <c r="AQ44" s="19">
        <v>2806</v>
      </c>
      <c r="AR44" s="19">
        <f t="shared" ca="1" si="45"/>
        <v>9361.9437360000011</v>
      </c>
      <c r="AS44" s="19">
        <v>434</v>
      </c>
      <c r="AT44" s="19">
        <v>412</v>
      </c>
      <c r="AU44" s="19">
        <v>664</v>
      </c>
      <c r="AV44" s="19">
        <v>3035</v>
      </c>
      <c r="AW44" s="20">
        <f t="shared" ca="1" si="35"/>
        <v>21.571298930875578</v>
      </c>
      <c r="AX44" s="20">
        <f t="shared" ca="1" si="36"/>
        <v>14.099312855421688</v>
      </c>
      <c r="AY44" s="20">
        <f t="shared" ca="1" si="37"/>
        <v>3.0846602095551896</v>
      </c>
      <c r="AZ44" s="21">
        <v>7090</v>
      </c>
      <c r="BA44" s="22">
        <f t="shared" si="38"/>
        <v>0.1357495881383855</v>
      </c>
      <c r="BB44" s="22">
        <f t="shared" si="39"/>
        <v>0.42806770098730607</v>
      </c>
      <c r="BC44" s="23">
        <f t="shared" si="40"/>
        <v>5.8110014104372353E-2</v>
      </c>
      <c r="BD44" s="98">
        <v>503</v>
      </c>
      <c r="BE44" s="23">
        <f t="shared" si="41"/>
        <v>2.9948835977870125E-2</v>
      </c>
      <c r="BF44">
        <v>731</v>
      </c>
      <c r="BG44" s="23">
        <f t="shared" si="42"/>
        <v>0.10990428861091672</v>
      </c>
      <c r="BH44" s="24">
        <v>15</v>
      </c>
      <c r="BI44" s="24">
        <v>20</v>
      </c>
      <c r="BJ44" s="25">
        <f t="shared" ca="1" si="46"/>
        <v>4.4263312292693389</v>
      </c>
      <c r="BK44" s="25">
        <f t="shared" ca="1" si="47"/>
        <v>10.172440118641919</v>
      </c>
      <c r="BL44" s="23">
        <f t="shared" ca="1" si="43"/>
        <v>-5.5919687926566208E-2</v>
      </c>
      <c r="BM44" s="23">
        <f t="shared" ca="1" si="44"/>
        <v>0.11502649565910006</v>
      </c>
      <c r="BN44" s="95" t="s">
        <v>677</v>
      </c>
      <c r="BO44" s="95" t="s">
        <v>84</v>
      </c>
      <c r="BP44" s="95" t="s">
        <v>85</v>
      </c>
    </row>
    <row r="45" spans="1:68" ht="15" customHeight="1" x14ac:dyDescent="0.35">
      <c r="A45" s="86" t="e" vm="42">
        <v>#VALUE!</v>
      </c>
      <c r="B45" s="10" t="str">
        <f t="array" aca="1" ref="B45" ca="1">_FV(A45,"Símbolo bursátil",TRUE())</f>
        <v>SIKA</v>
      </c>
      <c r="C45" s="88" t="s">
        <v>135</v>
      </c>
      <c r="D45" s="88" t="s">
        <v>77</v>
      </c>
      <c r="E45" s="11" t="str">
        <f t="array" aca="1" ref="E45" ca="1">_FV(A45,"Abreviatura de intercambio",TRUE())</f>
        <v>XSWX</v>
      </c>
      <c r="F45" s="11" t="str">
        <f t="array" aca="1" ref="F45" ca="1">_FV(A45,"Moneda")</f>
        <v>CHF</v>
      </c>
      <c r="G45" s="12">
        <f t="array" aca="1" ref="G45" ca="1">_FV(A45,"Precio")</f>
        <v>190.35</v>
      </c>
      <c r="H45" s="13">
        <f t="array" aca="1" ref="H45" ca="1">_FV(A45,"Acciones en circulación",TRUE())/1000000</f>
        <v>160.47929999999999</v>
      </c>
      <c r="I45" s="14">
        <f t="shared" ca="1" si="25"/>
        <v>30547.234754999998</v>
      </c>
      <c r="J45" s="91">
        <v>1</v>
      </c>
      <c r="K45" s="91">
        <v>6</v>
      </c>
      <c r="L45" s="91">
        <v>1</v>
      </c>
      <c r="M45" s="91">
        <v>0</v>
      </c>
      <c r="N45" s="91">
        <v>0</v>
      </c>
      <c r="O45" s="91">
        <v>0</v>
      </c>
      <c r="P45" s="91">
        <v>0</v>
      </c>
      <c r="Q45" s="91">
        <v>0</v>
      </c>
      <c r="R45" s="26">
        <f t="shared" si="28"/>
        <v>8</v>
      </c>
      <c r="S45" s="16">
        <f t="shared" si="29"/>
        <v>5</v>
      </c>
      <c r="T45" s="91">
        <v>11</v>
      </c>
      <c r="U45" s="91">
        <v>13</v>
      </c>
      <c r="V45" s="91">
        <v>10</v>
      </c>
      <c r="W45" s="91">
        <v>9</v>
      </c>
      <c r="X45" s="91">
        <v>7</v>
      </c>
      <c r="Y45" s="91">
        <v>10</v>
      </c>
      <c r="Z45" s="91">
        <v>5</v>
      </c>
      <c r="AA45" s="91">
        <v>-9</v>
      </c>
      <c r="AB45" s="26">
        <f t="shared" si="30"/>
        <v>56</v>
      </c>
      <c r="AC45" s="16">
        <f t="shared" si="31"/>
        <v>5.6</v>
      </c>
      <c r="AD45" s="91">
        <v>12</v>
      </c>
      <c r="AE45" s="91">
        <v>-2</v>
      </c>
      <c r="AF45" s="91">
        <v>5</v>
      </c>
      <c r="AG45" s="91">
        <v>10</v>
      </c>
      <c r="AH45" s="91">
        <v>1</v>
      </c>
      <c r="AI45" s="91">
        <v>7</v>
      </c>
      <c r="AJ45" s="91">
        <v>11</v>
      </c>
      <c r="AK45" s="91">
        <v>-5</v>
      </c>
      <c r="AL45" s="26">
        <f t="shared" si="32"/>
        <v>39</v>
      </c>
      <c r="AM45" s="16">
        <f t="shared" si="33"/>
        <v>5.57</v>
      </c>
      <c r="AN45" s="17">
        <f t="shared" si="34"/>
        <v>5.47</v>
      </c>
      <c r="AO45" s="18" t="s">
        <v>129</v>
      </c>
      <c r="AP45" s="19">
        <v>625</v>
      </c>
      <c r="AQ45" s="19">
        <v>6080</v>
      </c>
      <c r="AR45" s="19">
        <f t="shared" ca="1" si="45"/>
        <v>36002.234754999998</v>
      </c>
      <c r="AS45" s="19">
        <v>1320</v>
      </c>
      <c r="AT45" s="19">
        <v>1173</v>
      </c>
      <c r="AU45" s="19">
        <v>1940</v>
      </c>
      <c r="AV45" s="19">
        <v>11110</v>
      </c>
      <c r="AW45" s="20">
        <f t="shared" ca="1" si="35"/>
        <v>27.274420268939391</v>
      </c>
      <c r="AX45" s="20">
        <f t="shared" ca="1" si="36"/>
        <v>18.557852966494846</v>
      </c>
      <c r="AY45" s="20">
        <f t="shared" ca="1" si="37"/>
        <v>3.2405251804680466</v>
      </c>
      <c r="AZ45" s="21">
        <v>12207</v>
      </c>
      <c r="BA45" s="22">
        <f t="shared" si="38"/>
        <v>0.10558055805580559</v>
      </c>
      <c r="BB45" s="22">
        <f t="shared" si="39"/>
        <v>0.91013352994183661</v>
      </c>
      <c r="BC45" s="23">
        <f t="shared" si="40"/>
        <v>9.6092405996559355E-2</v>
      </c>
      <c r="BD45" s="98">
        <v>1530</v>
      </c>
      <c r="BE45" s="23">
        <f t="shared" si="41"/>
        <v>2.9967449959592329E-2</v>
      </c>
      <c r="BF45">
        <v>2224.8000000000002</v>
      </c>
      <c r="BG45" s="23">
        <f t="shared" si="42"/>
        <v>0.11005221800763754</v>
      </c>
      <c r="BH45" s="24">
        <v>18</v>
      </c>
      <c r="BI45" s="24">
        <v>22.5</v>
      </c>
      <c r="BJ45" s="25">
        <f t="shared" ca="1" si="46"/>
        <v>137.61899509781011</v>
      </c>
      <c r="BK45" s="25">
        <f t="shared" ca="1" si="47"/>
        <v>277.93615749819452</v>
      </c>
      <c r="BL45" s="23">
        <f t="shared" ca="1" si="43"/>
        <v>-6.2815493539605138E-2</v>
      </c>
      <c r="BM45" s="23">
        <f t="shared" ca="1" si="44"/>
        <v>7.8644748935160935E-2</v>
      </c>
      <c r="BN45" s="95" t="s">
        <v>677</v>
      </c>
      <c r="BO45" s="93" t="s">
        <v>127</v>
      </c>
      <c r="BP45" s="93" t="s">
        <v>122</v>
      </c>
    </row>
    <row r="46" spans="1:68" ht="15" customHeight="1" x14ac:dyDescent="0.35">
      <c r="A46" s="86" t="e" vm="43">
        <v>#VALUE!</v>
      </c>
      <c r="B46" s="10" t="str">
        <f t="array" aca="1" ref="B46" ca="1">_FV(A46,"Símbolo bursátil",TRUE())</f>
        <v>CHKP</v>
      </c>
      <c r="C46" s="88" t="s">
        <v>99</v>
      </c>
      <c r="D46" s="88" t="s">
        <v>148</v>
      </c>
      <c r="E46" s="11" t="str">
        <f t="array" aca="1" ref="E46" ca="1">_FV(A46,"Abreviatura de intercambio",TRUE())</f>
        <v>XNAS</v>
      </c>
      <c r="F46" s="11" t="str">
        <f t="array" aca="1" ref="F46" ca="1">_FV(A46,"Moneda")</f>
        <v>USD</v>
      </c>
      <c r="G46" s="12">
        <f t="array" aca="1" ref="G46" ca="1">_FV(A46,"Precio")</f>
        <v>129.61000000000001</v>
      </c>
      <c r="H46" s="13">
        <f t="array" aca="1" ref="H46" ca="1">_FV(A46,"Acciones en circulación",TRUE())/1000000</f>
        <v>102.1006</v>
      </c>
      <c r="I46" s="14">
        <f t="shared" ca="1" si="25"/>
        <v>13233.258766000001</v>
      </c>
      <c r="J46" s="90">
        <v>1</v>
      </c>
      <c r="K46" s="90">
        <v>5</v>
      </c>
      <c r="L46" s="90">
        <v>1</v>
      </c>
      <c r="M46" s="90">
        <v>1</v>
      </c>
      <c r="N46" s="90">
        <v>0</v>
      </c>
      <c r="O46" s="90">
        <v>0</v>
      </c>
      <c r="P46" s="90">
        <v>0</v>
      </c>
      <c r="Q46" s="90">
        <v>0</v>
      </c>
      <c r="R46" s="15">
        <f t="shared" si="28"/>
        <v>8</v>
      </c>
      <c r="S46" s="16">
        <f t="shared" si="29"/>
        <v>5</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5.25</v>
      </c>
      <c r="AO46" s="18" t="s">
        <v>78</v>
      </c>
      <c r="AP46" s="19">
        <v>2280</v>
      </c>
      <c r="AQ46" s="19">
        <v>1970</v>
      </c>
      <c r="AR46" s="19">
        <f t="shared" ca="1" si="45"/>
        <v>12923.258766000001</v>
      </c>
      <c r="AS46" s="19">
        <v>1100</v>
      </c>
      <c r="AT46" s="19">
        <v>682</v>
      </c>
      <c r="AU46" s="19">
        <v>846</v>
      </c>
      <c r="AV46" s="19">
        <v>2760</v>
      </c>
      <c r="AW46" s="20">
        <f t="shared" ca="1" si="35"/>
        <v>11.748417060000001</v>
      </c>
      <c r="AX46" s="20">
        <f t="shared" ca="1" si="36"/>
        <v>15.275719581560285</v>
      </c>
      <c r="AY46" s="20">
        <f t="shared" ca="1" si="37"/>
        <v>4.6823401326086955</v>
      </c>
      <c r="AZ46" s="21">
        <v>5759</v>
      </c>
      <c r="BA46" s="22">
        <f t="shared" si="38"/>
        <v>0.24710144927536232</v>
      </c>
      <c r="BB46" s="22">
        <f t="shared" si="39"/>
        <v>0.47924986976905715</v>
      </c>
      <c r="BC46" s="23">
        <f t="shared" si="40"/>
        <v>0.11842333738496268</v>
      </c>
      <c r="BD46" s="98">
        <v>1214.2</v>
      </c>
      <c r="BE46" s="23">
        <f t="shared" si="41"/>
        <v>1.9951471069986848E-2</v>
      </c>
      <c r="BF46">
        <v>1771.8</v>
      </c>
      <c r="BG46" s="23">
        <f t="shared" si="42"/>
        <v>0.10002967843772681</v>
      </c>
      <c r="BH46" s="24">
        <v>6</v>
      </c>
      <c r="BI46" s="24">
        <v>15</v>
      </c>
      <c r="BJ46" s="25">
        <f t="shared" ca="1" si="46"/>
        <v>74.389376751948575</v>
      </c>
      <c r="BK46" s="25">
        <f t="shared" ca="1" si="47"/>
        <v>263.33831534780404</v>
      </c>
      <c r="BL46" s="23">
        <f t="shared" ca="1" si="43"/>
        <v>-0.10510005394753019</v>
      </c>
      <c r="BM46" s="23">
        <f t="shared" ca="1" si="44"/>
        <v>0.15232532991387693</v>
      </c>
      <c r="BN46" s="95" t="s">
        <v>677</v>
      </c>
      <c r="BO46" s="93" t="s">
        <v>106</v>
      </c>
      <c r="BP46" s="93" t="s">
        <v>85</v>
      </c>
    </row>
    <row r="47" spans="1:68" ht="15" customHeight="1" x14ac:dyDescent="0.35">
      <c r="A47" s="86" t="e" vm="44">
        <v>#VALUE!</v>
      </c>
      <c r="B47" s="10" t="str">
        <f t="array" aca="1" ref="B47" ca="1">_FV(A47,"Símbolo bursátil",TRUE())</f>
        <v>TGYM</v>
      </c>
      <c r="C47" s="88" t="s">
        <v>134</v>
      </c>
      <c r="D47" s="88" t="s">
        <v>77</v>
      </c>
      <c r="E47" s="11" t="str">
        <f t="array" aca="1" ref="E47" ca="1">_FV(A47,"Abreviatura de intercambio",TRUE())</f>
        <v>XMIL</v>
      </c>
      <c r="F47" s="11" t="str">
        <f t="array" aca="1" ref="F47" ca="1">_FV(A47,"Moneda")</f>
        <v>EUR</v>
      </c>
      <c r="G47" s="12">
        <f t="array" aca="1" ref="G47" ca="1">_FV(A47,"Precio")</f>
        <v>12.97</v>
      </c>
      <c r="H47" s="13">
        <f t="array" aca="1" ref="H47" ca="1">_FV(A47,"Acciones en circulación",TRUE())/1000000</f>
        <v>201.32749999999999</v>
      </c>
      <c r="I47" s="14">
        <f t="shared" ca="1" si="25"/>
        <v>2611.2176749999999</v>
      </c>
      <c r="J47" s="91">
        <v>0</v>
      </c>
      <c r="K47" s="91">
        <v>4</v>
      </c>
      <c r="L47" s="91">
        <v>2</v>
      </c>
      <c r="M47" s="91">
        <v>0</v>
      </c>
      <c r="N47" s="91">
        <v>0</v>
      </c>
      <c r="O47" s="91">
        <v>0</v>
      </c>
      <c r="P47" s="91">
        <v>0</v>
      </c>
      <c r="Q47" s="91">
        <v>1</v>
      </c>
      <c r="R47" s="26">
        <f t="shared" si="28"/>
        <v>7</v>
      </c>
      <c r="S47" s="16">
        <f t="shared" si="29"/>
        <v>4.38</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5.3</v>
      </c>
      <c r="AO47" s="18" t="s">
        <v>87</v>
      </c>
      <c r="AP47" s="19">
        <v>100</v>
      </c>
      <c r="AQ47" s="19">
        <v>50</v>
      </c>
      <c r="AR47" s="19">
        <f t="shared" ca="1" si="45"/>
        <v>2561.2176749999999</v>
      </c>
      <c r="AS47" s="19">
        <v>95</v>
      </c>
      <c r="AT47" s="19">
        <v>90</v>
      </c>
      <c r="AU47" s="19">
        <v>140</v>
      </c>
      <c r="AV47" s="19">
        <v>840</v>
      </c>
      <c r="AW47" s="20">
        <f t="shared" ca="1" si="35"/>
        <v>26.960186052631578</v>
      </c>
      <c r="AX47" s="20">
        <f t="shared" ca="1" si="36"/>
        <v>18.294411964285715</v>
      </c>
      <c r="AY47" s="20">
        <f t="shared" ca="1" si="37"/>
        <v>3.0490686607142856</v>
      </c>
      <c r="AZ47" s="21">
        <v>450</v>
      </c>
      <c r="BA47" s="22">
        <f t="shared" si="38"/>
        <v>0.10714285714285714</v>
      </c>
      <c r="BB47" s="22">
        <f t="shared" si="39"/>
        <v>1.8666666666666667</v>
      </c>
      <c r="BC47" s="23">
        <f t="shared" si="40"/>
        <v>0.19999999999999998</v>
      </c>
      <c r="BD47" s="98">
        <v>116</v>
      </c>
      <c r="BE47" s="23">
        <f t="shared" si="41"/>
        <v>4.0751095710728658E-2</v>
      </c>
      <c r="BF47" t="s">
        <v>149</v>
      </c>
      <c r="BG47" s="23">
        <f t="shared" si="42"/>
        <v>0.1401066974124392</v>
      </c>
      <c r="BH47" s="24">
        <v>15</v>
      </c>
      <c r="BI47" s="24">
        <v>22.5</v>
      </c>
      <c r="BJ47" s="25">
        <f t="shared" ca="1" si="46"/>
        <v>8.8909860798946987</v>
      </c>
      <c r="BK47" s="25">
        <f t="shared" ca="1" si="47"/>
        <v>20.700103065900091</v>
      </c>
      <c r="BL47" s="23">
        <f t="shared" ca="1" si="43"/>
        <v>-7.2739006786783911E-2</v>
      </c>
      <c r="BM47" s="23">
        <f t="shared" ca="1" si="44"/>
        <v>9.8010533279345724E-2</v>
      </c>
      <c r="BN47" s="93" t="s">
        <v>83</v>
      </c>
      <c r="BO47" s="93" t="s">
        <v>106</v>
      </c>
      <c r="BP47" s="93" t="s">
        <v>143</v>
      </c>
    </row>
    <row r="48" spans="1:68" ht="15" customHeight="1" x14ac:dyDescent="0.35">
      <c r="A48" s="86" t="e" vm="45">
        <v>#VALUE!</v>
      </c>
      <c r="B48" s="10" t="str">
        <f t="array" aca="1" ref="B48" ca="1">_FV(A48,"Símbolo bursátil",TRUE())</f>
        <v>VID</v>
      </c>
      <c r="C48" s="88" t="s">
        <v>141</v>
      </c>
      <c r="D48" s="88" t="s">
        <v>90</v>
      </c>
      <c r="E48" s="11" t="str">
        <f t="array" aca="1" ref="E48" ca="1">_FV(A48,"Abreviatura de intercambio",TRUE())</f>
        <v>BMEX</v>
      </c>
      <c r="F48" s="11" t="str">
        <f t="array" aca="1" ref="F48" ca="1">_FV(A48,"Moneda")</f>
        <v>EUR</v>
      </c>
      <c r="G48" s="12">
        <f t="array" aca="1" ref="G48" ca="1">_FV(A48,"Precio")</f>
        <v>90.9</v>
      </c>
      <c r="H48" s="13">
        <f t="array" aca="1" ref="H48" ca="1">_FV(A48,"Acciones en circulación",TRUE())/1000000</f>
        <v>35.20626</v>
      </c>
      <c r="I48" s="14">
        <f t="shared" ca="1" si="25"/>
        <v>3200.2490340000004</v>
      </c>
      <c r="J48" s="90">
        <v>0.75</v>
      </c>
      <c r="K48" s="90">
        <v>6</v>
      </c>
      <c r="L48" s="90">
        <v>1</v>
      </c>
      <c r="M48" s="90">
        <v>0.75</v>
      </c>
      <c r="N48" s="90">
        <v>-0.5</v>
      </c>
      <c r="O48" s="90">
        <v>0</v>
      </c>
      <c r="P48" s="90">
        <v>0</v>
      </c>
      <c r="Q48" s="90">
        <v>1</v>
      </c>
      <c r="R48" s="15">
        <f t="shared" si="28"/>
        <v>9</v>
      </c>
      <c r="S48" s="16">
        <f t="shared" si="29"/>
        <v>5.63</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5.54</v>
      </c>
      <c r="AO48" s="18" t="s">
        <v>87</v>
      </c>
      <c r="AP48" s="19">
        <v>130</v>
      </c>
      <c r="AQ48" s="19">
        <v>235</v>
      </c>
      <c r="AR48" s="19">
        <f t="shared" ca="1" si="45"/>
        <v>3305.2490340000004</v>
      </c>
      <c r="AS48" s="19">
        <v>200</v>
      </c>
      <c r="AT48" s="19">
        <v>210</v>
      </c>
      <c r="AU48" s="19">
        <v>385</v>
      </c>
      <c r="AV48" s="19">
        <v>1465</v>
      </c>
      <c r="AW48" s="20">
        <f t="shared" ca="1" si="35"/>
        <v>16.526245170000003</v>
      </c>
      <c r="AX48" s="20">
        <f t="shared" ca="1" si="36"/>
        <v>8.5850624259740265</v>
      </c>
      <c r="AY48" s="20">
        <f t="shared" ca="1" si="37"/>
        <v>2.2561426853242326</v>
      </c>
      <c r="AZ48" s="21">
        <v>1200</v>
      </c>
      <c r="BA48" s="22">
        <f t="shared" si="38"/>
        <v>0.14334470989761092</v>
      </c>
      <c r="BB48" s="22">
        <f t="shared" si="39"/>
        <v>1.2208333333333334</v>
      </c>
      <c r="BC48" s="23">
        <f t="shared" si="40"/>
        <v>0.17500000000000002</v>
      </c>
      <c r="BD48" s="98">
        <v>210</v>
      </c>
      <c r="BE48" s="23">
        <f t="shared" si="41"/>
        <v>9.805797673485328E-3</v>
      </c>
      <c r="BF48" t="s">
        <v>150</v>
      </c>
      <c r="BG48" s="23">
        <f t="shared" si="42"/>
        <v>9.0194895299878342E-2</v>
      </c>
      <c r="BH48" s="24">
        <v>10</v>
      </c>
      <c r="BI48" s="24">
        <v>18</v>
      </c>
      <c r="BJ48" s="25">
        <f t="shared" ca="1" si="46"/>
        <v>56.666058820221174</v>
      </c>
      <c r="BK48" s="25">
        <f t="shared" ca="1" si="47"/>
        <v>154.48957088881352</v>
      </c>
      <c r="BL48" s="23">
        <f t="shared" ca="1" si="43"/>
        <v>-9.0187655809836231E-2</v>
      </c>
      <c r="BM48" s="23">
        <f t="shared" ca="1" si="44"/>
        <v>0.11190339617094747</v>
      </c>
      <c r="BN48" s="93" t="s">
        <v>126</v>
      </c>
      <c r="BO48" s="94" t="s">
        <v>151</v>
      </c>
      <c r="BP48" s="93" t="s">
        <v>122</v>
      </c>
    </row>
    <row r="49" spans="1:68" ht="15" customHeight="1" x14ac:dyDescent="0.35">
      <c r="A49" s="86" t="e" vm="46">
        <v>#VALUE!</v>
      </c>
      <c r="B49" s="10" t="str">
        <f t="array" aca="1" ref="B49" ca="1">_FV(A49,"Símbolo bursátil",TRUE())</f>
        <v>TFPM</v>
      </c>
      <c r="C49" s="88" t="s">
        <v>152</v>
      </c>
      <c r="D49" s="88" t="s">
        <v>153</v>
      </c>
      <c r="E49" s="11" t="str">
        <f t="array" aca="1" ref="E49" ca="1">_FV(A49,"Abreviatura de intercambio",TRUE())</f>
        <v>XTSE</v>
      </c>
      <c r="F49" s="11" t="str">
        <f t="array" aca="1" ref="F49" ca="1">_FV(A49,"Moneda")</f>
        <v>CAD</v>
      </c>
      <c r="G49" s="12">
        <f t="array" aca="1" ref="G49" ca="1">_FV(A49,"Precio")</f>
        <v>49.28</v>
      </c>
      <c r="H49" s="13">
        <f t="array" aca="1" ref="H49" ca="1">_FV(A49,"Acciones en circulación",TRUE())/1000000</f>
        <v>206.00299999999999</v>
      </c>
      <c r="I49" s="14">
        <f t="shared" ca="1" si="25"/>
        <v>10151.82784</v>
      </c>
      <c r="J49" s="91">
        <v>0</v>
      </c>
      <c r="K49" s="91">
        <v>6</v>
      </c>
      <c r="L49" s="91">
        <v>1</v>
      </c>
      <c r="M49" s="91">
        <v>1</v>
      </c>
      <c r="N49" s="91">
        <v>-1</v>
      </c>
      <c r="O49" s="91">
        <v>0</v>
      </c>
      <c r="P49" s="91">
        <v>0</v>
      </c>
      <c r="Q49" s="91">
        <v>0</v>
      </c>
      <c r="R49" s="26">
        <f t="shared" si="28"/>
        <v>7</v>
      </c>
      <c r="S49" s="16">
        <f t="shared" si="29"/>
        <v>4.38</v>
      </c>
      <c r="T49" s="91">
        <v>14</v>
      </c>
      <c r="U49" s="91">
        <v>12</v>
      </c>
      <c r="V49" s="91">
        <v>12</v>
      </c>
      <c r="W49" s="91">
        <v>6</v>
      </c>
      <c r="X49" s="91">
        <v>8</v>
      </c>
      <c r="Y49" s="91">
        <v>10</v>
      </c>
      <c r="Z49" s="91">
        <v>5</v>
      </c>
      <c r="AA49" s="91">
        <v>-11</v>
      </c>
      <c r="AB49" s="26">
        <f t="shared" si="30"/>
        <v>56</v>
      </c>
      <c r="AC49" s="16">
        <f t="shared" si="31"/>
        <v>5.6</v>
      </c>
      <c r="AD49" s="91">
        <v>11</v>
      </c>
      <c r="AE49" s="91">
        <v>-4</v>
      </c>
      <c r="AF49" s="91">
        <v>10</v>
      </c>
      <c r="AG49" s="91">
        <v>11</v>
      </c>
      <c r="AH49" s="91">
        <v>4</v>
      </c>
      <c r="AI49" s="91">
        <v>7</v>
      </c>
      <c r="AJ49" s="91">
        <v>9</v>
      </c>
      <c r="AK49" s="91">
        <v>-6</v>
      </c>
      <c r="AL49" s="26">
        <f t="shared" si="32"/>
        <v>42</v>
      </c>
      <c r="AM49" s="16">
        <f t="shared" si="33"/>
        <v>6</v>
      </c>
      <c r="AN49" s="17">
        <f t="shared" si="34"/>
        <v>5.52</v>
      </c>
      <c r="AO49" s="18" t="s">
        <v>78</v>
      </c>
      <c r="AP49" s="19">
        <v>35</v>
      </c>
      <c r="AQ49" s="19">
        <v>236</v>
      </c>
      <c r="AR49" s="19">
        <f ca="1">I49*'Framework Notes'!E7-AP49+AQ49</f>
        <v>7540.7715283199996</v>
      </c>
      <c r="AS49" s="19">
        <v>395</v>
      </c>
      <c r="AT49" s="19">
        <v>257</v>
      </c>
      <c r="AU49" s="19">
        <v>377</v>
      </c>
      <c r="AV49" s="19">
        <v>489</v>
      </c>
      <c r="AW49" s="20">
        <f t="shared" ca="1" si="35"/>
        <v>19.090560831189872</v>
      </c>
      <c r="AX49" s="20">
        <f t="shared" ca="1" si="36"/>
        <v>20.002046494217506</v>
      </c>
      <c r="AY49" s="20">
        <f t="shared" ca="1" si="37"/>
        <v>15.420800671411042</v>
      </c>
      <c r="AZ49" s="21">
        <v>2539</v>
      </c>
      <c r="BA49" s="22">
        <f t="shared" si="38"/>
        <v>0.52556237218813906</v>
      </c>
      <c r="BB49" s="22">
        <f t="shared" si="39"/>
        <v>0.19259551004332415</v>
      </c>
      <c r="BC49" s="23">
        <f t="shared" si="40"/>
        <v>0.10122095313115401</v>
      </c>
      <c r="BD49" s="98">
        <v>330</v>
      </c>
      <c r="BE49" s="23">
        <f t="shared" si="41"/>
        <v>-3.5319790890009584E-2</v>
      </c>
      <c r="BF49">
        <v>608</v>
      </c>
      <c r="BG49" s="23">
        <f t="shared" si="42"/>
        <v>9.0087342116624392E-2</v>
      </c>
      <c r="BH49" s="24">
        <v>18</v>
      </c>
      <c r="BI49" s="24">
        <v>22</v>
      </c>
      <c r="BJ49" s="25">
        <f ca="1">((BD49*BH49+$AP49-$AQ49)/$H49)/'Framework Notes'!E7</f>
        <v>38.532251161874271</v>
      </c>
      <c r="BK49" s="25">
        <f ca="1">((BF49*BI49+$AP49-$AQ49)/$H49)/'Framework Notes'!E7</f>
        <v>88.458339267763293</v>
      </c>
      <c r="BL49" s="23">
        <f t="shared" ca="1" si="43"/>
        <v>-4.8013616383375313E-2</v>
      </c>
      <c r="BM49" s="23">
        <f t="shared" ca="1" si="44"/>
        <v>0.12412243766219344</v>
      </c>
      <c r="BN49" s="95" t="s">
        <v>677</v>
      </c>
      <c r="BO49" s="95" t="s">
        <v>98</v>
      </c>
      <c r="BP49" s="95" t="s">
        <v>166</v>
      </c>
    </row>
    <row r="50" spans="1:68" ht="15" customHeight="1" x14ac:dyDescent="0.35">
      <c r="A50" s="86" t="e" vm="47">
        <v>#VALUE!</v>
      </c>
      <c r="B50" s="10" t="str">
        <f t="array" aca="1" ref="B50" ca="1">_FV(A50,"Símbolo bursátil",TRUE())</f>
        <v>NFLX</v>
      </c>
      <c r="C50" s="88" t="s">
        <v>109</v>
      </c>
      <c r="D50" s="88" t="s">
        <v>100</v>
      </c>
      <c r="E50" s="11" t="str">
        <f t="array" aca="1" ref="E50" ca="1">_FV(A50,"Abreviatura de intercambio",TRUE())</f>
        <v>XNAS</v>
      </c>
      <c r="F50" s="11" t="str">
        <f t="array" aca="1" ref="F50" ca="1">_FV(A50,"Moneda")</f>
        <v>USD</v>
      </c>
      <c r="G50" s="12">
        <f t="array" aca="1" ref="G50" ca="1">_FV(A50,"Precio")</f>
        <v>82.344999999999999</v>
      </c>
      <c r="H50" s="13">
        <f t="array" aca="1" ref="H50" ca="1">_FV(A50,"Acciones en circulación",TRUE())/1000000</f>
        <v>4163.9390000000003</v>
      </c>
      <c r="I50" s="14">
        <f t="shared" ca="1" si="25"/>
        <v>342879.55695500004</v>
      </c>
      <c r="J50" s="90">
        <v>0.5</v>
      </c>
      <c r="K50" s="90">
        <v>6.5</v>
      </c>
      <c r="L50" s="90">
        <v>2</v>
      </c>
      <c r="M50" s="90">
        <v>0.5</v>
      </c>
      <c r="N50" s="90">
        <v>-0.5</v>
      </c>
      <c r="O50" s="90">
        <f>4.1/5</f>
        <v>0.82</v>
      </c>
      <c r="P50" s="90">
        <v>1</v>
      </c>
      <c r="Q50" s="90">
        <v>0</v>
      </c>
      <c r="R50" s="15">
        <f t="shared" si="28"/>
        <v>10</v>
      </c>
      <c r="S50" s="16">
        <f t="shared" si="29"/>
        <v>6.25</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6.06</v>
      </c>
      <c r="AO50" s="18" t="s">
        <v>78</v>
      </c>
      <c r="AP50" s="19">
        <v>9130</v>
      </c>
      <c r="AQ50" s="19">
        <f>1000+13360</f>
        <v>14360</v>
      </c>
      <c r="AR50" s="19">
        <f t="shared" ref="AR50:AR62" ca="1" si="48">I50-AP50+AQ50</f>
        <v>348109.55695500004</v>
      </c>
      <c r="AS50" s="19">
        <v>11560</v>
      </c>
      <c r="AT50" s="19">
        <v>11876</v>
      </c>
      <c r="AU50" s="19">
        <v>14730</v>
      </c>
      <c r="AV50" s="19">
        <v>48370</v>
      </c>
      <c r="AW50" s="20">
        <f t="shared" ca="1" si="35"/>
        <v>30.113283473615919</v>
      </c>
      <c r="AX50" s="20">
        <f t="shared" ca="1" si="36"/>
        <v>23.632692257637476</v>
      </c>
      <c r="AY50" s="20">
        <f t="shared" ca="1" si="37"/>
        <v>7.1968070488939428</v>
      </c>
      <c r="AZ50" s="21">
        <v>46315</v>
      </c>
      <c r="BA50" s="22">
        <f t="shared" si="38"/>
        <v>0.24552408517676247</v>
      </c>
      <c r="BB50" s="22">
        <f t="shared" si="39"/>
        <v>1.044370074489906</v>
      </c>
      <c r="BC50" s="23">
        <f t="shared" si="40"/>
        <v>0.25641800712512147</v>
      </c>
      <c r="BD50" s="98">
        <v>14085.7</v>
      </c>
      <c r="BE50" s="23">
        <f t="shared" si="41"/>
        <v>4.0313226382584277E-2</v>
      </c>
      <c r="BF50">
        <v>19428.599999999999</v>
      </c>
      <c r="BG50" s="23">
        <f t="shared" si="42"/>
        <v>0.10942189995602014</v>
      </c>
      <c r="BH50" s="24">
        <v>17</v>
      </c>
      <c r="BI50" s="24">
        <v>25</v>
      </c>
      <c r="BJ50" s="25">
        <f t="shared" ref="BJ50:BJ60" ca="1" si="49">(BD50*BH50+$AP50-$AQ50)/$H50</f>
        <v>56.251280338160576</v>
      </c>
      <c r="BK50" s="25">
        <f t="shared" ref="BK50:BK60" ca="1" si="50">(BF50*BI50+$AP50-$AQ50)/$H50</f>
        <v>115.39194017971923</v>
      </c>
      <c r="BL50" s="23">
        <f t="shared" ca="1" si="43"/>
        <v>-7.3385620156376619E-2</v>
      </c>
      <c r="BM50" s="23">
        <f t="shared" ca="1" si="44"/>
        <v>6.9812451532479836E-2</v>
      </c>
      <c r="BN50" s="95" t="s">
        <v>677</v>
      </c>
      <c r="BO50" s="93" t="s">
        <v>133</v>
      </c>
      <c r="BP50" s="93" t="s">
        <v>154</v>
      </c>
    </row>
    <row r="51" spans="1:68" ht="15" customHeight="1" x14ac:dyDescent="0.35">
      <c r="A51" s="86" t="e" vm="48">
        <v>#VALUE!</v>
      </c>
      <c r="B51" s="10" t="str">
        <f t="array" aca="1" ref="B51" ca="1">_FV(A51,"Símbolo bursátil",TRUE())</f>
        <v>NKE</v>
      </c>
      <c r="C51" s="88" t="s">
        <v>109</v>
      </c>
      <c r="D51" s="88" t="s">
        <v>148</v>
      </c>
      <c r="E51" s="11" t="str">
        <f t="array" aca="1" ref="E51" ca="1">_FV(A51,"Abreviatura de intercambio",TRUE())</f>
        <v>XNYS</v>
      </c>
      <c r="F51" s="11" t="str">
        <f t="array" aca="1" ref="F51" ca="1">_FV(A51,"Moneda")</f>
        <v>USD</v>
      </c>
      <c r="G51" s="12">
        <f t="array" aca="1" ref="G51" ca="1">_FV(A51,"Precio")</f>
        <v>39.47</v>
      </c>
      <c r="H51" s="13">
        <f t="array" aca="1" ref="H51" ca="1">_FV(A51,"Acciones en circulación",TRUE())/1000000</f>
        <v>1483.499</v>
      </c>
      <c r="I51" s="14">
        <f t="shared" ca="1" si="25"/>
        <v>58553.705529999999</v>
      </c>
      <c r="J51" s="91">
        <v>0</v>
      </c>
      <c r="K51" s="91">
        <v>5</v>
      </c>
      <c r="L51" s="91">
        <v>1</v>
      </c>
      <c r="M51" s="91">
        <v>0</v>
      </c>
      <c r="N51" s="91">
        <v>0</v>
      </c>
      <c r="O51" s="91">
        <v>0</v>
      </c>
      <c r="P51" s="91">
        <v>1</v>
      </c>
      <c r="Q51" s="91">
        <v>0</v>
      </c>
      <c r="R51" s="26">
        <f t="shared" si="28"/>
        <v>7</v>
      </c>
      <c r="S51" s="16">
        <f t="shared" si="29"/>
        <v>4.38</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5.08</v>
      </c>
      <c r="AO51" s="18" t="s">
        <v>78</v>
      </c>
      <c r="AP51" s="19">
        <v>9030</v>
      </c>
      <c r="AQ51" s="19">
        <v>11040</v>
      </c>
      <c r="AR51" s="19">
        <f t="shared" ca="1" si="48"/>
        <v>60563.705529999999</v>
      </c>
      <c r="AS51" s="19">
        <v>2180</v>
      </c>
      <c r="AT51" s="19">
        <v>3331</v>
      </c>
      <c r="AU51" s="19">
        <v>4930</v>
      </c>
      <c r="AV51" s="19">
        <v>46400</v>
      </c>
      <c r="AW51" s="20">
        <f t="shared" ca="1" si="35"/>
        <v>27.781516298165137</v>
      </c>
      <c r="AX51" s="20">
        <f t="shared" ca="1" si="36"/>
        <v>12.284727288032455</v>
      </c>
      <c r="AY51" s="20">
        <f t="shared" ca="1" si="37"/>
        <v>1.3052522743534483</v>
      </c>
      <c r="AZ51" s="21">
        <v>25863</v>
      </c>
      <c r="BA51" s="22">
        <f t="shared" si="38"/>
        <v>7.1788793103448281E-2</v>
      </c>
      <c r="BB51" s="22">
        <f t="shared" si="39"/>
        <v>1.7940687468584464</v>
      </c>
      <c r="BC51" s="23">
        <f t="shared" si="40"/>
        <v>0.12879403008158374</v>
      </c>
      <c r="BD51" s="98">
        <v>2180</v>
      </c>
      <c r="BE51" s="23">
        <f t="shared" si="41"/>
        <v>0</v>
      </c>
      <c r="BF51">
        <v>3354.1</v>
      </c>
      <c r="BG51" s="23">
        <f t="shared" si="42"/>
        <v>8.9993486200476092E-2</v>
      </c>
      <c r="BH51" s="24">
        <v>14</v>
      </c>
      <c r="BI51" s="24">
        <v>21</v>
      </c>
      <c r="BJ51" s="25">
        <f t="shared" ca="1" si="49"/>
        <v>19.218078340463997</v>
      </c>
      <c r="BK51" s="25">
        <f t="shared" ca="1" si="50"/>
        <v>46.124803589351927</v>
      </c>
      <c r="BL51" s="23">
        <f t="shared" ca="1" si="43"/>
        <v>-0.13405847403815352</v>
      </c>
      <c r="BM51" s="23">
        <f t="shared" ca="1" si="44"/>
        <v>3.165260867597719E-2</v>
      </c>
      <c r="BN51" s="95" t="s">
        <v>677</v>
      </c>
      <c r="BO51" s="93" t="s">
        <v>155</v>
      </c>
      <c r="BP51" s="93" t="s">
        <v>156</v>
      </c>
    </row>
    <row r="52" spans="1:68" ht="15" customHeight="1" x14ac:dyDescent="0.35">
      <c r="A52" s="86" t="e" vm="49">
        <v>#VALUE!</v>
      </c>
      <c r="B52" s="10" t="str">
        <f t="array" aca="1" ref="B52" ca="1">_FV(A52,"Símbolo bursátil",TRUE())</f>
        <v>MIPS</v>
      </c>
      <c r="C52" s="88" t="s">
        <v>102</v>
      </c>
      <c r="D52" s="88" t="s">
        <v>77</v>
      </c>
      <c r="E52" s="11" t="str">
        <f t="array" aca="1" ref="E52" ca="1">_FV(A52,"Abreviatura de intercambio",TRUE())</f>
        <v>XSTO</v>
      </c>
      <c r="F52" s="11" t="str">
        <f t="array" aca="1" ref="F52" ca="1">_FV(A52,"Moneda")</f>
        <v>SEK</v>
      </c>
      <c r="G52" s="12">
        <f t="array" aca="1" ref="G52" ca="1">_FV(A52,"Precio")</f>
        <v>366.6</v>
      </c>
      <c r="H52" s="13">
        <f t="array" aca="1" ref="H52" ca="1">_FV(A52,"Acciones en circulación",TRUE())/1000000</f>
        <v>26.491119999999999</v>
      </c>
      <c r="I52" s="14">
        <f t="shared" ca="1" si="25"/>
        <v>9711.6445920000006</v>
      </c>
      <c r="J52" s="90">
        <v>2</v>
      </c>
      <c r="K52" s="90">
        <v>4</v>
      </c>
      <c r="L52" s="90">
        <v>2</v>
      </c>
      <c r="M52" s="90">
        <v>0</v>
      </c>
      <c r="N52" s="90">
        <v>-1</v>
      </c>
      <c r="O52" s="90">
        <v>0</v>
      </c>
      <c r="P52" s="90">
        <v>0</v>
      </c>
      <c r="Q52" s="90">
        <v>0</v>
      </c>
      <c r="R52" s="15">
        <f t="shared" si="28"/>
        <v>7</v>
      </c>
      <c r="S52" s="16">
        <f t="shared" si="29"/>
        <v>4.38</v>
      </c>
      <c r="T52" s="90">
        <v>11</v>
      </c>
      <c r="U52" s="90">
        <v>11</v>
      </c>
      <c r="V52" s="90">
        <v>12</v>
      </c>
      <c r="W52" s="90">
        <v>6</v>
      </c>
      <c r="X52" s="90">
        <v>6</v>
      </c>
      <c r="Y52" s="90">
        <v>9</v>
      </c>
      <c r="Z52" s="90">
        <v>4</v>
      </c>
      <c r="AA52" s="90">
        <v>-13</v>
      </c>
      <c r="AB52" s="15">
        <f t="shared" si="30"/>
        <v>46</v>
      </c>
      <c r="AC52" s="16">
        <f t="shared" si="31"/>
        <v>4.5999999999999996</v>
      </c>
      <c r="AD52" s="90">
        <v>10</v>
      </c>
      <c r="AE52" s="90">
        <v>-3</v>
      </c>
      <c r="AF52" s="90">
        <v>9</v>
      </c>
      <c r="AG52" s="90">
        <v>9</v>
      </c>
      <c r="AH52" s="90">
        <v>3</v>
      </c>
      <c r="AI52" s="90">
        <v>6</v>
      </c>
      <c r="AJ52" s="90">
        <v>9</v>
      </c>
      <c r="AK52" s="90">
        <v>-5</v>
      </c>
      <c r="AL52" s="15">
        <f t="shared" si="32"/>
        <v>38</v>
      </c>
      <c r="AM52" s="16">
        <f t="shared" si="33"/>
        <v>5.43</v>
      </c>
      <c r="AN52" s="17">
        <f t="shared" si="34"/>
        <v>4.8899999999999997</v>
      </c>
      <c r="AO52" s="18" t="s">
        <v>119</v>
      </c>
      <c r="AP52" s="19">
        <v>187</v>
      </c>
      <c r="AQ52" s="19">
        <v>331</v>
      </c>
      <c r="AR52" s="19">
        <f t="shared" ca="1" si="48"/>
        <v>9855.6445920000006</v>
      </c>
      <c r="AS52" s="19">
        <v>168</v>
      </c>
      <c r="AT52" s="19">
        <v>191</v>
      </c>
      <c r="AU52" s="19">
        <v>259</v>
      </c>
      <c r="AV52" s="19">
        <v>664</v>
      </c>
      <c r="AW52" s="20">
        <f t="shared" ca="1" si="35"/>
        <v>58.66455114285715</v>
      </c>
      <c r="AX52" s="20">
        <f t="shared" ca="1" si="36"/>
        <v>38.052681822393822</v>
      </c>
      <c r="AY52" s="20">
        <f t="shared" ca="1" si="37"/>
        <v>14.842838240963856</v>
      </c>
      <c r="AZ52" s="21">
        <v>1185</v>
      </c>
      <c r="BA52" s="22">
        <f t="shared" si="38"/>
        <v>0.28765060240963858</v>
      </c>
      <c r="BB52" s="22">
        <f t="shared" si="39"/>
        <v>0.56033755274261599</v>
      </c>
      <c r="BC52" s="23">
        <f t="shared" si="40"/>
        <v>0.16118143459915613</v>
      </c>
      <c r="BD52" s="98">
        <v>90</v>
      </c>
      <c r="BE52" s="23">
        <f t="shared" si="41"/>
        <v>-0.11735382086685286</v>
      </c>
      <c r="BF52">
        <v>270</v>
      </c>
      <c r="BG52" s="23">
        <f t="shared" si="42"/>
        <v>9.9539654079581652E-2</v>
      </c>
      <c r="BH52" s="24">
        <v>17.5</v>
      </c>
      <c r="BI52" s="24">
        <v>22.5</v>
      </c>
      <c r="BJ52" s="25">
        <f t="shared" ca="1" si="49"/>
        <v>54.01810115993586</v>
      </c>
      <c r="BK52" s="25">
        <f t="shared" ca="1" si="50"/>
        <v>223.88634380124358</v>
      </c>
      <c r="BL52" s="23">
        <f t="shared" ca="1" si="43"/>
        <v>-0.31818057414402756</v>
      </c>
      <c r="BM52" s="23">
        <f t="shared" ca="1" si="44"/>
        <v>-9.391898935410159E-2</v>
      </c>
      <c r="BN52" s="95" t="s">
        <v>677</v>
      </c>
      <c r="BO52" s="93" t="s">
        <v>133</v>
      </c>
      <c r="BP52" s="93" t="s">
        <v>157</v>
      </c>
    </row>
    <row r="53" spans="1:68" ht="15" customHeight="1" x14ac:dyDescent="0.35">
      <c r="A53" s="86" t="e" vm="50">
        <v>#VALUE!</v>
      </c>
      <c r="B53" s="10" t="str">
        <f t="array" aca="1" ref="B53" ca="1">_FV(A53,"Símbolo bursátil",TRUE())</f>
        <v>FERG</v>
      </c>
      <c r="C53" s="88" t="s">
        <v>135</v>
      </c>
      <c r="D53" s="88" t="s">
        <v>90</v>
      </c>
      <c r="E53" s="11" t="str">
        <f t="array" aca="1" ref="E53" ca="1">_FV(A53,"Abreviatura de intercambio",TRUE())</f>
        <v>XNYS</v>
      </c>
      <c r="F53" s="11" t="str">
        <f t="array" aca="1" ref="F53" ca="1">_FV(A53,"Moneda")</f>
        <v>USD</v>
      </c>
      <c r="G53" s="12">
        <f t="array" aca="1" ref="G53" ca="1">_FV(A53,"Precio")</f>
        <v>232.45500000000001</v>
      </c>
      <c r="H53" s="13">
        <f t="array" aca="1" ref="H53" ca="1">_FV(A53,"Acciones en circulación",TRUE())/1000000</f>
        <v>193.45269999999999</v>
      </c>
      <c r="I53" s="14">
        <f t="shared" ca="1" si="25"/>
        <v>44969.047378499999</v>
      </c>
      <c r="J53" s="91">
        <v>0</v>
      </c>
      <c r="K53" s="91">
        <v>5</v>
      </c>
      <c r="L53" s="91">
        <v>1</v>
      </c>
      <c r="M53" s="91">
        <v>1</v>
      </c>
      <c r="N53" s="91">
        <v>0</v>
      </c>
      <c r="O53" s="91">
        <v>0</v>
      </c>
      <c r="P53" s="91">
        <v>0</v>
      </c>
      <c r="Q53" s="91">
        <v>0</v>
      </c>
      <c r="R53" s="26">
        <f t="shared" si="28"/>
        <v>7</v>
      </c>
      <c r="S53" s="16">
        <f t="shared" si="29"/>
        <v>4.38</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5.3</v>
      </c>
      <c r="AO53" s="18" t="s">
        <v>78</v>
      </c>
      <c r="AP53" s="19">
        <v>437</v>
      </c>
      <c r="AQ53" s="19">
        <v>6887</v>
      </c>
      <c r="AR53" s="19">
        <f t="shared" ca="1" si="48"/>
        <v>51419.047378499999</v>
      </c>
      <c r="AS53" s="19">
        <v>1118</v>
      </c>
      <c r="AT53" s="19">
        <v>2015</v>
      </c>
      <c r="AU53" s="19">
        <v>3071</v>
      </c>
      <c r="AV53" s="19">
        <v>31446</v>
      </c>
      <c r="AW53" s="20">
        <f t="shared" ca="1" si="35"/>
        <v>45.991992288461539</v>
      </c>
      <c r="AX53" s="20">
        <f t="shared" ca="1" si="36"/>
        <v>16.743421484369911</v>
      </c>
      <c r="AY53" s="20">
        <f t="shared" ca="1" si="37"/>
        <v>1.635153831282198</v>
      </c>
      <c r="AZ53" s="21">
        <v>12926</v>
      </c>
      <c r="BA53" s="22">
        <f t="shared" si="38"/>
        <v>6.4078102143356866E-2</v>
      </c>
      <c r="BB53" s="22">
        <f t="shared" si="39"/>
        <v>2.4327711589045333</v>
      </c>
      <c r="BC53" s="23">
        <f t="shared" si="40"/>
        <v>0.15588735881169735</v>
      </c>
      <c r="BD53" s="98">
        <v>2522</v>
      </c>
      <c r="BE53" s="23">
        <f t="shared" si="41"/>
        <v>0.17668618806379421</v>
      </c>
      <c r="BF53" t="s">
        <v>158</v>
      </c>
      <c r="BG53" s="23">
        <f t="shared" si="42"/>
        <v>0.29322433620445487</v>
      </c>
      <c r="BH53" s="24">
        <v>12</v>
      </c>
      <c r="BI53" s="24">
        <v>18</v>
      </c>
      <c r="BJ53" s="25">
        <f t="shared" ca="1" si="49"/>
        <v>123.09985851838718</v>
      </c>
      <c r="BK53" s="25">
        <f t="shared" ca="1" si="50"/>
        <v>342.93654211081054</v>
      </c>
      <c r="BL53" s="23">
        <f t="shared" ca="1" si="43"/>
        <v>-0.1193897578117874</v>
      </c>
      <c r="BM53" s="23">
        <f t="shared" ca="1" si="44"/>
        <v>8.0873761799334032E-2</v>
      </c>
      <c r="BN53" s="95" t="s">
        <v>677</v>
      </c>
      <c r="BO53" s="95" t="s">
        <v>131</v>
      </c>
      <c r="BP53" s="95" t="s">
        <v>683</v>
      </c>
    </row>
    <row r="54" spans="1:68" ht="15" customHeight="1" x14ac:dyDescent="0.35">
      <c r="A54" s="86" t="e" vm="51">
        <v>#VALUE!</v>
      </c>
      <c r="B54" s="10" t="str">
        <f t="array" aca="1" ref="B54" ca="1">_FV(A54,"Símbolo bursátil",TRUE())</f>
        <v>S</v>
      </c>
      <c r="C54" s="88" t="s">
        <v>99</v>
      </c>
      <c r="D54" s="88" t="s">
        <v>100</v>
      </c>
      <c r="E54" s="11" t="str">
        <f t="array" aca="1" ref="E54" ca="1">_FV(A54,"Abreviatura de intercambio",TRUE())</f>
        <v>XNYS</v>
      </c>
      <c r="F54" s="11" t="str">
        <f t="array" aca="1" ref="F54" ca="1">_FV(A54,"Moneda")</f>
        <v>USD</v>
      </c>
      <c r="G54" s="12">
        <f t="array" aca="1" ref="G54" ca="1">_FV(A54,"Precio")</f>
        <v>20.254999999999999</v>
      </c>
      <c r="H54" s="13">
        <f t="array" aca="1" ref="H54" ca="1">_FV(A54,"Acciones en circulación",TRUE())/1000000</f>
        <v>342.80369999999999</v>
      </c>
      <c r="I54" s="14">
        <f t="shared" ca="1" si="25"/>
        <v>6943.4889434999996</v>
      </c>
      <c r="J54" s="90">
        <v>1</v>
      </c>
      <c r="K54" s="90">
        <v>4</v>
      </c>
      <c r="L54" s="90">
        <v>2</v>
      </c>
      <c r="M54" s="90">
        <v>-1</v>
      </c>
      <c r="N54" s="90">
        <v>0</v>
      </c>
      <c r="O54" s="90">
        <v>0</v>
      </c>
      <c r="P54" s="90">
        <v>1</v>
      </c>
      <c r="Q54" s="90">
        <v>0</v>
      </c>
      <c r="R54" s="15">
        <f t="shared" si="28"/>
        <v>7</v>
      </c>
      <c r="S54" s="16">
        <f t="shared" si="29"/>
        <v>4.38</v>
      </c>
      <c r="T54" s="90">
        <v>7</v>
      </c>
      <c r="U54" s="90">
        <v>10</v>
      </c>
      <c r="V54" s="90">
        <v>15</v>
      </c>
      <c r="W54" s="90">
        <v>7</v>
      </c>
      <c r="X54" s="90">
        <v>7</v>
      </c>
      <c r="Y54" s="90">
        <v>9</v>
      </c>
      <c r="Z54" s="90">
        <v>5</v>
      </c>
      <c r="AA54" s="90">
        <v>-18</v>
      </c>
      <c r="AB54" s="15">
        <f t="shared" si="30"/>
        <v>42</v>
      </c>
      <c r="AC54" s="16">
        <f t="shared" si="31"/>
        <v>4.2</v>
      </c>
      <c r="AD54" s="90">
        <v>9</v>
      </c>
      <c r="AE54" s="90">
        <v>-5</v>
      </c>
      <c r="AF54" s="90">
        <v>7</v>
      </c>
      <c r="AG54" s="90">
        <v>7</v>
      </c>
      <c r="AH54" s="90">
        <v>1</v>
      </c>
      <c r="AI54" s="90">
        <v>6</v>
      </c>
      <c r="AJ54" s="90">
        <v>9</v>
      </c>
      <c r="AK54" s="90">
        <v>-8</v>
      </c>
      <c r="AL54" s="15">
        <f t="shared" si="32"/>
        <v>26</v>
      </c>
      <c r="AM54" s="16">
        <f t="shared" si="33"/>
        <v>3.71</v>
      </c>
      <c r="AN54" s="17">
        <f t="shared" si="34"/>
        <v>4.04</v>
      </c>
      <c r="AO54" s="18" t="s">
        <v>78</v>
      </c>
      <c r="AP54" s="19">
        <v>657</v>
      </c>
      <c r="AQ54" s="19">
        <v>0</v>
      </c>
      <c r="AR54" s="19">
        <f t="shared" ca="1" si="48"/>
        <v>6286.4889434999996</v>
      </c>
      <c r="AS54" s="19">
        <v>62</v>
      </c>
      <c r="AT54" s="19">
        <v>-301</v>
      </c>
      <c r="AU54" s="19">
        <v>-259</v>
      </c>
      <c r="AV54" s="19">
        <v>1050</v>
      </c>
      <c r="AW54" s="20">
        <f t="shared" ca="1" si="35"/>
        <v>101.39498295967741</v>
      </c>
      <c r="AX54" s="20">
        <f t="shared" ca="1" si="36"/>
        <v>-24.272158083011583</v>
      </c>
      <c r="AY54" s="20">
        <f t="shared" ca="1" si="37"/>
        <v>5.9871323271428567</v>
      </c>
      <c r="AZ54" s="21">
        <v>1684</v>
      </c>
      <c r="BA54" s="22">
        <f t="shared" si="38"/>
        <v>-0.28666666666666668</v>
      </c>
      <c r="BB54" s="22">
        <f t="shared" si="39"/>
        <v>0.62351543942992871</v>
      </c>
      <c r="BC54" s="23">
        <f t="shared" si="40"/>
        <v>-0.17874109263657958</v>
      </c>
      <c r="BD54" s="98">
        <v>90.5</v>
      </c>
      <c r="BE54" s="23">
        <f t="shared" si="41"/>
        <v>7.8577553716729254E-2</v>
      </c>
      <c r="BF54">
        <v>230.6</v>
      </c>
      <c r="BG54" s="23">
        <f t="shared" si="42"/>
        <v>0.3004495918431016</v>
      </c>
      <c r="BH54" s="24">
        <v>18</v>
      </c>
      <c r="BI54" s="24">
        <v>26</v>
      </c>
      <c r="BJ54" s="25">
        <f t="shared" ca="1" si="49"/>
        <v>6.6685394585881079</v>
      </c>
      <c r="BK54" s="25">
        <f t="shared" ca="1" si="50"/>
        <v>19.4064416457582</v>
      </c>
      <c r="BL54" s="23">
        <f t="shared" ca="1" si="43"/>
        <v>-0.19924493283260303</v>
      </c>
      <c r="BM54" s="23">
        <f t="shared" ca="1" si="44"/>
        <v>-8.5227976924998616E-3</v>
      </c>
      <c r="BN54" s="96" t="s">
        <v>677</v>
      </c>
      <c r="BO54" t="s">
        <v>92</v>
      </c>
      <c r="BP54" t="s">
        <v>123</v>
      </c>
    </row>
    <row r="55" spans="1:68" ht="15" customHeight="1" x14ac:dyDescent="0.35">
      <c r="A55" s="86" t="e" vm="52">
        <v>#VALUE!</v>
      </c>
      <c r="B55" s="10" t="str">
        <f t="array" aca="1" ref="B55" ca="1">_FV(A55,"Símbolo bursátil",TRUE())</f>
        <v>TREX</v>
      </c>
      <c r="C55" s="88" t="s">
        <v>135</v>
      </c>
      <c r="D55" s="88" t="s">
        <v>77</v>
      </c>
      <c r="E55" s="11" t="str">
        <f t="array" aca="1" ref="E55" ca="1">_FV(A55,"Abreviatura de intercambio",TRUE())</f>
        <v>XNYS</v>
      </c>
      <c r="F55" s="11" t="str">
        <f t="array" aca="1" ref="F55" ca="1">_FV(A55,"Moneda")</f>
        <v>USD</v>
      </c>
      <c r="G55" s="12">
        <f t="array" aca="1" ref="G55" ca="1">_FV(A55,"Precio")</f>
        <v>46.78</v>
      </c>
      <c r="H55" s="13">
        <f t="array" aca="1" ref="H55" ca="1">_FV(A55,"Acciones en circulación",TRUE())/1000000</f>
        <v>101.8652</v>
      </c>
      <c r="I55" s="14">
        <f t="shared" ca="1" si="25"/>
        <v>4765.2540559999998</v>
      </c>
      <c r="J55" s="91">
        <v>1</v>
      </c>
      <c r="K55" s="91">
        <v>4</v>
      </c>
      <c r="L55" s="91">
        <v>1</v>
      </c>
      <c r="M55" s="91">
        <v>0</v>
      </c>
      <c r="N55" s="91">
        <v>-1</v>
      </c>
      <c r="O55" s="91">
        <v>0</v>
      </c>
      <c r="P55" s="91">
        <v>0</v>
      </c>
      <c r="Q55" s="91">
        <v>0</v>
      </c>
      <c r="R55" s="26">
        <f t="shared" si="28"/>
        <v>5</v>
      </c>
      <c r="S55" s="16">
        <f t="shared" si="29"/>
        <v>3.13</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4.16</v>
      </c>
      <c r="AO55" s="18" t="s">
        <v>78</v>
      </c>
      <c r="AP55" s="19">
        <v>6.5</v>
      </c>
      <c r="AQ55" s="19">
        <v>303</v>
      </c>
      <c r="AR55" s="19">
        <f t="shared" ca="1" si="48"/>
        <v>5061.7540559999998</v>
      </c>
      <c r="AS55" s="19">
        <v>283</v>
      </c>
      <c r="AT55" s="19">
        <v>183</v>
      </c>
      <c r="AU55" s="19">
        <v>313</v>
      </c>
      <c r="AV55" s="19">
        <v>1208</v>
      </c>
      <c r="AW55" s="20">
        <f t="shared" ca="1" si="35"/>
        <v>17.886056734982333</v>
      </c>
      <c r="AX55" s="20">
        <f t="shared" ca="1" si="36"/>
        <v>16.171738198083066</v>
      </c>
      <c r="AY55" s="20">
        <f t="shared" ca="1" si="37"/>
        <v>4.1901937549668871</v>
      </c>
      <c r="AZ55" s="21">
        <v>1176</v>
      </c>
      <c r="BA55" s="22">
        <f t="shared" si="38"/>
        <v>0.15149006622516556</v>
      </c>
      <c r="BB55" s="22">
        <f t="shared" si="39"/>
        <v>1.0272108843537415</v>
      </c>
      <c r="BC55" s="23">
        <f t="shared" si="40"/>
        <v>0.15561224489795919</v>
      </c>
      <c r="BD55" s="98">
        <v>283</v>
      </c>
      <c r="BE55" s="23">
        <f t="shared" si="41"/>
        <v>0</v>
      </c>
      <c r="BF55">
        <v>545</v>
      </c>
      <c r="BG55" s="23">
        <f t="shared" si="42"/>
        <v>0.14004505026738068</v>
      </c>
      <c r="BH55" s="24">
        <v>12</v>
      </c>
      <c r="BI55" s="24">
        <v>18</v>
      </c>
      <c r="BJ55" s="25">
        <f t="shared" ca="1" si="49"/>
        <v>30.427466887612255</v>
      </c>
      <c r="BK55" s="25">
        <f t="shared" ca="1" si="50"/>
        <v>93.393033145765187</v>
      </c>
      <c r="BL55" s="23">
        <f t="shared" ca="1" si="43"/>
        <v>-8.2425963820944581E-2</v>
      </c>
      <c r="BM55" s="23">
        <f t="shared" ca="1" si="44"/>
        <v>0.14828806938793271</v>
      </c>
      <c r="BN55" s="95" t="s">
        <v>677</v>
      </c>
      <c r="BO55" s="95" t="s">
        <v>131</v>
      </c>
      <c r="BP55" s="95" t="s">
        <v>683</v>
      </c>
    </row>
    <row r="56" spans="1:68" ht="15" customHeight="1" x14ac:dyDescent="0.35">
      <c r="A56" s="86" t="e" vm="53">
        <v>#VALUE!</v>
      </c>
      <c r="B56" s="10" t="str">
        <f t="array" aca="1" ref="B56" ca="1">_FV(A56,"Símbolo bursátil",TRUE())</f>
        <v>SGO</v>
      </c>
      <c r="C56" s="88" t="s">
        <v>135</v>
      </c>
      <c r="D56" s="88" t="s">
        <v>148</v>
      </c>
      <c r="E56" s="11" t="str">
        <f t="array" aca="1" ref="E56" ca="1">_FV(A56,"Abreviatura de intercambio",TRUE())</f>
        <v>XPAR</v>
      </c>
      <c r="F56" s="11" t="str">
        <f t="array" aca="1" ref="F56" ca="1">_FV(A56,"Moneda")</f>
        <v>EUR</v>
      </c>
      <c r="G56" s="12">
        <f t="array" aca="1" ref="G56" ca="1">_FV(A56,"Precio")</f>
        <v>81.260000000000005</v>
      </c>
      <c r="H56" s="13">
        <f t="array" aca="1" ref="H56" ca="1">_FV(A56,"Acciones en circulación",TRUE())/1000000</f>
        <v>494.834</v>
      </c>
      <c r="I56" s="14">
        <f t="shared" ca="1" si="25"/>
        <v>40210.21084</v>
      </c>
      <c r="J56" s="90">
        <v>0</v>
      </c>
      <c r="K56" s="90">
        <v>4</v>
      </c>
      <c r="L56" s="90">
        <v>1</v>
      </c>
      <c r="M56" s="90">
        <v>0</v>
      </c>
      <c r="N56" s="90">
        <v>0</v>
      </c>
      <c r="O56" s="90">
        <v>0</v>
      </c>
      <c r="P56" s="90">
        <v>0</v>
      </c>
      <c r="Q56" s="90">
        <v>0</v>
      </c>
      <c r="R56" s="15">
        <f t="shared" si="28"/>
        <v>5</v>
      </c>
      <c r="S56" s="16">
        <f t="shared" si="29"/>
        <v>3.13</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3.97</v>
      </c>
      <c r="AO56" s="18" t="s">
        <v>87</v>
      </c>
      <c r="AP56" s="19">
        <v>5751</v>
      </c>
      <c r="AQ56" s="19">
        <v>17270</v>
      </c>
      <c r="AR56" s="19">
        <f t="shared" ca="1" si="48"/>
        <v>51729.21084</v>
      </c>
      <c r="AS56" s="19">
        <v>3378</v>
      </c>
      <c r="AT56" s="19">
        <v>3632</v>
      </c>
      <c r="AU56" s="19">
        <v>7337</v>
      </c>
      <c r="AV56" s="19">
        <v>46226</v>
      </c>
      <c r="AW56" s="20">
        <f t="shared" ca="1" si="35"/>
        <v>15.313561527531084</v>
      </c>
      <c r="AX56" s="20">
        <f t="shared" ca="1" si="36"/>
        <v>7.0504580673299717</v>
      </c>
      <c r="AY56" s="20">
        <f t="shared" ca="1" si="37"/>
        <v>1.1190501198459741</v>
      </c>
      <c r="AZ56" s="21">
        <v>43914</v>
      </c>
      <c r="BA56" s="22">
        <f t="shared" si="38"/>
        <v>7.8570501449400768E-2</v>
      </c>
      <c r="BB56" s="22">
        <f t="shared" si="39"/>
        <v>1.0526483581545749</v>
      </c>
      <c r="BC56" s="23">
        <f t="shared" si="40"/>
        <v>8.2707109350093372E-2</v>
      </c>
      <c r="BD56" s="98">
        <v>3550</v>
      </c>
      <c r="BE56" s="23">
        <f t="shared" si="41"/>
        <v>9.9822505848099485E-3</v>
      </c>
      <c r="BF56">
        <v>5198</v>
      </c>
      <c r="BG56" s="23">
        <f t="shared" si="42"/>
        <v>9.0022157010193116E-2</v>
      </c>
      <c r="BH56" s="24">
        <v>12</v>
      </c>
      <c r="BI56" s="24">
        <v>16</v>
      </c>
      <c r="BJ56" s="25">
        <f t="shared" ca="1" si="49"/>
        <v>62.810962868355851</v>
      </c>
      <c r="BK56" s="25">
        <f t="shared" ca="1" si="50"/>
        <v>144.79401172918594</v>
      </c>
      <c r="BL56" s="23">
        <f t="shared" ca="1" si="43"/>
        <v>-5.0200959300861658E-2</v>
      </c>
      <c r="BM56" s="23">
        <f t="shared" ca="1" si="44"/>
        <v>0.12247003636339482</v>
      </c>
      <c r="BN56" s="95" t="s">
        <v>677</v>
      </c>
      <c r="BO56" s="95" t="s">
        <v>106</v>
      </c>
      <c r="BP56" s="95" t="s">
        <v>108</v>
      </c>
    </row>
    <row r="57" spans="1:68" ht="15" customHeight="1" x14ac:dyDescent="0.35">
      <c r="A57" s="86" t="e" vm="54">
        <v>#VALUE!</v>
      </c>
      <c r="B57" s="10" t="str">
        <f t="array" aca="1" ref="B57" ca="1">_FV(A57,"Símbolo bursátil",TRUE())</f>
        <v>TFF</v>
      </c>
      <c r="C57" s="88" t="s">
        <v>141</v>
      </c>
      <c r="D57" s="88" t="s">
        <v>148</v>
      </c>
      <c r="E57" s="11" t="str">
        <f t="array" aca="1" ref="E57" ca="1">_FV(A57,"Abreviatura de intercambio",TRUE())</f>
        <v>XPAR</v>
      </c>
      <c r="F57" s="11" t="str">
        <f t="array" aca="1" ref="F57" ca="1">_FV(A57,"Moneda")</f>
        <v>EUR</v>
      </c>
      <c r="G57" s="12">
        <f t="array" aca="1" ref="G57" ca="1">_FV(A57,"Precio")</f>
        <v>16.68</v>
      </c>
      <c r="H57" s="13">
        <f t="array" aca="1" ref="H57" ca="1">_FV(A57,"Acciones en circulación",TRUE())/1000000</f>
        <v>21.68</v>
      </c>
      <c r="I57" s="14">
        <f t="shared" ca="1" si="25"/>
        <v>361.62239999999997</v>
      </c>
      <c r="J57" s="91">
        <v>0</v>
      </c>
      <c r="K57" s="91">
        <v>5</v>
      </c>
      <c r="L57" s="91">
        <v>1</v>
      </c>
      <c r="M57" s="91">
        <v>-1</v>
      </c>
      <c r="N57" s="91">
        <v>-2</v>
      </c>
      <c r="O57" s="91">
        <v>0</v>
      </c>
      <c r="P57" s="91">
        <v>0</v>
      </c>
      <c r="Q57" s="91">
        <v>1</v>
      </c>
      <c r="R57" s="26">
        <f t="shared" si="28"/>
        <v>4</v>
      </c>
      <c r="S57" s="16">
        <f t="shared" si="29"/>
        <v>2.5</v>
      </c>
      <c r="T57" s="91">
        <v>7</v>
      </c>
      <c r="U57" s="91">
        <v>11</v>
      </c>
      <c r="V57" s="91">
        <v>7</v>
      </c>
      <c r="W57" s="91">
        <v>6</v>
      </c>
      <c r="X57" s="91">
        <v>5</v>
      </c>
      <c r="Y57" s="91">
        <v>9</v>
      </c>
      <c r="Z57" s="91">
        <v>8</v>
      </c>
      <c r="AA57" s="91">
        <v>-14</v>
      </c>
      <c r="AB57" s="26">
        <f t="shared" si="30"/>
        <v>39</v>
      </c>
      <c r="AC57" s="16">
        <f t="shared" si="31"/>
        <v>3.9</v>
      </c>
      <c r="AD57" s="91">
        <v>9</v>
      </c>
      <c r="AE57" s="91">
        <v>-4</v>
      </c>
      <c r="AF57" s="91">
        <v>3</v>
      </c>
      <c r="AG57" s="91">
        <v>8</v>
      </c>
      <c r="AH57" s="91">
        <v>-1</v>
      </c>
      <c r="AI57" s="91">
        <v>7</v>
      </c>
      <c r="AJ57" s="91">
        <v>9</v>
      </c>
      <c r="AK57" s="91">
        <v>-6</v>
      </c>
      <c r="AL57" s="26">
        <f t="shared" si="32"/>
        <v>25</v>
      </c>
      <c r="AM57" s="16">
        <f t="shared" si="33"/>
        <v>3.57</v>
      </c>
      <c r="AN57" s="17">
        <f t="shared" si="34"/>
        <v>3.49</v>
      </c>
      <c r="AO57" s="18" t="s">
        <v>87</v>
      </c>
      <c r="AP57" s="19">
        <v>97</v>
      </c>
      <c r="AQ57" s="19">
        <v>382</v>
      </c>
      <c r="AR57" s="19">
        <f t="shared" ca="1" si="48"/>
        <v>646.62239999999997</v>
      </c>
      <c r="AS57" s="19">
        <v>59</v>
      </c>
      <c r="AT57" s="19">
        <v>21</v>
      </c>
      <c r="AU57" s="19">
        <v>48</v>
      </c>
      <c r="AV57" s="19">
        <v>313</v>
      </c>
      <c r="AW57" s="20">
        <f t="shared" ca="1" si="35"/>
        <v>10.959701694915253</v>
      </c>
      <c r="AX57" s="20">
        <f t="shared" ca="1" si="36"/>
        <v>13.471299999999999</v>
      </c>
      <c r="AY57" s="20">
        <f t="shared" ca="1" si="37"/>
        <v>2.0658862619808307</v>
      </c>
      <c r="AZ57" s="21">
        <v>624</v>
      </c>
      <c r="BA57" s="22">
        <f t="shared" si="38"/>
        <v>6.7092651757188496E-2</v>
      </c>
      <c r="BB57" s="22">
        <f t="shared" si="39"/>
        <v>0.5016025641025641</v>
      </c>
      <c r="BC57" s="23">
        <f t="shared" si="40"/>
        <v>3.3653846153846152E-2</v>
      </c>
      <c r="BD57" s="98">
        <v>12</v>
      </c>
      <c r="BE57" s="23">
        <f t="shared" si="41"/>
        <v>-0.27277994551431728</v>
      </c>
      <c r="BF57">
        <v>42</v>
      </c>
      <c r="BG57" s="23">
        <f t="shared" si="42"/>
        <v>-6.5714829037020306E-2</v>
      </c>
      <c r="BH57" s="24">
        <v>6.5</v>
      </c>
      <c r="BI57" s="24">
        <v>12.5</v>
      </c>
      <c r="BJ57" s="25">
        <f t="shared" ca="1" si="49"/>
        <v>-9.547970479704798</v>
      </c>
      <c r="BK57" s="25">
        <f t="shared" ca="1" si="50"/>
        <v>11.07011070110701</v>
      </c>
      <c r="BL57" s="23">
        <f t="shared" ca="1" si="43"/>
        <v>-0.99</v>
      </c>
      <c r="BM57" s="23">
        <f t="shared" ca="1" si="44"/>
        <v>-7.8720975150120442E-2</v>
      </c>
      <c r="BN57" s="95" t="s">
        <v>677</v>
      </c>
      <c r="BO57" s="93" t="s">
        <v>159</v>
      </c>
      <c r="BP57" s="93" t="s">
        <v>160</v>
      </c>
    </row>
    <row r="58" spans="1:68" ht="15" customHeight="1" x14ac:dyDescent="0.35">
      <c r="A58" s="86" t="e" vm="55">
        <v>#VALUE!</v>
      </c>
      <c r="B58" s="10" t="str">
        <f t="array" aca="1" ref="B58" ca="1">_FV(A58,"Símbolo bursátil",TRUE)</f>
        <v>CELH</v>
      </c>
      <c r="C58" s="88" t="s">
        <v>109</v>
      </c>
      <c r="D58" s="88" t="s">
        <v>100</v>
      </c>
      <c r="E58" s="11" t="str">
        <f t="array" aca="1" ref="E58" ca="1">_FV(A58,"Abreviatura de intercambio",TRUE())</f>
        <v>XNAS</v>
      </c>
      <c r="F58" s="11" t="str">
        <f t="array" aca="1" ref="F58" ca="1">_FV(A58,"Moneda")</f>
        <v>USD</v>
      </c>
      <c r="G58" s="12">
        <f t="array" aca="1" ref="G58" ca="1">_FV(A58,"Precio")</f>
        <v>35.5</v>
      </c>
      <c r="H58" s="13">
        <f t="array" aca="1" ref="H58" ca="1">_FV(A58,"Acciones en circulación",TRUE())/1000000</f>
        <v>253.035</v>
      </c>
      <c r="I58" s="14">
        <f t="shared" ca="1" si="25"/>
        <v>8982.7425000000003</v>
      </c>
      <c r="J58" s="90">
        <v>0</v>
      </c>
      <c r="K58" s="90">
        <v>4</v>
      </c>
      <c r="L58" s="90">
        <v>2</v>
      </c>
      <c r="M58" s="90">
        <v>0</v>
      </c>
      <c r="N58" s="90">
        <v>-3</v>
      </c>
      <c r="O58" s="90">
        <v>0</v>
      </c>
      <c r="P58" s="90">
        <v>0</v>
      </c>
      <c r="Q58" s="90">
        <v>0</v>
      </c>
      <c r="R58" s="15">
        <f t="shared" si="28"/>
        <v>3</v>
      </c>
      <c r="S58" s="16">
        <f t="shared" si="29"/>
        <v>1.88</v>
      </c>
      <c r="T58" s="90">
        <v>10</v>
      </c>
      <c r="U58" s="90">
        <v>10</v>
      </c>
      <c r="V58" s="90">
        <v>11</v>
      </c>
      <c r="W58" s="90">
        <v>6</v>
      </c>
      <c r="X58" s="90">
        <v>5</v>
      </c>
      <c r="Y58" s="90">
        <v>8</v>
      </c>
      <c r="Z58" s="90">
        <v>4</v>
      </c>
      <c r="AA58" s="90">
        <v>-18</v>
      </c>
      <c r="AB58" s="15">
        <f t="shared" si="30"/>
        <v>36</v>
      </c>
      <c r="AC58" s="16">
        <f t="shared" si="31"/>
        <v>3.6</v>
      </c>
      <c r="AD58" s="90">
        <v>8</v>
      </c>
      <c r="AE58" s="90">
        <v>-4</v>
      </c>
      <c r="AF58" s="90">
        <v>7</v>
      </c>
      <c r="AG58" s="90">
        <v>7</v>
      </c>
      <c r="AH58" s="90">
        <v>1</v>
      </c>
      <c r="AI58" s="90">
        <v>5</v>
      </c>
      <c r="AJ58" s="90">
        <v>7</v>
      </c>
      <c r="AK58" s="90">
        <v>-7</v>
      </c>
      <c r="AL58" s="15">
        <f t="shared" si="32"/>
        <v>24</v>
      </c>
      <c r="AM58" s="16">
        <f t="shared" si="33"/>
        <v>3.43</v>
      </c>
      <c r="AN58" s="17">
        <f t="shared" si="34"/>
        <v>3.19</v>
      </c>
      <c r="AO58" s="18" t="s">
        <v>78</v>
      </c>
      <c r="AP58" s="19">
        <v>631</v>
      </c>
      <c r="AQ58" s="19">
        <v>668</v>
      </c>
      <c r="AR58" s="19">
        <f t="shared" ca="1" si="48"/>
        <v>9019.7425000000003</v>
      </c>
      <c r="AS58" s="19">
        <v>447</v>
      </c>
      <c r="AT58" s="19">
        <v>430</v>
      </c>
      <c r="AU58" s="19">
        <v>719</v>
      </c>
      <c r="AV58" s="19">
        <v>3047</v>
      </c>
      <c r="AW58" s="20">
        <f t="shared" ca="1" si="35"/>
        <v>20.178394854586131</v>
      </c>
      <c r="AX58" s="20">
        <f t="shared" ca="1" si="36"/>
        <v>12.544843532684284</v>
      </c>
      <c r="AY58" s="20">
        <f t="shared" ca="1" si="37"/>
        <v>2.9602042993107975</v>
      </c>
      <c r="AZ58" s="21">
        <v>3400</v>
      </c>
      <c r="BA58" s="22">
        <f t="shared" si="38"/>
        <v>0.14112241549064652</v>
      </c>
      <c r="BB58" s="22">
        <f t="shared" si="39"/>
        <v>0.89617647058823524</v>
      </c>
      <c r="BC58" s="23">
        <f t="shared" si="40"/>
        <v>0.12647058823529408</v>
      </c>
      <c r="BD58" s="98">
        <v>427</v>
      </c>
      <c r="BE58" s="23">
        <f t="shared" si="41"/>
        <v>-9.1131376215403126E-3</v>
      </c>
      <c r="BF58">
        <v>1467</v>
      </c>
      <c r="BG58" s="23">
        <f t="shared" si="42"/>
        <v>0.26830737596549037</v>
      </c>
      <c r="BH58" s="24">
        <v>16</v>
      </c>
      <c r="BI58" s="24">
        <v>22.5</v>
      </c>
      <c r="BJ58" s="25">
        <f t="shared" ca="1" si="49"/>
        <v>26.853992530677573</v>
      </c>
      <c r="BK58" s="25">
        <f t="shared" ca="1" si="50"/>
        <v>130.30015610488667</v>
      </c>
      <c r="BL58" s="23">
        <f t="shared" ca="1" si="43"/>
        <v>-5.4294092037257102E-2</v>
      </c>
      <c r="BM58" s="23">
        <f t="shared" ca="1" si="44"/>
        <v>0.29700997630797055</v>
      </c>
      <c r="BN58" s="96" t="s">
        <v>677</v>
      </c>
      <c r="BO58" t="s">
        <v>124</v>
      </c>
      <c r="BP58" s="96" t="s">
        <v>143</v>
      </c>
    </row>
    <row r="59" spans="1:68" ht="15" customHeight="1" x14ac:dyDescent="0.35">
      <c r="A59" s="86" t="e" vm="56">
        <v>#VALUE!</v>
      </c>
      <c r="B59" s="10" t="str">
        <f t="array" aca="1" ref="B59" ca="1">_FV(A59,"Símbolo bursátil",TRUE())</f>
        <v>BFIT</v>
      </c>
      <c r="C59" s="88" t="s">
        <v>134</v>
      </c>
      <c r="D59" s="88" t="s">
        <v>100</v>
      </c>
      <c r="E59" s="11" t="str">
        <f t="array" aca="1" ref="E59" ca="1">_FV(A59,"Abreviatura de intercambio",TRUE())</f>
        <v>XAMS</v>
      </c>
      <c r="F59" s="11" t="str">
        <f t="array" aca="1" ref="F59" ca="1">_FV(A59,"Moneda")</f>
        <v>EUR</v>
      </c>
      <c r="G59" s="12">
        <f t="array" aca="1" ref="G59" ca="1">_FV(A59,"Precio")</f>
        <v>33.64</v>
      </c>
      <c r="H59" s="13">
        <f t="array" aca="1" ref="H59" ca="1">_FV(A59,"Acciones en circulación",TRUE())/1000000</f>
        <v>66</v>
      </c>
      <c r="I59" s="14">
        <f t="shared" ca="1" si="25"/>
        <v>2220.2400000000002</v>
      </c>
      <c r="J59" s="91">
        <v>0</v>
      </c>
      <c r="K59" s="91">
        <v>4</v>
      </c>
      <c r="L59" s="91">
        <v>1</v>
      </c>
      <c r="M59" s="91">
        <v>-1</v>
      </c>
      <c r="N59" s="91">
        <v>0</v>
      </c>
      <c r="O59" s="91">
        <v>0</v>
      </c>
      <c r="P59" s="91">
        <v>0</v>
      </c>
      <c r="Q59" s="91">
        <v>0</v>
      </c>
      <c r="R59" s="26">
        <f t="shared" si="28"/>
        <v>4</v>
      </c>
      <c r="S59" s="16">
        <f t="shared" si="29"/>
        <v>2.5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3.09</v>
      </c>
      <c r="AO59" s="18" t="s">
        <v>87</v>
      </c>
      <c r="AP59" s="19">
        <v>40</v>
      </c>
      <c r="AQ59" s="19">
        <v>740</v>
      </c>
      <c r="AR59" s="19">
        <f t="shared" ca="1" si="48"/>
        <v>2920.2400000000002</v>
      </c>
      <c r="AS59" s="19">
        <v>80</v>
      </c>
      <c r="AT59" s="19">
        <v>50</v>
      </c>
      <c r="AU59" s="19">
        <v>260</v>
      </c>
      <c r="AV59" s="19">
        <v>1250</v>
      </c>
      <c r="AW59" s="20">
        <f t="shared" ca="1" si="35"/>
        <v>36.503</v>
      </c>
      <c r="AX59" s="20">
        <f t="shared" ca="1" si="36"/>
        <v>11.231692307692308</v>
      </c>
      <c r="AY59" s="20">
        <f t="shared" ca="1" si="37"/>
        <v>2.336192</v>
      </c>
      <c r="AZ59" s="21">
        <v>1500</v>
      </c>
      <c r="BA59" s="22">
        <f t="shared" si="38"/>
        <v>0.04</v>
      </c>
      <c r="BB59" s="22">
        <f t="shared" si="39"/>
        <v>0.83333333333333337</v>
      </c>
      <c r="BC59" s="23">
        <f t="shared" si="40"/>
        <v>3.3333333333333333E-2</v>
      </c>
      <c r="BD59" s="98">
        <v>88</v>
      </c>
      <c r="BE59" s="23">
        <f t="shared" si="41"/>
        <v>1.9244876491456564E-2</v>
      </c>
      <c r="BF59" t="s">
        <v>161</v>
      </c>
      <c r="BG59" s="23">
        <f t="shared" si="42"/>
        <v>0.15996225865400127</v>
      </c>
      <c r="BH59" s="24">
        <v>12</v>
      </c>
      <c r="BI59" s="24">
        <v>18</v>
      </c>
      <c r="BJ59" s="25">
        <f t="shared" ca="1" si="49"/>
        <v>5.3939393939393936</v>
      </c>
      <c r="BK59" s="25">
        <f t="shared" ca="1" si="50"/>
        <v>35.212121212121211</v>
      </c>
      <c r="BL59" s="23">
        <f t="shared" ca="1" si="43"/>
        <v>-0.30655820303229342</v>
      </c>
      <c r="BM59" s="23">
        <f t="shared" ca="1" si="44"/>
        <v>9.176758778506322E-3</v>
      </c>
      <c r="BN59" s="93" t="s">
        <v>126</v>
      </c>
      <c r="BO59" s="93" t="s">
        <v>127</v>
      </c>
      <c r="BP59" s="93" t="s">
        <v>128</v>
      </c>
    </row>
    <row r="60" spans="1:68" ht="15" customHeight="1" x14ac:dyDescent="0.35">
      <c r="A60" s="86" t="e" vm="57">
        <v>#VALUE!</v>
      </c>
      <c r="B60" s="10" t="str">
        <f t="array" aca="1" ref="B60" ca="1">_FV(A60,"Símbolo bursátil",TRUE())</f>
        <v>VRLA</v>
      </c>
      <c r="C60" s="88" t="s">
        <v>141</v>
      </c>
      <c r="D60" s="88" t="s">
        <v>148</v>
      </c>
      <c r="E60" s="11" t="s">
        <v>601</v>
      </c>
      <c r="F60" s="11" t="str">
        <f t="array" aca="1" ref="F60" ca="1">_FV(A60,"Moneda")</f>
        <v>EUR</v>
      </c>
      <c r="G60" s="12">
        <f t="array" aca="1" ref="G60" ca="1">_FV(A60,"Precio")</f>
        <v>18.39</v>
      </c>
      <c r="H60" s="13">
        <f t="array" aca="1" ref="H60" ca="1">_FV(A60,"Acciones en circulación",TRUE())/1000000</f>
        <v>127.5873</v>
      </c>
      <c r="I60" s="14">
        <f t="shared" ca="1" si="25"/>
        <v>2346.3304470000003</v>
      </c>
      <c r="J60" s="90">
        <v>0.75</v>
      </c>
      <c r="K60" s="90">
        <v>5.5</v>
      </c>
      <c r="L60" s="90">
        <v>0.5</v>
      </c>
      <c r="M60" s="90">
        <v>-0.75</v>
      </c>
      <c r="N60" s="90">
        <v>-0.75</v>
      </c>
      <c r="O60" s="90">
        <v>0</v>
      </c>
      <c r="P60" s="90">
        <v>0</v>
      </c>
      <c r="Q60" s="90">
        <v>0</v>
      </c>
      <c r="R60" s="15">
        <f t="shared" si="28"/>
        <v>5.25</v>
      </c>
      <c r="S60" s="16">
        <f t="shared" si="29"/>
        <v>3.28</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3.96</v>
      </c>
      <c r="AO60" s="18" t="s">
        <v>87</v>
      </c>
      <c r="AP60" s="19">
        <v>365</v>
      </c>
      <c r="AQ60" s="19">
        <v>2261</v>
      </c>
      <c r="AR60" s="19">
        <f t="shared" ca="1" si="48"/>
        <v>4242.3304470000003</v>
      </c>
      <c r="AS60" s="19">
        <v>249</v>
      </c>
      <c r="AT60" s="19">
        <v>270</v>
      </c>
      <c r="AU60" s="19">
        <v>704</v>
      </c>
      <c r="AV60" s="19">
        <v>3311</v>
      </c>
      <c r="AW60" s="20">
        <f t="shared" ca="1" si="35"/>
        <v>17.037471674698796</v>
      </c>
      <c r="AX60" s="20">
        <f t="shared" ca="1" si="36"/>
        <v>6.0260375667613637</v>
      </c>
      <c r="AY60" s="20">
        <f t="shared" ca="1" si="37"/>
        <v>1.2812837351253399</v>
      </c>
      <c r="AZ60" s="21">
        <v>3400</v>
      </c>
      <c r="BA60" s="22">
        <f t="shared" si="38"/>
        <v>8.1546360616128064E-2</v>
      </c>
      <c r="BB60" s="22">
        <f t="shared" si="39"/>
        <v>0.97382352941176475</v>
      </c>
      <c r="BC60" s="23">
        <f t="shared" si="40"/>
        <v>7.9411764705882362E-2</v>
      </c>
      <c r="BD60" s="98">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-0.26479530455937261</v>
      </c>
      <c r="BM60" s="23">
        <f t="shared" ca="1" si="44"/>
        <v>0.18376417218175689</v>
      </c>
      <c r="BN60" s="93" t="s">
        <v>126</v>
      </c>
      <c r="BO60" s="93" t="s">
        <v>127</v>
      </c>
      <c r="BP60" s="93" t="s">
        <v>85</v>
      </c>
    </row>
    <row r="61" spans="1:68" ht="15" customHeight="1" x14ac:dyDescent="0.35">
      <c r="A61" s="86" t="e" vm="58">
        <v>#VALUE!</v>
      </c>
      <c r="B61" s="10" t="str">
        <f t="array" aca="1" ref="B61" ca="1">_FV(A61,"Símbolo bursátil",TRUE())</f>
        <v>KIST</v>
      </c>
      <c r="C61" s="88" t="s">
        <v>152</v>
      </c>
      <c r="D61" s="88" t="s">
        <v>153</v>
      </c>
      <c r="E61" s="11" t="str">
        <f t="array" aca="1" ref="E61" ca="1">_FV(A61,"Abreviatura de intercambio",TRUE())</f>
        <v>XLON</v>
      </c>
      <c r="F61" s="11" t="str">
        <f t="array" aca="1" ref="F61" ca="1">_FV(A61,"Moneda")</f>
        <v>GBp</v>
      </c>
      <c r="G61" s="12">
        <f t="array" aca="1" ref="G61" ca="1">_FV(A61,"Precio")</f>
        <v>282.5</v>
      </c>
      <c r="H61" s="13">
        <f t="array" aca="1" ref="H61" ca="1">_FV(A61,"Acciones en circulación",TRUE())/1000000</f>
        <v>83.117649999999998</v>
      </c>
      <c r="I61" s="14">
        <f ca="1">G61/100*H61</f>
        <v>234.80736125000001</v>
      </c>
      <c r="J61" s="91">
        <v>0</v>
      </c>
      <c r="K61" s="91">
        <v>2</v>
      </c>
      <c r="L61" s="91">
        <v>1</v>
      </c>
      <c r="M61" s="91">
        <v>0</v>
      </c>
      <c r="N61" s="91">
        <v>-2</v>
      </c>
      <c r="O61" s="91">
        <v>0</v>
      </c>
      <c r="P61" s="91">
        <v>1</v>
      </c>
      <c r="Q61" s="91">
        <v>1</v>
      </c>
      <c r="R61" s="26">
        <f t="shared" si="28"/>
        <v>3</v>
      </c>
      <c r="S61" s="16">
        <f t="shared" si="29"/>
        <v>1.88</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2.2400000000000002</v>
      </c>
      <c r="AO61" s="18" t="s">
        <v>78</v>
      </c>
      <c r="AP61" s="19">
        <v>215</v>
      </c>
      <c r="AQ61" s="19">
        <f>300+148</f>
        <v>448</v>
      </c>
      <c r="AR61" s="19">
        <f ca="1">I61*'Framework Notes'!$E$9-AP61+AQ61</f>
        <v>553.30072148112504</v>
      </c>
      <c r="AS61" s="19">
        <v>55</v>
      </c>
      <c r="AT61" s="19">
        <f>390-230</f>
        <v>160</v>
      </c>
      <c r="AU61" s="19">
        <v>400</v>
      </c>
      <c r="AV61" s="19">
        <v>480</v>
      </c>
      <c r="AW61" s="20">
        <f t="shared" ca="1" si="35"/>
        <v>10.060013117838636</v>
      </c>
      <c r="AX61" s="20">
        <f t="shared" ca="1" si="36"/>
        <v>1.3832518037028125</v>
      </c>
      <c r="AY61" s="20">
        <f t="shared" ca="1" si="37"/>
        <v>1.1527098364190105</v>
      </c>
      <c r="AZ61" s="21">
        <v>300</v>
      </c>
      <c r="BA61" s="22">
        <f t="shared" si="38"/>
        <v>0.33333333333333331</v>
      </c>
      <c r="BB61" s="22">
        <f t="shared" si="39"/>
        <v>1.6</v>
      </c>
      <c r="BC61" s="23">
        <f t="shared" si="40"/>
        <v>0.53333333333333333</v>
      </c>
      <c r="BD61" s="98">
        <v>60</v>
      </c>
      <c r="BE61" s="23">
        <f t="shared" si="41"/>
        <v>1.7554577175587616E-2</v>
      </c>
      <c r="BF61">
        <v>115</v>
      </c>
      <c r="BG61" s="23">
        <f t="shared" si="42"/>
        <v>0.15895621875417865</v>
      </c>
      <c r="BH61" s="24">
        <v>5.5</v>
      </c>
      <c r="BI61" s="24">
        <v>8</v>
      </c>
      <c r="BJ61" s="25">
        <f ca="1">((BD61*BH61+$AP61-$AQ61)/$H61)/'Framework Notes'!$E$9*100</f>
        <v>85.552414222753484</v>
      </c>
      <c r="BK61" s="25">
        <f ca="1">((BF61*BI61+$AP61-$AQ61)/$H61)/'Framework Notes'!$E$9*100</f>
        <v>605.92276877352197</v>
      </c>
      <c r="BL61" s="23">
        <f t="shared" ca="1" si="43"/>
        <v>-0.21251414167426375</v>
      </c>
      <c r="BM61" s="23">
        <f t="shared" ca="1" si="44"/>
        <v>0.1648761782657362</v>
      </c>
      <c r="BN61" s="93" t="s">
        <v>105</v>
      </c>
      <c r="BO61" s="93" t="s">
        <v>162</v>
      </c>
      <c r="BP61" s="93" t="s">
        <v>156</v>
      </c>
    </row>
    <row r="62" spans="1:68" ht="15" customHeight="1" x14ac:dyDescent="0.35">
      <c r="A62" s="86" t="e" vm="59">
        <v>#VALUE!</v>
      </c>
      <c r="B62" s="10" t="str">
        <f t="array" aca="1" ref="B62" ca="1">_FV(A62,"Símbolo bursátil",TRUE())</f>
        <v>WOSG</v>
      </c>
      <c r="C62" s="88" t="s">
        <v>109</v>
      </c>
      <c r="D62" s="88" t="s">
        <v>148</v>
      </c>
      <c r="E62" s="11" t="str">
        <f t="array" aca="1" ref="E62" ca="1">_FV(A62,"Abreviatura de intercambio",TRUE())</f>
        <v>XLON</v>
      </c>
      <c r="F62" s="11" t="str">
        <f t="array" aca="1" ref="F62" ca="1">_FV(A62,"Moneda")</f>
        <v>GBp</v>
      </c>
      <c r="G62" s="12">
        <f t="array" aca="1" ref="G62" ca="1">_FV(A62,"Precio")</f>
        <v>685</v>
      </c>
      <c r="H62" s="13">
        <f t="array" aca="1" ref="H62" ca="1">_FV(A62,"Acciones en circulación",TRUE())/1000000</f>
        <v>233.30160000000001</v>
      </c>
      <c r="I62" s="14">
        <f ca="1">G62/100*H62</f>
        <v>1598.1159599999999</v>
      </c>
      <c r="J62" s="90">
        <v>0.5</v>
      </c>
      <c r="K62" s="90">
        <v>3</v>
      </c>
      <c r="L62" s="90">
        <v>1</v>
      </c>
      <c r="M62" s="90">
        <v>-1</v>
      </c>
      <c r="N62" s="90">
        <v>-2</v>
      </c>
      <c r="O62" s="90">
        <v>0</v>
      </c>
      <c r="P62" s="90">
        <v>0</v>
      </c>
      <c r="Q62" s="90">
        <v>0</v>
      </c>
      <c r="R62" s="15">
        <f t="shared" si="28"/>
        <v>1.5</v>
      </c>
      <c r="S62" s="16">
        <f t="shared" si="29"/>
        <v>0.94</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2.33</v>
      </c>
      <c r="AO62" s="18" t="s">
        <v>113</v>
      </c>
      <c r="AP62" s="19">
        <v>70</v>
      </c>
      <c r="AQ62" s="19">
        <v>270</v>
      </c>
      <c r="AR62" s="19">
        <f t="shared" ca="1" si="48"/>
        <v>1798.1159599999999</v>
      </c>
      <c r="AS62" s="19">
        <v>90</v>
      </c>
      <c r="AT62" s="19">
        <v>80</v>
      </c>
      <c r="AU62" s="19">
        <v>170</v>
      </c>
      <c r="AV62" s="19">
        <v>1700</v>
      </c>
      <c r="AW62" s="20">
        <f t="shared" ca="1" si="35"/>
        <v>19.979066222222222</v>
      </c>
      <c r="AX62" s="20">
        <f t="shared" ca="1" si="36"/>
        <v>10.577152705882352</v>
      </c>
      <c r="AY62" s="20">
        <f t="shared" ca="1" si="37"/>
        <v>1.0577152705882351</v>
      </c>
      <c r="AZ62" s="21">
        <v>900</v>
      </c>
      <c r="BA62" s="22">
        <f t="shared" si="38"/>
        <v>4.7058823529411764E-2</v>
      </c>
      <c r="BB62" s="22">
        <f t="shared" si="39"/>
        <v>1.8888888888888888</v>
      </c>
      <c r="BC62" s="23">
        <f t="shared" si="40"/>
        <v>8.8888888888888878E-2</v>
      </c>
      <c r="BD62" s="98">
        <v>90</v>
      </c>
      <c r="BE62" s="23">
        <f t="shared" si="41"/>
        <v>0</v>
      </c>
      <c r="BF62" t="s">
        <v>163</v>
      </c>
      <c r="BG62" s="23">
        <f t="shared" si="42"/>
        <v>0.1396217223413001</v>
      </c>
      <c r="BH62" s="24">
        <v>8</v>
      </c>
      <c r="BI62" s="24">
        <v>14</v>
      </c>
      <c r="BJ62" s="25">
        <f ca="1">(BD62*BH62+$AP62-$AQ62)/$H62*100</f>
        <v>222.88745555109779</v>
      </c>
      <c r="BK62" s="25">
        <f ca="1">(BF62*BI62+$AP62-$AQ62)/$H62*100</f>
        <v>952.41524275872939</v>
      </c>
      <c r="BL62" s="23">
        <f t="shared" ca="1" si="43"/>
        <v>-0.20112466810997442</v>
      </c>
      <c r="BM62" s="23">
        <f t="shared" ca="1" si="44"/>
        <v>6.8137477131613222E-2</v>
      </c>
      <c r="BN62" t="s">
        <v>105</v>
      </c>
      <c r="BO62" t="s">
        <v>121</v>
      </c>
      <c r="BP62" t="s">
        <v>164</v>
      </c>
    </row>
    <row r="63" spans="1:68" ht="15" customHeight="1" x14ac:dyDescent="0.35">
      <c r="A63" s="86" t="e" vm="60">
        <v>#VALUE!</v>
      </c>
      <c r="B63" s="10" t="str">
        <f t="array" aca="1" ref="B63" ca="1">_FV(A63,"Símbolo bursátil",TRUE())</f>
        <v>IPCO</v>
      </c>
      <c r="C63" s="88" t="s">
        <v>152</v>
      </c>
      <c r="D63" s="88" t="s">
        <v>153</v>
      </c>
      <c r="E63" s="11" t="str">
        <f t="array" aca="1" ref="E63" ca="1">_FV(A63,"Abreviatura de intercambio",TRUE())</f>
        <v>XTSE</v>
      </c>
      <c r="F63" s="11" t="str">
        <f t="array" aca="1" ref="F63" ca="1">_FV(A63,"Moneda")</f>
        <v>CAD</v>
      </c>
      <c r="G63" s="12">
        <f t="array" aca="1" ref="G63" ca="1">_FV(A63,"Precio")</f>
        <v>34.950000000000003</v>
      </c>
      <c r="H63" s="13">
        <f t="array" aca="1" ref="H63" ca="1">_FV(A63,"Acciones en circulación",TRUE())/1000000</f>
        <v>112.82680000000001</v>
      </c>
      <c r="I63" s="14">
        <f ca="1">G63*H63</f>
        <v>3943.2966600000004</v>
      </c>
      <c r="J63" s="91">
        <v>0</v>
      </c>
      <c r="K63" s="91">
        <v>2</v>
      </c>
      <c r="L63" s="91">
        <v>1</v>
      </c>
      <c r="M63" s="91">
        <v>0</v>
      </c>
      <c r="N63" s="91">
        <v>-2</v>
      </c>
      <c r="O63" s="91">
        <v>0</v>
      </c>
      <c r="P63" s="91">
        <v>0</v>
      </c>
      <c r="Q63" s="91">
        <v>1</v>
      </c>
      <c r="R63" s="26">
        <f t="shared" si="28"/>
        <v>2</v>
      </c>
      <c r="S63" s="16">
        <f t="shared" si="29"/>
        <v>1.25</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1.83</v>
      </c>
      <c r="AO63" s="18" t="s">
        <v>78</v>
      </c>
      <c r="AP63" s="19">
        <v>11.3</v>
      </c>
      <c r="AQ63" s="19">
        <v>517</v>
      </c>
      <c r="AR63" s="19">
        <f ca="1">I63*'Framework Notes'!E7-AP63+AQ63</f>
        <v>3356.7034851799999</v>
      </c>
      <c r="AS63" s="19">
        <v>18.600000000000001</v>
      </c>
      <c r="AT63" s="19">
        <v>76</v>
      </c>
      <c r="AU63" s="19">
        <v>253</v>
      </c>
      <c r="AV63" s="19">
        <v>707</v>
      </c>
      <c r="AW63" s="20">
        <f t="shared" ca="1" si="35"/>
        <v>180.46792931075268</v>
      </c>
      <c r="AX63" s="20">
        <f t="shared" ca="1" si="36"/>
        <v>13.267602708221343</v>
      </c>
      <c r="AY63" s="20">
        <f t="shared" ca="1" si="37"/>
        <v>4.7478125674398868</v>
      </c>
      <c r="AZ63" s="21">
        <v>1833</v>
      </c>
      <c r="BA63" s="22">
        <f t="shared" si="38"/>
        <v>0.1074964639321075</v>
      </c>
      <c r="BB63" s="22">
        <f t="shared" si="39"/>
        <v>0.38570649208947083</v>
      </c>
      <c r="BC63" s="23">
        <f t="shared" si="40"/>
        <v>4.1462084015275506E-2</v>
      </c>
      <c r="BD63" s="98">
        <v>178</v>
      </c>
      <c r="BE63" s="23">
        <f t="shared" si="41"/>
        <v>0.57101890653493736</v>
      </c>
      <c r="BF63" t="s">
        <v>165</v>
      </c>
      <c r="BG63" s="23">
        <f t="shared" si="42"/>
        <v>0.85177584943680928</v>
      </c>
      <c r="BH63" s="24">
        <v>10</v>
      </c>
      <c r="BI63" s="24">
        <v>15</v>
      </c>
      <c r="BJ63" s="25">
        <f ca="1">((BD63*BH63+$AP63-$AQ63)/$H63)/'Framework Notes'!$E$7</f>
        <v>15.621441794620653</v>
      </c>
      <c r="BK63" s="25">
        <f ca="1">((BF63*BI63+$AP63-$AQ63)/$H63)/'Framework Notes'!$E$7</f>
        <v>68.273166276999774</v>
      </c>
      <c r="BL63" s="23">
        <f t="shared" ca="1" si="43"/>
        <v>-0.14875458252908824</v>
      </c>
      <c r="BM63" s="23">
        <f t="shared" ca="1" si="44"/>
        <v>0.14330097239812867</v>
      </c>
      <c r="BN63" s="95" t="s">
        <v>677</v>
      </c>
      <c r="BO63" s="95" t="s">
        <v>131</v>
      </c>
      <c r="BP63" s="95" t="s">
        <v>683</v>
      </c>
    </row>
    <row r="64" spans="1:68" ht="15" customHeight="1" x14ac:dyDescent="0.35">
      <c r="A64" s="86" t="e" vm="61">
        <v>#VALUE!</v>
      </c>
      <c r="B64" s="10" t="str">
        <f t="array" aca="1" ref="B64" ca="1">_FV(A64,"Símbolo bursátil",TRUE())</f>
        <v>OTLY</v>
      </c>
      <c r="C64" s="88" t="s">
        <v>109</v>
      </c>
      <c r="D64" s="88" t="s">
        <v>148</v>
      </c>
      <c r="E64" s="11" t="str">
        <f t="array" aca="1" ref="E64" ca="1">_FV(A64,"Abreviatura de intercambio",TRUE())</f>
        <v>XNAS</v>
      </c>
      <c r="F64" s="11" t="str">
        <f t="array" aca="1" ref="F64" ca="1">_FV(A64,"Moneda")</f>
        <v>USD</v>
      </c>
      <c r="G64" s="12">
        <f t="array" aca="1" ref="G64" ca="1">_FV(A64,"Precio")</f>
        <v>15.574999999999999</v>
      </c>
      <c r="H64" s="13">
        <f t="array" aca="1" ref="H64" ca="1">_FV(A64,"Acciones en circulación",TRUE())/1000000</f>
        <v>31.91226</v>
      </c>
      <c r="I64" s="14">
        <f ca="1">G64*H64</f>
        <v>497.03344949999996</v>
      </c>
      <c r="J64" s="90">
        <v>1</v>
      </c>
      <c r="K64" s="90">
        <v>4</v>
      </c>
      <c r="L64" s="90">
        <v>2</v>
      </c>
      <c r="M64" s="90">
        <v>-1</v>
      </c>
      <c r="N64" s="90">
        <v>-1</v>
      </c>
      <c r="O64" s="90">
        <v>0</v>
      </c>
      <c r="P64" s="90">
        <v>0</v>
      </c>
      <c r="Q64" s="90">
        <v>0</v>
      </c>
      <c r="R64" s="15">
        <f t="shared" si="28"/>
        <v>5</v>
      </c>
      <c r="S64" s="16">
        <f t="shared" si="29"/>
        <v>3.13</v>
      </c>
      <c r="T64" s="90">
        <v>10</v>
      </c>
      <c r="U64" s="90">
        <v>6</v>
      </c>
      <c r="V64" s="90">
        <v>13</v>
      </c>
      <c r="W64" s="90">
        <v>6</v>
      </c>
      <c r="X64" s="90">
        <v>5.5</v>
      </c>
      <c r="Y64" s="90">
        <v>9</v>
      </c>
      <c r="Z64" s="90">
        <v>6</v>
      </c>
      <c r="AA64" s="90">
        <v>-22</v>
      </c>
      <c r="AB64" s="15">
        <f t="shared" si="30"/>
        <v>33.5</v>
      </c>
      <c r="AC64" s="16">
        <f t="shared" si="31"/>
        <v>3.35</v>
      </c>
      <c r="AD64" s="90">
        <v>8</v>
      </c>
      <c r="AE64" s="90">
        <v>-10</v>
      </c>
      <c r="AF64" s="90">
        <v>4</v>
      </c>
      <c r="AG64" s="90">
        <v>7</v>
      </c>
      <c r="AH64" s="90">
        <v>-4</v>
      </c>
      <c r="AI64" s="90">
        <v>4</v>
      </c>
      <c r="AJ64" s="90">
        <v>7</v>
      </c>
      <c r="AK64" s="90">
        <v>-9</v>
      </c>
      <c r="AL64" s="15">
        <f t="shared" si="32"/>
        <v>7</v>
      </c>
      <c r="AM64" s="16">
        <f t="shared" si="33"/>
        <v>1</v>
      </c>
      <c r="AN64" s="17">
        <f t="shared" si="34"/>
        <v>2.37</v>
      </c>
      <c r="AO64" s="18" t="s">
        <v>78</v>
      </c>
      <c r="AP64" s="19">
        <v>44.6</v>
      </c>
      <c r="AQ64" s="19">
        <v>549</v>
      </c>
      <c r="AR64" s="19">
        <f t="shared" ref="AR64:AR71" ca="1" si="51">I64-AP64+AQ64</f>
        <v>1001.4334494999999</v>
      </c>
      <c r="AS64" s="19">
        <v>-21.9</v>
      </c>
      <c r="AT64" s="19">
        <v>-49</v>
      </c>
      <c r="AU64" s="19">
        <v>-14</v>
      </c>
      <c r="AV64" s="19">
        <v>925</v>
      </c>
      <c r="AW64" s="20">
        <f t="shared" ca="1" si="35"/>
        <v>-45.727554771689498</v>
      </c>
      <c r="AX64" s="20">
        <f t="shared" ca="1" si="36"/>
        <v>-71.530960678571418</v>
      </c>
      <c r="AY64" s="20">
        <f t="shared" ca="1" si="37"/>
        <v>1.0826307562162161</v>
      </c>
      <c r="AZ64" s="21">
        <v>169</v>
      </c>
      <c r="BA64" s="22">
        <f t="shared" si="38"/>
        <v>-5.2972972972972973E-2</v>
      </c>
      <c r="BB64" s="22">
        <f t="shared" si="39"/>
        <v>5.4733727810650885</v>
      </c>
      <c r="BC64" s="23">
        <f t="shared" si="40"/>
        <v>-0.28994082840236685</v>
      </c>
      <c r="BD64" s="98">
        <v>0</v>
      </c>
      <c r="BE64" s="23">
        <f t="shared" si="41"/>
        <v>-1</v>
      </c>
      <c r="BF64">
        <v>114</v>
      </c>
      <c r="BG64" s="23">
        <f t="shared" si="42"/>
        <v>-2.3908879585905485</v>
      </c>
      <c r="BH64" s="24">
        <v>12</v>
      </c>
      <c r="BI64" s="24">
        <v>16</v>
      </c>
      <c r="BJ64" s="25">
        <f ca="1">(BD64*BH64+$AP64-$AQ64)/$H64</f>
        <v>-15.805837631054647</v>
      </c>
      <c r="BK64" s="25">
        <f ca="1">(BF64*BI64+$AP64-$AQ64)/$H64</f>
        <v>41.350878941196889</v>
      </c>
      <c r="BL64" s="23">
        <f t="shared" ca="1" si="43"/>
        <v>-0.99</v>
      </c>
      <c r="BM64" s="23">
        <f t="shared" ca="1" si="44"/>
        <v>0.21565779158195664</v>
      </c>
      <c r="BN64" s="95" t="s">
        <v>677</v>
      </c>
      <c r="BO64" s="93" t="s">
        <v>132</v>
      </c>
      <c r="BP64" s="93" t="s">
        <v>166</v>
      </c>
    </row>
    <row r="65" spans="1:68" x14ac:dyDescent="0.35">
      <c r="A65" s="86" t="e" vm="62">
        <v>#VALUE!</v>
      </c>
      <c r="B65" s="10" t="str">
        <f t="array" aca="1" ref="B65" ca="1">_FV(A65,"Símbolo bursátil",TRUE())</f>
        <v>CSU</v>
      </c>
      <c r="C65" s="88" t="s">
        <v>76</v>
      </c>
      <c r="D65" s="88" t="s">
        <v>77</v>
      </c>
      <c r="E65" s="11" t="str">
        <f t="array" aca="1" ref="E65" ca="1">_FV(A65,"Abreviatura de intercambio",TRUE())</f>
        <v>XTSE</v>
      </c>
      <c r="F65" s="11" t="str">
        <f t="array" aca="1" ref="F65" ca="1">_FV(A65,"Moneda")</f>
        <v>CAD</v>
      </c>
      <c r="G65" s="12">
        <f t="array" aca="1" ref="G65" ca="1">_FV(A65,"Precio")</f>
        <v>3054.98</v>
      </c>
      <c r="H65" s="13">
        <f t="array" aca="1" ref="H65" ca="1">_FV(A65,"Acciones en circulación",TRUE())/1000000</f>
        <v>21.19153</v>
      </c>
      <c r="I65" s="14">
        <f ca="1">G65*H65</f>
        <v>64739.700319399999</v>
      </c>
      <c r="J65" s="90">
        <v>2</v>
      </c>
      <c r="K65" s="90">
        <v>7.5</v>
      </c>
      <c r="L65" s="90">
        <v>2.5</v>
      </c>
      <c r="M65" s="90">
        <v>0.75</v>
      </c>
      <c r="N65" s="90">
        <v>-0.5</v>
      </c>
      <c r="O65" s="90">
        <v>0.5</v>
      </c>
      <c r="P65" s="90">
        <v>1</v>
      </c>
      <c r="Q65" s="90">
        <v>1</v>
      </c>
      <c r="R65" s="15">
        <f t="shared" si="28"/>
        <v>14.25</v>
      </c>
      <c r="S65" s="16">
        <f t="shared" si="29"/>
        <v>8.91</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13</v>
      </c>
      <c r="AH65" s="90">
        <v>3</v>
      </c>
      <c r="AI65" s="90">
        <v>9</v>
      </c>
      <c r="AJ65" s="90">
        <v>14</v>
      </c>
      <c r="AK65" s="90">
        <v>-3</v>
      </c>
      <c r="AL65" s="15">
        <f t="shared" si="32"/>
        <v>60</v>
      </c>
      <c r="AM65" s="16">
        <f t="shared" si="33"/>
        <v>8.57</v>
      </c>
      <c r="AN65" s="17">
        <f t="shared" si="34"/>
        <v>8.4499999999999993</v>
      </c>
      <c r="AO65" s="18" t="s">
        <v>78</v>
      </c>
      <c r="AP65" s="19">
        <v>3089</v>
      </c>
      <c r="AQ65" s="19">
        <v>4131</v>
      </c>
      <c r="AR65" s="19">
        <f ca="1">I65*'Framework Notes'!$E$7-AP65+AQ65</f>
        <v>47848.803330926195</v>
      </c>
      <c r="AS65" s="19">
        <v>2700</v>
      </c>
      <c r="AT65" s="19">
        <v>1400</v>
      </c>
      <c r="AU65" s="19">
        <v>3428</v>
      </c>
      <c r="AV65" s="19">
        <v>12641</v>
      </c>
      <c r="AW65" s="20">
        <f t="shared" ca="1" si="35"/>
        <v>17.721779011454146</v>
      </c>
      <c r="AX65" s="20">
        <f t="shared" ca="1" si="36"/>
        <v>13.958227342743932</v>
      </c>
      <c r="AY65" s="20">
        <f t="shared" ca="1" si="37"/>
        <v>3.7852071300471635</v>
      </c>
      <c r="AZ65" s="21">
        <v>5000</v>
      </c>
      <c r="BA65" s="22">
        <f t="shared" si="38"/>
        <v>0.11075073174590618</v>
      </c>
      <c r="BB65" s="22">
        <f t="shared" si="39"/>
        <v>2.5282</v>
      </c>
      <c r="BC65" s="23">
        <f t="shared" si="40"/>
        <v>0.27999999999999997</v>
      </c>
      <c r="BD65" s="98">
        <v>3100</v>
      </c>
      <c r="BE65" s="23">
        <f t="shared" si="41"/>
        <v>2.8015317995883304E-2</v>
      </c>
      <c r="BF65">
        <v>5200</v>
      </c>
      <c r="BG65" s="23">
        <f t="shared" si="42"/>
        <v>0.14006054485197472</v>
      </c>
      <c r="BH65" s="24">
        <v>12</v>
      </c>
      <c r="BI65" s="24">
        <v>22</v>
      </c>
      <c r="BJ65" s="25">
        <f ca="1">((BD65*BH65+$AP65-$AQ65)/$H65)/'Framework Notes'!$E$7</f>
        <v>2359.9553692874292</v>
      </c>
      <c r="BK65" s="25">
        <f ca="1">((BF65*BI65+$AP65-$AQ65)/$H65)/'Framework Notes'!$E$7</f>
        <v>7398.6343479087436</v>
      </c>
      <c r="BL65" s="23">
        <f t="shared" ca="1" si="43"/>
        <v>-5.0316082036399479E-2</v>
      </c>
      <c r="BM65" s="23">
        <f t="shared" ca="1" si="44"/>
        <v>0.19351708045783256</v>
      </c>
      <c r="BN65" s="95" t="s">
        <v>677</v>
      </c>
      <c r="BO65" s="95" t="s">
        <v>684</v>
      </c>
      <c r="BP65" s="95" t="s">
        <v>143</v>
      </c>
    </row>
    <row r="66" spans="1:68" x14ac:dyDescent="0.35">
      <c r="A66" s="86" t="e" vm="63">
        <v>#VALUE!</v>
      </c>
      <c r="B66" s="10" t="str">
        <f t="array" aca="1" ref="B66" ca="1">_FV(A66,"Símbolo bursátil",TRUE())</f>
        <v>UBER</v>
      </c>
      <c r="C66" s="88" t="s">
        <v>170</v>
      </c>
      <c r="D66" s="88" t="s">
        <v>77</v>
      </c>
      <c r="E66" s="11" t="str">
        <f t="array" aca="1" ref="E66" ca="1">_FV(A66,"Abreviatura de intercambio",TRUE())</f>
        <v>XNYS</v>
      </c>
      <c r="F66" s="11" t="str">
        <f t="array" aca="1" ref="F66" ca="1">_FV(A66,"Moneda")</f>
        <v>USD</v>
      </c>
      <c r="G66" s="12">
        <f t="array" aca="1" ref="G66" ca="1">_FV(A66,"Precio")</f>
        <v>80.114999999999995</v>
      </c>
      <c r="H66" s="13">
        <f t="array" aca="1" ref="H66" ca="1">_FV(A66,"Acciones en circulación",TRUE())/1000000</f>
        <v>2042.56</v>
      </c>
      <c r="I66" s="14">
        <f ca="1">G66*H66</f>
        <v>163639.69439999998</v>
      </c>
      <c r="J66" s="90">
        <v>1</v>
      </c>
      <c r="K66" s="90">
        <v>6</v>
      </c>
      <c r="L66" s="90">
        <v>2.5</v>
      </c>
      <c r="M66" s="90">
        <v>0.5</v>
      </c>
      <c r="N66" s="90">
        <v>0</v>
      </c>
      <c r="O66" s="90">
        <v>0</v>
      </c>
      <c r="P66" s="90">
        <v>0.5</v>
      </c>
      <c r="Q66" s="90">
        <v>0</v>
      </c>
      <c r="R66" s="15">
        <f t="shared" si="28"/>
        <v>10.5</v>
      </c>
      <c r="S66" s="16">
        <f t="shared" si="29"/>
        <v>6.56</v>
      </c>
      <c r="T66" s="90">
        <v>13</v>
      </c>
      <c r="U66" s="90">
        <v>15</v>
      </c>
      <c r="V66" s="90">
        <v>14</v>
      </c>
      <c r="W66" s="90">
        <v>7</v>
      </c>
      <c r="X66" s="90">
        <v>6</v>
      </c>
      <c r="Y66" s="90">
        <v>9</v>
      </c>
      <c r="Z66" s="90">
        <v>6</v>
      </c>
      <c r="AA66" s="90">
        <v>-12</v>
      </c>
      <c r="AB66" s="15">
        <f t="shared" si="30"/>
        <v>58</v>
      </c>
      <c r="AC66" s="16">
        <f t="shared" si="31"/>
        <v>5.8</v>
      </c>
      <c r="AD66" s="90">
        <v>10</v>
      </c>
      <c r="AE66" s="90">
        <v>-2</v>
      </c>
      <c r="AF66" s="90">
        <v>9</v>
      </c>
      <c r="AG66" s="90">
        <v>8</v>
      </c>
      <c r="AH66" s="90">
        <v>3</v>
      </c>
      <c r="AI66" s="90">
        <v>5</v>
      </c>
      <c r="AJ66" s="90">
        <v>10</v>
      </c>
      <c r="AK66" s="90">
        <v>-8</v>
      </c>
      <c r="AL66" s="15">
        <f t="shared" si="32"/>
        <v>35</v>
      </c>
      <c r="AM66" s="16">
        <f t="shared" si="33"/>
        <v>5</v>
      </c>
      <c r="AN66" s="17">
        <f t="shared" si="34"/>
        <v>5.63</v>
      </c>
      <c r="AO66" s="18" t="s">
        <v>78</v>
      </c>
      <c r="AP66" s="19">
        <v>5391</v>
      </c>
      <c r="AQ66" s="19">
        <v>14731</v>
      </c>
      <c r="AR66" s="19">
        <f t="shared" ca="1" si="51"/>
        <v>172979.69439999998</v>
      </c>
      <c r="AS66" s="19">
        <v>10116</v>
      </c>
      <c r="AT66" s="19">
        <v>5025</v>
      </c>
      <c r="AU66" s="19">
        <v>7475</v>
      </c>
      <c r="AV66" s="19">
        <v>55227</v>
      </c>
      <c r="AW66" s="20">
        <f t="shared" ca="1" si="35"/>
        <v>17.099613918544879</v>
      </c>
      <c r="AX66" s="20">
        <f t="shared" ca="1" si="36"/>
        <v>23.141096240802671</v>
      </c>
      <c r="AY66" s="20">
        <f t="shared" ca="1" si="37"/>
        <v>3.1321580820975243</v>
      </c>
      <c r="AZ66" s="21">
        <v>37739</v>
      </c>
      <c r="BA66" s="22">
        <f t="shared" si="38"/>
        <v>9.098810364495627E-2</v>
      </c>
      <c r="BB66" s="22">
        <f t="shared" si="39"/>
        <v>1.463393306658894</v>
      </c>
      <c r="BC66" s="23">
        <f t="shared" si="40"/>
        <v>0.13315138185961473</v>
      </c>
      <c r="BD66" s="98">
        <v>8970</v>
      </c>
      <c r="BE66" s="23">
        <f t="shared" si="41"/>
        <v>-2.3759716293729527E-2</v>
      </c>
      <c r="BF66">
        <v>26900</v>
      </c>
      <c r="BG66" s="23">
        <f t="shared" si="42"/>
        <v>0.21604232728416428</v>
      </c>
      <c r="BH66" s="24">
        <v>14</v>
      </c>
      <c r="BI66" s="24">
        <v>24</v>
      </c>
      <c r="BJ66" s="25">
        <f ca="1">(BD66*BH66+AP66-AQ66)/H66</f>
        <v>56.908976970076765</v>
      </c>
      <c r="BK66" s="25">
        <f ca="1">(BF66*BI66+AP66-AQ66)/H66</f>
        <v>311.50125332915559</v>
      </c>
      <c r="BL66" s="23">
        <f t="shared" ca="1" si="43"/>
        <v>-6.6115024826753577E-2</v>
      </c>
      <c r="BM66" s="23">
        <f t="shared" ca="1" si="44"/>
        <v>0.31204639489277164</v>
      </c>
      <c r="BN66" s="95" t="s">
        <v>677</v>
      </c>
      <c r="BO66" s="95" t="s">
        <v>98</v>
      </c>
      <c r="BP66" s="95" t="s">
        <v>683</v>
      </c>
    </row>
    <row r="67" spans="1:68" x14ac:dyDescent="0.35">
      <c r="A67" s="86" t="e" vm="64">
        <v>#VALUE!</v>
      </c>
      <c r="B67" s="10" t="str">
        <f t="array" aca="1" ref="B67" ca="1">_FV(A67,"Símbolo bursátil",TRUE())</f>
        <v>SOM</v>
      </c>
      <c r="C67" s="88" t="s">
        <v>135</v>
      </c>
      <c r="D67" s="88" t="s">
        <v>148</v>
      </c>
      <c r="E67" s="11" t="str">
        <f ca="1">_FV(A67,"Abreviatura de intercambio",TRUE)</f>
        <v>XLON</v>
      </c>
      <c r="F67" s="11" t="str">
        <f ca="1">_FV(A67,"Moneda")</f>
        <v>GBp</v>
      </c>
      <c r="G67" s="12">
        <f ca="1">_FV(A67,"Precio")</f>
        <v>240</v>
      </c>
      <c r="H67" s="13">
        <f ca="1">_FV(A67,"Acciones en circulación",TRUE)/1000000</f>
        <v>51.776020000000003</v>
      </c>
      <c r="I67" s="14">
        <f ca="1">G67/100*H67</f>
        <v>124.26244800000001</v>
      </c>
      <c r="J67" s="90">
        <v>1</v>
      </c>
      <c r="K67" s="90">
        <v>5</v>
      </c>
      <c r="L67" s="90">
        <v>2</v>
      </c>
      <c r="M67" s="90">
        <v>1</v>
      </c>
      <c r="N67" s="90">
        <v>-2</v>
      </c>
      <c r="O67" s="90">
        <v>-1</v>
      </c>
      <c r="P67" s="90">
        <v>0</v>
      </c>
      <c r="Q67" s="90">
        <v>-1</v>
      </c>
      <c r="R67" s="15">
        <f t="shared" si="28"/>
        <v>6</v>
      </c>
      <c r="S67" s="16">
        <f t="shared" si="29"/>
        <v>3.75</v>
      </c>
      <c r="T67" s="90">
        <v>11</v>
      </c>
      <c r="U67" s="90">
        <v>11</v>
      </c>
      <c r="V67" s="90">
        <v>8</v>
      </c>
      <c r="W67" s="90">
        <v>6</v>
      </c>
      <c r="X67" s="90">
        <v>4</v>
      </c>
      <c r="Y67" s="90">
        <v>9</v>
      </c>
      <c r="Z67" s="90">
        <v>2</v>
      </c>
      <c r="AA67" s="90">
        <v>-18</v>
      </c>
      <c r="AB67" s="15">
        <f t="shared" ref="AB67:AB72" si="52">SUM(T67:AA67)</f>
        <v>33</v>
      </c>
      <c r="AC67" s="16">
        <f t="shared" ref="AC67:AC73" si="53">ROUND(AB67/10,2)</f>
        <v>3.3</v>
      </c>
      <c r="AD67" s="90">
        <v>10</v>
      </c>
      <c r="AE67" s="90">
        <v>-2</v>
      </c>
      <c r="AF67" s="90">
        <v>7</v>
      </c>
      <c r="AG67" s="90">
        <v>9</v>
      </c>
      <c r="AH67" s="90">
        <v>3</v>
      </c>
      <c r="AI67" s="90">
        <v>3</v>
      </c>
      <c r="AJ67" s="90">
        <v>8</v>
      </c>
      <c r="AK67" s="90">
        <v>-7</v>
      </c>
      <c r="AL67" s="15">
        <f t="shared" ref="AL67:AL72" si="54">SUM(AD67:AK67)</f>
        <v>31</v>
      </c>
      <c r="AM67" s="16">
        <f t="shared" ref="AM67:AM73" si="55">ROUND(AL67/70*10,2)</f>
        <v>4.43</v>
      </c>
      <c r="AN67" s="17">
        <f t="shared" si="34"/>
        <v>3.84</v>
      </c>
      <c r="AO67" s="18" t="s">
        <v>78</v>
      </c>
      <c r="AP67" s="19">
        <v>24.2</v>
      </c>
      <c r="AQ67" s="19">
        <v>2.1</v>
      </c>
      <c r="AR67" s="19">
        <f ca="1">I67*'Framework Notes'!$E$9-AP67+AQ67</f>
        <v>147.40640531680003</v>
      </c>
      <c r="AS67" s="19">
        <v>11.7</v>
      </c>
      <c r="AT67" s="19">
        <v>6.8</v>
      </c>
      <c r="AU67" s="19">
        <v>12.8</v>
      </c>
      <c r="AV67" s="19">
        <v>64.900000000000006</v>
      </c>
      <c r="AW67" s="20">
        <f t="shared" ref="AW67:AW72" ca="1" si="56">AR67/AS67</f>
        <v>12.59883806126496</v>
      </c>
      <c r="AX67" s="20">
        <f t="shared" ref="AX67:AX72" ca="1" si="57">AR67/AU67</f>
        <v>11.516125415375003</v>
      </c>
      <c r="AY67" s="20">
        <f t="shared" ref="AY67:AY72" ca="1" si="58">AR67/AV67</f>
        <v>2.2712851358520805</v>
      </c>
      <c r="AZ67" s="21">
        <v>51.47</v>
      </c>
      <c r="BA67" s="22">
        <f t="shared" ref="BA67:BA72" si="59">AT67/AV67</f>
        <v>0.10477657935285052</v>
      </c>
      <c r="BB67" s="22">
        <f t="shared" ref="BB67:BB72" si="60">AV67/AZ67</f>
        <v>1.2609286963279582</v>
      </c>
      <c r="BC67" s="23">
        <f t="shared" si="40"/>
        <v>0.13211579560909267</v>
      </c>
      <c r="BD67" s="98">
        <v>16</v>
      </c>
      <c r="BE67" s="23">
        <f t="shared" si="41"/>
        <v>6.4600888228827591E-2</v>
      </c>
      <c r="BF67">
        <v>27</v>
      </c>
      <c r="BG67" s="23">
        <f t="shared" si="42"/>
        <v>0.18204927370905</v>
      </c>
      <c r="BH67" s="24">
        <v>12</v>
      </c>
      <c r="BI67" s="24">
        <v>22</v>
      </c>
      <c r="BJ67" s="25">
        <f ca="1">((BD67*BH67+$AP67-$AQ67)/$H67)/'Framework Notes'!$E$9*100</f>
        <v>303.1389870132964</v>
      </c>
      <c r="BK67" s="25">
        <f ca="1">((BF67*BI67+$AP67-$AQ67)/$H67)/'Framework Notes'!$E$9*100</f>
        <v>872.3210177435401</v>
      </c>
      <c r="BL67" s="23">
        <f t="shared" ca="1" si="43"/>
        <v>4.7818617486187209E-2</v>
      </c>
      <c r="BM67" s="23">
        <f t="shared" ca="1" si="44"/>
        <v>0.29447306727229905</v>
      </c>
      <c r="BN67" s="96" t="s">
        <v>524</v>
      </c>
      <c r="BO67" s="96" t="s">
        <v>532</v>
      </c>
      <c r="BP67" s="96" t="s">
        <v>533</v>
      </c>
    </row>
    <row r="68" spans="1:68" x14ac:dyDescent="0.35">
      <c r="A68" s="86" t="e" vm="65">
        <v>#VALUE!</v>
      </c>
      <c r="B68" s="10" t="str">
        <f t="array" aca="1" ref="B68" ca="1">_FV(A68,"Símbolo bursátil",TRUE())</f>
        <v>IP</v>
      </c>
      <c r="C68" s="88" t="s">
        <v>118</v>
      </c>
      <c r="D68" s="88" t="s">
        <v>77</v>
      </c>
      <c r="E68" s="11" t="str">
        <f t="shared" ref="E68:E71" ca="1" si="61">_FV(A68,"Abreviatura de intercambio",TRUE)</f>
        <v>XMIL</v>
      </c>
      <c r="F68" s="11" t="str">
        <f t="shared" ref="F68:F71" ca="1" si="62">_FV(A68,"Moneda")</f>
        <v>EUR</v>
      </c>
      <c r="G68" s="12">
        <f t="shared" ref="G68:G71" ca="1" si="63">_FV(A68,"Precio")</f>
        <v>37.840000000000003</v>
      </c>
      <c r="H68" s="13">
        <f t="shared" ref="H68:H71" ca="1" si="64">_FV(A68,"Acciones en circulación",TRUE)/1000000</f>
        <v>108.8793</v>
      </c>
      <c r="I68" s="14">
        <f t="shared" ref="I68:I72" ca="1" si="65">G68*H68</f>
        <v>4119.9927120000002</v>
      </c>
      <c r="J68" s="90">
        <v>1</v>
      </c>
      <c r="K68" s="90">
        <v>5</v>
      </c>
      <c r="L68" s="90">
        <v>1</v>
      </c>
      <c r="M68" s="90">
        <v>1</v>
      </c>
      <c r="N68" s="90">
        <v>-1</v>
      </c>
      <c r="O68" s="90">
        <v>0</v>
      </c>
      <c r="P68" s="90">
        <v>1</v>
      </c>
      <c r="Q68" s="90">
        <v>1</v>
      </c>
      <c r="R68" s="15">
        <f t="shared" ref="R68:R71" si="66">SUM(J68:N68)+SUM(P68:Q68)</f>
        <v>9</v>
      </c>
      <c r="S68" s="16">
        <f t="shared" ref="S68:S71" si="67">ROUND(R68/16*10,2)</f>
        <v>5.63</v>
      </c>
      <c r="T68" s="90">
        <v>13</v>
      </c>
      <c r="U68" s="90">
        <v>13</v>
      </c>
      <c r="V68" s="90">
        <v>9</v>
      </c>
      <c r="W68" s="90">
        <v>8</v>
      </c>
      <c r="X68" s="90">
        <v>6</v>
      </c>
      <c r="Y68" s="90">
        <v>10</v>
      </c>
      <c r="Z68" s="90">
        <v>8</v>
      </c>
      <c r="AA68" s="90">
        <v>-12</v>
      </c>
      <c r="AB68" s="15">
        <f t="shared" si="52"/>
        <v>55</v>
      </c>
      <c r="AC68" s="16">
        <f t="shared" si="53"/>
        <v>5.5</v>
      </c>
      <c r="AD68" s="90">
        <v>12</v>
      </c>
      <c r="AE68" s="90">
        <v>-2</v>
      </c>
      <c r="AF68" s="90">
        <v>4</v>
      </c>
      <c r="AG68" s="90">
        <v>9</v>
      </c>
      <c r="AH68" s="90">
        <v>4</v>
      </c>
      <c r="AI68" s="90">
        <v>5</v>
      </c>
      <c r="AJ68" s="90">
        <v>10</v>
      </c>
      <c r="AK68" s="90">
        <v>-6</v>
      </c>
      <c r="AL68" s="15">
        <f t="shared" si="54"/>
        <v>36</v>
      </c>
      <c r="AM68" s="16">
        <f t="shared" si="55"/>
        <v>5.14</v>
      </c>
      <c r="AN68" s="17">
        <f t="shared" ref="AN68:AN71" si="68">ROUND(S68*0.2+AC68*0.4+AM68*0.4,2)</f>
        <v>5.38</v>
      </c>
      <c r="AO68" s="18" t="s">
        <v>87</v>
      </c>
      <c r="AP68" s="19">
        <v>370</v>
      </c>
      <c r="AQ68" s="19">
        <v>675</v>
      </c>
      <c r="AR68" s="19">
        <f t="shared" ca="1" si="51"/>
        <v>4424.9927120000002</v>
      </c>
      <c r="AS68" s="19">
        <v>263</v>
      </c>
      <c r="AT68" s="19">
        <v>229</v>
      </c>
      <c r="AU68" s="19">
        <v>446</v>
      </c>
      <c r="AV68" s="19">
        <v>2080</v>
      </c>
      <c r="AW68" s="20">
        <f t="shared" ca="1" si="56"/>
        <v>16.825067346007604</v>
      </c>
      <c r="AX68" s="20">
        <f t="shared" ca="1" si="57"/>
        <v>9.9215083228699559</v>
      </c>
      <c r="AY68" s="20">
        <f t="shared" ca="1" si="58"/>
        <v>2.1274003423076926</v>
      </c>
      <c r="AZ68" s="21">
        <v>2401.1</v>
      </c>
      <c r="BA68" s="22">
        <f t="shared" si="59"/>
        <v>0.11009615384615384</v>
      </c>
      <c r="BB68" s="22">
        <f t="shared" si="60"/>
        <v>0.86626962642122363</v>
      </c>
      <c r="BC68" s="23">
        <f t="shared" ref="BC68:BC73" si="69">BA68*BB68</f>
        <v>9.5372954062721255E-2</v>
      </c>
      <c r="BD68" s="98">
        <v>225.5</v>
      </c>
      <c r="BE68" s="23">
        <f t="shared" ref="BE68:BE73" si="70">(BD68/AS68)^(1/5)-1</f>
        <v>-3.0298294272315895E-2</v>
      </c>
      <c r="BF68">
        <v>548.9</v>
      </c>
      <c r="BG68" s="23">
        <f t="shared" ref="BG68:BG73" si="71">(BF68/AS68)^(1/5)-1</f>
        <v>0.15853056601851723</v>
      </c>
      <c r="BH68" s="24">
        <v>16</v>
      </c>
      <c r="BI68" s="24">
        <v>20.5</v>
      </c>
      <c r="BJ68" s="25">
        <f t="shared" ref="BJ68:BJ73" ca="1" si="72">(BD68*BH68+$AP68-$AQ68)/$H68</f>
        <v>30.336344925068403</v>
      </c>
      <c r="BK68" s="25">
        <f t="shared" ref="BK68:BK73" ca="1" si="73">(BF68*BI68+$AP68-$AQ68)/$H68</f>
        <v>100.54666038448079</v>
      </c>
      <c r="BL68" s="23">
        <f t="shared" ca="1" si="43"/>
        <v>-4.3241288682237089E-2</v>
      </c>
      <c r="BM68" s="23">
        <f t="shared" ca="1" si="44"/>
        <v>0.21585925378268067</v>
      </c>
      <c r="BN68" s="96" t="s">
        <v>677</v>
      </c>
      <c r="BO68" s="96" t="s">
        <v>124</v>
      </c>
      <c r="BP68" s="96" t="s">
        <v>542</v>
      </c>
    </row>
    <row r="69" spans="1:68" x14ac:dyDescent="0.35">
      <c r="A69" s="86" t="e" vm="66">
        <v>#VALUE!</v>
      </c>
      <c r="B69" s="10" t="str">
        <f t="array" aca="1" ref="B69" ca="1">_FV(A69,"Símbolo bursátil",TRUE())</f>
        <v>RBT</v>
      </c>
      <c r="C69" s="88" t="s">
        <v>109</v>
      </c>
      <c r="D69" s="88" t="s">
        <v>77</v>
      </c>
      <c r="E69" s="11" t="str">
        <f t="shared" ca="1" si="61"/>
        <v>XPAR</v>
      </c>
      <c r="F69" s="11" t="str">
        <f t="shared" ca="1" si="62"/>
        <v>EUR</v>
      </c>
      <c r="G69" s="12">
        <f t="shared" ca="1" si="63"/>
        <v>798</v>
      </c>
      <c r="H69" s="13">
        <f t="shared" ca="1" si="64"/>
        <v>2.1692999999999998</v>
      </c>
      <c r="I69" s="14">
        <f t="shared" ca="1" si="65"/>
        <v>1731.1013999999998</v>
      </c>
      <c r="J69" s="90">
        <v>2</v>
      </c>
      <c r="K69" s="90">
        <v>6</v>
      </c>
      <c r="L69" s="90">
        <v>2</v>
      </c>
      <c r="M69" s="90">
        <v>1</v>
      </c>
      <c r="N69" s="90">
        <v>0</v>
      </c>
      <c r="O69" s="90">
        <v>0</v>
      </c>
      <c r="P69" s="90">
        <v>1</v>
      </c>
      <c r="Q69" s="90">
        <v>1</v>
      </c>
      <c r="R69" s="15">
        <f t="shared" si="66"/>
        <v>13</v>
      </c>
      <c r="S69" s="16">
        <f t="shared" si="67"/>
        <v>8.1300000000000008</v>
      </c>
      <c r="T69" s="90">
        <v>13</v>
      </c>
      <c r="U69" s="90">
        <v>15</v>
      </c>
      <c r="V69" s="90">
        <v>11</v>
      </c>
      <c r="W69" s="90">
        <v>9</v>
      </c>
      <c r="X69" s="90">
        <v>9</v>
      </c>
      <c r="Y69" s="90">
        <v>11</v>
      </c>
      <c r="Z69" s="90">
        <v>9</v>
      </c>
      <c r="AA69" s="90">
        <v>-9</v>
      </c>
      <c r="AB69" s="15">
        <f t="shared" si="52"/>
        <v>68</v>
      </c>
      <c r="AC69" s="16">
        <f t="shared" si="53"/>
        <v>6.8</v>
      </c>
      <c r="AD69" s="90">
        <v>14</v>
      </c>
      <c r="AE69" s="90">
        <v>-1</v>
      </c>
      <c r="AF69" s="90">
        <v>3</v>
      </c>
      <c r="AG69" s="90">
        <v>11</v>
      </c>
      <c r="AH69" s="90">
        <v>4</v>
      </c>
      <c r="AI69" s="90">
        <v>5</v>
      </c>
      <c r="AJ69" s="90">
        <v>13</v>
      </c>
      <c r="AK69" s="90">
        <v>-3</v>
      </c>
      <c r="AL69" s="15">
        <f t="shared" si="54"/>
        <v>46</v>
      </c>
      <c r="AM69" s="16">
        <f t="shared" si="55"/>
        <v>6.57</v>
      </c>
      <c r="AN69" s="17">
        <f t="shared" si="68"/>
        <v>6.97</v>
      </c>
      <c r="AO69" s="18" t="s">
        <v>87</v>
      </c>
      <c r="AP69" s="19">
        <v>181</v>
      </c>
      <c r="AQ69" s="19">
        <v>253</v>
      </c>
      <c r="AR69" s="19">
        <f t="shared" ca="1" si="51"/>
        <v>1803.1013999999998</v>
      </c>
      <c r="AS69" s="19">
        <v>66.7</v>
      </c>
      <c r="AT69" s="19">
        <v>108.5</v>
      </c>
      <c r="AU69" s="19">
        <v>167</v>
      </c>
      <c r="AV69" s="19">
        <v>844</v>
      </c>
      <c r="AW69" s="20">
        <f t="shared" ca="1" si="56"/>
        <v>27.033004497751119</v>
      </c>
      <c r="AX69" s="20">
        <f t="shared" ca="1" si="57"/>
        <v>10.797014371257484</v>
      </c>
      <c r="AY69" s="20">
        <f t="shared" ca="1" si="58"/>
        <v>2.1363760663507105</v>
      </c>
      <c r="AZ69" s="21">
        <v>713.6</v>
      </c>
      <c r="BA69" s="22">
        <f t="shared" si="59"/>
        <v>0.12855450236966826</v>
      </c>
      <c r="BB69" s="22">
        <f t="shared" si="60"/>
        <v>1.1827354260089686</v>
      </c>
      <c r="BC69" s="23">
        <f t="shared" si="69"/>
        <v>0.15204596412556054</v>
      </c>
      <c r="BD69" s="98">
        <v>82.1</v>
      </c>
      <c r="BE69" s="23">
        <f t="shared" si="70"/>
        <v>4.242175081905053E-2</v>
      </c>
      <c r="BF69">
        <v>145</v>
      </c>
      <c r="BG69" s="23">
        <f t="shared" si="71"/>
        <v>0.16801503633750126</v>
      </c>
      <c r="BH69" s="24">
        <v>18</v>
      </c>
      <c r="BI69" s="24">
        <v>26</v>
      </c>
      <c r="BJ69" s="25">
        <f t="shared" ca="1" si="72"/>
        <v>648.04314755912048</v>
      </c>
      <c r="BK69" s="25">
        <f t="shared" ca="1" si="73"/>
        <v>1704.6973678145025</v>
      </c>
      <c r="BL69" s="23">
        <f t="shared" ca="1" si="43"/>
        <v>-4.0775624735993499E-2</v>
      </c>
      <c r="BM69" s="23">
        <f t="shared" ca="1" si="44"/>
        <v>0.16393540749423563</v>
      </c>
      <c r="BN69" s="96" t="s">
        <v>677</v>
      </c>
      <c r="BO69" s="96" t="s">
        <v>124</v>
      </c>
      <c r="BP69" s="96" t="s">
        <v>544</v>
      </c>
    </row>
    <row r="70" spans="1:68" x14ac:dyDescent="0.35">
      <c r="A70" s="86" t="e" vm="67">
        <v>#VALUE!</v>
      </c>
      <c r="B70" s="10" t="str">
        <f t="array" aca="1" ref="B70" ca="1">_FV(A70,"Símbolo bursátil",TRUE())</f>
        <v>ROKO B</v>
      </c>
      <c r="C70" s="88" t="s">
        <v>118</v>
      </c>
      <c r="D70" s="88" t="s">
        <v>77</v>
      </c>
      <c r="E70" s="11" t="str">
        <f t="shared" ca="1" si="61"/>
        <v>XSTO</v>
      </c>
      <c r="F70" s="11" t="str">
        <f t="shared" ca="1" si="62"/>
        <v>SEK</v>
      </c>
      <c r="G70" s="12">
        <f t="shared" ca="1" si="63"/>
        <v>1884</v>
      </c>
      <c r="H70" s="13">
        <f t="shared" ca="1" si="64"/>
        <v>12.1365</v>
      </c>
      <c r="I70" s="14">
        <f t="shared" ca="1" si="65"/>
        <v>22865.166000000001</v>
      </c>
      <c r="J70" s="90">
        <v>1</v>
      </c>
      <c r="K70" s="90">
        <v>5</v>
      </c>
      <c r="L70" s="90">
        <v>3</v>
      </c>
      <c r="M70" s="90">
        <v>0</v>
      </c>
      <c r="N70" s="90">
        <v>0</v>
      </c>
      <c r="O70" s="90">
        <v>0</v>
      </c>
      <c r="P70" s="90">
        <v>1</v>
      </c>
      <c r="Q70" s="90">
        <v>1</v>
      </c>
      <c r="R70" s="15">
        <f t="shared" si="66"/>
        <v>11</v>
      </c>
      <c r="S70" s="16">
        <f t="shared" si="67"/>
        <v>6.88</v>
      </c>
      <c r="T70" s="90">
        <v>12</v>
      </c>
      <c r="U70" s="90">
        <v>12</v>
      </c>
      <c r="V70" s="90">
        <v>15</v>
      </c>
      <c r="W70" s="90">
        <v>8</v>
      </c>
      <c r="X70" s="90">
        <v>7</v>
      </c>
      <c r="Y70" s="90">
        <v>12</v>
      </c>
      <c r="Z70" s="90">
        <v>10</v>
      </c>
      <c r="AA70" s="90">
        <v>-14</v>
      </c>
      <c r="AB70" s="15">
        <f t="shared" si="52"/>
        <v>62</v>
      </c>
      <c r="AC70" s="16">
        <f t="shared" si="53"/>
        <v>6.2</v>
      </c>
      <c r="AD70" s="90">
        <v>12</v>
      </c>
      <c r="AE70" s="90">
        <v>-3</v>
      </c>
      <c r="AF70" s="90">
        <v>8</v>
      </c>
      <c r="AG70" s="90">
        <v>12</v>
      </c>
      <c r="AH70" s="90">
        <v>1</v>
      </c>
      <c r="AI70" s="90">
        <v>9</v>
      </c>
      <c r="AJ70" s="90">
        <v>9</v>
      </c>
      <c r="AK70" s="90">
        <v>-7</v>
      </c>
      <c r="AL70" s="15">
        <f t="shared" si="54"/>
        <v>41</v>
      </c>
      <c r="AM70" s="16">
        <f t="shared" si="55"/>
        <v>5.86</v>
      </c>
      <c r="AN70" s="17">
        <f t="shared" si="68"/>
        <v>6.2</v>
      </c>
      <c r="AO70" s="18" t="s">
        <v>119</v>
      </c>
      <c r="AP70" s="19">
        <v>435</v>
      </c>
      <c r="AQ70" s="19">
        <v>3020</v>
      </c>
      <c r="AR70" s="19">
        <f t="shared" ca="1" si="51"/>
        <v>25450.166000000001</v>
      </c>
      <c r="AS70" s="19">
        <v>1150</v>
      </c>
      <c r="AT70" s="19">
        <v>893</v>
      </c>
      <c r="AU70" s="19">
        <v>1560</v>
      </c>
      <c r="AV70" s="19">
        <v>7090</v>
      </c>
      <c r="AW70" s="20">
        <f t="shared" ca="1" si="56"/>
        <v>22.130579130434782</v>
      </c>
      <c r="AX70" s="20">
        <f t="shared" ca="1" si="57"/>
        <v>16.314208974358976</v>
      </c>
      <c r="AY70" s="20">
        <f t="shared" ca="1" si="58"/>
        <v>3.5895861777150917</v>
      </c>
      <c r="AZ70" s="21">
        <v>9895</v>
      </c>
      <c r="BA70" s="22">
        <f t="shared" si="59"/>
        <v>0.12595204513399152</v>
      </c>
      <c r="BB70" s="22">
        <f t="shared" si="60"/>
        <v>0.71652349671551285</v>
      </c>
      <c r="BC70" s="23">
        <f t="shared" si="69"/>
        <v>9.0247599797877706E-2</v>
      </c>
      <c r="BD70" s="98">
        <v>1150</v>
      </c>
      <c r="BE70" s="23">
        <f t="shared" si="70"/>
        <v>0</v>
      </c>
      <c r="BF70">
        <v>1900</v>
      </c>
      <c r="BG70" s="23">
        <f t="shared" si="71"/>
        <v>0.10563340590814718</v>
      </c>
      <c r="BH70" s="24">
        <v>22</v>
      </c>
      <c r="BI70" s="24">
        <v>30</v>
      </c>
      <c r="BJ70" s="25">
        <f t="shared" ca="1" si="72"/>
        <v>1871.6269105590575</v>
      </c>
      <c r="BK70" s="25">
        <f t="shared" ca="1" si="73"/>
        <v>4483.5825814691225</v>
      </c>
      <c r="BL70" s="23">
        <f t="shared" ca="1" si="43"/>
        <v>-1.3169556271558358E-3</v>
      </c>
      <c r="BM70" s="23">
        <f t="shared" ca="1" si="44"/>
        <v>0.18934774904737917</v>
      </c>
      <c r="BN70" s="96" t="s">
        <v>677</v>
      </c>
      <c r="BO70" s="96" t="s">
        <v>546</v>
      </c>
      <c r="BP70" s="96" t="s">
        <v>122</v>
      </c>
    </row>
    <row r="71" spans="1:68" x14ac:dyDescent="0.35">
      <c r="A71" s="86" t="e" vm="68">
        <v>#VALUE!</v>
      </c>
      <c r="B71" s="10" t="str">
        <f t="array" aca="1" ref="B71" ca="1">_FV(A71,"Símbolo bursátil",TRUE())</f>
        <v>USPH</v>
      </c>
      <c r="C71" s="88" t="s">
        <v>112</v>
      </c>
      <c r="D71" s="88" t="s">
        <v>77</v>
      </c>
      <c r="E71" s="11" t="str">
        <f t="shared" ca="1" si="61"/>
        <v>XNYS</v>
      </c>
      <c r="F71" s="11" t="str">
        <f t="shared" ca="1" si="62"/>
        <v>USD</v>
      </c>
      <c r="G71" s="12">
        <f t="shared" ca="1" si="63"/>
        <v>77.66</v>
      </c>
      <c r="H71" s="13">
        <f t="shared" ca="1" si="64"/>
        <v>14.922700000000001</v>
      </c>
      <c r="I71" s="14">
        <f t="shared" ca="1" si="65"/>
        <v>1158.896882</v>
      </c>
      <c r="J71" s="90">
        <v>2</v>
      </c>
      <c r="K71" s="90">
        <v>4</v>
      </c>
      <c r="L71" s="90">
        <v>2</v>
      </c>
      <c r="M71" s="90">
        <v>-1</v>
      </c>
      <c r="N71" s="90">
        <v>-1</v>
      </c>
      <c r="O71" s="90">
        <v>0</v>
      </c>
      <c r="P71" s="90">
        <v>0</v>
      </c>
      <c r="Q71" s="90">
        <v>-1</v>
      </c>
      <c r="R71" s="15">
        <f t="shared" si="66"/>
        <v>5</v>
      </c>
      <c r="S71" s="16">
        <f t="shared" si="67"/>
        <v>3.13</v>
      </c>
      <c r="T71" s="90">
        <v>8</v>
      </c>
      <c r="U71" s="90">
        <v>8</v>
      </c>
      <c r="V71" s="90">
        <v>13</v>
      </c>
      <c r="W71" s="90">
        <v>7</v>
      </c>
      <c r="X71" s="90">
        <v>8</v>
      </c>
      <c r="Y71" s="90">
        <v>9</v>
      </c>
      <c r="Z71" s="90">
        <v>3</v>
      </c>
      <c r="AA71" s="90">
        <v>-20</v>
      </c>
      <c r="AB71" s="15">
        <f t="shared" si="52"/>
        <v>36</v>
      </c>
      <c r="AC71" s="16">
        <f t="shared" si="53"/>
        <v>3.6</v>
      </c>
      <c r="AD71" s="90">
        <v>12</v>
      </c>
      <c r="AE71" s="90">
        <v>-4</v>
      </c>
      <c r="AF71" s="90">
        <v>8</v>
      </c>
      <c r="AG71" s="90">
        <v>6</v>
      </c>
      <c r="AH71" s="90">
        <v>-3</v>
      </c>
      <c r="AI71" s="90">
        <v>4</v>
      </c>
      <c r="AJ71" s="90">
        <v>6</v>
      </c>
      <c r="AK71" s="90">
        <v>-9</v>
      </c>
      <c r="AL71" s="15">
        <f t="shared" si="54"/>
        <v>20</v>
      </c>
      <c r="AM71" s="16">
        <f t="shared" si="55"/>
        <v>2.86</v>
      </c>
      <c r="AN71" s="17">
        <f t="shared" si="68"/>
        <v>3.21</v>
      </c>
      <c r="AO71" s="18" t="s">
        <v>78</v>
      </c>
      <c r="AP71" s="19">
        <v>24.9</v>
      </c>
      <c r="AQ71" s="19">
        <v>385.8</v>
      </c>
      <c r="AR71" s="19">
        <f t="shared" ca="1" si="51"/>
        <v>1519.7968819999999</v>
      </c>
      <c r="AS71" s="19">
        <v>62</v>
      </c>
      <c r="AT71" s="19">
        <v>57</v>
      </c>
      <c r="AU71" s="19">
        <v>96</v>
      </c>
      <c r="AV71" s="19">
        <v>804.3</v>
      </c>
      <c r="AW71" s="20">
        <f t="shared" ca="1" si="56"/>
        <v>24.51285293548387</v>
      </c>
      <c r="AX71" s="20">
        <f t="shared" ca="1" si="57"/>
        <v>15.831217520833333</v>
      </c>
      <c r="AY71" s="20">
        <f t="shared" ca="1" si="58"/>
        <v>1.8895895586224045</v>
      </c>
      <c r="AZ71" s="21">
        <v>1127.5999999999999</v>
      </c>
      <c r="BA71" s="22">
        <f t="shared" si="59"/>
        <v>7.0869078701976881E-2</v>
      </c>
      <c r="BB71" s="22">
        <f t="shared" si="60"/>
        <v>0.71328485278467546</v>
      </c>
      <c r="BC71" s="23">
        <f t="shared" si="69"/>
        <v>5.054984036892516E-2</v>
      </c>
      <c r="BD71" s="98">
        <v>60</v>
      </c>
      <c r="BE71" s="23">
        <f t="shared" si="70"/>
        <v>-6.5365080443043899E-3</v>
      </c>
      <c r="BF71">
        <v>105</v>
      </c>
      <c r="BG71" s="23">
        <f t="shared" si="71"/>
        <v>0.11111630819510987</v>
      </c>
      <c r="BH71" s="24">
        <v>19</v>
      </c>
      <c r="BI71" s="24">
        <v>26</v>
      </c>
      <c r="BJ71" s="25">
        <f t="shared" ca="1" si="72"/>
        <v>52.209050640969807</v>
      </c>
      <c r="BK71" s="25">
        <f t="shared" ca="1" si="73"/>
        <v>158.75813358172448</v>
      </c>
      <c r="BL71" s="23">
        <f t="shared" ca="1" si="43"/>
        <v>-7.6345220215282117E-2</v>
      </c>
      <c r="BM71" s="23">
        <f t="shared" ca="1" si="44"/>
        <v>0.15373938858146485</v>
      </c>
      <c r="BN71" s="96" t="s">
        <v>541</v>
      </c>
      <c r="BO71" s="96" t="s">
        <v>98</v>
      </c>
      <c r="BP71" s="96" t="s">
        <v>143</v>
      </c>
    </row>
    <row r="72" spans="1:68" x14ac:dyDescent="0.35">
      <c r="A72" s="101" t="s">
        <v>837</v>
      </c>
      <c r="B72" s="102" t="s">
        <v>837</v>
      </c>
      <c r="C72" s="88" t="s">
        <v>76</v>
      </c>
      <c r="D72" s="88" t="s">
        <v>77</v>
      </c>
      <c r="E72" s="103" t="s">
        <v>838</v>
      </c>
      <c r="F72" s="103" t="s">
        <v>87</v>
      </c>
      <c r="G72" s="12">
        <v>179.8</v>
      </c>
      <c r="H72" s="13">
        <v>1150</v>
      </c>
      <c r="I72" s="14">
        <f t="shared" si="65"/>
        <v>206770</v>
      </c>
      <c r="J72" s="90">
        <v>1</v>
      </c>
      <c r="K72" s="90">
        <v>7</v>
      </c>
      <c r="L72" s="90">
        <v>2</v>
      </c>
      <c r="M72" s="90">
        <v>1</v>
      </c>
      <c r="N72" s="90">
        <v>0</v>
      </c>
      <c r="O72" s="90">
        <v>0</v>
      </c>
      <c r="P72" s="90">
        <v>0</v>
      </c>
      <c r="Q72" s="90">
        <v>0</v>
      </c>
      <c r="R72" s="15">
        <f t="shared" ref="R72" si="74">SUM(J72:N72)+SUM(P72:Q72)</f>
        <v>11</v>
      </c>
      <c r="S72" s="16">
        <f t="shared" ref="S72" si="75">ROUND(R72/16*10,2)</f>
        <v>6.88</v>
      </c>
      <c r="T72" s="90">
        <v>15</v>
      </c>
      <c r="U72" s="90">
        <v>18</v>
      </c>
      <c r="V72" s="90">
        <v>12</v>
      </c>
      <c r="W72" s="90">
        <v>10</v>
      </c>
      <c r="X72" s="90">
        <v>10</v>
      </c>
      <c r="Y72" s="90">
        <v>11</v>
      </c>
      <c r="Z72" s="90">
        <v>5</v>
      </c>
      <c r="AA72" s="90">
        <v>-9</v>
      </c>
      <c r="AB72" s="15">
        <f t="shared" si="52"/>
        <v>72</v>
      </c>
      <c r="AC72" s="16">
        <f t="shared" si="53"/>
        <v>7.2</v>
      </c>
      <c r="AD72" s="90">
        <v>14</v>
      </c>
      <c r="AE72" s="90">
        <v>-2</v>
      </c>
      <c r="AF72" s="90">
        <v>9</v>
      </c>
      <c r="AG72" s="90">
        <v>10</v>
      </c>
      <c r="AH72" s="90">
        <v>4</v>
      </c>
      <c r="AI72" s="90">
        <v>7</v>
      </c>
      <c r="AJ72" s="90">
        <v>14</v>
      </c>
      <c r="AK72" s="90">
        <v>-5</v>
      </c>
      <c r="AL72" s="15">
        <f t="shared" si="54"/>
        <v>51</v>
      </c>
      <c r="AM72" s="16">
        <f t="shared" si="55"/>
        <v>7.29</v>
      </c>
      <c r="AN72" s="17">
        <f t="shared" ref="AN72" si="76">ROUND(S72*0.2+AC72*0.4+AM72*0.4,2)</f>
        <v>7.17</v>
      </c>
      <c r="AO72" s="18" t="s">
        <v>87</v>
      </c>
      <c r="AP72" s="19">
        <v>11630</v>
      </c>
      <c r="AQ72" s="19">
        <v>9940</v>
      </c>
      <c r="AR72" s="19">
        <f t="shared" ref="AR72" si="77">I72-AP72+AQ72</f>
        <v>205080</v>
      </c>
      <c r="AS72" s="19">
        <v>8730</v>
      </c>
      <c r="AT72" s="19">
        <v>7892</v>
      </c>
      <c r="AU72" s="19">
        <v>11760</v>
      </c>
      <c r="AV72" s="19">
        <v>38190</v>
      </c>
      <c r="AW72" s="20">
        <f t="shared" si="56"/>
        <v>23.491408934707902</v>
      </c>
      <c r="AX72" s="20">
        <f t="shared" si="57"/>
        <v>17.438775510204081</v>
      </c>
      <c r="AY72" s="20">
        <f t="shared" si="58"/>
        <v>5.3699921445404559</v>
      </c>
      <c r="AZ72" s="21">
        <v>55875</v>
      </c>
      <c r="BA72" s="22">
        <f t="shared" si="59"/>
        <v>0.20665095574757791</v>
      </c>
      <c r="BB72" s="22">
        <f t="shared" si="60"/>
        <v>0.68348993288590609</v>
      </c>
      <c r="BC72" s="23">
        <f t="shared" si="69"/>
        <v>0.14124384787472039</v>
      </c>
      <c r="BD72" s="98">
        <v>9600</v>
      </c>
      <c r="BE72" s="23">
        <f t="shared" si="70"/>
        <v>1.9181185628215358E-2</v>
      </c>
      <c r="BF72">
        <v>15400</v>
      </c>
      <c r="BG72" s="23">
        <f t="shared" si="71"/>
        <v>0.12021477230924793</v>
      </c>
      <c r="BH72" s="24">
        <v>16</v>
      </c>
      <c r="BI72" s="24">
        <v>24</v>
      </c>
      <c r="BJ72" s="25">
        <f t="shared" si="72"/>
        <v>135.03478260869565</v>
      </c>
      <c r="BK72" s="25">
        <f t="shared" si="73"/>
        <v>322.8608695652174</v>
      </c>
      <c r="BL72" s="23">
        <f t="shared" ref="BL72" si="78">IF($BJ72&lt;=0,-0.99,MAX(-0.99,($BJ72/G72)^(1/5)-1))</f>
        <v>-5.5653897065689351E-2</v>
      </c>
      <c r="BM72" s="23">
        <f t="shared" ref="BM72" si="79">IF(BK72&lt;=0,-0.99,MAX(-0.99,(BK72/G72)^(1/5)-1))</f>
        <v>0.12420404849404876</v>
      </c>
      <c r="BN72" s="96" t="s">
        <v>836</v>
      </c>
      <c r="BO72" s="96" t="s">
        <v>132</v>
      </c>
      <c r="BP72" s="96" t="s">
        <v>841</v>
      </c>
    </row>
    <row r="73" spans="1:68" x14ac:dyDescent="0.35">
      <c r="A73" s="101" t="s">
        <v>839</v>
      </c>
      <c r="B73" s="102" t="s">
        <v>839</v>
      </c>
      <c r="C73" s="88" t="s">
        <v>152</v>
      </c>
      <c r="D73" s="88" t="s">
        <v>77</v>
      </c>
      <c r="E73" s="103" t="s">
        <v>840</v>
      </c>
      <c r="F73" s="103" t="s">
        <v>78</v>
      </c>
      <c r="G73" s="12">
        <v>82.91</v>
      </c>
      <c r="H73" s="13">
        <v>667.2</v>
      </c>
      <c r="I73" s="14">
        <f>G73*H73</f>
        <v>55317.552000000003</v>
      </c>
      <c r="J73" s="90">
        <v>1</v>
      </c>
      <c r="K73" s="90">
        <v>6</v>
      </c>
      <c r="L73" s="90">
        <v>1</v>
      </c>
      <c r="M73" s="90">
        <v>0</v>
      </c>
      <c r="N73" s="90">
        <v>-1</v>
      </c>
      <c r="O73" s="90">
        <v>0</v>
      </c>
      <c r="P73" s="90">
        <v>0</v>
      </c>
      <c r="Q73" s="90">
        <v>0</v>
      </c>
      <c r="R73" s="15">
        <f t="shared" ref="R73" si="80">SUM(J73:N73)+SUM(P73:Q73)</f>
        <v>7</v>
      </c>
      <c r="S73" s="16">
        <f t="shared" ref="S73" si="81">ROUND(R73/16*10,2)</f>
        <v>4.38</v>
      </c>
      <c r="T73" s="90">
        <v>11</v>
      </c>
      <c r="U73" s="90">
        <v>15</v>
      </c>
      <c r="V73" s="90">
        <v>11</v>
      </c>
      <c r="W73" s="90">
        <v>9</v>
      </c>
      <c r="X73" s="90">
        <v>10</v>
      </c>
      <c r="Y73" s="90">
        <v>9</v>
      </c>
      <c r="Z73" s="90">
        <v>5</v>
      </c>
      <c r="AA73" s="90">
        <v>-11</v>
      </c>
      <c r="AB73" s="15">
        <f t="shared" ref="AB73" si="82">SUM(T73:AA73)</f>
        <v>59</v>
      </c>
      <c r="AC73" s="16">
        <f t="shared" si="53"/>
        <v>5.9</v>
      </c>
      <c r="AD73" s="90">
        <v>14</v>
      </c>
      <c r="AE73" s="90">
        <v>-1</v>
      </c>
      <c r="AF73" s="90">
        <v>6</v>
      </c>
      <c r="AG73" s="90">
        <v>9</v>
      </c>
      <c r="AH73" s="90">
        <v>3</v>
      </c>
      <c r="AI73" s="90">
        <v>6</v>
      </c>
      <c r="AJ73" s="90">
        <v>12</v>
      </c>
      <c r="AK73" s="90">
        <v>-4</v>
      </c>
      <c r="AL73" s="15">
        <f t="shared" ref="AL73" si="83">SUM(AD73:AK73)</f>
        <v>45</v>
      </c>
      <c r="AM73" s="16">
        <f t="shared" si="55"/>
        <v>6.43</v>
      </c>
      <c r="AN73" s="17">
        <f t="shared" ref="AN73" si="84">ROUND(S73*0.2+AC73*0.4+AM73*0.4,2)</f>
        <v>5.81</v>
      </c>
      <c r="AO73" s="18" t="s">
        <v>78</v>
      </c>
      <c r="AP73" s="19">
        <v>2370</v>
      </c>
      <c r="AQ73" s="19">
        <v>4880</v>
      </c>
      <c r="AR73" s="19">
        <f t="shared" ref="AR73" si="85">I73-AP73+AQ73</f>
        <v>57827.552000000003</v>
      </c>
      <c r="AS73" s="19">
        <v>2200</v>
      </c>
      <c r="AT73" s="19">
        <v>2100</v>
      </c>
      <c r="AU73" s="19">
        <v>4280</v>
      </c>
      <c r="AV73" s="19">
        <v>17810</v>
      </c>
      <c r="AW73" s="20">
        <f t="shared" ref="AW73" si="86">AR73/AS73</f>
        <v>26.285250909090912</v>
      </c>
      <c r="AX73" s="20">
        <f t="shared" ref="AX73" si="87">AR73/AU73</f>
        <v>13.511110280373833</v>
      </c>
      <c r="AY73" s="20">
        <f t="shared" ref="AY73" si="88">AR73/AV73</f>
        <v>3.2469147669848404</v>
      </c>
      <c r="AZ73" s="21">
        <v>30853</v>
      </c>
      <c r="BA73" s="22">
        <f t="shared" ref="BA73" si="89">AT73/AV73</f>
        <v>0.11791128579449747</v>
      </c>
      <c r="BB73" s="22">
        <f t="shared" ref="BB73" si="90">AV73/AZ73</f>
        <v>0.57725342754351283</v>
      </c>
      <c r="BC73" s="23">
        <f t="shared" si="69"/>
        <v>6.8064693870936374E-2</v>
      </c>
      <c r="BD73" s="98">
        <v>2200</v>
      </c>
      <c r="BE73" s="23">
        <f t="shared" si="70"/>
        <v>0</v>
      </c>
      <c r="BF73">
        <v>3543</v>
      </c>
      <c r="BG73" s="23">
        <f t="shared" si="71"/>
        <v>9.9992424655521495E-2</v>
      </c>
      <c r="BH73" s="24">
        <v>14</v>
      </c>
      <c r="BI73" s="24">
        <v>22</v>
      </c>
      <c r="BJ73" s="25">
        <f t="shared" si="72"/>
        <v>42.401079136690647</v>
      </c>
      <c r="BK73" s="25">
        <f t="shared" si="73"/>
        <v>113.06354916067146</v>
      </c>
      <c r="BL73" s="23">
        <f t="shared" ref="BL73" si="91">IF($BJ73&lt;=0,-0.99,MAX(-0.99,($BJ73/G73)^(1/5)-1))</f>
        <v>-0.12551170882242646</v>
      </c>
      <c r="BM73" s="23">
        <f t="shared" ref="BM73" si="92">IF(BK73&lt;=0,-0.99,MAX(-0.99,(BK73/G73)^(1/5)-1))</f>
        <v>6.4003703973950499E-2</v>
      </c>
      <c r="BN73" s="96" t="s">
        <v>836</v>
      </c>
      <c r="BO73" s="96" t="s">
        <v>98</v>
      </c>
      <c r="BP73" s="96" t="s">
        <v>166</v>
      </c>
    </row>
  </sheetData>
  <mergeCells count="9">
    <mergeCell ref="BN2:BP2"/>
    <mergeCell ref="T2:AC2"/>
    <mergeCell ref="J2:S2"/>
    <mergeCell ref="AN2:AN3"/>
    <mergeCell ref="A1:AW1"/>
    <mergeCell ref="AD2:AM2"/>
    <mergeCell ref="BJ2:BM2"/>
    <mergeCell ref="A2:I2"/>
    <mergeCell ref="AO2:BF2"/>
  </mergeCells>
  <pageMargins left="0.75" right="0.75" top="1" bottom="1" header="0.511811023622047" footer="0.511811023622047"/>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zoomScaleNormal="100" workbookViewId="0">
      <selection activeCell="E16" sqref="E16"/>
    </sheetView>
  </sheetViews>
  <sheetFormatPr baseColWidth="10" defaultColWidth="8.54296875" defaultRowHeight="14.5" x14ac:dyDescent="0.35"/>
  <cols>
    <col min="1" max="1" width="110" customWidth="1"/>
    <col min="4" max="4" width="11.81640625" customWidth="1"/>
    <col min="5" max="5" width="9.54296875" customWidth="1"/>
  </cols>
  <sheetData>
    <row r="1" spans="1:6" ht="24" customHeight="1" x14ac:dyDescent="0.35">
      <c r="A1" s="109" t="s">
        <v>171</v>
      </c>
      <c r="B1" s="105"/>
      <c r="C1" s="105"/>
      <c r="D1" s="105"/>
      <c r="E1" s="105"/>
      <c r="F1" s="105"/>
    </row>
    <row r="3" spans="1:6" ht="15" customHeight="1" x14ac:dyDescent="0.35">
      <c r="A3" s="27" t="s">
        <v>172</v>
      </c>
    </row>
    <row r="4" spans="1:6" ht="15" customHeight="1" x14ac:dyDescent="0.35">
      <c r="A4" s="28" t="s">
        <v>173</v>
      </c>
      <c r="D4" t="e" vm="69">
        <v>#VALUE!</v>
      </c>
      <c r="E4" s="29">
        <f t="array" aca="1" ref="E4" ca="1">_FV(D4,"Precio")</f>
        <v>185.72</v>
      </c>
    </row>
    <row r="5" spans="1:6" ht="15" customHeight="1" x14ac:dyDescent="0.35">
      <c r="A5" s="28" t="s">
        <v>174</v>
      </c>
      <c r="D5" t="e" vm="70">
        <v>#VALUE!</v>
      </c>
      <c r="E5" s="30">
        <f t="array" aca="1" ref="E5" ca="1">_FV(D5,"Precio")</f>
        <v>1.2475000000000001</v>
      </c>
    </row>
    <row r="6" spans="1:6" ht="15" customHeight="1" x14ac:dyDescent="0.35">
      <c r="A6" s="28" t="s">
        <v>175</v>
      </c>
      <c r="D6" t="e" vm="71">
        <v>#VALUE!</v>
      </c>
      <c r="E6" s="31">
        <f t="array" aca="1" ref="E6" ca="1">_FV(D6,"Precio")</f>
        <v>457.81</v>
      </c>
    </row>
    <row r="7" spans="1:6" ht="15" customHeight="1" x14ac:dyDescent="0.35">
      <c r="D7" t="e" vm="72">
        <v>#VALUE!</v>
      </c>
      <c r="E7" s="30">
        <f t="array" aca="1" ref="E7" ca="1">_FV(D7,"Precio")</f>
        <v>0.72299999999999998</v>
      </c>
    </row>
    <row r="8" spans="1:6" ht="15" customHeight="1" x14ac:dyDescent="0.35">
      <c r="A8" s="27" t="s">
        <v>592</v>
      </c>
      <c r="D8" t="e" vm="73">
        <v>#VALUE!</v>
      </c>
      <c r="E8" s="87">
        <f t="array" aca="1" ref="E8" ca="1">_FV(D8,"Precio")</f>
        <v>0.85650000000000004</v>
      </c>
    </row>
    <row r="9" spans="1:6" ht="15" customHeight="1" x14ac:dyDescent="0.35">
      <c r="A9" s="28" t="s">
        <v>176</v>
      </c>
      <c r="C9" t="s">
        <v>600</v>
      </c>
      <c r="E9">
        <v>1.3641000000000001</v>
      </c>
    </row>
    <row r="10" spans="1:6" ht="15" customHeight="1" x14ac:dyDescent="0.35">
      <c r="A10" s="28" t="s">
        <v>177</v>
      </c>
    </row>
    <row r="11" spans="1:6" ht="15" customHeight="1" x14ac:dyDescent="0.35">
      <c r="A11" s="28" t="s">
        <v>178</v>
      </c>
    </row>
    <row r="12" spans="1:6" ht="15" customHeight="1" x14ac:dyDescent="0.35">
      <c r="A12" s="28" t="s">
        <v>179</v>
      </c>
    </row>
    <row r="13" spans="1:6" ht="15" customHeight="1" x14ac:dyDescent="0.35">
      <c r="A13" s="28" t="s">
        <v>180</v>
      </c>
    </row>
    <row r="14" spans="1:6" ht="15" customHeight="1" x14ac:dyDescent="0.35">
      <c r="A14" s="28" t="s">
        <v>593</v>
      </c>
    </row>
    <row r="15" spans="1:6" ht="15" customHeight="1" x14ac:dyDescent="0.35">
      <c r="A15" s="28" t="s">
        <v>181</v>
      </c>
    </row>
    <row r="16" spans="1:6" ht="15" customHeight="1" x14ac:dyDescent="0.35">
      <c r="A16" s="28" t="s">
        <v>182</v>
      </c>
    </row>
    <row r="18" spans="1:1" ht="15" customHeight="1" x14ac:dyDescent="0.35">
      <c r="A18" s="27" t="s">
        <v>183</v>
      </c>
    </row>
    <row r="19" spans="1:1" ht="15" customHeight="1" x14ac:dyDescent="0.35">
      <c r="A19" s="28" t="s">
        <v>184</v>
      </c>
    </row>
    <row r="20" spans="1:1" ht="15" customHeight="1" x14ac:dyDescent="0.35">
      <c r="A20" s="28" t="s">
        <v>185</v>
      </c>
    </row>
    <row r="21" spans="1:1" ht="15" customHeight="1" x14ac:dyDescent="0.35">
      <c r="A21" s="28" t="s">
        <v>186</v>
      </c>
    </row>
    <row r="22" spans="1:1" ht="15" customHeight="1" x14ac:dyDescent="0.35">
      <c r="A22" s="28" t="s">
        <v>187</v>
      </c>
    </row>
    <row r="23" spans="1:1" ht="15" customHeight="1" x14ac:dyDescent="0.35">
      <c r="A23" s="28" t="s">
        <v>188</v>
      </c>
    </row>
    <row r="24" spans="1:1" ht="15" customHeight="1" x14ac:dyDescent="0.35">
      <c r="A24" s="28" t="s">
        <v>189</v>
      </c>
    </row>
    <row r="25" spans="1:1" ht="15" customHeight="1" x14ac:dyDescent="0.35">
      <c r="A25" s="28" t="s">
        <v>190</v>
      </c>
    </row>
    <row r="26" spans="1:1" ht="15" customHeight="1" x14ac:dyDescent="0.35">
      <c r="A26" s="28" t="s">
        <v>191</v>
      </c>
    </row>
    <row r="28" spans="1:1" ht="15" customHeight="1" x14ac:dyDescent="0.35">
      <c r="A28" s="27" t="s">
        <v>192</v>
      </c>
    </row>
    <row r="29" spans="1:1" ht="15" customHeight="1" x14ac:dyDescent="0.35">
      <c r="A29" s="28" t="s">
        <v>193</v>
      </c>
    </row>
    <row r="30" spans="1:1" ht="15" customHeight="1" x14ac:dyDescent="0.35">
      <c r="A30" s="28" t="s">
        <v>194</v>
      </c>
    </row>
    <row r="31" spans="1:1" ht="15" customHeight="1" x14ac:dyDescent="0.35">
      <c r="A31" s="28" t="s">
        <v>195</v>
      </c>
    </row>
    <row r="32" spans="1:1" ht="15" customHeight="1" x14ac:dyDescent="0.35">
      <c r="A32" s="28" t="s">
        <v>196</v>
      </c>
    </row>
    <row r="33" spans="1:1" ht="15" customHeight="1" x14ac:dyDescent="0.35">
      <c r="A33" s="28" t="s">
        <v>197</v>
      </c>
    </row>
    <row r="34" spans="1:1" ht="15" customHeight="1" x14ac:dyDescent="0.35">
      <c r="A34" s="28" t="s">
        <v>198</v>
      </c>
    </row>
    <row r="35" spans="1:1" ht="15" customHeight="1" x14ac:dyDescent="0.35">
      <c r="A35" s="28" t="s">
        <v>199</v>
      </c>
    </row>
    <row r="36" spans="1:1" ht="15" customHeight="1" x14ac:dyDescent="0.35">
      <c r="A36" s="28" t="s">
        <v>200</v>
      </c>
    </row>
    <row r="38" spans="1:1" ht="15" customHeight="1" x14ac:dyDescent="0.35">
      <c r="A38" s="27" t="s">
        <v>201</v>
      </c>
    </row>
    <row r="39" spans="1:1" ht="15" customHeight="1" x14ac:dyDescent="0.35">
      <c r="A39" s="28" t="s">
        <v>594</v>
      </c>
    </row>
    <row r="40" spans="1:1" ht="15" customHeight="1" x14ac:dyDescent="0.35">
      <c r="A40" s="28" t="s">
        <v>595</v>
      </c>
    </row>
    <row r="41" spans="1:1" x14ac:dyDescent="0.35">
      <c r="A41" t="s">
        <v>596</v>
      </c>
    </row>
    <row r="42" spans="1:1" ht="15" customHeight="1" x14ac:dyDescent="0.35">
      <c r="A42" s="27" t="s">
        <v>202</v>
      </c>
    </row>
    <row r="43" spans="1:1" ht="15" customHeight="1" x14ac:dyDescent="0.35">
      <c r="A43" s="28" t="s">
        <v>203</v>
      </c>
    </row>
    <row r="44" spans="1:1" ht="15" customHeight="1" x14ac:dyDescent="0.35">
      <c r="A44" s="28" t="s">
        <v>204</v>
      </c>
    </row>
    <row r="45" spans="1:1" ht="15" customHeight="1" x14ac:dyDescent="0.35">
      <c r="A45" s="28" t="s">
        <v>205</v>
      </c>
    </row>
    <row r="46" spans="1:1" ht="15" customHeight="1" x14ac:dyDescent="0.35">
      <c r="A46" s="28" t="s">
        <v>206</v>
      </c>
    </row>
    <row r="47" spans="1:1" ht="15" customHeight="1" x14ac:dyDescent="0.35">
      <c r="A47" s="28" t="s">
        <v>207</v>
      </c>
    </row>
    <row r="49" spans="1:1" ht="15" customHeight="1" x14ac:dyDescent="0.35">
      <c r="A49" s="27"/>
    </row>
    <row r="50" spans="1:1" ht="15" customHeight="1" x14ac:dyDescent="0.35">
      <c r="A50" s="28" t="s">
        <v>630</v>
      </c>
    </row>
    <row r="51" spans="1:1" ht="15" customHeight="1" x14ac:dyDescent="0.35">
      <c r="A51" s="28" t="s">
        <v>631</v>
      </c>
    </row>
    <row r="52" spans="1:1" ht="15" customHeight="1" x14ac:dyDescent="0.35">
      <c r="A52" s="28" t="s">
        <v>632</v>
      </c>
    </row>
    <row r="53" spans="1:1" x14ac:dyDescent="0.35">
      <c r="A53" t="s">
        <v>633</v>
      </c>
    </row>
    <row r="54" spans="1:1" x14ac:dyDescent="0.35">
      <c r="A54" t="s">
        <v>634</v>
      </c>
    </row>
    <row r="55" spans="1:1" x14ac:dyDescent="0.35">
      <c r="A55" t="s">
        <v>635</v>
      </c>
    </row>
    <row r="56" spans="1:1" x14ac:dyDescent="0.35">
      <c r="A56" t="s">
        <v>636</v>
      </c>
    </row>
    <row r="57" spans="1:1" x14ac:dyDescent="0.35">
      <c r="A57" t="s">
        <v>637</v>
      </c>
    </row>
    <row r="58" spans="1:1" x14ac:dyDescent="0.35">
      <c r="A58" t="s">
        <v>797</v>
      </c>
    </row>
    <row r="59" spans="1:1" x14ac:dyDescent="0.35">
      <c r="A59" t="s">
        <v>798</v>
      </c>
    </row>
    <row r="62" spans="1:1" x14ac:dyDescent="0.35">
      <c r="A62" t="s">
        <v>652</v>
      </c>
    </row>
    <row r="63" spans="1:1" x14ac:dyDescent="0.35">
      <c r="A63" t="s">
        <v>653</v>
      </c>
    </row>
    <row r="64" spans="1:1" x14ac:dyDescent="0.35">
      <c r="A64" t="s">
        <v>654</v>
      </c>
    </row>
    <row r="65" spans="1:1" x14ac:dyDescent="0.35">
      <c r="A65" t="s">
        <v>655</v>
      </c>
    </row>
    <row r="66" spans="1:1" x14ac:dyDescent="0.35">
      <c r="A66" t="s">
        <v>656</v>
      </c>
    </row>
    <row r="67" spans="1:1" x14ac:dyDescent="0.35">
      <c r="A67" t="s">
        <v>657</v>
      </c>
    </row>
    <row r="68" spans="1:1" x14ac:dyDescent="0.35">
      <c r="A68" t="s">
        <v>658</v>
      </c>
    </row>
    <row r="69" spans="1:1" x14ac:dyDescent="0.35">
      <c r="A69" t="s">
        <v>659</v>
      </c>
    </row>
    <row r="70" spans="1:1" x14ac:dyDescent="0.35">
      <c r="A70" t="s">
        <v>660</v>
      </c>
    </row>
    <row r="71" spans="1:1" x14ac:dyDescent="0.35">
      <c r="A71" t="s">
        <v>661</v>
      </c>
    </row>
    <row r="72" spans="1:1" x14ac:dyDescent="0.35">
      <c r="A72" t="s">
        <v>776</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38" activePane="bottomLeft" state="frozen"/>
      <selection pane="bottomLeft" activeCell="C9" sqref="C9"/>
    </sheetView>
  </sheetViews>
  <sheetFormatPr baseColWidth="10" defaultColWidth="10.7265625" defaultRowHeight="14.5" x14ac:dyDescent="0.35"/>
  <cols>
    <col min="1" max="14" width="13.26953125" customWidth="1"/>
    <col min="15" max="16" width="10.7265625" customWidth="1"/>
    <col min="17" max="17" width="16" customWidth="1"/>
    <col min="18" max="29" width="13.26953125" hidden="1" customWidth="1"/>
    <col min="30" max="30" width="2.81640625" customWidth="1"/>
    <col min="31" max="31" width="4.7265625" hidden="1" customWidth="1"/>
    <col min="32" max="32" width="13.26953125" hidden="1" customWidth="1"/>
    <col min="33" max="33" width="10.453125" customWidth="1"/>
    <col min="34" max="43" width="0.1796875" customWidth="1"/>
  </cols>
  <sheetData>
    <row r="1" spans="1:47" ht="45" customHeight="1" x14ac:dyDescent="0.6">
      <c r="A1" s="172" t="s">
        <v>208</v>
      </c>
      <c r="B1" s="105"/>
      <c r="C1" s="105"/>
      <c r="D1" s="105"/>
      <c r="E1" s="105"/>
      <c r="F1" s="105"/>
      <c r="G1" s="105"/>
      <c r="H1" s="105"/>
      <c r="I1" s="105"/>
      <c r="J1" s="105"/>
      <c r="K1" s="105"/>
      <c r="L1" s="105"/>
      <c r="M1" s="32"/>
      <c r="N1" s="32"/>
      <c r="O1" s="32"/>
      <c r="P1" s="32"/>
      <c r="Q1" s="32"/>
      <c r="R1" s="32"/>
    </row>
    <row r="2" spans="1:47" ht="24.75" customHeight="1" x14ac:dyDescent="0.35">
      <c r="A2" s="160" t="s">
        <v>209</v>
      </c>
      <c r="B2" s="161"/>
      <c r="C2" s="161"/>
      <c r="D2" s="161"/>
      <c r="E2" s="161"/>
      <c r="F2" s="161"/>
      <c r="G2" s="161"/>
      <c r="H2" s="161"/>
      <c r="I2" s="161"/>
      <c r="J2" s="161"/>
      <c r="K2" s="161"/>
      <c r="L2" s="161"/>
    </row>
    <row r="3" spans="1:47" ht="24.75" customHeight="1" x14ac:dyDescent="0.35">
      <c r="A3" s="165" t="s">
        <v>210</v>
      </c>
      <c r="B3" s="133"/>
      <c r="C3" s="132" t="s">
        <v>211</v>
      </c>
      <c r="D3" s="133"/>
      <c r="E3" s="134" t="s">
        <v>212</v>
      </c>
      <c r="F3" s="133"/>
      <c r="G3" s="180" t="s">
        <v>213</v>
      </c>
      <c r="H3" s="133"/>
      <c r="I3" s="181" t="s">
        <v>214</v>
      </c>
      <c r="J3" s="133"/>
      <c r="K3" s="144" t="s">
        <v>215</v>
      </c>
      <c r="L3" s="145"/>
    </row>
    <row r="4" spans="1:47" ht="49.5" customHeight="1" x14ac:dyDescent="0.35">
      <c r="A4" s="169">
        <f ca="1">COUNTA('Watchlist Ratings'!B4:B71)</f>
        <v>68</v>
      </c>
      <c r="B4" s="139"/>
      <c r="C4" s="140">
        <f>ROUND(AVERAGE('Watchlist Ratings'!AN4:AN71),2)</f>
        <v>5.98</v>
      </c>
      <c r="D4" s="139"/>
      <c r="E4" s="141" t="str">
        <f>TEXT(AVERAGE('Watchlist Ratings'!BC4:BC71),"0.0%")</f>
        <v>15.5%</v>
      </c>
      <c r="F4" s="139"/>
      <c r="G4" s="141" t="str">
        <f ca="1">TEXT(AVERAGE('Watchlist Ratings'!AW4:AW71),"0.0x")</f>
        <v>34.4x</v>
      </c>
      <c r="H4" s="139"/>
      <c r="I4" s="141">
        <f ca="1">COUNTIF('Watchlist Ratings'!BM4:BM71,"&gt;0")</f>
        <v>62</v>
      </c>
      <c r="J4" s="139"/>
      <c r="K4" s="173">
        <f>COUNTIF('Watchlist Ratings'!AN4:AN71,"&gt;7.5")</f>
        <v>16</v>
      </c>
      <c r="L4" s="147"/>
    </row>
    <row r="5" spans="1:47" ht="19.5" customHeight="1" x14ac:dyDescent="0.35">
      <c r="A5" s="167" t="s">
        <v>216</v>
      </c>
      <c r="B5" s="139"/>
      <c r="C5" s="138" t="s">
        <v>217</v>
      </c>
      <c r="D5" s="139"/>
      <c r="E5" s="138" t="s">
        <v>218</v>
      </c>
      <c r="F5" s="139"/>
      <c r="G5" s="138" t="s">
        <v>219</v>
      </c>
      <c r="H5" s="139"/>
      <c r="I5" s="138" t="s">
        <v>220</v>
      </c>
      <c r="J5" s="139"/>
      <c r="K5" s="146" t="s">
        <v>221</v>
      </c>
      <c r="L5" s="147"/>
    </row>
    <row r="6" spans="1:47" ht="18" customHeight="1" x14ac:dyDescent="0.35">
      <c r="A6" s="177" t="s">
        <v>222</v>
      </c>
      <c r="B6" s="137"/>
      <c r="C6" s="136" t="s">
        <v>223</v>
      </c>
      <c r="D6" s="137"/>
      <c r="E6" s="136" t="s">
        <v>224</v>
      </c>
      <c r="F6" s="137"/>
      <c r="G6" s="179" t="s">
        <v>225</v>
      </c>
      <c r="H6" s="137"/>
      <c r="I6" s="136" t="s">
        <v>226</v>
      </c>
      <c r="J6" s="137"/>
      <c r="K6" s="142" t="s">
        <v>227</v>
      </c>
      <c r="L6" s="143"/>
      <c r="O6" t="s">
        <v>228</v>
      </c>
      <c r="S6" t="s">
        <v>229</v>
      </c>
      <c r="V6" t="s">
        <v>230</v>
      </c>
      <c r="Y6" t="s">
        <v>231</v>
      </c>
      <c r="AA6" t="s">
        <v>232</v>
      </c>
      <c r="AE6" t="s">
        <v>233</v>
      </c>
      <c r="AF6" t="s">
        <v>234</v>
      </c>
      <c r="AH6" t="s">
        <v>233</v>
      </c>
      <c r="AI6" t="s">
        <v>234</v>
      </c>
      <c r="AJ6" t="s">
        <v>233</v>
      </c>
      <c r="AK6" t="s">
        <v>235</v>
      </c>
      <c r="AL6" t="s">
        <v>236</v>
      </c>
      <c r="AM6" t="s">
        <v>233</v>
      </c>
      <c r="AN6" t="s">
        <v>237</v>
      </c>
      <c r="AO6" t="s">
        <v>233</v>
      </c>
      <c r="AP6" t="s">
        <v>238</v>
      </c>
      <c r="AQ6" t="s">
        <v>239</v>
      </c>
      <c r="AS6" t="s">
        <v>233</v>
      </c>
      <c r="AT6" t="s">
        <v>237</v>
      </c>
      <c r="AU6" t="s">
        <v>239</v>
      </c>
    </row>
    <row r="7" spans="1:47" ht="15.75" customHeight="1" x14ac:dyDescent="0.35">
      <c r="A7" s="33" t="s">
        <v>240</v>
      </c>
      <c r="B7" s="34" t="s">
        <v>233</v>
      </c>
      <c r="C7" s="34" t="s">
        <v>241</v>
      </c>
      <c r="D7" s="34" t="s">
        <v>242</v>
      </c>
      <c r="E7" s="34" t="s">
        <v>243</v>
      </c>
      <c r="F7" s="34" t="s">
        <v>244</v>
      </c>
      <c r="G7" s="34" t="s">
        <v>235</v>
      </c>
      <c r="H7" s="34" t="s">
        <v>245</v>
      </c>
      <c r="I7" s="34" t="s">
        <v>62</v>
      </c>
      <c r="J7" s="35" t="s">
        <v>237</v>
      </c>
      <c r="K7" s="36"/>
      <c r="O7" t="s">
        <v>233</v>
      </c>
      <c r="P7" t="s">
        <v>244</v>
      </c>
      <c r="Q7" t="s">
        <v>246</v>
      </c>
      <c r="S7" t="s">
        <v>233</v>
      </c>
      <c r="T7" t="s">
        <v>62</v>
      </c>
      <c r="V7" t="s">
        <v>233</v>
      </c>
      <c r="W7" t="s">
        <v>235</v>
      </c>
      <c r="X7" t="s">
        <v>236</v>
      </c>
      <c r="Y7" t="s">
        <v>233</v>
      </c>
      <c r="Z7" t="s">
        <v>237</v>
      </c>
      <c r="AA7" t="s">
        <v>233</v>
      </c>
      <c r="AB7" t="s">
        <v>247</v>
      </c>
      <c r="AC7" t="s">
        <v>246</v>
      </c>
      <c r="AE7" t="s">
        <v>248</v>
      </c>
      <c r="AF7">
        <v>83.3333333333333</v>
      </c>
      <c r="AH7" t="s">
        <v>248</v>
      </c>
      <c r="AI7">
        <v>83.3</v>
      </c>
      <c r="AJ7" t="s">
        <v>249</v>
      </c>
      <c r="AK7">
        <v>8</v>
      </c>
      <c r="AL7">
        <v>3</v>
      </c>
      <c r="AM7" t="s">
        <v>250</v>
      </c>
      <c r="AN7">
        <v>52.2</v>
      </c>
      <c r="AO7" t="s">
        <v>249</v>
      </c>
      <c r="AP7">
        <v>4.5</v>
      </c>
      <c r="AQ7">
        <v>33.6</v>
      </c>
      <c r="AS7" t="s">
        <v>249</v>
      </c>
      <c r="AT7">
        <v>20.173600073636401</v>
      </c>
      <c r="AU7">
        <v>33.701681153345</v>
      </c>
    </row>
    <row r="8" spans="1:47" ht="30" customHeight="1" x14ac:dyDescent="0.35">
      <c r="A8" s="178" t="s">
        <v>251</v>
      </c>
      <c r="B8" s="105"/>
      <c r="C8" s="105"/>
      <c r="D8" s="105"/>
      <c r="E8" s="105"/>
      <c r="F8" s="105"/>
      <c r="G8" s="105"/>
      <c r="H8" s="105"/>
      <c r="I8" s="105"/>
      <c r="J8" s="105"/>
      <c r="K8" s="105"/>
      <c r="L8" s="105"/>
      <c r="O8" t="str">
        <f ca="1">'Watchlist Ratings'!B4</f>
        <v>VEEV</v>
      </c>
      <c r="P8" s="37">
        <f>'Watchlist Ratings'!AN4</f>
        <v>8.33</v>
      </c>
      <c r="Q8" s="23">
        <f ca="1">'Watchlist Ratings'!BM4</f>
        <v>0.21535056770391781</v>
      </c>
      <c r="S8" t="str">
        <f ca="1">'Watchlist Ratings'!B4</f>
        <v>VEEV</v>
      </c>
      <c r="T8" s="23">
        <f>'Watchlist Ratings'!BC4</f>
        <v>0.54</v>
      </c>
      <c r="V8" t="str">
        <f ca="1">'Watchlist Ratings'!B4</f>
        <v>VEEV</v>
      </c>
      <c r="W8" s="38">
        <f>'Watchlist Ratings'!K4</f>
        <v>8</v>
      </c>
      <c r="X8" s="38">
        <f>'Watchlist Ratings'!L4</f>
        <v>2</v>
      </c>
      <c r="Y8" t="str">
        <f ca="1">'Watchlist Ratings'!B4</f>
        <v>VEEV</v>
      </c>
      <c r="Z8">
        <f ca="1">'Watchlist Ratings'!AW4</f>
        <v>19.94356157012195</v>
      </c>
      <c r="AA8" t="str">
        <f ca="1">'Watchlist Ratings'!B4</f>
        <v>VEEV</v>
      </c>
      <c r="AB8">
        <f ca="1">'Watchlist Ratings'!BL4</f>
        <v>-3.0691628302968677E-2</v>
      </c>
      <c r="AC8">
        <f ca="1">'Watchlist Ratings'!BM4</f>
        <v>0.21535056770391781</v>
      </c>
      <c r="AE8" t="s">
        <v>252</v>
      </c>
      <c r="AF8">
        <v>83.3333333333333</v>
      </c>
      <c r="AH8" t="s">
        <v>252</v>
      </c>
      <c r="AI8">
        <v>83.3</v>
      </c>
      <c r="AJ8" t="s">
        <v>253</v>
      </c>
      <c r="AK8">
        <v>8</v>
      </c>
      <c r="AL8">
        <v>3</v>
      </c>
      <c r="AM8" t="s">
        <v>254</v>
      </c>
      <c r="AN8">
        <v>51.1</v>
      </c>
      <c r="AO8" t="s">
        <v>255</v>
      </c>
      <c r="AP8">
        <v>3.7</v>
      </c>
      <c r="AQ8">
        <v>32.4</v>
      </c>
      <c r="AS8" t="s">
        <v>253</v>
      </c>
      <c r="AT8">
        <v>44.5724369425714</v>
      </c>
      <c r="AU8">
        <v>10.123218193895701</v>
      </c>
    </row>
    <row r="9" spans="1:47" ht="15" customHeight="1" x14ac:dyDescent="0.35">
      <c r="A9" s="39">
        <v>2</v>
      </c>
      <c r="B9" s="40" t="str">
        <f ca="1">'Watchlist Ratings'!B5</f>
        <v>MSFT</v>
      </c>
      <c r="C9" s="41">
        <f>'Watchlist Ratings'!S5</f>
        <v>8.75</v>
      </c>
      <c r="D9" s="41">
        <f>'Watchlist Ratings'!AC5</f>
        <v>7.7</v>
      </c>
      <c r="E9" s="41">
        <f>'Watchlist Ratings'!AM5</f>
        <v>7.57</v>
      </c>
      <c r="F9" s="41">
        <f>'Watchlist Ratings'!AN5</f>
        <v>7.86</v>
      </c>
      <c r="G9" s="42">
        <f>'Watchlist Ratings'!K5</f>
        <v>8</v>
      </c>
      <c r="H9" s="42">
        <f>'Watchlist Ratings'!L5</f>
        <v>3</v>
      </c>
      <c r="I9" s="43">
        <f>'Watchlist Ratings'!BC5</f>
        <v>0.21224118015235321</v>
      </c>
      <c r="J9" s="44">
        <f ca="1">'Watchlist Ratings'!AW5</f>
        <v>28.885051961612021</v>
      </c>
      <c r="O9" t="str">
        <f ca="1">'Watchlist Ratings'!B5</f>
        <v>MSFT</v>
      </c>
      <c r="P9" s="37">
        <f>'Watchlist Ratings'!AN5</f>
        <v>7.86</v>
      </c>
      <c r="Q9" s="23">
        <f ca="1">'Watchlist Ratings'!BM5</f>
        <v>0.12725933974662795</v>
      </c>
      <c r="S9" t="str">
        <f ca="1">'Watchlist Ratings'!B5</f>
        <v>MSFT</v>
      </c>
      <c r="T9" s="23">
        <f>'Watchlist Ratings'!BC5</f>
        <v>0.21224118015235321</v>
      </c>
      <c r="V9" t="str">
        <f ca="1">'Watchlist Ratings'!B5</f>
        <v>MSFT</v>
      </c>
      <c r="W9" s="38">
        <f>'Watchlist Ratings'!K5</f>
        <v>8</v>
      </c>
      <c r="X9" s="38">
        <f>'Watchlist Ratings'!L5</f>
        <v>3</v>
      </c>
      <c r="Y9" t="str">
        <f ca="1">'Watchlist Ratings'!B5</f>
        <v>MSFT</v>
      </c>
      <c r="Z9">
        <f ca="1">'Watchlist Ratings'!AW5</f>
        <v>28.885051961612021</v>
      </c>
      <c r="AA9" t="str">
        <f ca="1">'Watchlist Ratings'!B5</f>
        <v>MSFT</v>
      </c>
      <c r="AB9">
        <f ca="1">'Watchlist Ratings'!BL5</f>
        <v>-4.2358779191663531E-2</v>
      </c>
      <c r="AC9">
        <f ca="1">'Watchlist Ratings'!BM5</f>
        <v>0.12725933974662795</v>
      </c>
      <c r="AE9" t="s">
        <v>256</v>
      </c>
      <c r="AF9">
        <v>59.375</v>
      </c>
      <c r="AH9" t="s">
        <v>256</v>
      </c>
      <c r="AI9">
        <v>59.4</v>
      </c>
      <c r="AJ9" t="s">
        <v>254</v>
      </c>
      <c r="AK9">
        <v>8</v>
      </c>
      <c r="AL9">
        <v>1</v>
      </c>
      <c r="AM9" t="s">
        <v>257</v>
      </c>
      <c r="AN9">
        <v>45.6</v>
      </c>
      <c r="AO9" t="s">
        <v>258</v>
      </c>
      <c r="AP9">
        <v>1.1000000000000001</v>
      </c>
      <c r="AQ9">
        <v>28.4</v>
      </c>
      <c r="AS9" t="s">
        <v>258</v>
      </c>
      <c r="AT9">
        <v>28.571278521519002</v>
      </c>
      <c r="AU9">
        <v>28.414482662692301</v>
      </c>
    </row>
    <row r="10" spans="1:47" ht="15" customHeight="1" x14ac:dyDescent="0.35">
      <c r="A10" s="45">
        <v>3</v>
      </c>
      <c r="B10" s="46" t="str">
        <f ca="1">'Watchlist Ratings'!B6</f>
        <v>ADYEN</v>
      </c>
      <c r="C10" s="47">
        <f>'Watchlist Ratings'!S6</f>
        <v>7.81</v>
      </c>
      <c r="D10" s="47">
        <f>'Watchlist Ratings'!AC6</f>
        <v>7.3</v>
      </c>
      <c r="E10" s="47">
        <f>'Watchlist Ratings'!AM6</f>
        <v>8.2899999999999991</v>
      </c>
      <c r="F10" s="47">
        <f>'Watchlist Ratings'!AN6</f>
        <v>7.8</v>
      </c>
      <c r="G10" s="48">
        <f>'Watchlist Ratings'!K6</f>
        <v>7</v>
      </c>
      <c r="H10" s="48">
        <f>'Watchlist Ratings'!L6</f>
        <v>2</v>
      </c>
      <c r="I10" s="49">
        <f>'Watchlist Ratings'!BC6</f>
        <v>0.24</v>
      </c>
      <c r="J10" s="50">
        <f ca="1">'Watchlist Ratings'!AW6</f>
        <v>30.102847924710428</v>
      </c>
      <c r="O10" t="str">
        <f ca="1">'Watchlist Ratings'!B6</f>
        <v>ADYEN</v>
      </c>
      <c r="P10" s="37">
        <f>'Watchlist Ratings'!AN6</f>
        <v>7.8</v>
      </c>
      <c r="Q10" s="23">
        <f ca="1">'Watchlist Ratings'!BM6</f>
        <v>0.21268691268480011</v>
      </c>
      <c r="S10" t="str">
        <f ca="1">'Watchlist Ratings'!B6</f>
        <v>ADYEN</v>
      </c>
      <c r="T10" s="23">
        <f>'Watchlist Ratings'!BC6</f>
        <v>0.24</v>
      </c>
      <c r="V10" t="str">
        <f ca="1">'Watchlist Ratings'!B6</f>
        <v>ADYEN</v>
      </c>
      <c r="W10" s="38">
        <f>'Watchlist Ratings'!K6</f>
        <v>7</v>
      </c>
      <c r="X10" s="38">
        <f>'Watchlist Ratings'!L6</f>
        <v>2</v>
      </c>
      <c r="Y10" t="str">
        <f ca="1">'Watchlist Ratings'!B6</f>
        <v>ADYEN</v>
      </c>
      <c r="Z10">
        <f ca="1">'Watchlist Ratings'!AW6</f>
        <v>30.102847924710428</v>
      </c>
      <c r="AA10" t="str">
        <f ca="1">'Watchlist Ratings'!B6</f>
        <v>ADYEN</v>
      </c>
      <c r="AB10">
        <f ca="1">'Watchlist Ratings'!BL6</f>
        <v>-7.5205385336348685E-2</v>
      </c>
      <c r="AC10">
        <f ca="1">'Watchlist Ratings'!BM6</f>
        <v>0.21268691268480011</v>
      </c>
      <c r="AE10" t="s">
        <v>249</v>
      </c>
      <c r="AF10">
        <v>54</v>
      </c>
      <c r="AH10" t="s">
        <v>249</v>
      </c>
      <c r="AI10">
        <v>54</v>
      </c>
      <c r="AJ10" t="s">
        <v>250</v>
      </c>
      <c r="AK10">
        <v>8</v>
      </c>
      <c r="AL10">
        <v>3</v>
      </c>
      <c r="AM10" t="s">
        <v>253</v>
      </c>
      <c r="AN10">
        <v>44.8</v>
      </c>
      <c r="AO10" t="s">
        <v>259</v>
      </c>
      <c r="AP10">
        <v>1.8</v>
      </c>
      <c r="AQ10">
        <v>25</v>
      </c>
      <c r="AS10" t="s">
        <v>260</v>
      </c>
      <c r="AT10">
        <v>24.369253736000001</v>
      </c>
      <c r="AU10">
        <v>23.4863412384314</v>
      </c>
    </row>
    <row r="11" spans="1:47" ht="15" customHeight="1" x14ac:dyDescent="0.35">
      <c r="A11" s="39">
        <v>4</v>
      </c>
      <c r="B11" s="40" t="str">
        <f ca="1">'Watchlist Ratings'!B7</f>
        <v>BN</v>
      </c>
      <c r="C11" s="41">
        <f>'Watchlist Ratings'!S7</f>
        <v>8.44</v>
      </c>
      <c r="D11" s="41">
        <f>'Watchlist Ratings'!AC7</f>
        <v>8</v>
      </c>
      <c r="E11" s="41">
        <f>'Watchlist Ratings'!AM7</f>
        <v>7.71</v>
      </c>
      <c r="F11" s="41">
        <f>'Watchlist Ratings'!AN7</f>
        <v>7.97</v>
      </c>
      <c r="G11" s="42">
        <f>'Watchlist Ratings'!K7</f>
        <v>7</v>
      </c>
      <c r="H11" s="42">
        <f>'Watchlist Ratings'!L7</f>
        <v>3</v>
      </c>
      <c r="I11" s="43">
        <f>'Watchlist Ratings'!BC7</f>
        <v>6.3333333333333339E-2</v>
      </c>
      <c r="J11" s="44">
        <f ca="1">'Watchlist Ratings'!AW7</f>
        <v>17.917687064516127</v>
      </c>
      <c r="O11" t="str">
        <f ca="1">'Watchlist Ratings'!B7</f>
        <v>BN</v>
      </c>
      <c r="P11" s="37">
        <f>'Watchlist Ratings'!AN7</f>
        <v>7.97</v>
      </c>
      <c r="Q11" s="23">
        <f ca="1">'Watchlist Ratings'!BM7</f>
        <v>0.21874186412022789</v>
      </c>
      <c r="S11" t="str">
        <f ca="1">'Watchlist Ratings'!B7</f>
        <v>BN</v>
      </c>
      <c r="T11" s="23">
        <f>'Watchlist Ratings'!BC7</f>
        <v>6.3333333333333339E-2</v>
      </c>
      <c r="V11" t="str">
        <f ca="1">'Watchlist Ratings'!B7</f>
        <v>BN</v>
      </c>
      <c r="W11" s="38">
        <f>'Watchlist Ratings'!K7</f>
        <v>7</v>
      </c>
      <c r="X11" s="38">
        <f>'Watchlist Ratings'!L7</f>
        <v>3</v>
      </c>
      <c r="Y11" t="str">
        <f ca="1">'Watchlist Ratings'!B7</f>
        <v>BN</v>
      </c>
      <c r="Z11">
        <f ca="1">'Watchlist Ratings'!AW7</f>
        <v>17.917687064516127</v>
      </c>
      <c r="AA11" t="str">
        <f ca="1">'Watchlist Ratings'!B7</f>
        <v>BN</v>
      </c>
      <c r="AB11">
        <f ca="1">'Watchlist Ratings'!BL7</f>
        <v>1.6303731954826928E-2</v>
      </c>
      <c r="AC11">
        <f ca="1">'Watchlist Ratings'!BM7</f>
        <v>0.21874186412022789</v>
      </c>
      <c r="AE11" t="s">
        <v>261</v>
      </c>
      <c r="AF11">
        <v>41.6666666666667</v>
      </c>
      <c r="AH11" t="s">
        <v>261</v>
      </c>
      <c r="AI11">
        <v>41.7</v>
      </c>
      <c r="AJ11" t="s">
        <v>262</v>
      </c>
      <c r="AK11">
        <v>8</v>
      </c>
      <c r="AL11">
        <v>2</v>
      </c>
      <c r="AM11" t="s">
        <v>263</v>
      </c>
      <c r="AN11">
        <v>43.6</v>
      </c>
      <c r="AO11" t="s">
        <v>260</v>
      </c>
      <c r="AP11">
        <v>0.6</v>
      </c>
      <c r="AQ11">
        <v>23.3</v>
      </c>
      <c r="AS11" t="s">
        <v>254</v>
      </c>
      <c r="AT11">
        <v>51.179748126470599</v>
      </c>
      <c r="AU11">
        <v>0.80673234994763598</v>
      </c>
    </row>
    <row r="12" spans="1:47" ht="15" customHeight="1" x14ac:dyDescent="0.35">
      <c r="A12" s="45">
        <v>5</v>
      </c>
      <c r="B12" s="46" t="str">
        <f ca="1">'Watchlist Ratings'!B8</f>
        <v>COST</v>
      </c>
      <c r="C12" s="47">
        <f>'Watchlist Ratings'!S8</f>
        <v>7.81</v>
      </c>
      <c r="D12" s="47">
        <f>'Watchlist Ratings'!AC8</f>
        <v>8</v>
      </c>
      <c r="E12" s="47">
        <f>'Watchlist Ratings'!AM8</f>
        <v>8.43</v>
      </c>
      <c r="F12" s="47">
        <f>'Watchlist Ratings'!AN8</f>
        <v>8.1300000000000008</v>
      </c>
      <c r="G12" s="48">
        <f>'Watchlist Ratings'!K8</f>
        <v>8</v>
      </c>
      <c r="H12" s="48">
        <f>'Watchlist Ratings'!L8</f>
        <v>1</v>
      </c>
      <c r="I12" s="49">
        <f>'Watchlist Ratings'!BC8</f>
        <v>0.19061054057104165</v>
      </c>
      <c r="J12" s="50">
        <f ca="1">'Watchlist Ratings'!AW8</f>
        <v>34.823416981772361</v>
      </c>
      <c r="O12" t="str">
        <f ca="1">'Watchlist Ratings'!B8</f>
        <v>COST</v>
      </c>
      <c r="P12" s="37">
        <f>'Watchlist Ratings'!AN8</f>
        <v>8.1300000000000008</v>
      </c>
      <c r="Q12" s="23">
        <f ca="1">'Watchlist Ratings'!BM8</f>
        <v>8.5040896509370301E-2</v>
      </c>
      <c r="S12" t="str">
        <f ca="1">'Watchlist Ratings'!B8</f>
        <v>COST</v>
      </c>
      <c r="T12" s="23">
        <f>'Watchlist Ratings'!BC8</f>
        <v>0.19061054057104165</v>
      </c>
      <c r="V12" t="str">
        <f ca="1">'Watchlist Ratings'!B8</f>
        <v>COST</v>
      </c>
      <c r="W12" s="38">
        <f>'Watchlist Ratings'!K8</f>
        <v>8</v>
      </c>
      <c r="X12" s="38">
        <f>'Watchlist Ratings'!L8</f>
        <v>1</v>
      </c>
      <c r="Y12" t="str">
        <f ca="1">'Watchlist Ratings'!B8</f>
        <v>COST</v>
      </c>
      <c r="Z12">
        <f ca="1">'Watchlist Ratings'!AW8</f>
        <v>34.823416981772361</v>
      </c>
      <c r="AA12" t="str">
        <f ca="1">'Watchlist Ratings'!B8</f>
        <v>COST</v>
      </c>
      <c r="AB12">
        <f ca="1">'Watchlist Ratings'!BL8</f>
        <v>-4.9707554230484341E-2</v>
      </c>
      <c r="AC12">
        <f ca="1">'Watchlist Ratings'!BM8</f>
        <v>8.5040896509370301E-2</v>
      </c>
      <c r="AE12" t="s">
        <v>264</v>
      </c>
      <c r="AF12">
        <v>38.3333333333333</v>
      </c>
      <c r="AH12" t="s">
        <v>264</v>
      </c>
      <c r="AI12">
        <v>38.299999999999997</v>
      </c>
      <c r="AJ12" t="s">
        <v>258</v>
      </c>
      <c r="AK12">
        <v>7</v>
      </c>
      <c r="AL12">
        <v>3</v>
      </c>
      <c r="AM12" t="s">
        <v>256</v>
      </c>
      <c r="AN12">
        <v>40.299999999999997</v>
      </c>
      <c r="AO12" t="s">
        <v>265</v>
      </c>
      <c r="AP12">
        <v>-0.1</v>
      </c>
      <c r="AQ12">
        <v>20.8</v>
      </c>
      <c r="AS12" t="s">
        <v>265</v>
      </c>
      <c r="AT12">
        <v>25.7039266520833</v>
      </c>
      <c r="AU12">
        <v>20.9506730863196</v>
      </c>
    </row>
    <row r="13" spans="1:47" ht="15" customHeight="1" x14ac:dyDescent="0.35">
      <c r="A13" s="39">
        <v>6</v>
      </c>
      <c r="B13" s="40" t="str">
        <f ca="1">'Watchlist Ratings'!B9</f>
        <v>DSGX</v>
      </c>
      <c r="C13" s="41">
        <f>'Watchlist Ratings'!S9</f>
        <v>7.19</v>
      </c>
      <c r="D13" s="41">
        <f>'Watchlist Ratings'!AC9</f>
        <v>7.5</v>
      </c>
      <c r="E13" s="41">
        <f>'Watchlist Ratings'!AM9</f>
        <v>8.7100000000000009</v>
      </c>
      <c r="F13" s="41">
        <f>'Watchlist Ratings'!AN9</f>
        <v>7.92</v>
      </c>
      <c r="G13" s="42">
        <f>'Watchlist Ratings'!K9</f>
        <v>7</v>
      </c>
      <c r="H13" s="42">
        <f>'Watchlist Ratings'!L9</f>
        <v>2</v>
      </c>
      <c r="I13" s="43">
        <f>'Watchlist Ratings'!BC9</f>
        <v>0.10501193317422435</v>
      </c>
      <c r="J13" s="44">
        <f ca="1">'Watchlist Ratings'!AW9</f>
        <v>22.304432657651251</v>
      </c>
      <c r="L13" s="36" t="s">
        <v>266</v>
      </c>
      <c r="M13" t="s">
        <v>267</v>
      </c>
      <c r="O13" t="str">
        <f ca="1">'Watchlist Ratings'!B9</f>
        <v>DSGX</v>
      </c>
      <c r="P13" s="37">
        <f>'Watchlist Ratings'!AN9</f>
        <v>7.92</v>
      </c>
      <c r="Q13" s="23">
        <f ca="1">'Watchlist Ratings'!BM9</f>
        <v>0.19690295456465767</v>
      </c>
      <c r="S13" t="str">
        <f ca="1">'Watchlist Ratings'!B9</f>
        <v>DSGX</v>
      </c>
      <c r="T13" s="23">
        <f>'Watchlist Ratings'!BC9</f>
        <v>0.10501193317422435</v>
      </c>
      <c r="V13" t="str">
        <f ca="1">'Watchlist Ratings'!B9</f>
        <v>DSGX</v>
      </c>
      <c r="W13" s="38">
        <f>'Watchlist Ratings'!K9</f>
        <v>7</v>
      </c>
      <c r="X13" s="38">
        <f>'Watchlist Ratings'!L9</f>
        <v>2</v>
      </c>
      <c r="Y13" t="str">
        <f ca="1">'Watchlist Ratings'!B9</f>
        <v>DSGX</v>
      </c>
      <c r="Z13">
        <f ca="1">'Watchlist Ratings'!AW9</f>
        <v>22.304432657651251</v>
      </c>
      <c r="AA13" t="str">
        <f ca="1">'Watchlist Ratings'!B9</f>
        <v>DSGX</v>
      </c>
      <c r="AB13">
        <f ca="1">'Watchlist Ratings'!BL9</f>
        <v>-3.7117638736870018E-2</v>
      </c>
      <c r="AC13">
        <f ca="1">'Watchlist Ratings'!BM9</f>
        <v>0.19690295456465767</v>
      </c>
      <c r="AE13" t="s">
        <v>259</v>
      </c>
      <c r="AF13">
        <v>37.5</v>
      </c>
      <c r="AH13" t="s">
        <v>259</v>
      </c>
      <c r="AI13">
        <v>37.5</v>
      </c>
      <c r="AJ13" t="s">
        <v>260</v>
      </c>
      <c r="AK13">
        <v>7</v>
      </c>
      <c r="AL13">
        <v>3</v>
      </c>
      <c r="AM13" t="s">
        <v>268</v>
      </c>
      <c r="AN13">
        <v>38.9</v>
      </c>
      <c r="AO13" t="s">
        <v>269</v>
      </c>
      <c r="AP13">
        <v>4.7</v>
      </c>
      <c r="AQ13">
        <v>32.9</v>
      </c>
      <c r="AS13" t="s">
        <v>264</v>
      </c>
      <c r="AT13">
        <v>29.589673076923098</v>
      </c>
      <c r="AU13">
        <v>13.4877131347373</v>
      </c>
    </row>
    <row r="14" spans="1:47" ht="15" customHeight="1" x14ac:dyDescent="0.35">
      <c r="A14" s="45">
        <v>7</v>
      </c>
      <c r="B14" s="46" t="str">
        <f ca="1">'Watchlist Ratings'!B10</f>
        <v>RAA</v>
      </c>
      <c r="C14" s="47">
        <f>'Watchlist Ratings'!S10</f>
        <v>7.5</v>
      </c>
      <c r="D14" s="47">
        <f>'Watchlist Ratings'!AC10</f>
        <v>7.4</v>
      </c>
      <c r="E14" s="47">
        <f>'Watchlist Ratings'!AM10</f>
        <v>8.2899999999999991</v>
      </c>
      <c r="F14" s="47">
        <f>'Watchlist Ratings'!AN10</f>
        <v>7.78</v>
      </c>
      <c r="G14" s="48">
        <f>'Watchlist Ratings'!K10</f>
        <v>7</v>
      </c>
      <c r="H14" s="48">
        <f>'Watchlist Ratings'!L10</f>
        <v>2</v>
      </c>
      <c r="I14" s="49">
        <f>'Watchlist Ratings'!BC10</f>
        <v>0.38333333333333336</v>
      </c>
      <c r="J14" s="50">
        <f ca="1">'Watchlist Ratings'!AW10</f>
        <v>26.703442307692306</v>
      </c>
      <c r="L14" t="s">
        <v>270</v>
      </c>
      <c r="M14">
        <f>COUNTIF('Watchlist Ratings'!AN4:AN71,"&gt;=8")</f>
        <v>3</v>
      </c>
      <c r="O14" t="str">
        <f ca="1">'Watchlist Ratings'!B10</f>
        <v>RAA</v>
      </c>
      <c r="P14" s="37">
        <f>'Watchlist Ratings'!AN10</f>
        <v>7.78</v>
      </c>
      <c r="Q14" s="23">
        <f ca="1">'Watchlist Ratings'!BM10</f>
        <v>0.12867081613737774</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26.703442307692306</v>
      </c>
      <c r="AA14" t="str">
        <f ca="1">'Watchlist Ratings'!B10</f>
        <v>RAA</v>
      </c>
      <c r="AB14">
        <f ca="1">'Watchlist Ratings'!BL10</f>
        <v>-6.165003828172777E-2</v>
      </c>
      <c r="AC14">
        <f ca="1">'Watchlist Ratings'!BM10</f>
        <v>0.12867081613737774</v>
      </c>
      <c r="AE14" t="s">
        <v>271</v>
      </c>
      <c r="AF14">
        <v>37.142857142857103</v>
      </c>
      <c r="AH14" t="s">
        <v>271</v>
      </c>
      <c r="AI14">
        <v>37.1</v>
      </c>
      <c r="AJ14" t="s">
        <v>265</v>
      </c>
      <c r="AK14">
        <v>7</v>
      </c>
      <c r="AL14">
        <v>2</v>
      </c>
      <c r="AM14" t="s">
        <v>262</v>
      </c>
      <c r="AN14">
        <v>38.5</v>
      </c>
      <c r="AO14" t="s">
        <v>272</v>
      </c>
      <c r="AP14">
        <v>-4.2</v>
      </c>
      <c r="AQ14">
        <v>13.7</v>
      </c>
      <c r="AS14" t="s">
        <v>255</v>
      </c>
      <c r="AT14">
        <v>26.244954871232899</v>
      </c>
      <c r="AU14">
        <v>32.575210542620198</v>
      </c>
    </row>
    <row r="15" spans="1:47" ht="15" customHeight="1" x14ac:dyDescent="0.35">
      <c r="A15" s="39">
        <v>8</v>
      </c>
      <c r="B15" s="40" t="str">
        <f ca="1">'Watchlist Ratings'!B11</f>
        <v>ZS</v>
      </c>
      <c r="C15" s="41">
        <f>'Watchlist Ratings'!S11</f>
        <v>7.5</v>
      </c>
      <c r="D15" s="41">
        <f>'Watchlist Ratings'!AC11</f>
        <v>7</v>
      </c>
      <c r="E15" s="41">
        <f>'Watchlist Ratings'!AM11</f>
        <v>7.29</v>
      </c>
      <c r="F15" s="41">
        <f>'Watchlist Ratings'!AN11</f>
        <v>7.22</v>
      </c>
      <c r="G15" s="42">
        <f>'Watchlist Ratings'!K11</f>
        <v>6</v>
      </c>
      <c r="H15" s="42">
        <f>'Watchlist Ratings'!L11</f>
        <v>2</v>
      </c>
      <c r="I15" s="43">
        <f>'Watchlist Ratings'!BC11</f>
        <v>-2.9366978464215793E-2</v>
      </c>
      <c r="J15" s="44">
        <f ca="1">'Watchlist Ratings'!AW11</f>
        <v>26.567517268951192</v>
      </c>
      <c r="L15" t="s">
        <v>273</v>
      </c>
      <c r="M15">
        <f>COUNTIFS('Watchlist Ratings'!AN4:AN71,"&gt;=7",'Watchlist Ratings'!AN4:AN71,"&lt;8")</f>
        <v>18</v>
      </c>
      <c r="O15" t="str">
        <f ca="1">'Watchlist Ratings'!B11</f>
        <v>ZS</v>
      </c>
      <c r="P15" s="37">
        <f>'Watchlist Ratings'!AN11</f>
        <v>7.22</v>
      </c>
      <c r="Q15" s="23">
        <f ca="1">'Watchlist Ratings'!BM11</f>
        <v>0.25943228470250812</v>
      </c>
      <c r="S15" t="str">
        <f ca="1">'Watchlist Ratings'!B11</f>
        <v>ZS</v>
      </c>
      <c r="T15" s="23">
        <f>'Watchlist Ratings'!BC11</f>
        <v>-2.9366978464215793E-2</v>
      </c>
      <c r="V15" t="str">
        <f ca="1">'Watchlist Ratings'!B11</f>
        <v>ZS</v>
      </c>
      <c r="W15" s="38">
        <f>'Watchlist Ratings'!K11</f>
        <v>6</v>
      </c>
      <c r="X15" s="38">
        <f>'Watchlist Ratings'!L11</f>
        <v>2</v>
      </c>
      <c r="Y15" t="str">
        <f ca="1">'Watchlist Ratings'!B11</f>
        <v>ZS</v>
      </c>
      <c r="Z15">
        <f ca="1">'Watchlist Ratings'!AW11</f>
        <v>26.567517268951192</v>
      </c>
      <c r="AA15" t="str">
        <f ca="1">'Watchlist Ratings'!B11</f>
        <v>ZS</v>
      </c>
      <c r="AB15">
        <f ca="1">'Watchlist Ratings'!BL11</f>
        <v>-2.430135078832063E-2</v>
      </c>
      <c r="AC15">
        <f ca="1">'Watchlist Ratings'!BM11</f>
        <v>0.25943228470250812</v>
      </c>
      <c r="AE15" t="s">
        <v>272</v>
      </c>
      <c r="AF15">
        <v>36.1111111111111</v>
      </c>
      <c r="AH15" t="s">
        <v>272</v>
      </c>
      <c r="AI15">
        <v>36.1</v>
      </c>
      <c r="AJ15" t="s">
        <v>264</v>
      </c>
      <c r="AK15">
        <v>7</v>
      </c>
      <c r="AL15">
        <v>2</v>
      </c>
      <c r="AM15" t="s">
        <v>274</v>
      </c>
      <c r="AN15">
        <v>37.700000000000003</v>
      </c>
      <c r="AO15" t="s">
        <v>264</v>
      </c>
      <c r="AP15">
        <v>-8</v>
      </c>
      <c r="AQ15">
        <v>13.5</v>
      </c>
      <c r="AS15" t="s">
        <v>275</v>
      </c>
      <c r="AT15">
        <v>27.905545425233299</v>
      </c>
      <c r="AU15">
        <v>8.8031472249346301</v>
      </c>
    </row>
    <row r="16" spans="1:47" ht="15" customHeight="1" x14ac:dyDescent="0.35">
      <c r="A16" s="45">
        <v>9</v>
      </c>
      <c r="B16" s="46" t="str">
        <f ca="1">'Watchlist Ratings'!B12</f>
        <v>NTO</v>
      </c>
      <c r="C16" s="47">
        <f>'Watchlist Ratings'!S12</f>
        <v>7.5</v>
      </c>
      <c r="D16" s="47">
        <f>'Watchlist Ratings'!AC12</f>
        <v>7.5</v>
      </c>
      <c r="E16" s="47">
        <f>'Watchlist Ratings'!AM12</f>
        <v>8.14</v>
      </c>
      <c r="F16" s="47">
        <f>'Watchlist Ratings'!AN12</f>
        <v>7.76</v>
      </c>
      <c r="G16" s="48">
        <f>'Watchlist Ratings'!K12</f>
        <v>7</v>
      </c>
      <c r="H16" s="48">
        <f>'Watchlist Ratings'!L12</f>
        <v>3</v>
      </c>
      <c r="I16" s="49">
        <f>'Watchlist Ratings'!BC12</f>
        <v>0.20337500000000003</v>
      </c>
      <c r="J16" s="50">
        <f ca="1">'Watchlist Ratings'!AW12</f>
        <v>38.113987330439414</v>
      </c>
      <c r="L16" t="s">
        <v>276</v>
      </c>
      <c r="M16">
        <f>COUNTIFS('Watchlist Ratings'!AN4:AN71,"&gt;=6",'Watchlist Ratings'!AN4:AN71,"&lt;7")</f>
        <v>16</v>
      </c>
      <c r="O16" t="str">
        <f ca="1">'Watchlist Ratings'!B12</f>
        <v>NTO</v>
      </c>
      <c r="P16" s="37">
        <f>'Watchlist Ratings'!AN12</f>
        <v>7.76</v>
      </c>
      <c r="Q16" s="23">
        <f ca="1">'Watchlist Ratings'!BM12</f>
        <v>1.423921438264375E-2</v>
      </c>
      <c r="S16" t="str">
        <f ca="1">'Watchlist Ratings'!B12</f>
        <v>NTO</v>
      </c>
      <c r="T16" s="23">
        <f>'Watchlist Ratings'!BC12</f>
        <v>0.20337500000000003</v>
      </c>
      <c r="V16" t="str">
        <f ca="1">'Watchlist Ratings'!B12</f>
        <v>NTO</v>
      </c>
      <c r="W16" s="38">
        <f>'Watchlist Ratings'!K12</f>
        <v>7</v>
      </c>
      <c r="X16" s="38">
        <f>'Watchlist Ratings'!L12</f>
        <v>3</v>
      </c>
      <c r="Y16" t="str">
        <f ca="1">'Watchlist Ratings'!B12</f>
        <v>NTO</v>
      </c>
      <c r="Z16">
        <f ca="1">'Watchlist Ratings'!AW12</f>
        <v>38.113987330439414</v>
      </c>
      <c r="AA16" t="str">
        <f ca="1">'Watchlist Ratings'!B12</f>
        <v>NTO</v>
      </c>
      <c r="AB16">
        <f ca="1">'Watchlist Ratings'!BL12</f>
        <v>-0.13183171301735208</v>
      </c>
      <c r="AC16">
        <f ca="1">'Watchlist Ratings'!BM12</f>
        <v>1.423921438264375E-2</v>
      </c>
      <c r="AE16" t="s">
        <v>253</v>
      </c>
      <c r="AF16">
        <v>32.142857142857103</v>
      </c>
      <c r="AH16" t="s">
        <v>253</v>
      </c>
      <c r="AI16">
        <v>32.1</v>
      </c>
      <c r="AJ16" t="s">
        <v>275</v>
      </c>
      <c r="AK16">
        <v>7</v>
      </c>
      <c r="AL16">
        <v>3</v>
      </c>
      <c r="AM16" t="s">
        <v>264</v>
      </c>
      <c r="AN16">
        <v>29.6</v>
      </c>
      <c r="AO16" t="s">
        <v>262</v>
      </c>
      <c r="AP16">
        <v>-7.9</v>
      </c>
      <c r="AQ16">
        <v>12.3</v>
      </c>
      <c r="AS16" t="s">
        <v>250</v>
      </c>
      <c r="AT16">
        <v>52.2229498644231</v>
      </c>
      <c r="AU16">
        <v>4.7817205741696798</v>
      </c>
    </row>
    <row r="17" spans="1:47" ht="15" customHeight="1" x14ac:dyDescent="0.35">
      <c r="A17" s="39">
        <v>10</v>
      </c>
      <c r="B17" s="40" t="str">
        <f ca="1">'Watchlist Ratings'!B13</f>
        <v>AMZN</v>
      </c>
      <c r="C17" s="41">
        <f>'Watchlist Ratings'!S13</f>
        <v>9.3800000000000008</v>
      </c>
      <c r="D17" s="41">
        <f>'Watchlist Ratings'!AC13</f>
        <v>7.7</v>
      </c>
      <c r="E17" s="41">
        <f>'Watchlist Ratings'!AM13</f>
        <v>7.14</v>
      </c>
      <c r="F17" s="41">
        <f>'Watchlist Ratings'!AN13</f>
        <v>7.81</v>
      </c>
      <c r="G17" s="42">
        <f>'Watchlist Ratings'!K13</f>
        <v>8</v>
      </c>
      <c r="H17" s="42">
        <f>'Watchlist Ratings'!L13</f>
        <v>3</v>
      </c>
      <c r="I17" s="43">
        <f>'Watchlist Ratings'!BC13</f>
        <v>0.18333333333333332</v>
      </c>
      <c r="J17" s="44">
        <f ca="1">'Watchlist Ratings'!AW13</f>
        <v>37.233401377131045</v>
      </c>
      <c r="L17" t="s">
        <v>277</v>
      </c>
      <c r="M17">
        <f>COUNTIF('Watchlist Ratings'!AN4:AN71,"&lt;6")</f>
        <v>31</v>
      </c>
      <c r="O17" t="str">
        <f ca="1">'Watchlist Ratings'!B13</f>
        <v>AMZN</v>
      </c>
      <c r="P17" s="37">
        <f>'Watchlist Ratings'!AN13</f>
        <v>7.81</v>
      </c>
      <c r="Q17" s="23">
        <f ca="1">'Watchlist Ratings'!BM13</f>
        <v>0.11256640658534334</v>
      </c>
      <c r="S17" t="str">
        <f ca="1">'Watchlist Ratings'!B13</f>
        <v>AMZN</v>
      </c>
      <c r="T17" s="23">
        <f>'Watchlist Ratings'!BC13</f>
        <v>0.18333333333333332</v>
      </c>
      <c r="V17" t="str">
        <f ca="1">'Watchlist Ratings'!B13</f>
        <v>AMZN</v>
      </c>
      <c r="W17" s="38">
        <f>'Watchlist Ratings'!K13</f>
        <v>8</v>
      </c>
      <c r="X17" s="38">
        <f>'Watchlist Ratings'!L13</f>
        <v>3</v>
      </c>
      <c r="Y17" t="str">
        <f ca="1">'Watchlist Ratings'!B13</f>
        <v>AMZN</v>
      </c>
      <c r="Z17">
        <f ca="1">'Watchlist Ratings'!AW13</f>
        <v>37.233401377131045</v>
      </c>
      <c r="AA17" t="str">
        <f ca="1">'Watchlist Ratings'!B13</f>
        <v>AMZN</v>
      </c>
      <c r="AB17">
        <f ca="1">'Watchlist Ratings'!BL13</f>
        <v>-6.1009353645609887E-2</v>
      </c>
      <c r="AC17">
        <f ca="1">'Watchlist Ratings'!BM13</f>
        <v>0.11256640658534334</v>
      </c>
      <c r="AS17" t="s">
        <v>274</v>
      </c>
      <c r="AT17">
        <v>37.736707694444398</v>
      </c>
      <c r="AU17">
        <v>5.3744270407932504</v>
      </c>
    </row>
    <row r="18" spans="1:47" ht="15" customHeight="1" x14ac:dyDescent="0.35">
      <c r="A18" s="45">
        <v>11</v>
      </c>
      <c r="B18" s="46" t="str">
        <f ca="1">'Watchlist Ratings'!B14</f>
        <v>SU</v>
      </c>
      <c r="C18" s="47">
        <f>'Watchlist Ratings'!S14</f>
        <v>8.1300000000000008</v>
      </c>
      <c r="D18" s="47">
        <f>'Watchlist Ratings'!AC14</f>
        <v>7.7</v>
      </c>
      <c r="E18" s="47">
        <f>'Watchlist Ratings'!AM14</f>
        <v>7.57</v>
      </c>
      <c r="F18" s="47">
        <f>'Watchlist Ratings'!AN14</f>
        <v>7.73</v>
      </c>
      <c r="G18" s="48">
        <f>'Watchlist Ratings'!K14</f>
        <v>7</v>
      </c>
      <c r="H18" s="48">
        <f>'Watchlist Ratings'!L14</f>
        <v>3</v>
      </c>
      <c r="I18" s="49">
        <f>'Watchlist Ratings'!BC14</f>
        <v>0.13238863589079727</v>
      </c>
      <c r="J18" s="50">
        <f ca="1">'Watchlist Ratings'!AW14</f>
        <v>30.323395819870765</v>
      </c>
      <c r="O18" t="str">
        <f ca="1">'Watchlist Ratings'!B14</f>
        <v>SU</v>
      </c>
      <c r="P18" s="37">
        <f>'Watchlist Ratings'!AN14</f>
        <v>7.73</v>
      </c>
      <c r="Q18" s="23">
        <f ca="1">'Watchlist Ratings'!BM14</f>
        <v>9.4174490275463096E-2</v>
      </c>
      <c r="V18" t="str">
        <f ca="1">'Watchlist Ratings'!B14</f>
        <v>SU</v>
      </c>
      <c r="W18" s="38">
        <f>'Watchlist Ratings'!K14</f>
        <v>7</v>
      </c>
      <c r="X18" s="38">
        <f>'Watchlist Ratings'!L14</f>
        <v>3</v>
      </c>
      <c r="Y18" t="str">
        <f ca="1">'Watchlist Ratings'!B14</f>
        <v>SU</v>
      </c>
      <c r="Z18">
        <f ca="1">'Watchlist Ratings'!AW14</f>
        <v>30.323395819870765</v>
      </c>
      <c r="AA18" t="str">
        <f ca="1">'Watchlist Ratings'!B14</f>
        <v>SU</v>
      </c>
      <c r="AB18">
        <f ca="1">'Watchlist Ratings'!BL14</f>
        <v>-6.5815112928822916E-2</v>
      </c>
      <c r="AC18">
        <f ca="1">'Watchlist Ratings'!BM14</f>
        <v>9.4174490275463096E-2</v>
      </c>
      <c r="AS18" t="s">
        <v>272</v>
      </c>
      <c r="AT18">
        <v>24.612029698461502</v>
      </c>
      <c r="AU18">
        <v>13.683807480135</v>
      </c>
    </row>
    <row r="19" spans="1:47" ht="15" customHeight="1" x14ac:dyDescent="0.35">
      <c r="A19" s="39">
        <v>12</v>
      </c>
      <c r="B19" s="40" t="str">
        <f ca="1">'Watchlist Ratings'!B15</f>
        <v>ITX</v>
      </c>
      <c r="C19" s="41">
        <f>'Watchlist Ratings'!S15</f>
        <v>6.88</v>
      </c>
      <c r="D19" s="41">
        <f>'Watchlist Ratings'!AC15</f>
        <v>7.7</v>
      </c>
      <c r="E19" s="41">
        <f>'Watchlist Ratings'!AM15</f>
        <v>8.2899999999999991</v>
      </c>
      <c r="F19" s="41">
        <f>'Watchlist Ratings'!AN15</f>
        <v>7.77</v>
      </c>
      <c r="G19" s="42">
        <f>'Watchlist Ratings'!K15</f>
        <v>6.5</v>
      </c>
      <c r="H19" s="42">
        <f>'Watchlist Ratings'!L15</f>
        <v>1.5</v>
      </c>
      <c r="I19" s="43">
        <f>'Watchlist Ratings'!BC15</f>
        <v>0.26337260125712858</v>
      </c>
      <c r="J19" s="44">
        <f ca="1">'Watchlist Ratings'!AW15</f>
        <v>25.124783886363637</v>
      </c>
      <c r="O19" t="str">
        <f ca="1">'Watchlist Ratings'!B15</f>
        <v>ITX</v>
      </c>
      <c r="P19" s="37">
        <f>'Watchlist Ratings'!AN15</f>
        <v>7.77</v>
      </c>
      <c r="Q19" s="23">
        <f ca="1">'Watchlist Ratings'!BM15</f>
        <v>7.8247362813344878E-2</v>
      </c>
      <c r="V19" t="str">
        <f ca="1">'Watchlist Ratings'!B15</f>
        <v>ITX</v>
      </c>
      <c r="W19" s="38">
        <f>'Watchlist Ratings'!K15</f>
        <v>6.5</v>
      </c>
      <c r="X19" s="38">
        <f>'Watchlist Ratings'!L15</f>
        <v>1.5</v>
      </c>
      <c r="Y19" t="str">
        <f ca="1">'Watchlist Ratings'!B15</f>
        <v>ITX</v>
      </c>
      <c r="Z19">
        <f ca="1">'Watchlist Ratings'!AW15</f>
        <v>25.124783886363637</v>
      </c>
      <c r="AA19" t="str">
        <f ca="1">'Watchlist Ratings'!B15</f>
        <v>ITX</v>
      </c>
      <c r="AB19">
        <f ca="1">'Watchlist Ratings'!BL15</f>
        <v>-4.8314012051720368E-2</v>
      </c>
      <c r="AC19">
        <f ca="1">'Watchlist Ratings'!BM15</f>
        <v>7.8247362813344878E-2</v>
      </c>
      <c r="AS19" t="s">
        <v>257</v>
      </c>
      <c r="AT19">
        <v>45.617441111111098</v>
      </c>
      <c r="AU19">
        <v>3.6173393375436902</v>
      </c>
    </row>
    <row r="20" spans="1:47" ht="15" customHeight="1" x14ac:dyDescent="0.35">
      <c r="A20" s="45">
        <v>13</v>
      </c>
      <c r="B20" s="46" t="str">
        <f ca="1">'Watchlist Ratings'!B16</f>
        <v>LOTB</v>
      </c>
      <c r="C20" s="47">
        <f>'Watchlist Ratings'!S16</f>
        <v>7.5</v>
      </c>
      <c r="D20" s="47">
        <f>'Watchlist Ratings'!AC16</f>
        <v>8</v>
      </c>
      <c r="E20" s="47">
        <f>'Watchlist Ratings'!AM16</f>
        <v>7.86</v>
      </c>
      <c r="F20" s="47">
        <f>'Watchlist Ratings'!AN16</f>
        <v>7.84</v>
      </c>
      <c r="G20" s="48">
        <f>'Watchlist Ratings'!K16</f>
        <v>7</v>
      </c>
      <c r="H20" s="48">
        <f>'Watchlist Ratings'!L16</f>
        <v>3</v>
      </c>
      <c r="I20" s="49">
        <f>'Watchlist Ratings'!BC16</f>
        <v>0.14514896867838048</v>
      </c>
      <c r="J20" s="50">
        <f ca="1">'Watchlist Ratings'!AW16</f>
        <v>82.192338648443439</v>
      </c>
      <c r="O20" t="str">
        <f ca="1">'Watchlist Ratings'!B16</f>
        <v>LOTB</v>
      </c>
      <c r="P20" s="37">
        <f>'Watchlist Ratings'!AN16</f>
        <v>7.84</v>
      </c>
      <c r="Q20" s="23">
        <f ca="1">'Watchlist Ratings'!BM16</f>
        <v>-0.11087272348127619</v>
      </c>
      <c r="V20" t="str">
        <f ca="1">'Watchlist Ratings'!B16</f>
        <v>LOTB</v>
      </c>
      <c r="W20" s="38">
        <f>'Watchlist Ratings'!K16</f>
        <v>7</v>
      </c>
      <c r="X20" s="38">
        <f>'Watchlist Ratings'!L16</f>
        <v>3</v>
      </c>
      <c r="Y20" t="str">
        <f ca="1">'Watchlist Ratings'!B16</f>
        <v>LOTB</v>
      </c>
      <c r="Z20">
        <f ca="1">'Watchlist Ratings'!AW16</f>
        <v>82.192338648443439</v>
      </c>
      <c r="AA20" t="str">
        <f ca="1">'Watchlist Ratings'!B16</f>
        <v>LOTB</v>
      </c>
      <c r="AB20">
        <f ca="1">'Watchlist Ratings'!BL16</f>
        <v>-0.24399019156889146</v>
      </c>
      <c r="AC20">
        <f ca="1">'Watchlist Ratings'!BM16</f>
        <v>-0.11087272348127619</v>
      </c>
      <c r="AS20" t="s">
        <v>263</v>
      </c>
      <c r="AT20">
        <v>43.630936634999998</v>
      </c>
      <c r="AU20">
        <v>4.3482859737552504</v>
      </c>
    </row>
    <row r="21" spans="1:47" ht="15" customHeight="1" x14ac:dyDescent="0.35">
      <c r="A21" s="39">
        <v>14</v>
      </c>
      <c r="B21" s="40" t="str">
        <f ca="1">'Watchlist Ratings'!B17</f>
        <v>HLMA</v>
      </c>
      <c r="C21" s="41">
        <f>'Watchlist Ratings'!S17</f>
        <v>8.1300000000000008</v>
      </c>
      <c r="D21" s="41">
        <f>'Watchlist Ratings'!AC17</f>
        <v>7.1</v>
      </c>
      <c r="E21" s="41">
        <f>'Watchlist Ratings'!AM17</f>
        <v>8.2899999999999991</v>
      </c>
      <c r="F21" s="41">
        <f>'Watchlist Ratings'!AN17</f>
        <v>7.78</v>
      </c>
      <c r="G21" s="42">
        <f>'Watchlist Ratings'!K17</f>
        <v>6</v>
      </c>
      <c r="H21" s="42">
        <f>'Watchlist Ratings'!L17</f>
        <v>3</v>
      </c>
      <c r="I21" s="43">
        <f>'Watchlist Ratings'!BC17</f>
        <v>0.1262926982137261</v>
      </c>
      <c r="J21" s="44">
        <f ca="1">'Watchlist Ratings'!AW17</f>
        <v>33.70006090674184</v>
      </c>
      <c r="O21" t="str">
        <f ca="1">'Watchlist Ratings'!B17</f>
        <v>HLMA</v>
      </c>
      <c r="P21" s="37">
        <f>'Watchlist Ratings'!AN17</f>
        <v>7.78</v>
      </c>
      <c r="Q21" s="23">
        <f ca="1">'Watchlist Ratings'!BM17</f>
        <v>9.3132290707818255E-2</v>
      </c>
      <c r="V21" t="str">
        <f ca="1">'Watchlist Ratings'!B17</f>
        <v>HLMA</v>
      </c>
      <c r="W21" s="38">
        <f>'Watchlist Ratings'!K17</f>
        <v>6</v>
      </c>
      <c r="X21" s="38">
        <f>'Watchlist Ratings'!L17</f>
        <v>3</v>
      </c>
      <c r="Y21" t="str">
        <f ca="1">'Watchlist Ratings'!B17</f>
        <v>HLMA</v>
      </c>
      <c r="Z21">
        <f ca="1">'Watchlist Ratings'!AW17</f>
        <v>33.70006090674184</v>
      </c>
      <c r="AA21" t="str">
        <f ca="1">'Watchlist Ratings'!B17</f>
        <v>HLMA</v>
      </c>
      <c r="AB21">
        <f ca="1">'Watchlist Ratings'!BL17</f>
        <v>-7.8736072982842797E-2</v>
      </c>
      <c r="AC21">
        <f ca="1">'Watchlist Ratings'!BM17</f>
        <v>9.3132290707818255E-2</v>
      </c>
      <c r="AS21" t="s">
        <v>262</v>
      </c>
      <c r="AT21">
        <v>38.120501266027397</v>
      </c>
      <c r="AU21">
        <v>12.615575978128</v>
      </c>
    </row>
    <row r="22" spans="1:47" ht="15" customHeight="1" x14ac:dyDescent="0.35">
      <c r="A22" s="51">
        <v>15</v>
      </c>
      <c r="B22" s="52" t="str">
        <f ca="1">'Watchlist Ratings'!B18</f>
        <v>FICO</v>
      </c>
      <c r="C22" s="53">
        <f>'Watchlist Ratings'!S18</f>
        <v>6.88</v>
      </c>
      <c r="D22" s="53">
        <f>'Watchlist Ratings'!AC18</f>
        <v>6.4</v>
      </c>
      <c r="E22" s="53">
        <f>'Watchlist Ratings'!AM18</f>
        <v>8</v>
      </c>
      <c r="F22" s="53">
        <f>'Watchlist Ratings'!AN18</f>
        <v>7.14</v>
      </c>
      <c r="G22" s="54">
        <f>'Watchlist Ratings'!K18</f>
        <v>8</v>
      </c>
      <c r="H22" s="54">
        <f>'Watchlist Ratings'!L18</f>
        <v>2</v>
      </c>
      <c r="I22" s="55">
        <f>'Watchlist Ratings'!BC18</f>
        <v>0.29090909090909089</v>
      </c>
      <c r="J22" s="56">
        <f ca="1">'Watchlist Ratings'!AW18</f>
        <v>36.660750743561643</v>
      </c>
      <c r="O22" t="str">
        <f ca="1">'Watchlist Ratings'!B18</f>
        <v>FICO</v>
      </c>
      <c r="P22" s="37">
        <f>'Watchlist Ratings'!AN18</f>
        <v>7.14</v>
      </c>
      <c r="Q22" s="23">
        <f ca="1">'Watchlist Ratings'!BM18</f>
        <v>0.10909212414512681</v>
      </c>
      <c r="V22" t="str">
        <f ca="1">'Watchlist Ratings'!B18</f>
        <v>FICO</v>
      </c>
      <c r="W22" s="38">
        <f>'Watchlist Ratings'!K18</f>
        <v>8</v>
      </c>
      <c r="X22" s="38">
        <f>'Watchlist Ratings'!L18</f>
        <v>2</v>
      </c>
      <c r="Y22" t="str">
        <f ca="1">'Watchlist Ratings'!B18</f>
        <v>FICO</v>
      </c>
      <c r="Z22">
        <f ca="1">'Watchlist Ratings'!AW18</f>
        <v>36.660750743561643</v>
      </c>
      <c r="AA22" t="str">
        <f ca="1">'Watchlist Ratings'!B18</f>
        <v>FICO</v>
      </c>
      <c r="AB22">
        <f ca="1">'Watchlist Ratings'!BL18</f>
        <v>-6.9714333956378272E-2</v>
      </c>
      <c r="AC22">
        <f ca="1">'Watchlist Ratings'!BM18</f>
        <v>0.10909212414512681</v>
      </c>
    </row>
    <row r="23" spans="1:47" ht="15" customHeight="1" x14ac:dyDescent="0.35">
      <c r="O23" t="str">
        <f ca="1">'Watchlist Ratings'!B19</f>
        <v>LIFCO B</v>
      </c>
      <c r="P23" s="37">
        <f>'Watchlist Ratings'!AN19</f>
        <v>7.9</v>
      </c>
      <c r="Q23" s="23">
        <f ca="1">'Watchlist Ratings'!BM19</f>
        <v>9.0265399313141259E-2</v>
      </c>
    </row>
    <row r="24" spans="1:47" ht="30" customHeight="1" x14ac:dyDescent="0.4">
      <c r="A24" s="149" t="s">
        <v>278</v>
      </c>
      <c r="B24" s="105"/>
      <c r="C24" s="105"/>
      <c r="D24" s="105"/>
      <c r="E24" s="105"/>
      <c r="F24" s="105"/>
      <c r="G24" s="105"/>
      <c r="H24" s="105"/>
      <c r="I24" s="105"/>
      <c r="J24" s="105"/>
      <c r="K24" s="105"/>
      <c r="L24" s="105"/>
      <c r="M24" s="105"/>
      <c r="N24" s="105"/>
      <c r="O24" s="105"/>
      <c r="P24" s="105"/>
      <c r="Q24" s="105"/>
      <c r="R24" s="105"/>
    </row>
    <row r="25" spans="1:47" ht="4.5" customHeight="1" x14ac:dyDescent="0.35">
      <c r="O25" t="str">
        <f ca="1">'Watchlist Ratings'!B21</f>
        <v>MNST</v>
      </c>
      <c r="P25" s="37">
        <f>'Watchlist Ratings'!AN21</f>
        <v>7.58</v>
      </c>
      <c r="Q25">
        <f ca="1">'Watchlist Ratings'!BM21</f>
        <v>9.8849409169941005E-3</v>
      </c>
    </row>
    <row r="26" spans="1:47" ht="19.5" customHeight="1" x14ac:dyDescent="0.35">
      <c r="O26" t="str">
        <f ca="1">'Watchlist Ratings'!B22</f>
        <v>ABNB</v>
      </c>
      <c r="P26" s="37">
        <f>'Watchlist Ratings'!AN22</f>
        <v>7.3</v>
      </c>
      <c r="Q26">
        <f ca="1">'Watchlist Ratings'!BM22</f>
        <v>0.1657315857896311</v>
      </c>
    </row>
    <row r="27" spans="1:47" ht="19.5" customHeight="1" x14ac:dyDescent="0.35">
      <c r="O27" t="str">
        <f ca="1">'Watchlist Ratings'!B23</f>
        <v>DNP</v>
      </c>
      <c r="P27" s="37">
        <f>'Watchlist Ratings'!AN23</f>
        <v>7.48</v>
      </c>
      <c r="Q27">
        <f ca="1">'Watchlist Ratings'!BM23</f>
        <v>0.13746109747208712</v>
      </c>
    </row>
    <row r="28" spans="1:47" ht="19.5" customHeight="1" x14ac:dyDescent="0.35"/>
    <row r="29" spans="1:47" ht="19.5" customHeight="1" x14ac:dyDescent="0.35"/>
    <row r="30" spans="1:47" ht="19.5" customHeight="1" x14ac:dyDescent="0.35"/>
    <row r="31" spans="1:47" ht="19.5" customHeight="1" x14ac:dyDescent="0.35"/>
    <row r="32" spans="1:47" ht="19.5" customHeight="1" x14ac:dyDescent="0.35"/>
    <row r="33" spans="2:18" ht="19.5" customHeight="1" x14ac:dyDescent="0.35"/>
    <row r="34" spans="2:18" ht="19.5" customHeight="1" x14ac:dyDescent="0.35"/>
    <row r="35" spans="2:18" ht="19.5" customHeight="1" x14ac:dyDescent="0.35"/>
    <row r="36" spans="2:18" ht="19.5" customHeight="1" x14ac:dyDescent="0.35"/>
    <row r="37" spans="2:18" ht="19.5" customHeight="1" x14ac:dyDescent="0.35"/>
    <row r="38" spans="2:18" ht="19.5" customHeight="1" x14ac:dyDescent="0.35"/>
    <row r="39" spans="2:18" ht="19.5" customHeight="1" x14ac:dyDescent="0.35"/>
    <row r="40" spans="2:18" ht="19.5" customHeight="1" x14ac:dyDescent="0.45">
      <c r="L40" s="118"/>
      <c r="M40" s="105"/>
      <c r="N40" s="105"/>
      <c r="O40" s="105"/>
      <c r="P40" s="105"/>
      <c r="Q40" s="105"/>
      <c r="R40" s="105"/>
    </row>
    <row r="41" spans="2:18" ht="19.5" customHeight="1" x14ac:dyDescent="0.35">
      <c r="L41" s="57"/>
      <c r="M41" s="57"/>
      <c r="N41" s="57"/>
      <c r="O41" s="57"/>
      <c r="P41" s="57"/>
      <c r="Q41" s="57"/>
    </row>
    <row r="42" spans="2:18" ht="19.5" customHeight="1" x14ac:dyDescent="0.35">
      <c r="J42" s="122"/>
      <c r="K42" s="105"/>
      <c r="L42" s="105"/>
      <c r="M42" s="105"/>
      <c r="N42" s="105"/>
      <c r="O42" s="105"/>
      <c r="P42" s="105"/>
      <c r="Q42" s="105"/>
    </row>
    <row r="43" spans="2:18" ht="19.5" customHeight="1" x14ac:dyDescent="0.35">
      <c r="B43" s="58"/>
      <c r="C43" s="58"/>
      <c r="D43" s="58"/>
      <c r="E43" s="58"/>
      <c r="F43" s="58"/>
      <c r="G43" s="58"/>
      <c r="H43" s="58"/>
      <c r="J43" s="59"/>
      <c r="K43" s="59"/>
      <c r="L43" s="59"/>
      <c r="M43" s="59"/>
      <c r="N43" s="59"/>
      <c r="O43" s="59"/>
      <c r="P43" s="59"/>
      <c r="Q43" s="59"/>
    </row>
    <row r="44" spans="2:18" ht="19.5" customHeight="1" x14ac:dyDescent="0.35">
      <c r="E44" s="60"/>
      <c r="F44" s="60"/>
      <c r="G44" s="60"/>
    </row>
    <row r="45" spans="2:18" ht="19.5" customHeight="1" x14ac:dyDescent="0.35">
      <c r="E45" s="60"/>
      <c r="F45" s="60"/>
      <c r="G45" s="60"/>
    </row>
    <row r="46" spans="2:18" ht="19.5" customHeight="1" x14ac:dyDescent="0.35">
      <c r="E46" s="60"/>
      <c r="F46" s="60"/>
      <c r="G46" s="60"/>
    </row>
    <row r="47" spans="2:18" ht="19.5" customHeight="1" x14ac:dyDescent="0.35">
      <c r="E47" s="60"/>
      <c r="F47" s="60"/>
      <c r="G47" s="60"/>
    </row>
    <row r="48" spans="2:18" ht="19.5" customHeight="1" x14ac:dyDescent="0.35">
      <c r="E48" s="60"/>
      <c r="F48" s="60"/>
      <c r="G48" s="60"/>
    </row>
    <row r="49" spans="1:17" ht="19.5" customHeight="1" x14ac:dyDescent="0.35">
      <c r="E49" s="60"/>
      <c r="F49" s="60"/>
      <c r="G49" s="60"/>
    </row>
    <row r="50" spans="1:17" ht="19.5" customHeight="1" x14ac:dyDescent="0.35">
      <c r="E50" s="60"/>
      <c r="F50" s="60"/>
      <c r="G50" s="60"/>
    </row>
    <row r="51" spans="1:17" ht="19.5" customHeight="1" x14ac:dyDescent="0.35">
      <c r="E51" s="60"/>
      <c r="F51" s="60"/>
      <c r="G51" s="60"/>
    </row>
    <row r="52" spans="1:17" ht="19.5" customHeight="1" x14ac:dyDescent="0.35">
      <c r="E52" s="60"/>
      <c r="F52" s="60"/>
      <c r="G52" s="60"/>
    </row>
    <row r="53" spans="1:17" ht="19.5" customHeight="1" x14ac:dyDescent="0.35">
      <c r="E53" s="60"/>
      <c r="F53" s="60"/>
      <c r="G53" s="60"/>
    </row>
    <row r="54" spans="1:17" ht="19.5" customHeight="1" x14ac:dyDescent="0.35"/>
    <row r="55" spans="1:17" ht="19.5" customHeight="1" x14ac:dyDescent="0.35"/>
    <row r="56" spans="1:17" ht="4.5" customHeight="1" x14ac:dyDescent="0.35"/>
    <row r="57" spans="1:17" ht="4.5" customHeight="1" x14ac:dyDescent="0.35"/>
    <row r="58" spans="1:17" ht="4.5" customHeight="1" x14ac:dyDescent="0.35"/>
    <row r="59" spans="1:17" ht="4.5" customHeight="1" x14ac:dyDescent="0.35"/>
    <row r="60" spans="1:17" ht="4.5" customHeight="1" x14ac:dyDescent="0.35"/>
    <row r="61" spans="1:17" ht="4.5" customHeight="1" x14ac:dyDescent="0.35"/>
    <row r="62" spans="1:17" ht="4.5" customHeight="1" x14ac:dyDescent="0.45">
      <c r="A62" s="152" t="s">
        <v>279</v>
      </c>
      <c r="B62" s="105"/>
      <c r="C62" s="105"/>
      <c r="D62" s="105"/>
      <c r="E62" s="105"/>
      <c r="F62" s="105"/>
      <c r="G62" s="105"/>
      <c r="H62" s="105"/>
      <c r="J62" s="157" t="s">
        <v>280</v>
      </c>
      <c r="K62" s="105"/>
      <c r="L62" s="105"/>
      <c r="M62" s="105"/>
      <c r="N62" s="105"/>
      <c r="O62" s="105"/>
      <c r="P62" s="105"/>
      <c r="Q62" s="105"/>
    </row>
    <row r="63" spans="1:17" ht="4.5" customHeight="1" x14ac:dyDescent="0.35">
      <c r="A63" s="61" t="s">
        <v>233</v>
      </c>
      <c r="B63" s="61" t="s">
        <v>281</v>
      </c>
      <c r="C63" s="61" t="s">
        <v>282</v>
      </c>
      <c r="D63" s="61" t="s">
        <v>283</v>
      </c>
      <c r="E63" s="61" t="s">
        <v>247</v>
      </c>
      <c r="F63" s="61" t="s">
        <v>246</v>
      </c>
      <c r="G63" s="61" t="s">
        <v>284</v>
      </c>
      <c r="H63" s="61" t="s">
        <v>285</v>
      </c>
      <c r="J63" s="62" t="s">
        <v>233</v>
      </c>
      <c r="K63" s="62" t="s">
        <v>286</v>
      </c>
      <c r="L63" s="62" t="s">
        <v>287</v>
      </c>
      <c r="M63" s="62" t="s">
        <v>288</v>
      </c>
      <c r="N63" s="62" t="s">
        <v>289</v>
      </c>
      <c r="O63" s="62" t="s">
        <v>235</v>
      </c>
      <c r="P63" s="62" t="s">
        <v>290</v>
      </c>
      <c r="Q63" s="62" t="s">
        <v>291</v>
      </c>
    </row>
    <row r="64" spans="1:17" ht="4.5" customHeight="1" x14ac:dyDescent="0.35">
      <c r="A64" s="63" t="str">
        <f ca="1">'Watchlist Ratings'!B4</f>
        <v>VEEV</v>
      </c>
      <c r="B64" s="64">
        <f ca="1">'Watchlist Ratings'!G4</f>
        <v>245.75</v>
      </c>
      <c r="C64" s="64">
        <f ca="1">'Watchlist Ratings'!BJ4</f>
        <v>210.28260322217045</v>
      </c>
      <c r="D64" s="64">
        <f ca="1">'Watchlist Ratings'!BK4</f>
        <v>651.6304458232504</v>
      </c>
      <c r="E64" s="65">
        <f ca="1">'Watchlist Ratings'!BL4</f>
        <v>-3.0691628302968677E-2</v>
      </c>
      <c r="F64" s="65">
        <f ca="1">'Watchlist Ratings'!BM4</f>
        <v>0.21535056770391781</v>
      </c>
      <c r="G64" s="65">
        <f t="shared" ref="G64:G71" ca="1" si="0">F64-E64</f>
        <v>0.24604219600688648</v>
      </c>
      <c r="H64" s="63" t="str">
        <f t="shared" ref="H64:H71" ca="1" si="1">IF(E64&gt;0,"🟢 BUY",IF(E64&gt;-0.05,"🟡 HOLD","🔴 PASS"))</f>
        <v>🟡 HOLD</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35">
      <c r="A65" s="63" t="str">
        <f ca="1">'Watchlist Ratings'!B5</f>
        <v>MSFT</v>
      </c>
      <c r="B65" s="64">
        <f ca="1">'Watchlist Ratings'!G5</f>
        <v>491.01499999999999</v>
      </c>
      <c r="C65" s="64">
        <f ca="1">'Watchlist Ratings'!BJ5</f>
        <v>395.4657873597157</v>
      </c>
      <c r="D65" s="64">
        <f ca="1">'Watchlist Ratings'!BK5</f>
        <v>893.74571159423317</v>
      </c>
      <c r="E65" s="65">
        <f ca="1">'Watchlist Ratings'!BL5</f>
        <v>-4.2358779191663531E-2</v>
      </c>
      <c r="F65" s="65">
        <f ca="1">'Watchlist Ratings'!BM5</f>
        <v>0.12725933974662795</v>
      </c>
      <c r="G65" s="65">
        <f t="shared" ca="1" si="0"/>
        <v>0.16961811893829148</v>
      </c>
      <c r="H65" s="63" t="str">
        <f t="shared" ca="1" si="1"/>
        <v>🟡 HOLD</v>
      </c>
      <c r="J65" s="63" t="str">
        <f ca="1">'Watchlist Ratings'!B5</f>
        <v>MSFT</v>
      </c>
      <c r="K65" s="66">
        <f>'Watchlist Ratings'!AM5</f>
        <v>7.57</v>
      </c>
      <c r="L65" s="67">
        <f>'Watchlist Ratings'!AF5</f>
        <v>4</v>
      </c>
      <c r="M65" s="67">
        <f>'Watchlist Ratings'!AG5</f>
        <v>14</v>
      </c>
      <c r="N65" s="67">
        <f>'Watchlist Ratings'!AK5</f>
        <v>-6</v>
      </c>
      <c r="O65" s="67">
        <f>'Watchlist Ratings'!K5</f>
        <v>8</v>
      </c>
      <c r="P65" s="67">
        <f>'Watchlist Ratings'!L5</f>
        <v>3</v>
      </c>
      <c r="Q65" s="63" t="str">
        <f t="shared" si="2"/>
        <v>🟡 MEDIO</v>
      </c>
    </row>
    <row r="66" spans="1:17" ht="4.5" customHeight="1" x14ac:dyDescent="0.35">
      <c r="A66" s="63" t="str">
        <f ca="1">'Watchlist Ratings'!B6</f>
        <v>ADYEN</v>
      </c>
      <c r="B66" s="64">
        <f ca="1">'Watchlist Ratings'!G6</f>
        <v>1079</v>
      </c>
      <c r="C66" s="64">
        <f ca="1">'Watchlist Ratings'!BJ6</f>
        <v>729.87401979891774</v>
      </c>
      <c r="D66" s="64">
        <f ca="1">'Watchlist Ratings'!BK6</f>
        <v>2829.85965903442</v>
      </c>
      <c r="E66" s="65">
        <f ca="1">'Watchlist Ratings'!BL6</f>
        <v>-7.5205385336348685E-2</v>
      </c>
      <c r="F66" s="65">
        <f ca="1">'Watchlist Ratings'!BM6</f>
        <v>0.21268691268480011</v>
      </c>
      <c r="G66" s="65">
        <f t="shared" ca="1" si="0"/>
        <v>0.2878922980211488</v>
      </c>
      <c r="H66" s="63" t="str">
        <f t="shared" ca="1" si="1"/>
        <v>🔴 PASS</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35">
      <c r="A67" s="63" t="str">
        <f ca="1">'Watchlist Ratings'!B7</f>
        <v>BN</v>
      </c>
      <c r="B67" s="64">
        <f ca="1">'Watchlist Ratings'!G7</f>
        <v>42.12</v>
      </c>
      <c r="C67" s="64">
        <f ca="1">'Watchlist Ratings'!BJ7</f>
        <v>45.66736611995114</v>
      </c>
      <c r="D67" s="64">
        <f ca="1">'Watchlist Ratings'!BK7</f>
        <v>113.25229463500978</v>
      </c>
      <c r="E67" s="65">
        <f ca="1">'Watchlist Ratings'!BL7</f>
        <v>1.6303731954826928E-2</v>
      </c>
      <c r="F67" s="65">
        <f ca="1">'Watchlist Ratings'!BM7</f>
        <v>0.21874186412022789</v>
      </c>
      <c r="G67" s="65">
        <f t="shared" ca="1" si="0"/>
        <v>0.20243813216540096</v>
      </c>
      <c r="H67" s="63" t="str">
        <f t="shared" ca="1" si="1"/>
        <v>🟢 BUY</v>
      </c>
      <c r="J67" s="63" t="str">
        <f ca="1">'Watchlist Ratings'!B7</f>
        <v>BN</v>
      </c>
      <c r="K67" s="66">
        <f>'Watchlist Ratings'!AM7</f>
        <v>7.71</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35">
      <c r="A68" s="63" t="str">
        <f ca="1">'Watchlist Ratings'!B8</f>
        <v>COST</v>
      </c>
      <c r="B68" s="64">
        <f ca="1">'Watchlist Ratings'!G8</f>
        <v>961.36</v>
      </c>
      <c r="C68" s="64">
        <f ca="1">'Watchlist Ratings'!BJ8</f>
        <v>745.02772173100504</v>
      </c>
      <c r="D68" s="64">
        <f ca="1">'Watchlist Ratings'!BK8</f>
        <v>1445.8278501700645</v>
      </c>
      <c r="E68" s="65">
        <f ca="1">'Watchlist Ratings'!BL8</f>
        <v>-4.9707554230484341E-2</v>
      </c>
      <c r="F68" s="65">
        <f ca="1">'Watchlist Ratings'!BM8</f>
        <v>8.5040896509370301E-2</v>
      </c>
      <c r="G68" s="65">
        <f t="shared" ca="1" si="0"/>
        <v>0.13474845073985464</v>
      </c>
      <c r="H68" s="63" t="str">
        <f t="shared" ca="1" si="1"/>
        <v>🟡 HOLD</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35">
      <c r="A69" s="63" t="str">
        <f ca="1">'Watchlist Ratings'!B9</f>
        <v>DSGX</v>
      </c>
      <c r="B69" s="64">
        <f ca="1">'Watchlist Ratings'!G9</f>
        <v>77.48</v>
      </c>
      <c r="C69" s="64">
        <f ca="1">'Watchlist Ratings'!BJ9</f>
        <v>64.129191910771823</v>
      </c>
      <c r="D69" s="64">
        <f ca="1">'Watchlist Ratings'!BK9</f>
        <v>190.31994663158585</v>
      </c>
      <c r="E69" s="65">
        <f ca="1">'Watchlist Ratings'!BL9</f>
        <v>-3.7117638736870018E-2</v>
      </c>
      <c r="F69" s="65">
        <f ca="1">'Watchlist Ratings'!BM9</f>
        <v>0.19690295456465767</v>
      </c>
      <c r="G69" s="65">
        <f t="shared" ca="1" si="0"/>
        <v>0.23402059330152769</v>
      </c>
      <c r="H69" s="63" t="str">
        <f t="shared" ca="1" si="1"/>
        <v>🟡 HOLD</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35">
      <c r="A70" s="63" t="str">
        <f ca="1">'Watchlist Ratings'!B10</f>
        <v>RAA</v>
      </c>
      <c r="B70" s="64">
        <f ca="1">'Watchlist Ratings'!G10</f>
        <v>633.5</v>
      </c>
      <c r="C70" s="64">
        <f ca="1">'Watchlist Ratings'!BJ10</f>
        <v>460.86191732629732</v>
      </c>
      <c r="D70" s="64">
        <f ca="1">'Watchlist Ratings'!BK10</f>
        <v>1160.3342128408092</v>
      </c>
      <c r="E70" s="65">
        <f ca="1">'Watchlist Ratings'!BL10</f>
        <v>-6.165003828172777E-2</v>
      </c>
      <c r="F70" s="65">
        <f ca="1">'Watchlist Ratings'!BM10</f>
        <v>0.12867081613737774</v>
      </c>
      <c r="G70" s="65">
        <f t="shared" ca="1" si="0"/>
        <v>0.19032085441910551</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35">
      <c r="A71" s="63" t="str">
        <f ca="1">'Watchlist Ratings'!B11</f>
        <v>ZS</v>
      </c>
      <c r="B71" s="64">
        <f ca="1">'Watchlist Ratings'!G11</f>
        <v>168.54</v>
      </c>
      <c r="C71" s="64">
        <f ca="1">'Watchlist Ratings'!BJ11</f>
        <v>149.03267897062327</v>
      </c>
      <c r="D71" s="64">
        <f ca="1">'Watchlist Ratings'!BK11</f>
        <v>534.04407285904665</v>
      </c>
      <c r="E71" s="65">
        <f ca="1">'Watchlist Ratings'!BL11</f>
        <v>-2.430135078832063E-2</v>
      </c>
      <c r="F71" s="65">
        <f ca="1">'Watchlist Ratings'!BM11</f>
        <v>0.25943228470250812</v>
      </c>
      <c r="G71" s="65">
        <f t="shared" ca="1" si="0"/>
        <v>0.28373363549082875</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35">
      <c r="A72" s="148" t="str">
        <f ca="1">'Watchlist Ratings'!B12</f>
        <v>NTO</v>
      </c>
      <c r="B72" s="116"/>
      <c r="C72" s="116"/>
      <c r="D72" s="116"/>
      <c r="E72" s="116"/>
      <c r="F72" s="116"/>
      <c r="G72" s="116"/>
      <c r="H72" s="116"/>
      <c r="I72" s="117"/>
      <c r="J72" s="115" t="str">
        <f ca="1">'Watchlist Ratings'!B12</f>
        <v>NTO</v>
      </c>
      <c r="K72" s="116"/>
      <c r="L72" s="116"/>
      <c r="M72" s="116"/>
      <c r="N72" s="116"/>
      <c r="O72" s="116"/>
      <c r="P72" s="116"/>
      <c r="Q72" s="117"/>
    </row>
    <row r="73" spans="1:17" ht="19.5" customHeight="1" x14ac:dyDescent="0.35">
      <c r="A73" s="68" t="str">
        <f ca="1">'Watchlist Ratings'!B13</f>
        <v>AMZN</v>
      </c>
      <c r="B73" s="69">
        <f ca="1">'Watchlist Ratings'!G13</f>
        <v>260.75</v>
      </c>
      <c r="C73" s="69">
        <f ca="1">'Watchlist Ratings'!BJ13</f>
        <v>190.34025537927243</v>
      </c>
      <c r="D73" s="69">
        <f ca="1">'Watchlist Ratings'!BK13</f>
        <v>444.48184782376921</v>
      </c>
      <c r="E73" s="70">
        <f ca="1">'Watchlist Ratings'!BL13</f>
        <v>-6.1009353645609887E-2</v>
      </c>
      <c r="F73" s="70">
        <f ca="1">'Watchlist Ratings'!BM13</f>
        <v>0.11256640658534334</v>
      </c>
      <c r="G73" s="70">
        <f ca="1">F73-E73</f>
        <v>0.17357576023095322</v>
      </c>
      <c r="H73" s="71" t="str">
        <f ca="1">IF(E73&gt;0,"🟢 BUY",IF(E73&gt;-0.05,"🟡 HOLD","🔴 PASS"))</f>
        <v>🔴 PASS</v>
      </c>
      <c r="J73" s="72" t="str">
        <f ca="1">'Watchlist Ratings'!B13</f>
        <v>AMZN</v>
      </c>
      <c r="K73" s="73">
        <f>'Watchlist Ratings'!AM13</f>
        <v>7.14</v>
      </c>
      <c r="L73" s="74">
        <f>'Watchlist Ratings'!AF13</f>
        <v>3</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35">
      <c r="A74" s="75" t="s">
        <v>249</v>
      </c>
      <c r="B74" s="76" t="str">
        <f ca="1">VLOOKUP(A74,'Watchlist Ratings'!$B$4:$BM$71,4,FALSE())</f>
        <v>XNYS</v>
      </c>
      <c r="C74" s="76">
        <f ca="1">VLOOKUP(A74,'Watchlist Ratings'!$B$4:$BM$71,59,FALSE())</f>
        <v>18</v>
      </c>
      <c r="D74" s="76">
        <f ca="1">VLOOKUP(A74,'Watchlist Ratings'!$B$4:$BM$71,60,FALSE())</f>
        <v>30</v>
      </c>
      <c r="E74" s="77">
        <f ca="1">VLOOKUP(A74,'Watchlist Ratings'!$B$4:$BM$71,61,FALSE())</f>
        <v>210.28260322217045</v>
      </c>
      <c r="F74" s="77">
        <f ca="1">VLOOKUP(A74,'Watchlist Ratings'!$B$4:$BM$71,64,FALSE())</f>
        <v>0.21535056770391781</v>
      </c>
      <c r="G74" s="77">
        <f ca="1">F74-E74</f>
        <v>-210.06725265446653</v>
      </c>
      <c r="H74" s="75" t="str">
        <f ca="1">IF(E74&gt;0,"🟢 BUY",IF(E74&gt;-0.05,"🟡 HOLD","🔴 PASS"))</f>
        <v>🟢 BUY</v>
      </c>
      <c r="J74" s="78" t="s">
        <v>249</v>
      </c>
      <c r="K74" s="78">
        <f ca="1">VLOOKUP(J74,'Watchlist Ratings'!$B$4:$BM$71,36,FALSE())</f>
        <v>-5</v>
      </c>
      <c r="L74" s="78">
        <f ca="1">VLOOKUP(J74,'Watchlist Ratings'!$B$4:$BM$71,29,FALSE())</f>
        <v>14</v>
      </c>
      <c r="M74" s="78">
        <f ca="1">VLOOKUP(J74,'Watchlist Ratings'!$B$4:$BM$71,30,FALSE())</f>
        <v>0</v>
      </c>
      <c r="N74" s="78">
        <f ca="1">VLOOKUP(J74,'Watchlist Ratings'!$B$4:$BM$71,34,FALSE())</f>
        <v>8</v>
      </c>
      <c r="O74" s="78">
        <f ca="1">VLOOKUP(J74,'Watchlist Ratings'!$B$4:$BM$71,8,FALSE())</f>
        <v>39920.440974999998</v>
      </c>
      <c r="P74" s="78">
        <f ca="1">VLOOKUP(J74,'Watchlist Ratings'!$B$4:$BM$71,9,FALSE())</f>
        <v>1.5</v>
      </c>
      <c r="Q74" s="78" t="str">
        <f ca="1">IF(K74&gt;=8.5,"🟢 ALTO",IF(K74&gt;=7.5,"🟡 MEDIO","🔴 BAJO"))</f>
        <v>🔴 BAJO</v>
      </c>
    </row>
    <row r="75" spans="1:17" ht="19.5" customHeight="1" x14ac:dyDescent="0.35">
      <c r="A75" s="79" t="s">
        <v>253</v>
      </c>
      <c r="B75" s="80" t="str">
        <f ca="1">VLOOKUP(A75,'Watchlist Ratings'!$B$4:$BM$71,4,FALSE())</f>
        <v>XNAS</v>
      </c>
      <c r="C75" s="80">
        <f ca="1">VLOOKUP(A75,'Watchlist Ratings'!$B$4:$BM$71,59,FALSE())</f>
        <v>20</v>
      </c>
      <c r="D75" s="80">
        <f ca="1">VLOOKUP(A75,'Watchlist Ratings'!$B$4:$BM$71,60,FALSE())</f>
        <v>30</v>
      </c>
      <c r="E75" s="81">
        <f ca="1">VLOOKUP(A75,'Watchlist Ratings'!$B$4:$BM$71,61,FALSE())</f>
        <v>395.4657873597157</v>
      </c>
      <c r="F75" s="81">
        <f ca="1">VLOOKUP(A75,'Watchlist Ratings'!$B$4:$BM$71,64,FALSE())</f>
        <v>0.12725933974662795</v>
      </c>
      <c r="G75" s="81">
        <f ca="1">F75-E75</f>
        <v>-395.33852801996909</v>
      </c>
      <c r="H75" s="79" t="str">
        <f ca="1">IF(E75&gt;0,"🟢 BUY",IF(E75&gt;-0.05,"🟡 HOLD","🔴 PASS"))</f>
        <v>🟢 BUY</v>
      </c>
      <c r="J75" s="79" t="s">
        <v>253</v>
      </c>
      <c r="K75" s="79">
        <f ca="1">VLOOKUP(J75,'Watchlist Ratings'!$B$4:$BM$71,36,FALSE())</f>
        <v>-6</v>
      </c>
      <c r="L75" s="79">
        <f ca="1">VLOOKUP(J75,'Watchlist Ratings'!$B$4:$BM$71,29,FALSE())</f>
        <v>14</v>
      </c>
      <c r="M75" s="79">
        <f ca="1">VLOOKUP(J75,'Watchlist Ratings'!$B$4:$BM$71,30,FALSE())</f>
        <v>0</v>
      </c>
      <c r="N75" s="79">
        <f ca="1">VLOOKUP(J75,'Watchlist Ratings'!$B$4:$BM$71,34,FALSE())</f>
        <v>9</v>
      </c>
      <c r="O75" s="79">
        <f ca="1">VLOOKUP(J75,'Watchlist Ratings'!$B$4:$BM$71,8,FALSE())</f>
        <v>3646053.9781749998</v>
      </c>
      <c r="P75" s="79">
        <f ca="1">VLOOKUP(J75,'Watchlist Ratings'!$B$4:$BM$71,9,FALSE())</f>
        <v>1</v>
      </c>
      <c r="Q75" s="79" t="str">
        <f ca="1">IF(K75&gt;=8.5,"🟢 ALTO",IF(K75&gt;=7.5,"🟡 MEDIO","🔴 BAJO"))</f>
        <v>🔴 BAJO</v>
      </c>
    </row>
    <row r="76" spans="1:17" ht="19.5" customHeight="1" x14ac:dyDescent="0.45">
      <c r="A76" s="168" t="s">
        <v>292</v>
      </c>
      <c r="B76" s="105"/>
      <c r="C76" s="105"/>
      <c r="D76" s="105"/>
      <c r="E76" s="105"/>
      <c r="F76" s="105"/>
      <c r="G76" s="105"/>
      <c r="H76" s="105"/>
      <c r="I76" s="105"/>
      <c r="J76" s="105"/>
      <c r="K76" s="105"/>
      <c r="L76" s="105"/>
      <c r="M76" s="105"/>
      <c r="N76" s="105"/>
      <c r="O76" s="105"/>
      <c r="P76" s="105"/>
      <c r="Q76" s="105"/>
    </row>
    <row r="77" spans="1:17" ht="19.5" customHeight="1" x14ac:dyDescent="0.35">
      <c r="A77" s="79" t="s">
        <v>260</v>
      </c>
      <c r="B77" s="80" t="str">
        <f ca="1">VLOOKUP(A77,'Watchlist Ratings'!$B$4:$BM$71,4,FALSE())</f>
        <v>XNYS</v>
      </c>
      <c r="C77" s="80">
        <f ca="1">VLOOKUP(A77,'Watchlist Ratings'!$B$4:$BM$71,59,FALSE())</f>
        <v>17.5</v>
      </c>
      <c r="D77" s="80">
        <f ca="1">VLOOKUP(A77,'Watchlist Ratings'!$B$4:$BM$71,60,FALSE())</f>
        <v>25</v>
      </c>
      <c r="E77" s="81">
        <f ca="1">VLOOKUP(A77,'Watchlist Ratings'!$B$4:$BM$71,61,FALSE())</f>
        <v>45.66736611995114</v>
      </c>
      <c r="F77" s="81">
        <f ca="1">VLOOKUP(A77,'Watchlist Ratings'!$B$4:$BM$71,64,FALSE())</f>
        <v>0.21874186412022789</v>
      </c>
      <c r="G77" s="81">
        <f ca="1">F77-E77</f>
        <v>-45.448624255830914</v>
      </c>
      <c r="H77" s="79" t="str">
        <f ca="1">IF(E77&gt;0,"🟢 BUY",IF(E77&gt;-0.05,"🟡 HOLD","🔴 PASS"))</f>
        <v>🟢 BUY</v>
      </c>
      <c r="J77" s="79" t="s">
        <v>260</v>
      </c>
      <c r="K77" s="79">
        <f ca="1">VLOOKUP(J77,'Watchlist Ratings'!$B$4:$BM$71,36,FALSE())</f>
        <v>-5</v>
      </c>
      <c r="L77" s="79">
        <f ca="1">VLOOKUP(J77,'Watchlist Ratings'!$B$4:$BM$71,29,FALSE())</f>
        <v>14</v>
      </c>
      <c r="M77" s="79">
        <f ca="1">VLOOKUP(J77,'Watchlist Ratings'!$B$4:$BM$71,30,FALSE())</f>
        <v>-1</v>
      </c>
      <c r="N77" s="79">
        <f ca="1">VLOOKUP(J77,'Watchlist Ratings'!$B$4:$BM$71,34,FALSE())</f>
        <v>10</v>
      </c>
      <c r="O77" s="79">
        <f ca="1">VLOOKUP(J77,'Watchlist Ratings'!$B$4:$BM$71,8,FALSE())</f>
        <v>103274.65979999999</v>
      </c>
      <c r="P77" s="79">
        <f ca="1">VLOOKUP(J77,'Watchlist Ratings'!$B$4:$BM$71,9,FALSE())</f>
        <v>1</v>
      </c>
      <c r="Q77" s="79" t="str">
        <f ca="1">IF(K77&gt;=8.5,"🟢 ALTO",IF(K77&gt;=7.5,"🟡 MEDIO","🔴 BAJO"))</f>
        <v>🔴 BAJO</v>
      </c>
    </row>
    <row r="78" spans="1:17" ht="19.5" customHeight="1" x14ac:dyDescent="0.35">
      <c r="A78" s="135" t="s">
        <v>293</v>
      </c>
      <c r="B78" s="124"/>
      <c r="C78" s="174" t="s">
        <v>294</v>
      </c>
      <c r="D78" s="124"/>
      <c r="E78" s="164" t="s">
        <v>295</v>
      </c>
      <c r="F78" s="124"/>
      <c r="G78" s="164" t="s">
        <v>296</v>
      </c>
      <c r="H78" s="124"/>
      <c r="I78" s="171" t="s">
        <v>297</v>
      </c>
      <c r="J78" s="105"/>
      <c r="K78" s="135" t="s">
        <v>298</v>
      </c>
      <c r="L78" s="124"/>
      <c r="M78" s="135" t="s">
        <v>299</v>
      </c>
      <c r="N78" s="124"/>
      <c r="O78" s="135" t="s">
        <v>300</v>
      </c>
      <c r="P78" s="124"/>
      <c r="Q78" s="82" t="str">
        <f>IF(K78&gt;=8.5,"🟢 ALTO",IF(K78&gt;=7.5,"🟡 MEDIO","🔴 BAJO"))</f>
        <v>🟢 ALTO</v>
      </c>
    </row>
    <row r="79" spans="1:17" ht="19.5" customHeight="1" x14ac:dyDescent="0.35">
      <c r="A79" s="123" t="str">
        <f ca="1">INDEX('Watchlist Ratings'!B:B,MATCH(MAX('Watchlist Ratings'!AN:AN),'Watchlist Ratings'!AN:AN,0))</f>
        <v>CSU</v>
      </c>
      <c r="B79" s="124"/>
      <c r="C79" s="125" t="str">
        <f ca="1">INDEX('Watchlist Ratings'!B:B,MATCH(MAX('Watchlist Ratings'!BM:BM),'Watchlist Ratings'!BM:BM,0))</f>
        <v>KSPI</v>
      </c>
      <c r="D79" s="124"/>
      <c r="E79" s="126" t="str">
        <f ca="1">INDEX('Watchlist Ratings'!B:B,MATCH(MAX('Watchlist Ratings'!BC:BC),'Watchlist Ratings'!BC:BC,0))</f>
        <v>NVDA</v>
      </c>
      <c r="F79" s="124"/>
      <c r="G79" s="126" t="str">
        <f ca="1">INDEX('Watchlist Ratings'!B:B,MATCH(MAX('Watchlist Ratings'!K:K),'Watchlist Ratings'!K:K,0))</f>
        <v>VEEV</v>
      </c>
      <c r="H79" s="124"/>
      <c r="I79" s="156" t="str">
        <f ca="1">INDEX('Watchlist Ratings'!B:B,MATCH(MAX('Watchlist Ratings'!L:L),'Watchlist Ratings'!L:L,0))</f>
        <v>MSFT</v>
      </c>
      <c r="J79" s="105"/>
      <c r="K79" s="123" t="str">
        <f ca="1">INDEX('Watchlist Ratings'!B:B,MATCH(MAX('Watchlist Ratings'!AM:AM),'Watchlist Ratings'!AM:AM,0))</f>
        <v>DSGX</v>
      </c>
      <c r="L79" s="124"/>
      <c r="M79" s="123" t="str">
        <f t="array" aca="1" ref="M79" ca="1">INDEX('Watchlist Ratings'!B:B,MATCH(MIN('Watchlist Ratings'!AW4:AW64),'Watchlist Ratings'!AW4:AW64,0)+3)</f>
        <v>OTLY</v>
      </c>
      <c r="N79" s="124"/>
      <c r="O79" s="123" t="str">
        <f t="array" aca="1" ref="O79" ca="1">INDEX('Watchlist Ratings'!B:B,MATCH(MAX('Watchlist Ratings'!BM4:BM64-'Watchlist Ratings'!BL4:BL64),'Watchlist Ratings'!BM4:BM64-'Watchlist Ratings'!BL4:BL64,0)+3)</f>
        <v>OTLY</v>
      </c>
      <c r="P79" s="124"/>
      <c r="Q79" s="79" t="str">
        <f ca="1">IF(K79&gt;=8.5,"🟢 ALTO",IF(K79&gt;=7.5,"🟡 MEDIO","🔴 BAJO"))</f>
        <v>🟢 ALTO</v>
      </c>
    </row>
    <row r="80" spans="1:17" ht="19.5" customHeight="1" x14ac:dyDescent="0.35">
      <c r="A80" s="162">
        <f>MAX('Watchlist Ratings'!AN:AN)</f>
        <v>8.4499999999999993</v>
      </c>
      <c r="B80" s="124"/>
      <c r="C80" s="163">
        <f ca="1">MAX('Watchlist Ratings'!BM:BM)</f>
        <v>0.34705971061379648</v>
      </c>
      <c r="D80" s="124"/>
      <c r="E80" s="166">
        <f>MAX('Watchlist Ratings'!BC:BC)</f>
        <v>0.63420845122686575</v>
      </c>
      <c r="F80" s="124"/>
      <c r="G80" s="166" t="str">
        <f>MAX('Watchlist Ratings'!K:K)&amp;"/8"</f>
        <v>8/8</v>
      </c>
      <c r="H80" s="124"/>
      <c r="I80" s="128" t="str">
        <f>MAX('Watchlist Ratings'!L:L)&amp;"/3"</f>
        <v>3/3</v>
      </c>
      <c r="J80" s="105"/>
      <c r="K80" s="129">
        <f>MAX('Watchlist Ratings'!AM:AM)</f>
        <v>8.7100000000000009</v>
      </c>
      <c r="L80" s="124"/>
      <c r="M80" s="129" t="str">
        <f ca="1">MIN('Watchlist Ratings'!AW4:AW64)&amp;"x"</f>
        <v>-45.7275547716895x</v>
      </c>
      <c r="N80" s="124"/>
      <c r="O80" s="129" t="str">
        <f t="array" aca="1" ref="O80" ca="1">TEXT(MAX('Watchlist Ratings'!BM4:BM64-'Watchlist Ratings'!BL4:BL64),"0.0%")</f>
        <v>120.6%</v>
      </c>
      <c r="P80" s="124"/>
      <c r="Q80" s="82" t="str">
        <f>IF(K80&gt;=8.5,"🟢 ALTO",IF(K80&gt;=7.5,"🟡 MEDIO","🔴 BAJO"))</f>
        <v>🟢 ALTO</v>
      </c>
    </row>
    <row r="81" spans="1:17" ht="19.5" customHeight="1" x14ac:dyDescent="0.35">
      <c r="A81" s="79" t="s">
        <v>255</v>
      </c>
      <c r="B81" s="80" t="str">
        <f ca="1">VLOOKUP(A81,'Watchlist Ratings'!$B$4:$BM$71,4,FALSE())</f>
        <v>XNAS</v>
      </c>
      <c r="C81" s="80">
        <f ca="1">VLOOKUP(A81,'Watchlist Ratings'!$B$4:$BM$71,59,FALSE())</f>
        <v>20</v>
      </c>
      <c r="D81" s="80">
        <f ca="1">VLOOKUP(A81,'Watchlist Ratings'!$B$4:$BM$71,60,FALSE())</f>
        <v>30</v>
      </c>
      <c r="E81" s="81">
        <f ca="1">VLOOKUP(A81,'Watchlist Ratings'!$B$4:$BM$71,61,FALSE())</f>
        <v>149.03267897062327</v>
      </c>
      <c r="F81" s="81">
        <f ca="1">VLOOKUP(A81,'Watchlist Ratings'!$B$4:$BM$71,64,FALSE())</f>
        <v>0.25943228470250812</v>
      </c>
      <c r="G81" s="81">
        <f ca="1">F81-E81</f>
        <v>-148.77324668592075</v>
      </c>
      <c r="H81" s="79" t="str">
        <f ca="1">IF(E81&gt;0,"🟢 BUY",IF(E81&gt;-0.05,"🟡 HOLD","🔴 PASS"))</f>
        <v>🟢 BUY</v>
      </c>
      <c r="J81" s="79" t="s">
        <v>255</v>
      </c>
      <c r="K81" s="79">
        <f ca="1">VLOOKUP(J81,'Watchlist Ratings'!$B$4:$BM$71,36,FALSE())</f>
        <v>-5</v>
      </c>
      <c r="L81" s="79">
        <f ca="1">VLOOKUP(J81,'Watchlist Ratings'!$B$4:$BM$71,29,FALSE())</f>
        <v>13</v>
      </c>
      <c r="M81" s="79">
        <f ca="1">VLOOKUP(J81,'Watchlist Ratings'!$B$4:$BM$71,30,FALSE())</f>
        <v>-2</v>
      </c>
      <c r="N81" s="79">
        <f ca="1">VLOOKUP(J81,'Watchlist Ratings'!$B$4:$BM$71,34,FALSE())</f>
        <v>9</v>
      </c>
      <c r="O81" s="79">
        <f ca="1">VLOOKUP(J81,'Watchlist Ratings'!$B$4:$BM$71,8,FALSE())</f>
        <v>27254.519129999997</v>
      </c>
      <c r="P81" s="79">
        <f ca="1">VLOOKUP(J81,'Watchlist Ratings'!$B$4:$BM$71,9,FALSE())</f>
        <v>1</v>
      </c>
      <c r="Q81" s="79" t="str">
        <f ca="1">IF(K81&gt;=8.5,"🟢 ALTO",IF(K81&gt;=7.5,"🟡 MEDIO","🔴 BAJO"))</f>
        <v>🔴 BAJO</v>
      </c>
    </row>
    <row r="82" spans="1:17" ht="19.5" customHeight="1" x14ac:dyDescent="0.35">
      <c r="A82" s="130" t="s">
        <v>301</v>
      </c>
      <c r="B82" s="105"/>
      <c r="C82" s="105"/>
      <c r="D82" s="105"/>
      <c r="E82" s="105"/>
      <c r="F82" s="105"/>
      <c r="G82" s="105"/>
      <c r="H82" s="105"/>
      <c r="I82" s="105"/>
      <c r="J82" s="105"/>
      <c r="K82" s="105"/>
      <c r="L82" s="105"/>
      <c r="M82" s="105"/>
      <c r="N82" s="105"/>
      <c r="O82" s="105"/>
      <c r="P82" s="105"/>
      <c r="Q82" s="105"/>
    </row>
    <row r="83" spans="1:17" ht="19.5" customHeight="1" x14ac:dyDescent="0.35">
      <c r="A83" s="83" t="s">
        <v>250</v>
      </c>
      <c r="B83" s="84" t="str">
        <f ca="1">VLOOKUP(A83,'Watchlist Ratings'!$B$4:$BM$71,4,FALSE())</f>
        <v>XNAS</v>
      </c>
      <c r="C83" s="84">
        <f ca="1">VLOOKUP(A83,'Watchlist Ratings'!$B$4:$BM$71,59,FALSE())</f>
        <v>22.5</v>
      </c>
      <c r="D83" s="84">
        <f ca="1">VLOOKUP(A83,'Watchlist Ratings'!$B$4:$BM$71,60,FALSE())</f>
        <v>30</v>
      </c>
      <c r="E83" s="85">
        <f ca="1">VLOOKUP(A83,'Watchlist Ratings'!$B$4:$BM$71,61,FALSE())</f>
        <v>190.34025537927243</v>
      </c>
      <c r="F83" s="85">
        <f ca="1">VLOOKUP(A83,'Watchlist Ratings'!$B$4:$BM$71,64,FALSE())</f>
        <v>0.11256640658534334</v>
      </c>
      <c r="G83" s="85">
        <f ca="1">F83-E83</f>
        <v>-190.2276889726871</v>
      </c>
      <c r="H83" s="83" t="str">
        <f ca="1">IF(E83&gt;0,"🟢 BUY",IF(E83&gt;-0.05,"🟡 HOLD","🔴 PASS"))</f>
        <v>🟢 BUY</v>
      </c>
      <c r="J83" s="83" t="s">
        <v>250</v>
      </c>
      <c r="K83" s="83">
        <f ca="1">VLOOKUP(J83,'Watchlist Ratings'!$B$4:$BM$71,36,FALSE())</f>
        <v>-5</v>
      </c>
      <c r="L83" s="83">
        <f ca="1">VLOOKUP(J83,'Watchlist Ratings'!$B$4:$BM$71,29,FALSE())</f>
        <v>14</v>
      </c>
      <c r="M83" s="83">
        <f ca="1">VLOOKUP(J83,'Watchlist Ratings'!$B$4:$BM$71,30,FALSE())</f>
        <v>-1</v>
      </c>
      <c r="N83" s="83">
        <f ca="1">VLOOKUP(J83,'Watchlist Ratings'!$B$4:$BM$71,34,FALSE())</f>
        <v>8</v>
      </c>
      <c r="O83" s="83">
        <f ca="1">VLOOKUP(J83,'Watchlist Ratings'!$B$4:$BM$71,8,FALSE())</f>
        <v>2812530.3325</v>
      </c>
      <c r="P83" s="83">
        <f ca="1">VLOOKUP(J83,'Watchlist Ratings'!$B$4:$BM$71,9,FALSE())</f>
        <v>1.5</v>
      </c>
      <c r="Q83" s="83" t="str">
        <f ca="1">IF(K83&gt;=8.5,"🟢 ALTO",IF(K83&gt;=7.5,"🟡 MEDIO","🔴 BAJO"))</f>
        <v>🔴 BAJO</v>
      </c>
    </row>
    <row r="84" spans="1:17" ht="19.5" customHeight="1" x14ac:dyDescent="0.35"/>
    <row r="85" spans="1:17" ht="27.75" customHeight="1" x14ac:dyDescent="0.35">
      <c r="A85" s="155" t="s">
        <v>292</v>
      </c>
      <c r="B85" s="105"/>
      <c r="C85" s="105"/>
      <c r="D85" s="105"/>
      <c r="E85" s="105"/>
      <c r="F85" s="105"/>
      <c r="G85" s="105"/>
      <c r="H85" s="105"/>
      <c r="I85" s="105"/>
      <c r="J85" s="105"/>
      <c r="K85" s="105"/>
      <c r="L85" s="105"/>
      <c r="M85" s="105"/>
      <c r="N85" s="105"/>
      <c r="O85" s="105"/>
      <c r="P85" s="105"/>
      <c r="Q85" s="105"/>
    </row>
    <row r="86" spans="1:17" ht="19.5" customHeight="1" x14ac:dyDescent="0.35"/>
    <row r="87" spans="1:17" ht="19.5" customHeight="1" x14ac:dyDescent="0.35">
      <c r="A87" s="131" t="s">
        <v>293</v>
      </c>
      <c r="B87" s="105"/>
      <c r="C87" s="176" t="s">
        <v>294</v>
      </c>
      <c r="D87" s="105"/>
      <c r="E87" s="127" t="s">
        <v>295</v>
      </c>
      <c r="F87" s="105"/>
      <c r="G87" s="153" t="s">
        <v>296</v>
      </c>
      <c r="H87" s="105"/>
      <c r="I87" s="154" t="s">
        <v>297</v>
      </c>
      <c r="J87" s="105"/>
      <c r="K87" s="175" t="s">
        <v>298</v>
      </c>
      <c r="L87" s="105"/>
      <c r="M87" s="151" t="s">
        <v>299</v>
      </c>
      <c r="N87" s="105"/>
      <c r="O87" s="158" t="s">
        <v>300</v>
      </c>
      <c r="P87" s="105"/>
    </row>
    <row r="88" spans="1:17" ht="19.5" customHeight="1" x14ac:dyDescent="0.45">
      <c r="A88" s="121" t="str">
        <f ca="1">INDEX('Watchlist Ratings'!B$4:B$71,MATCH(MAX('Watchlist Ratings'!AN$4:AN$71),'Watchlist Ratings'!AN$4:AN$71,0))</f>
        <v>CSU</v>
      </c>
      <c r="B88" s="105"/>
      <c r="C88" s="159" t="str">
        <f ca="1">INDEX('Watchlist Ratings'!B$4:B$71,MATCH(MAX('Watchlist Ratings'!BM$4:BM$71),'Watchlist Ratings'!BM$4:BM$71,0))</f>
        <v>KSPI</v>
      </c>
      <c r="D88" s="105"/>
      <c r="E88" s="121" t="str">
        <f ca="1">INDEX('Watchlist Ratings'!B$4:B$71,MATCH(MAX('Watchlist Ratings'!BC$4:BC$71),'Watchlist Ratings'!BC$4:BC$71,0))</f>
        <v>NVDA</v>
      </c>
      <c r="F88" s="105"/>
      <c r="G88" s="121" t="str">
        <f ca="1">INDEX('Watchlist Ratings'!B$4:B$71,MATCH(MAX('Watchlist Ratings'!K$4:K$71),'Watchlist Ratings'!K$4:K$71,0))</f>
        <v>VEEV</v>
      </c>
      <c r="H88" s="105"/>
      <c r="I88" s="121" t="str">
        <f ca="1">INDEX('Watchlist Ratings'!B$4:B$71,MATCH(MAX('Watchlist Ratings'!L$4:L$71),'Watchlist Ratings'!L$4:L$71,0))</f>
        <v>MSFT</v>
      </c>
      <c r="J88" s="105"/>
      <c r="K88" s="121" t="str">
        <f ca="1">INDEX('Watchlist Ratings'!B$4:B$71,MATCH(MAX('Watchlist Ratings'!AM$4:AM$71),'Watchlist Ratings'!AM$4:AM$71,0))</f>
        <v>DSGX</v>
      </c>
      <c r="L88" s="105"/>
      <c r="M88" s="121" t="str">
        <f t="array" aca="1" ref="M88" ca="1">INDEX('Watchlist Ratings'!B$4:B$64,MATCH(MIN(IF('Watchlist Ratings'!AW$4:AW$64&gt;0,'Watchlist Ratings'!AW$4:AW$64)),IF('Watchlist Ratings'!AW$4:AW$64&gt;0,'Watchlist Ratings'!AW$4:AW$64),0))</f>
        <v>KSPI</v>
      </c>
      <c r="N88" s="105"/>
      <c r="O88" s="121" t="str">
        <f t="array" aca="1" ref="O88" ca="1">INDEX('Watchlist Ratings'!B$4:B$64,MATCH(MAX('Watchlist Ratings'!BM$4:BM$64-'Watchlist Ratings'!BL$4:BL$64),'Watchlist Ratings'!BM$4:BM$64-'Watchlist Ratings'!BL$4:BL$64,0))</f>
        <v>OTLY</v>
      </c>
      <c r="P88" s="105"/>
    </row>
    <row r="89" spans="1:17" ht="19.5" customHeight="1" x14ac:dyDescent="0.35">
      <c r="A89" s="150">
        <f>MAX('Watchlist Ratings'!AN$4:AN$71)</f>
        <v>8.4499999999999993</v>
      </c>
      <c r="B89" s="105"/>
      <c r="C89" s="120">
        <f ca="1">MAX('Watchlist Ratings'!BM$4:BM$64)</f>
        <v>0.34705971061379648</v>
      </c>
      <c r="D89" s="105"/>
      <c r="E89" s="120">
        <f>MAX('Watchlist Ratings'!BC$4:BC$71)</f>
        <v>0.63420845122686575</v>
      </c>
      <c r="F89" s="105"/>
      <c r="G89" s="114" t="str">
        <f>MAX('Watchlist Ratings'!K$4:K$71)&amp;"/8"</f>
        <v>8/8</v>
      </c>
      <c r="H89" s="105"/>
      <c r="I89" s="114" t="str">
        <f>MAX('Watchlist Ratings'!L$4:L$71)&amp;"/3"</f>
        <v>3/3</v>
      </c>
      <c r="J89" s="105"/>
      <c r="K89" s="119">
        <f>MAX('Watchlist Ratings'!AM$4:AM$71)</f>
        <v>8.7100000000000009</v>
      </c>
      <c r="L89" s="105"/>
      <c r="M89" s="114" t="str">
        <f t="array" aca="1" ref="M89" ca="1">MIN(IF('Watchlist Ratings'!AW$4:AW$64&gt;0,'Watchlist Ratings'!AW$4:AW$64))&amp;"x"</f>
        <v>9.17979049616966x</v>
      </c>
      <c r="N89" s="105"/>
      <c r="O89" s="114">
        <f t="array" aca="1" ref="O89" ca="1">MAX('Watchlist Ratings'!BM$4:BM$64-'Watchlist Ratings'!BL$4:BL$64)</f>
        <v>1.2056577915819566</v>
      </c>
      <c r="P89" s="105"/>
    </row>
    <row r="90" spans="1:17" ht="19.5" customHeight="1" x14ac:dyDescent="0.35"/>
    <row r="91" spans="1:17" ht="19.5" customHeight="1" x14ac:dyDescent="0.35">
      <c r="A91" s="170" t="s">
        <v>301</v>
      </c>
      <c r="B91" s="105"/>
      <c r="C91" s="105"/>
      <c r="D91" s="105"/>
      <c r="E91" s="105"/>
      <c r="F91" s="105"/>
      <c r="G91" s="105"/>
      <c r="H91" s="105"/>
      <c r="I91" s="105"/>
      <c r="J91" s="105"/>
      <c r="K91" s="105"/>
      <c r="L91" s="105"/>
      <c r="M91" s="105"/>
      <c r="N91" s="105"/>
      <c r="O91" s="105"/>
      <c r="P91" s="105"/>
      <c r="Q91" s="105"/>
    </row>
  </sheetData>
  <mergeCells count="86">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I89:J89"/>
    <mergeCell ref="J72:Q72"/>
    <mergeCell ref="L40:R40"/>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46"/>
  <sheetViews>
    <sheetView topLeftCell="A91" workbookViewId="0">
      <selection activeCell="E84" sqref="E84"/>
    </sheetView>
  </sheetViews>
  <sheetFormatPr baseColWidth="10" defaultColWidth="9.1796875" defaultRowHeight="14.5" x14ac:dyDescent="0.35"/>
  <cols>
    <col min="2" max="2" width="10.453125" bestFit="1" customWidth="1"/>
    <col min="3" max="3" width="27.81640625" customWidth="1"/>
    <col min="4" max="4" width="52.81640625" bestFit="1" customWidth="1"/>
    <col min="5" max="5" width="192.26953125" bestFit="1" customWidth="1"/>
  </cols>
  <sheetData>
    <row r="1" spans="1:5" x14ac:dyDescent="0.35">
      <c r="A1" t="s">
        <v>233</v>
      </c>
      <c r="B1" t="s">
        <v>302</v>
      </c>
      <c r="C1" t="s">
        <v>303</v>
      </c>
      <c r="D1" t="s">
        <v>304</v>
      </c>
      <c r="E1" t="s">
        <v>305</v>
      </c>
    </row>
    <row r="2" spans="1:5" x14ac:dyDescent="0.35">
      <c r="A2" t="s">
        <v>306</v>
      </c>
      <c r="B2" t="s">
        <v>111</v>
      </c>
      <c r="C2" t="s">
        <v>307</v>
      </c>
      <c r="D2" t="s">
        <v>308</v>
      </c>
      <c r="E2" t="s">
        <v>309</v>
      </c>
    </row>
    <row r="3" spans="1:5" x14ac:dyDescent="0.35">
      <c r="A3" t="s">
        <v>271</v>
      </c>
      <c r="B3" t="s">
        <v>111</v>
      </c>
      <c r="C3" t="s">
        <v>310</v>
      </c>
      <c r="D3" t="s">
        <v>311</v>
      </c>
      <c r="E3" t="s">
        <v>312</v>
      </c>
    </row>
    <row r="4" spans="1:5" x14ac:dyDescent="0.35">
      <c r="A4" t="s">
        <v>313</v>
      </c>
      <c r="B4" t="s">
        <v>111</v>
      </c>
      <c r="C4" t="s">
        <v>314</v>
      </c>
      <c r="D4" t="s">
        <v>315</v>
      </c>
      <c r="E4" t="s">
        <v>316</v>
      </c>
    </row>
    <row r="5" spans="1:5" x14ac:dyDescent="0.35">
      <c r="A5" t="s">
        <v>317</v>
      </c>
      <c r="B5" t="s">
        <v>111</v>
      </c>
      <c r="C5" t="s">
        <v>318</v>
      </c>
      <c r="D5" t="s">
        <v>319</v>
      </c>
      <c r="E5" t="s">
        <v>320</v>
      </c>
    </row>
    <row r="6" spans="1:5" x14ac:dyDescent="0.35">
      <c r="A6" t="s">
        <v>167</v>
      </c>
      <c r="B6" t="s">
        <v>168</v>
      </c>
      <c r="C6" t="s">
        <v>321</v>
      </c>
      <c r="D6" t="s">
        <v>322</v>
      </c>
      <c r="E6" t="s">
        <v>323</v>
      </c>
    </row>
    <row r="7" spans="1:5" x14ac:dyDescent="0.35">
      <c r="A7" t="s">
        <v>248</v>
      </c>
      <c r="B7" t="s">
        <v>91</v>
      </c>
      <c r="C7" t="s">
        <v>324</v>
      </c>
      <c r="D7" t="s">
        <v>325</v>
      </c>
      <c r="E7" t="s">
        <v>326</v>
      </c>
    </row>
    <row r="8" spans="1:5" x14ac:dyDescent="0.35">
      <c r="A8" t="s">
        <v>327</v>
      </c>
      <c r="B8" t="s">
        <v>91</v>
      </c>
      <c r="C8" t="s">
        <v>324</v>
      </c>
      <c r="D8" t="s">
        <v>328</v>
      </c>
      <c r="E8" t="s">
        <v>329</v>
      </c>
    </row>
    <row r="9" spans="1:5" x14ac:dyDescent="0.35">
      <c r="A9" t="s">
        <v>249</v>
      </c>
      <c r="B9" t="s">
        <v>91</v>
      </c>
      <c r="C9" t="s">
        <v>324</v>
      </c>
      <c r="D9" t="s">
        <v>330</v>
      </c>
      <c r="E9" t="s">
        <v>331</v>
      </c>
    </row>
    <row r="10" spans="1:5" x14ac:dyDescent="0.35">
      <c r="A10" t="s">
        <v>254</v>
      </c>
      <c r="B10" t="s">
        <v>91</v>
      </c>
      <c r="C10" t="s">
        <v>324</v>
      </c>
      <c r="D10" t="s">
        <v>332</v>
      </c>
      <c r="E10" t="s">
        <v>333</v>
      </c>
    </row>
    <row r="11" spans="1:5" x14ac:dyDescent="0.35">
      <c r="A11" t="s">
        <v>255</v>
      </c>
      <c r="B11" t="s">
        <v>91</v>
      </c>
      <c r="C11" t="s">
        <v>324</v>
      </c>
      <c r="D11" t="s">
        <v>332</v>
      </c>
      <c r="E11" t="s">
        <v>334</v>
      </c>
    </row>
    <row r="12" spans="1:5" x14ac:dyDescent="0.35">
      <c r="A12" t="s">
        <v>335</v>
      </c>
      <c r="B12" t="s">
        <v>91</v>
      </c>
      <c r="C12" t="s">
        <v>324</v>
      </c>
      <c r="D12" t="s">
        <v>336</v>
      </c>
      <c r="E12" t="s">
        <v>337</v>
      </c>
    </row>
    <row r="13" spans="1:5" x14ac:dyDescent="0.35">
      <c r="A13" t="s">
        <v>272</v>
      </c>
      <c r="B13" t="s">
        <v>91</v>
      </c>
      <c r="C13" t="s">
        <v>324</v>
      </c>
      <c r="D13" t="s">
        <v>338</v>
      </c>
      <c r="E13" t="s">
        <v>339</v>
      </c>
    </row>
    <row r="14" spans="1:5" x14ac:dyDescent="0.35">
      <c r="A14" t="s">
        <v>340</v>
      </c>
      <c r="B14" t="s">
        <v>91</v>
      </c>
      <c r="C14" t="s">
        <v>324</v>
      </c>
      <c r="D14" t="s">
        <v>341</v>
      </c>
      <c r="E14" t="s">
        <v>342</v>
      </c>
    </row>
    <row r="15" spans="1:5" x14ac:dyDescent="0.35">
      <c r="A15" t="s">
        <v>260</v>
      </c>
      <c r="B15" t="s">
        <v>91</v>
      </c>
      <c r="C15" t="s">
        <v>324</v>
      </c>
      <c r="D15" t="s">
        <v>343</v>
      </c>
      <c r="E15" t="s">
        <v>344</v>
      </c>
    </row>
    <row r="16" spans="1:5" x14ac:dyDescent="0.35">
      <c r="A16" t="s">
        <v>345</v>
      </c>
      <c r="B16" t="s">
        <v>91</v>
      </c>
      <c r="C16" t="s">
        <v>324</v>
      </c>
      <c r="D16" t="s">
        <v>346</v>
      </c>
      <c r="E16" t="s">
        <v>347</v>
      </c>
    </row>
    <row r="17" spans="1:5" x14ac:dyDescent="0.35">
      <c r="A17" t="s">
        <v>269</v>
      </c>
      <c r="B17" t="s">
        <v>91</v>
      </c>
      <c r="C17" t="s">
        <v>324</v>
      </c>
      <c r="D17" t="s">
        <v>348</v>
      </c>
      <c r="E17" t="s">
        <v>349</v>
      </c>
    </row>
    <row r="18" spans="1:5" x14ac:dyDescent="0.35">
      <c r="A18" t="s">
        <v>265</v>
      </c>
      <c r="B18" t="s">
        <v>91</v>
      </c>
      <c r="C18" t="s">
        <v>324</v>
      </c>
      <c r="D18" t="s">
        <v>350</v>
      </c>
      <c r="E18" t="s">
        <v>351</v>
      </c>
    </row>
    <row r="19" spans="1:5" x14ac:dyDescent="0.35">
      <c r="A19" t="s">
        <v>352</v>
      </c>
      <c r="B19" t="s">
        <v>91</v>
      </c>
      <c r="C19" t="s">
        <v>353</v>
      </c>
      <c r="D19" t="s">
        <v>354</v>
      </c>
      <c r="E19" t="s">
        <v>355</v>
      </c>
    </row>
    <row r="20" spans="1:5" x14ac:dyDescent="0.35">
      <c r="A20" t="s">
        <v>356</v>
      </c>
      <c r="B20" t="s">
        <v>91</v>
      </c>
      <c r="C20" t="s">
        <v>324</v>
      </c>
      <c r="D20" t="s">
        <v>357</v>
      </c>
      <c r="E20" t="s">
        <v>358</v>
      </c>
    </row>
    <row r="21" spans="1:5" x14ac:dyDescent="0.35">
      <c r="A21" t="s">
        <v>253</v>
      </c>
      <c r="B21" t="s">
        <v>97</v>
      </c>
      <c r="C21" t="s">
        <v>324</v>
      </c>
      <c r="D21" t="s">
        <v>359</v>
      </c>
      <c r="E21" t="s">
        <v>360</v>
      </c>
    </row>
    <row r="22" spans="1:5" x14ac:dyDescent="0.35">
      <c r="A22" t="s">
        <v>264</v>
      </c>
      <c r="B22" t="s">
        <v>97</v>
      </c>
      <c r="C22" t="s">
        <v>324</v>
      </c>
      <c r="D22" t="s">
        <v>359</v>
      </c>
      <c r="E22" t="s">
        <v>361</v>
      </c>
    </row>
    <row r="23" spans="1:5" x14ac:dyDescent="0.35">
      <c r="A23" t="s">
        <v>275</v>
      </c>
      <c r="B23" t="s">
        <v>97</v>
      </c>
      <c r="C23" t="s">
        <v>324</v>
      </c>
      <c r="D23" t="s">
        <v>359</v>
      </c>
      <c r="E23" t="s">
        <v>362</v>
      </c>
    </row>
    <row r="24" spans="1:5" x14ac:dyDescent="0.35">
      <c r="A24" t="s">
        <v>250</v>
      </c>
      <c r="B24" t="s">
        <v>97</v>
      </c>
      <c r="C24" t="s">
        <v>324</v>
      </c>
      <c r="D24" t="s">
        <v>359</v>
      </c>
      <c r="E24" t="s">
        <v>363</v>
      </c>
    </row>
    <row r="25" spans="1:5" x14ac:dyDescent="0.35">
      <c r="A25" t="s">
        <v>263</v>
      </c>
      <c r="B25" t="s">
        <v>97</v>
      </c>
      <c r="C25" t="s">
        <v>324</v>
      </c>
      <c r="D25" t="s">
        <v>364</v>
      </c>
      <c r="E25" t="s">
        <v>365</v>
      </c>
    </row>
    <row r="26" spans="1:5" x14ac:dyDescent="0.35">
      <c r="A26" t="s">
        <v>262</v>
      </c>
      <c r="B26" t="s">
        <v>97</v>
      </c>
      <c r="C26" t="s">
        <v>324</v>
      </c>
      <c r="D26" t="s">
        <v>359</v>
      </c>
      <c r="E26" t="s">
        <v>366</v>
      </c>
    </row>
    <row r="27" spans="1:5" x14ac:dyDescent="0.35">
      <c r="A27" t="s">
        <v>256</v>
      </c>
      <c r="B27" t="s">
        <v>97</v>
      </c>
      <c r="C27" t="s">
        <v>324</v>
      </c>
      <c r="D27" t="s">
        <v>359</v>
      </c>
      <c r="E27" t="s">
        <v>367</v>
      </c>
    </row>
    <row r="28" spans="1:5" x14ac:dyDescent="0.35">
      <c r="A28" t="s">
        <v>259</v>
      </c>
      <c r="B28" t="s">
        <v>97</v>
      </c>
      <c r="C28" t="s">
        <v>324</v>
      </c>
      <c r="D28" t="s">
        <v>359</v>
      </c>
      <c r="E28" t="s">
        <v>367</v>
      </c>
    </row>
    <row r="29" spans="1:5" x14ac:dyDescent="0.35">
      <c r="A29" t="s">
        <v>368</v>
      </c>
      <c r="B29" t="s">
        <v>97</v>
      </c>
      <c r="C29" t="s">
        <v>324</v>
      </c>
      <c r="D29" t="s">
        <v>359</v>
      </c>
      <c r="E29" t="s">
        <v>366</v>
      </c>
    </row>
    <row r="30" spans="1:5" x14ac:dyDescent="0.35">
      <c r="A30" t="s">
        <v>369</v>
      </c>
      <c r="B30" t="s">
        <v>97</v>
      </c>
      <c r="C30" t="s">
        <v>324</v>
      </c>
      <c r="D30" t="s">
        <v>359</v>
      </c>
      <c r="E30" t="s">
        <v>367</v>
      </c>
    </row>
    <row r="31" spans="1:5" x14ac:dyDescent="0.35">
      <c r="A31" t="s">
        <v>370</v>
      </c>
      <c r="B31" t="s">
        <v>97</v>
      </c>
      <c r="C31" t="s">
        <v>324</v>
      </c>
      <c r="D31" t="s">
        <v>359</v>
      </c>
      <c r="E31" t="s">
        <v>360</v>
      </c>
    </row>
    <row r="32" spans="1:5" x14ac:dyDescent="0.35">
      <c r="A32" t="s">
        <v>371</v>
      </c>
      <c r="B32" t="s">
        <v>97</v>
      </c>
      <c r="C32" t="s">
        <v>324</v>
      </c>
      <c r="D32" t="s">
        <v>359</v>
      </c>
      <c r="E32" t="s">
        <v>360</v>
      </c>
    </row>
    <row r="33" spans="1:5" x14ac:dyDescent="0.35">
      <c r="A33" t="s">
        <v>372</v>
      </c>
      <c r="B33" t="s">
        <v>97</v>
      </c>
      <c r="C33" t="s">
        <v>324</v>
      </c>
      <c r="D33" t="s">
        <v>359</v>
      </c>
      <c r="E33" t="s">
        <v>373</v>
      </c>
    </row>
    <row r="34" spans="1:5" x14ac:dyDescent="0.35">
      <c r="A34" t="s">
        <v>374</v>
      </c>
      <c r="B34" t="s">
        <v>97</v>
      </c>
      <c r="C34" t="s">
        <v>324</v>
      </c>
      <c r="D34" t="s">
        <v>359</v>
      </c>
      <c r="E34" t="s">
        <v>367</v>
      </c>
    </row>
    <row r="35" spans="1:5" x14ac:dyDescent="0.35">
      <c r="A35" t="s">
        <v>375</v>
      </c>
      <c r="B35" t="s">
        <v>97</v>
      </c>
      <c r="C35" t="s">
        <v>324</v>
      </c>
      <c r="D35" t="s">
        <v>359</v>
      </c>
      <c r="E35" t="s">
        <v>376</v>
      </c>
    </row>
    <row r="36" spans="1:5" x14ac:dyDescent="0.35">
      <c r="A36" t="s">
        <v>377</v>
      </c>
      <c r="B36" t="s">
        <v>97</v>
      </c>
      <c r="C36" t="s">
        <v>324</v>
      </c>
      <c r="D36" t="s">
        <v>359</v>
      </c>
      <c r="E36" t="s">
        <v>360</v>
      </c>
    </row>
    <row r="37" spans="1:5" x14ac:dyDescent="0.35">
      <c r="A37" t="s">
        <v>378</v>
      </c>
      <c r="B37" t="s">
        <v>97</v>
      </c>
      <c r="C37" t="s">
        <v>324</v>
      </c>
      <c r="D37" t="s">
        <v>359</v>
      </c>
      <c r="E37" t="s">
        <v>373</v>
      </c>
    </row>
    <row r="38" spans="1:5" x14ac:dyDescent="0.35">
      <c r="A38" t="s">
        <v>379</v>
      </c>
      <c r="B38" t="s">
        <v>97</v>
      </c>
      <c r="C38" t="s">
        <v>324</v>
      </c>
      <c r="D38" t="s">
        <v>359</v>
      </c>
      <c r="E38" t="s">
        <v>366</v>
      </c>
    </row>
    <row r="39" spans="1:5" x14ac:dyDescent="0.35">
      <c r="A39" t="s">
        <v>380</v>
      </c>
      <c r="B39" t="s">
        <v>97</v>
      </c>
      <c r="C39" t="s">
        <v>324</v>
      </c>
      <c r="D39" t="s">
        <v>359</v>
      </c>
      <c r="E39" t="s">
        <v>381</v>
      </c>
    </row>
    <row r="40" spans="1:5" x14ac:dyDescent="0.35">
      <c r="A40" t="s">
        <v>382</v>
      </c>
      <c r="B40" t="s">
        <v>97</v>
      </c>
      <c r="C40" t="s">
        <v>324</v>
      </c>
      <c r="D40" t="s">
        <v>359</v>
      </c>
      <c r="E40" t="s">
        <v>361</v>
      </c>
    </row>
    <row r="41" spans="1:5" x14ac:dyDescent="0.35">
      <c r="A41" t="s">
        <v>252</v>
      </c>
      <c r="B41" t="s">
        <v>97</v>
      </c>
      <c r="C41" t="s">
        <v>324</v>
      </c>
      <c r="D41" t="s">
        <v>359</v>
      </c>
      <c r="E41" t="s">
        <v>381</v>
      </c>
    </row>
    <row r="42" spans="1:5" x14ac:dyDescent="0.35">
      <c r="A42" t="s">
        <v>383</v>
      </c>
      <c r="B42" t="s">
        <v>97</v>
      </c>
      <c r="C42" t="s">
        <v>324</v>
      </c>
      <c r="D42" t="s">
        <v>359</v>
      </c>
      <c r="E42" t="s">
        <v>360</v>
      </c>
    </row>
    <row r="43" spans="1:5" x14ac:dyDescent="0.35">
      <c r="A43" t="s">
        <v>384</v>
      </c>
      <c r="B43" t="s">
        <v>97</v>
      </c>
      <c r="C43" t="s">
        <v>324</v>
      </c>
      <c r="D43" t="s">
        <v>359</v>
      </c>
      <c r="E43" t="s">
        <v>373</v>
      </c>
    </row>
    <row r="44" spans="1:5" x14ac:dyDescent="0.35">
      <c r="A44" t="s">
        <v>385</v>
      </c>
      <c r="B44" t="s">
        <v>97</v>
      </c>
      <c r="C44" t="s">
        <v>324</v>
      </c>
      <c r="D44" t="s">
        <v>359</v>
      </c>
      <c r="E44" t="s">
        <v>373</v>
      </c>
    </row>
    <row r="45" spans="1:5" x14ac:dyDescent="0.35">
      <c r="A45" t="s">
        <v>386</v>
      </c>
      <c r="B45" t="s">
        <v>97</v>
      </c>
      <c r="C45" t="s">
        <v>324</v>
      </c>
      <c r="D45" t="s">
        <v>359</v>
      </c>
      <c r="E45" t="s">
        <v>367</v>
      </c>
    </row>
    <row r="46" spans="1:5" x14ac:dyDescent="0.35">
      <c r="A46" t="s">
        <v>387</v>
      </c>
      <c r="B46" t="s">
        <v>97</v>
      </c>
      <c r="C46" t="s">
        <v>324</v>
      </c>
      <c r="D46" t="s">
        <v>359</v>
      </c>
      <c r="E46" t="s">
        <v>373</v>
      </c>
    </row>
    <row r="47" spans="1:5" x14ac:dyDescent="0.35">
      <c r="A47" t="s">
        <v>388</v>
      </c>
      <c r="B47" t="s">
        <v>97</v>
      </c>
      <c r="C47" t="s">
        <v>324</v>
      </c>
      <c r="D47" t="s">
        <v>359</v>
      </c>
      <c r="E47" t="s">
        <v>360</v>
      </c>
    </row>
    <row r="48" spans="1:5" x14ac:dyDescent="0.35">
      <c r="A48" t="s">
        <v>261</v>
      </c>
      <c r="B48" t="s">
        <v>105</v>
      </c>
      <c r="C48" t="s">
        <v>389</v>
      </c>
      <c r="D48" t="s">
        <v>390</v>
      </c>
      <c r="E48" t="s">
        <v>391</v>
      </c>
    </row>
    <row r="49" spans="1:5" x14ac:dyDescent="0.35">
      <c r="A49" t="s">
        <v>306</v>
      </c>
      <c r="B49" t="s">
        <v>105</v>
      </c>
      <c r="C49" t="s">
        <v>389</v>
      </c>
      <c r="D49" t="s">
        <v>390</v>
      </c>
      <c r="E49" t="s">
        <v>392</v>
      </c>
    </row>
    <row r="50" spans="1:5" x14ac:dyDescent="0.35">
      <c r="A50" t="s">
        <v>393</v>
      </c>
      <c r="B50" t="s">
        <v>105</v>
      </c>
      <c r="C50" t="s">
        <v>389</v>
      </c>
      <c r="D50" t="s">
        <v>390</v>
      </c>
      <c r="E50" t="s">
        <v>394</v>
      </c>
    </row>
    <row r="51" spans="1:5" x14ac:dyDescent="0.35">
      <c r="A51" t="s">
        <v>268</v>
      </c>
      <c r="B51" t="s">
        <v>105</v>
      </c>
      <c r="C51" t="s">
        <v>389</v>
      </c>
      <c r="D51" t="s">
        <v>395</v>
      </c>
      <c r="E51" t="s">
        <v>396</v>
      </c>
    </row>
    <row r="52" spans="1:5" x14ac:dyDescent="0.35">
      <c r="A52" t="s">
        <v>397</v>
      </c>
      <c r="B52" t="s">
        <v>105</v>
      </c>
      <c r="C52" t="s">
        <v>389</v>
      </c>
      <c r="D52" t="s">
        <v>398</v>
      </c>
      <c r="E52" t="s">
        <v>399</v>
      </c>
    </row>
    <row r="53" spans="1:5" x14ac:dyDescent="0.35">
      <c r="A53" t="s">
        <v>271</v>
      </c>
      <c r="B53" t="s">
        <v>105</v>
      </c>
      <c r="C53" t="s">
        <v>389</v>
      </c>
      <c r="D53" t="s">
        <v>400</v>
      </c>
      <c r="E53" t="s">
        <v>401</v>
      </c>
    </row>
    <row r="54" spans="1:5" x14ac:dyDescent="0.35">
      <c r="A54" t="s">
        <v>352</v>
      </c>
      <c r="B54" t="s">
        <v>105</v>
      </c>
      <c r="C54" t="s">
        <v>389</v>
      </c>
      <c r="D54" t="s">
        <v>402</v>
      </c>
      <c r="E54" t="s">
        <v>403</v>
      </c>
    </row>
    <row r="55" spans="1:5" x14ac:dyDescent="0.35">
      <c r="A55" t="s">
        <v>404</v>
      </c>
      <c r="B55" t="s">
        <v>105</v>
      </c>
      <c r="C55" t="s">
        <v>389</v>
      </c>
      <c r="D55" t="s">
        <v>405</v>
      </c>
      <c r="E55" t="s">
        <v>406</v>
      </c>
    </row>
    <row r="56" spans="1:5" x14ac:dyDescent="0.35">
      <c r="A56" t="s">
        <v>317</v>
      </c>
      <c r="B56" t="s">
        <v>105</v>
      </c>
      <c r="C56" t="s">
        <v>389</v>
      </c>
      <c r="D56" t="s">
        <v>407</v>
      </c>
      <c r="E56" t="s">
        <v>408</v>
      </c>
    </row>
    <row r="57" spans="1:5" x14ac:dyDescent="0.35">
      <c r="A57" t="s">
        <v>386</v>
      </c>
      <c r="B57" t="s">
        <v>105</v>
      </c>
      <c r="C57" t="s">
        <v>409</v>
      </c>
      <c r="D57" t="s">
        <v>410</v>
      </c>
      <c r="E57" t="s">
        <v>411</v>
      </c>
    </row>
    <row r="58" spans="1:5" x14ac:dyDescent="0.35">
      <c r="A58" t="s">
        <v>253</v>
      </c>
      <c r="B58" t="s">
        <v>105</v>
      </c>
      <c r="C58" t="s">
        <v>260</v>
      </c>
      <c r="D58" t="s">
        <v>412</v>
      </c>
      <c r="E58" t="s">
        <v>413</v>
      </c>
    </row>
    <row r="59" spans="1:5" x14ac:dyDescent="0.35">
      <c r="A59" t="s">
        <v>371</v>
      </c>
      <c r="B59" t="s">
        <v>105</v>
      </c>
      <c r="C59" t="s">
        <v>260</v>
      </c>
      <c r="D59" t="s">
        <v>414</v>
      </c>
      <c r="E59" t="s">
        <v>415</v>
      </c>
    </row>
    <row r="60" spans="1:5" x14ac:dyDescent="0.35">
      <c r="A60" t="s">
        <v>250</v>
      </c>
      <c r="B60" t="s">
        <v>105</v>
      </c>
      <c r="C60" t="s">
        <v>260</v>
      </c>
      <c r="D60" t="s">
        <v>414</v>
      </c>
      <c r="E60" t="s">
        <v>416</v>
      </c>
    </row>
    <row r="61" spans="1:5" x14ac:dyDescent="0.35">
      <c r="A61" t="s">
        <v>375</v>
      </c>
      <c r="B61" t="s">
        <v>105</v>
      </c>
      <c r="C61" t="s">
        <v>260</v>
      </c>
      <c r="D61" t="s">
        <v>417</v>
      </c>
      <c r="E61" t="s">
        <v>418</v>
      </c>
    </row>
    <row r="62" spans="1:5" x14ac:dyDescent="0.35">
      <c r="A62" t="s">
        <v>372</v>
      </c>
      <c r="B62" t="s">
        <v>105</v>
      </c>
      <c r="C62" t="s">
        <v>260</v>
      </c>
      <c r="D62" t="s">
        <v>414</v>
      </c>
      <c r="E62" t="s">
        <v>419</v>
      </c>
    </row>
    <row r="63" spans="1:5" x14ac:dyDescent="0.35">
      <c r="A63" t="s">
        <v>260</v>
      </c>
      <c r="B63" t="s">
        <v>105</v>
      </c>
      <c r="C63" t="s">
        <v>260</v>
      </c>
      <c r="D63" t="s">
        <v>420</v>
      </c>
      <c r="E63" t="s">
        <v>421</v>
      </c>
    </row>
    <row r="64" spans="1:5" x14ac:dyDescent="0.35">
      <c r="A64" t="s">
        <v>378</v>
      </c>
      <c r="B64" t="s">
        <v>105</v>
      </c>
      <c r="C64" t="s">
        <v>260</v>
      </c>
      <c r="D64" t="s">
        <v>422</v>
      </c>
      <c r="E64" t="s">
        <v>423</v>
      </c>
    </row>
    <row r="65" spans="1:5" x14ac:dyDescent="0.35">
      <c r="A65" t="s">
        <v>274</v>
      </c>
      <c r="B65" t="s">
        <v>105</v>
      </c>
      <c r="C65" t="s">
        <v>260</v>
      </c>
      <c r="D65" t="s">
        <v>424</v>
      </c>
      <c r="E65" t="s">
        <v>425</v>
      </c>
    </row>
    <row r="66" spans="1:5" x14ac:dyDescent="0.35">
      <c r="A66" t="s">
        <v>426</v>
      </c>
      <c r="B66" t="s">
        <v>105</v>
      </c>
      <c r="C66" t="s">
        <v>260</v>
      </c>
      <c r="D66" t="s">
        <v>414</v>
      </c>
      <c r="E66" t="s">
        <v>427</v>
      </c>
    </row>
    <row r="67" spans="1:5" x14ac:dyDescent="0.35">
      <c r="A67" t="s">
        <v>369</v>
      </c>
      <c r="B67" t="s">
        <v>105</v>
      </c>
      <c r="C67" t="s">
        <v>260</v>
      </c>
      <c r="D67" t="s">
        <v>422</v>
      </c>
      <c r="E67" t="s">
        <v>428</v>
      </c>
    </row>
    <row r="68" spans="1:5" x14ac:dyDescent="0.35">
      <c r="A68" t="s">
        <v>380</v>
      </c>
      <c r="B68" t="s">
        <v>105</v>
      </c>
      <c r="C68" t="s">
        <v>260</v>
      </c>
      <c r="D68" t="s">
        <v>414</v>
      </c>
      <c r="E68" t="s">
        <v>429</v>
      </c>
    </row>
    <row r="69" spans="1:5" x14ac:dyDescent="0.35">
      <c r="A69" t="s">
        <v>258</v>
      </c>
      <c r="B69" t="s">
        <v>105</v>
      </c>
      <c r="C69" t="s">
        <v>260</v>
      </c>
      <c r="D69" t="s">
        <v>430</v>
      </c>
      <c r="E69" t="s">
        <v>431</v>
      </c>
    </row>
    <row r="70" spans="1:5" x14ac:dyDescent="0.35">
      <c r="A70" t="s">
        <v>370</v>
      </c>
      <c r="B70" t="s">
        <v>105</v>
      </c>
      <c r="C70" t="s">
        <v>409</v>
      </c>
      <c r="D70" t="s">
        <v>432</v>
      </c>
      <c r="E70" t="s">
        <v>433</v>
      </c>
    </row>
    <row r="71" spans="1:5" x14ac:dyDescent="0.35">
      <c r="A71" t="s">
        <v>262</v>
      </c>
      <c r="B71" t="s">
        <v>105</v>
      </c>
      <c r="C71" t="s">
        <v>260</v>
      </c>
      <c r="D71" t="s">
        <v>414</v>
      </c>
      <c r="E71" t="s">
        <v>434</v>
      </c>
    </row>
    <row r="72" spans="1:5" x14ac:dyDescent="0.35">
      <c r="A72" t="s">
        <v>374</v>
      </c>
      <c r="B72" t="s">
        <v>105</v>
      </c>
      <c r="C72" t="s">
        <v>260</v>
      </c>
      <c r="D72" t="s">
        <v>435</v>
      </c>
      <c r="E72" t="s">
        <v>436</v>
      </c>
    </row>
    <row r="73" spans="1:5" x14ac:dyDescent="0.35">
      <c r="A73" t="s">
        <v>252</v>
      </c>
      <c r="B73" t="s">
        <v>105</v>
      </c>
      <c r="C73" t="s">
        <v>260</v>
      </c>
      <c r="D73" t="s">
        <v>437</v>
      </c>
      <c r="E73" t="s">
        <v>438</v>
      </c>
    </row>
    <row r="74" spans="1:5" x14ac:dyDescent="0.35">
      <c r="A74" t="s">
        <v>259</v>
      </c>
      <c r="B74" t="s">
        <v>105</v>
      </c>
      <c r="C74" t="s">
        <v>260</v>
      </c>
      <c r="D74" t="s">
        <v>439</v>
      </c>
      <c r="E74" t="s">
        <v>440</v>
      </c>
    </row>
    <row r="75" spans="1:5" x14ac:dyDescent="0.35">
      <c r="A75" t="s">
        <v>256</v>
      </c>
      <c r="B75" t="s">
        <v>105</v>
      </c>
      <c r="C75" t="s">
        <v>260</v>
      </c>
      <c r="D75" t="s">
        <v>422</v>
      </c>
      <c r="E75" t="s">
        <v>441</v>
      </c>
    </row>
    <row r="76" spans="1:5" x14ac:dyDescent="0.35">
      <c r="A76" t="s">
        <v>384</v>
      </c>
      <c r="B76" t="s">
        <v>105</v>
      </c>
      <c r="C76" t="s">
        <v>260</v>
      </c>
      <c r="D76" t="s">
        <v>442</v>
      </c>
      <c r="E76" t="s">
        <v>443</v>
      </c>
    </row>
    <row r="77" spans="1:5" x14ac:dyDescent="0.35">
      <c r="A77" t="s">
        <v>385</v>
      </c>
      <c r="B77" t="s">
        <v>105</v>
      </c>
      <c r="C77" t="s">
        <v>260</v>
      </c>
      <c r="D77" t="s">
        <v>414</v>
      </c>
      <c r="E77" t="s">
        <v>444</v>
      </c>
    </row>
    <row r="78" spans="1:5" x14ac:dyDescent="0.35">
      <c r="A78" t="s">
        <v>387</v>
      </c>
      <c r="B78" t="s">
        <v>105</v>
      </c>
      <c r="C78" t="s">
        <v>260</v>
      </c>
      <c r="D78" t="s">
        <v>422</v>
      </c>
      <c r="E78" t="s">
        <v>445</v>
      </c>
    </row>
    <row r="79" spans="1:5" x14ac:dyDescent="0.35">
      <c r="A79" t="s">
        <v>248</v>
      </c>
      <c r="B79" t="s">
        <v>105</v>
      </c>
      <c r="C79" t="s">
        <v>260</v>
      </c>
      <c r="D79" t="s">
        <v>412</v>
      </c>
      <c r="E79" t="s">
        <v>446</v>
      </c>
    </row>
    <row r="80" spans="1:5" x14ac:dyDescent="0.35">
      <c r="A80" t="s">
        <v>313</v>
      </c>
      <c r="B80" t="s">
        <v>105</v>
      </c>
      <c r="C80" t="s">
        <v>260</v>
      </c>
      <c r="D80" t="s">
        <v>447</v>
      </c>
      <c r="E80" t="s">
        <v>448</v>
      </c>
    </row>
    <row r="81" spans="1:5" x14ac:dyDescent="0.35">
      <c r="A81" t="s">
        <v>383</v>
      </c>
      <c r="B81" t="s">
        <v>105</v>
      </c>
      <c r="C81" t="s">
        <v>409</v>
      </c>
      <c r="D81" t="s">
        <v>449</v>
      </c>
      <c r="E81" t="s">
        <v>450</v>
      </c>
    </row>
    <row r="82" spans="1:5" x14ac:dyDescent="0.35">
      <c r="A82" t="s">
        <v>388</v>
      </c>
      <c r="B82" t="s">
        <v>105</v>
      </c>
      <c r="C82" t="s">
        <v>409</v>
      </c>
      <c r="D82" t="s">
        <v>449</v>
      </c>
      <c r="E82" t="s">
        <v>451</v>
      </c>
    </row>
    <row r="83" spans="1:5" x14ac:dyDescent="0.35">
      <c r="A83" t="s">
        <v>452</v>
      </c>
      <c r="B83" t="s">
        <v>105</v>
      </c>
      <c r="C83" t="s">
        <v>453</v>
      </c>
      <c r="D83" t="s">
        <v>454</v>
      </c>
      <c r="E83" t="s">
        <v>455</v>
      </c>
    </row>
    <row r="84" spans="1:5" x14ac:dyDescent="0.35">
      <c r="A84" t="s">
        <v>378</v>
      </c>
      <c r="B84" t="s">
        <v>126</v>
      </c>
      <c r="C84" t="s">
        <v>456</v>
      </c>
      <c r="D84" t="s">
        <v>457</v>
      </c>
      <c r="E84" t="s">
        <v>458</v>
      </c>
    </row>
    <row r="85" spans="1:5" x14ac:dyDescent="0.35">
      <c r="A85" t="s">
        <v>459</v>
      </c>
      <c r="B85" t="s">
        <v>126</v>
      </c>
      <c r="C85" t="s">
        <v>456</v>
      </c>
      <c r="D85" t="s">
        <v>460</v>
      </c>
      <c r="E85" t="s">
        <v>461</v>
      </c>
    </row>
    <row r="86" spans="1:5" x14ac:dyDescent="0.35">
      <c r="A86" t="s">
        <v>368</v>
      </c>
      <c r="B86" t="s">
        <v>126</v>
      </c>
      <c r="C86" t="s">
        <v>456</v>
      </c>
      <c r="D86" t="s">
        <v>462</v>
      </c>
      <c r="E86" t="s">
        <v>463</v>
      </c>
    </row>
    <row r="87" spans="1:5" x14ac:dyDescent="0.35">
      <c r="A87" t="s">
        <v>375</v>
      </c>
      <c r="B87" t="s">
        <v>126</v>
      </c>
      <c r="C87" t="s">
        <v>456</v>
      </c>
      <c r="D87" t="s">
        <v>464</v>
      </c>
      <c r="E87" t="s">
        <v>465</v>
      </c>
    </row>
    <row r="88" spans="1:5" x14ac:dyDescent="0.35">
      <c r="A88" t="s">
        <v>377</v>
      </c>
      <c r="B88" t="s">
        <v>126</v>
      </c>
      <c r="C88" t="s">
        <v>456</v>
      </c>
      <c r="D88" t="s">
        <v>466</v>
      </c>
      <c r="E88" t="s">
        <v>467</v>
      </c>
    </row>
    <row r="89" spans="1:5" x14ac:dyDescent="0.35">
      <c r="A89" t="s">
        <v>468</v>
      </c>
      <c r="B89" t="s">
        <v>126</v>
      </c>
      <c r="C89" t="s">
        <v>456</v>
      </c>
      <c r="D89" t="s">
        <v>469</v>
      </c>
      <c r="E89" t="s">
        <v>470</v>
      </c>
    </row>
    <row r="90" spans="1:5" x14ac:dyDescent="0.35">
      <c r="A90" t="s">
        <v>383</v>
      </c>
      <c r="B90" t="s">
        <v>126</v>
      </c>
      <c r="C90" t="s">
        <v>456</v>
      </c>
      <c r="D90" t="s">
        <v>471</v>
      </c>
      <c r="E90" t="s">
        <v>472</v>
      </c>
    </row>
    <row r="91" spans="1:5" x14ac:dyDescent="0.35">
      <c r="A91" t="s">
        <v>473</v>
      </c>
      <c r="B91" t="s">
        <v>126</v>
      </c>
      <c r="C91" t="s">
        <v>456</v>
      </c>
      <c r="D91" t="s">
        <v>474</v>
      </c>
      <c r="E91" t="s">
        <v>475</v>
      </c>
    </row>
    <row r="92" spans="1:5" x14ac:dyDescent="0.35">
      <c r="A92" t="s">
        <v>388</v>
      </c>
      <c r="B92" t="s">
        <v>126</v>
      </c>
      <c r="C92" t="s">
        <v>456</v>
      </c>
      <c r="D92" t="s">
        <v>476</v>
      </c>
      <c r="E92" t="s">
        <v>477</v>
      </c>
    </row>
    <row r="93" spans="1:5" x14ac:dyDescent="0.35">
      <c r="A93" t="s">
        <v>262</v>
      </c>
      <c r="B93" t="s">
        <v>126</v>
      </c>
      <c r="C93" t="s">
        <v>478</v>
      </c>
      <c r="D93" t="s">
        <v>479</v>
      </c>
      <c r="E93" t="s">
        <v>480</v>
      </c>
    </row>
    <row r="94" spans="1:5" x14ac:dyDescent="0.35">
      <c r="A94" t="s">
        <v>345</v>
      </c>
      <c r="B94" t="s">
        <v>126</v>
      </c>
      <c r="C94" t="s">
        <v>478</v>
      </c>
      <c r="D94" t="s">
        <v>481</v>
      </c>
      <c r="E94" t="s">
        <v>482</v>
      </c>
    </row>
    <row r="95" spans="1:5" x14ac:dyDescent="0.35">
      <c r="A95" t="s">
        <v>379</v>
      </c>
      <c r="B95" t="s">
        <v>126</v>
      </c>
      <c r="C95" t="s">
        <v>478</v>
      </c>
      <c r="D95" t="s">
        <v>483</v>
      </c>
      <c r="E95" t="s">
        <v>484</v>
      </c>
    </row>
    <row r="96" spans="1:5" x14ac:dyDescent="0.35">
      <c r="A96" t="s">
        <v>253</v>
      </c>
      <c r="B96" t="s">
        <v>83</v>
      </c>
      <c r="C96" t="s">
        <v>456</v>
      </c>
      <c r="D96" t="s">
        <v>485</v>
      </c>
      <c r="E96" t="s">
        <v>486</v>
      </c>
    </row>
    <row r="97" spans="1:5" x14ac:dyDescent="0.35">
      <c r="A97" t="s">
        <v>371</v>
      </c>
      <c r="B97" t="s">
        <v>83</v>
      </c>
      <c r="C97" t="s">
        <v>456</v>
      </c>
      <c r="D97" t="s">
        <v>487</v>
      </c>
      <c r="E97" t="s">
        <v>488</v>
      </c>
    </row>
    <row r="98" spans="1:5" x14ac:dyDescent="0.35">
      <c r="A98" t="s">
        <v>262</v>
      </c>
      <c r="B98" t="s">
        <v>83</v>
      </c>
      <c r="C98" t="s">
        <v>456</v>
      </c>
      <c r="D98" t="s">
        <v>489</v>
      </c>
      <c r="E98" t="s">
        <v>490</v>
      </c>
    </row>
    <row r="99" spans="1:5" x14ac:dyDescent="0.35">
      <c r="A99" t="s">
        <v>274</v>
      </c>
      <c r="B99" t="s">
        <v>83</v>
      </c>
      <c r="C99" t="s">
        <v>456</v>
      </c>
      <c r="D99" t="s">
        <v>491</v>
      </c>
      <c r="E99" t="s">
        <v>492</v>
      </c>
    </row>
    <row r="100" spans="1:5" x14ac:dyDescent="0.35">
      <c r="A100" t="s">
        <v>380</v>
      </c>
      <c r="B100" t="s">
        <v>83</v>
      </c>
      <c r="C100" t="s">
        <v>456</v>
      </c>
      <c r="D100" t="s">
        <v>493</v>
      </c>
      <c r="E100" t="s">
        <v>494</v>
      </c>
    </row>
    <row r="101" spans="1:5" x14ac:dyDescent="0.35">
      <c r="A101" t="s">
        <v>252</v>
      </c>
      <c r="B101" t="s">
        <v>83</v>
      </c>
      <c r="C101" t="s">
        <v>456</v>
      </c>
      <c r="D101" t="s">
        <v>495</v>
      </c>
      <c r="E101" t="s">
        <v>496</v>
      </c>
    </row>
    <row r="102" spans="1:5" x14ac:dyDescent="0.35">
      <c r="A102" t="s">
        <v>497</v>
      </c>
      <c r="B102" t="s">
        <v>83</v>
      </c>
      <c r="C102" t="s">
        <v>456</v>
      </c>
      <c r="D102" t="s">
        <v>498</v>
      </c>
      <c r="E102" t="s">
        <v>499</v>
      </c>
    </row>
    <row r="103" spans="1:5" x14ac:dyDescent="0.35">
      <c r="A103" t="s">
        <v>169</v>
      </c>
      <c r="B103" t="s">
        <v>79</v>
      </c>
      <c r="C103" t="s">
        <v>500</v>
      </c>
      <c r="D103" t="s">
        <v>501</v>
      </c>
      <c r="E103" t="s">
        <v>502</v>
      </c>
    </row>
    <row r="104" spans="1:5" x14ac:dyDescent="0.35">
      <c r="A104" t="s">
        <v>249</v>
      </c>
      <c r="B104" t="s">
        <v>79</v>
      </c>
      <c r="C104" t="s">
        <v>503</v>
      </c>
      <c r="D104" t="s">
        <v>504</v>
      </c>
      <c r="E104" t="s">
        <v>505</v>
      </c>
    </row>
    <row r="105" spans="1:5" x14ac:dyDescent="0.35">
      <c r="A105" t="s">
        <v>258</v>
      </c>
      <c r="B105" t="s">
        <v>79</v>
      </c>
      <c r="C105" t="s">
        <v>506</v>
      </c>
      <c r="D105" t="s">
        <v>507</v>
      </c>
      <c r="E105" t="s">
        <v>508</v>
      </c>
    </row>
    <row r="106" spans="1:5" x14ac:dyDescent="0.35">
      <c r="A106" t="s">
        <v>260</v>
      </c>
      <c r="B106" t="s">
        <v>79</v>
      </c>
      <c r="C106" t="s">
        <v>509</v>
      </c>
      <c r="D106" t="s">
        <v>510</v>
      </c>
      <c r="E106" t="s">
        <v>511</v>
      </c>
    </row>
    <row r="107" spans="1:5" x14ac:dyDescent="0.35">
      <c r="A107" t="s">
        <v>356</v>
      </c>
      <c r="B107" t="s">
        <v>79</v>
      </c>
      <c r="C107" t="s">
        <v>512</v>
      </c>
      <c r="D107" t="s">
        <v>513</v>
      </c>
      <c r="E107" t="s">
        <v>514</v>
      </c>
    </row>
    <row r="108" spans="1:5" x14ac:dyDescent="0.35">
      <c r="A108" t="s">
        <v>256</v>
      </c>
      <c r="B108" t="s">
        <v>79</v>
      </c>
      <c r="C108" t="s">
        <v>515</v>
      </c>
      <c r="D108" t="s">
        <v>516</v>
      </c>
      <c r="E108" t="s">
        <v>517</v>
      </c>
    </row>
    <row r="109" spans="1:5" x14ac:dyDescent="0.35">
      <c r="A109" t="s">
        <v>345</v>
      </c>
      <c r="B109" t="s">
        <v>79</v>
      </c>
      <c r="C109" t="s">
        <v>518</v>
      </c>
      <c r="D109" t="s">
        <v>519</v>
      </c>
      <c r="E109" t="s">
        <v>520</v>
      </c>
    </row>
    <row r="110" spans="1:5" x14ac:dyDescent="0.35">
      <c r="A110" t="s">
        <v>388</v>
      </c>
      <c r="B110" t="s">
        <v>79</v>
      </c>
      <c r="C110" t="s">
        <v>521</v>
      </c>
      <c r="D110" t="s">
        <v>522</v>
      </c>
      <c r="E110" t="s">
        <v>523</v>
      </c>
    </row>
    <row r="111" spans="1:5" x14ac:dyDescent="0.35">
      <c r="A111" t="s">
        <v>380</v>
      </c>
      <c r="B111" s="97">
        <v>46254</v>
      </c>
      <c r="C111" t="s">
        <v>526</v>
      </c>
      <c r="D111" t="s">
        <v>527</v>
      </c>
      <c r="E111" t="s">
        <v>528</v>
      </c>
    </row>
    <row r="112" spans="1:5" x14ac:dyDescent="0.35">
      <c r="A112" t="s">
        <v>525</v>
      </c>
      <c r="B112" s="97">
        <v>46254</v>
      </c>
      <c r="C112" t="s">
        <v>529</v>
      </c>
      <c r="D112" t="s">
        <v>530</v>
      </c>
      <c r="E112" t="s">
        <v>531</v>
      </c>
    </row>
    <row r="113" spans="1:5" x14ac:dyDescent="0.35">
      <c r="A113" t="s">
        <v>525</v>
      </c>
      <c r="B113" s="97">
        <v>46254</v>
      </c>
      <c r="C113" t="s">
        <v>534</v>
      </c>
      <c r="D113" t="s">
        <v>535</v>
      </c>
      <c r="E113" t="s">
        <v>536</v>
      </c>
    </row>
    <row r="114" spans="1:5" x14ac:dyDescent="0.35">
      <c r="A114" t="s">
        <v>380</v>
      </c>
      <c r="B114" s="97">
        <v>46254</v>
      </c>
      <c r="C114" t="s">
        <v>537</v>
      </c>
      <c r="D114" t="s">
        <v>538</v>
      </c>
      <c r="E114" t="s">
        <v>539</v>
      </c>
    </row>
    <row r="115" spans="1:5" x14ac:dyDescent="0.35">
      <c r="A115" t="s">
        <v>540</v>
      </c>
      <c r="B115" s="97">
        <v>46255</v>
      </c>
      <c r="C115" t="s">
        <v>548</v>
      </c>
      <c r="D115" t="s">
        <v>549</v>
      </c>
      <c r="E115" t="s">
        <v>550</v>
      </c>
    </row>
    <row r="116" spans="1:5" x14ac:dyDescent="0.35">
      <c r="A116" t="s">
        <v>543</v>
      </c>
      <c r="B116" s="97">
        <v>46255</v>
      </c>
      <c r="C116" t="s">
        <v>551</v>
      </c>
      <c r="D116" t="s">
        <v>552</v>
      </c>
      <c r="E116" t="s">
        <v>553</v>
      </c>
    </row>
    <row r="117" spans="1:5" x14ac:dyDescent="0.35">
      <c r="A117" t="s">
        <v>545</v>
      </c>
      <c r="B117" s="97">
        <v>46255</v>
      </c>
      <c r="C117" t="s">
        <v>554</v>
      </c>
      <c r="D117" t="s">
        <v>555</v>
      </c>
      <c r="E117" t="s">
        <v>556</v>
      </c>
    </row>
    <row r="118" spans="1:5" x14ac:dyDescent="0.35">
      <c r="A118" t="s">
        <v>547</v>
      </c>
      <c r="B118" s="97">
        <v>46255</v>
      </c>
      <c r="C118" t="s">
        <v>557</v>
      </c>
      <c r="D118" t="s">
        <v>558</v>
      </c>
      <c r="E118" t="s">
        <v>559</v>
      </c>
    </row>
    <row r="119" spans="1:5" x14ac:dyDescent="0.35">
      <c r="A119" t="s">
        <v>380</v>
      </c>
      <c r="B119" s="97">
        <v>46255</v>
      </c>
      <c r="C119" t="s">
        <v>560</v>
      </c>
      <c r="D119" t="s">
        <v>561</v>
      </c>
      <c r="E119" t="s">
        <v>562</v>
      </c>
    </row>
    <row r="120" spans="1:5" x14ac:dyDescent="0.35">
      <c r="A120" t="s">
        <v>375</v>
      </c>
      <c r="B120" s="97">
        <v>46255</v>
      </c>
      <c r="C120" t="s">
        <v>563</v>
      </c>
      <c r="D120" t="s">
        <v>561</v>
      </c>
      <c r="E120" t="s">
        <v>564</v>
      </c>
    </row>
    <row r="121" spans="1:5" x14ac:dyDescent="0.35">
      <c r="A121" t="s">
        <v>374</v>
      </c>
      <c r="B121" s="97">
        <v>46255</v>
      </c>
      <c r="C121" t="s">
        <v>565</v>
      </c>
      <c r="D121" t="s">
        <v>561</v>
      </c>
      <c r="E121" t="s">
        <v>566</v>
      </c>
    </row>
    <row r="122" spans="1:5" x14ac:dyDescent="0.35">
      <c r="A122" t="s">
        <v>327</v>
      </c>
      <c r="B122" s="97">
        <v>46255</v>
      </c>
      <c r="C122" t="s">
        <v>567</v>
      </c>
      <c r="D122" t="s">
        <v>561</v>
      </c>
      <c r="E122" t="s">
        <v>568</v>
      </c>
    </row>
    <row r="123" spans="1:5" x14ac:dyDescent="0.35">
      <c r="A123" t="s">
        <v>255</v>
      </c>
      <c r="B123" s="97">
        <v>46255</v>
      </c>
      <c r="C123" t="s">
        <v>567</v>
      </c>
      <c r="D123" t="s">
        <v>561</v>
      </c>
      <c r="E123" t="s">
        <v>569</v>
      </c>
    </row>
    <row r="124" spans="1:5" x14ac:dyDescent="0.35">
      <c r="A124" t="s">
        <v>259</v>
      </c>
      <c r="B124" s="97">
        <v>46255</v>
      </c>
      <c r="C124" t="s">
        <v>570</v>
      </c>
      <c r="D124" t="s">
        <v>561</v>
      </c>
      <c r="E124" t="s">
        <v>571</v>
      </c>
    </row>
    <row r="125" spans="1:5" x14ac:dyDescent="0.35">
      <c r="A125" t="s">
        <v>385</v>
      </c>
      <c r="B125" s="97">
        <v>46255</v>
      </c>
      <c r="C125" t="s">
        <v>572</v>
      </c>
      <c r="D125" t="s">
        <v>561</v>
      </c>
      <c r="E125" t="s">
        <v>573</v>
      </c>
    </row>
    <row r="126" spans="1:5" x14ac:dyDescent="0.35">
      <c r="A126" t="s">
        <v>384</v>
      </c>
      <c r="B126" s="97">
        <v>46255</v>
      </c>
      <c r="C126" t="s">
        <v>574</v>
      </c>
      <c r="D126" t="s">
        <v>561</v>
      </c>
      <c r="E126" t="s">
        <v>575</v>
      </c>
    </row>
    <row r="127" spans="1:5" x14ac:dyDescent="0.35">
      <c r="A127" t="s">
        <v>468</v>
      </c>
      <c r="B127" s="97">
        <v>46255</v>
      </c>
      <c r="C127" t="s">
        <v>574</v>
      </c>
      <c r="D127" t="s">
        <v>561</v>
      </c>
      <c r="E127" t="s">
        <v>576</v>
      </c>
    </row>
    <row r="128" spans="1:5" x14ac:dyDescent="0.35">
      <c r="A128" t="s">
        <v>368</v>
      </c>
      <c r="B128" s="97">
        <v>46255</v>
      </c>
      <c r="C128" t="s">
        <v>574</v>
      </c>
      <c r="D128" t="s">
        <v>561</v>
      </c>
      <c r="E128" t="s">
        <v>577</v>
      </c>
    </row>
    <row r="129" spans="1:5" x14ac:dyDescent="0.35">
      <c r="A129" t="s">
        <v>545</v>
      </c>
      <c r="B129" s="97">
        <v>46255</v>
      </c>
      <c r="C129" t="s">
        <v>574</v>
      </c>
      <c r="D129" t="s">
        <v>561</v>
      </c>
      <c r="E129" t="s">
        <v>578</v>
      </c>
    </row>
    <row r="130" spans="1:5" x14ac:dyDescent="0.35">
      <c r="A130" t="s">
        <v>345</v>
      </c>
      <c r="B130" s="97">
        <v>46255</v>
      </c>
      <c r="C130" t="s">
        <v>574</v>
      </c>
      <c r="D130" t="s">
        <v>561</v>
      </c>
      <c r="E130" t="s">
        <v>579</v>
      </c>
    </row>
    <row r="131" spans="1:5" x14ac:dyDescent="0.35">
      <c r="A131" t="s">
        <v>547</v>
      </c>
      <c r="B131" s="97">
        <v>46255</v>
      </c>
      <c r="C131" t="s">
        <v>574</v>
      </c>
      <c r="D131" t="s">
        <v>561</v>
      </c>
      <c r="E131" t="s">
        <v>580</v>
      </c>
    </row>
    <row r="132" spans="1:5" x14ac:dyDescent="0.35">
      <c r="A132" t="s">
        <v>257</v>
      </c>
      <c r="B132" s="97">
        <v>46255</v>
      </c>
      <c r="C132" t="s">
        <v>581</v>
      </c>
      <c r="D132" t="s">
        <v>561</v>
      </c>
      <c r="E132" t="s">
        <v>582</v>
      </c>
    </row>
    <row r="133" spans="1:5" x14ac:dyDescent="0.35">
      <c r="A133" t="s">
        <v>264</v>
      </c>
      <c r="B133" s="97">
        <v>46255</v>
      </c>
      <c r="C133" t="s">
        <v>581</v>
      </c>
      <c r="D133" t="s">
        <v>561</v>
      </c>
      <c r="E133" t="s">
        <v>583</v>
      </c>
    </row>
    <row r="134" spans="1:5" x14ac:dyDescent="0.35">
      <c r="A134" t="s">
        <v>275</v>
      </c>
      <c r="B134" s="97">
        <v>46255</v>
      </c>
      <c r="C134" t="s">
        <v>581</v>
      </c>
      <c r="D134" t="s">
        <v>561</v>
      </c>
      <c r="E134" t="s">
        <v>584</v>
      </c>
    </row>
    <row r="135" spans="1:5" x14ac:dyDescent="0.35">
      <c r="A135" t="s">
        <v>379</v>
      </c>
      <c r="B135" s="97">
        <v>46255</v>
      </c>
      <c r="C135" t="s">
        <v>581</v>
      </c>
      <c r="D135" t="s">
        <v>561</v>
      </c>
      <c r="E135" t="s">
        <v>585</v>
      </c>
    </row>
    <row r="136" spans="1:5" x14ac:dyDescent="0.35">
      <c r="A136" t="s">
        <v>340</v>
      </c>
      <c r="B136" s="97">
        <v>46255</v>
      </c>
      <c r="C136" t="s">
        <v>586</v>
      </c>
      <c r="D136" t="s">
        <v>561</v>
      </c>
      <c r="E136" t="s">
        <v>587</v>
      </c>
    </row>
    <row r="137" spans="1:5" x14ac:dyDescent="0.35">
      <c r="A137" t="s">
        <v>388</v>
      </c>
      <c r="B137" s="97">
        <v>46255</v>
      </c>
      <c r="C137" t="s">
        <v>588</v>
      </c>
      <c r="D137" t="s">
        <v>561</v>
      </c>
      <c r="E137" t="s">
        <v>589</v>
      </c>
    </row>
    <row r="138" spans="1:5" x14ac:dyDescent="0.35">
      <c r="A138" t="s">
        <v>452</v>
      </c>
      <c r="B138" s="97">
        <v>46255</v>
      </c>
      <c r="C138" t="s">
        <v>590</v>
      </c>
      <c r="D138" t="s">
        <v>561</v>
      </c>
      <c r="E138" t="s">
        <v>591</v>
      </c>
    </row>
    <row r="139" spans="1:5" x14ac:dyDescent="0.35">
      <c r="A139" t="s">
        <v>452</v>
      </c>
      <c r="B139" s="97">
        <v>46255</v>
      </c>
      <c r="C139" t="s">
        <v>597</v>
      </c>
      <c r="D139" t="s">
        <v>598</v>
      </c>
      <c r="E139" t="s">
        <v>599</v>
      </c>
    </row>
    <row r="140" spans="1:5" x14ac:dyDescent="0.35">
      <c r="A140" t="s">
        <v>317</v>
      </c>
      <c r="B140" s="97">
        <v>46255</v>
      </c>
      <c r="C140" t="s">
        <v>603</v>
      </c>
      <c r="D140" t="s">
        <v>604</v>
      </c>
      <c r="E140" t="s">
        <v>605</v>
      </c>
    </row>
    <row r="141" spans="1:5" x14ac:dyDescent="0.35">
      <c r="A141" t="s">
        <v>525</v>
      </c>
      <c r="B141" s="97">
        <v>46255</v>
      </c>
      <c r="C141" t="s">
        <v>606</v>
      </c>
      <c r="D141" t="s">
        <v>604</v>
      </c>
      <c r="E141" t="s">
        <v>607</v>
      </c>
    </row>
    <row r="142" spans="1:5" x14ac:dyDescent="0.35">
      <c r="A142" t="s">
        <v>167</v>
      </c>
      <c r="B142" s="97">
        <v>46255</v>
      </c>
      <c r="C142" t="s">
        <v>608</v>
      </c>
      <c r="D142" t="s">
        <v>604</v>
      </c>
      <c r="E142" t="s">
        <v>609</v>
      </c>
    </row>
    <row r="143" spans="1:5" x14ac:dyDescent="0.35">
      <c r="A143" t="s">
        <v>387</v>
      </c>
      <c r="B143" s="97">
        <v>46255</v>
      </c>
      <c r="C143" t="s">
        <v>610</v>
      </c>
      <c r="D143" t="s">
        <v>604</v>
      </c>
      <c r="E143" t="s">
        <v>611</v>
      </c>
    </row>
    <row r="144" spans="1:5" x14ac:dyDescent="0.35">
      <c r="A144" t="s">
        <v>340</v>
      </c>
      <c r="B144" s="97">
        <v>46255</v>
      </c>
      <c r="C144" t="s">
        <v>586</v>
      </c>
      <c r="D144" t="s">
        <v>604</v>
      </c>
      <c r="E144" t="s">
        <v>612</v>
      </c>
    </row>
    <row r="145" spans="1:5" x14ac:dyDescent="0.35">
      <c r="A145" t="s">
        <v>452</v>
      </c>
      <c r="B145" s="97">
        <v>46255</v>
      </c>
      <c r="C145" t="s">
        <v>613</v>
      </c>
      <c r="D145" t="s">
        <v>604</v>
      </c>
      <c r="E145" t="s">
        <v>614</v>
      </c>
    </row>
    <row r="146" spans="1:5" x14ac:dyDescent="0.35">
      <c r="A146" t="s">
        <v>253</v>
      </c>
      <c r="B146" s="97">
        <v>46256</v>
      </c>
      <c r="C146" t="s">
        <v>615</v>
      </c>
      <c r="D146" t="s">
        <v>616</v>
      </c>
      <c r="E146" t="s">
        <v>617</v>
      </c>
    </row>
    <row r="147" spans="1:5" x14ac:dyDescent="0.35">
      <c r="A147" t="s">
        <v>250</v>
      </c>
      <c r="B147" s="97">
        <v>46256</v>
      </c>
      <c r="C147" t="s">
        <v>618</v>
      </c>
      <c r="D147" t="s">
        <v>619</v>
      </c>
      <c r="E147" t="s">
        <v>620</v>
      </c>
    </row>
    <row r="148" spans="1:5" x14ac:dyDescent="0.35">
      <c r="A148" t="s">
        <v>257</v>
      </c>
      <c r="B148" s="97">
        <v>46256</v>
      </c>
      <c r="C148" t="s">
        <v>621</v>
      </c>
      <c r="D148" t="s">
        <v>622</v>
      </c>
      <c r="E148" t="s">
        <v>623</v>
      </c>
    </row>
    <row r="149" spans="1:5" x14ac:dyDescent="0.35">
      <c r="A149" t="s">
        <v>265</v>
      </c>
      <c r="B149" s="97">
        <v>46256</v>
      </c>
      <c r="C149" t="s">
        <v>624</v>
      </c>
      <c r="D149" t="s">
        <v>625</v>
      </c>
      <c r="E149" t="s">
        <v>626</v>
      </c>
    </row>
    <row r="150" spans="1:5" x14ac:dyDescent="0.35">
      <c r="A150" t="s">
        <v>253</v>
      </c>
      <c r="B150" s="97">
        <v>46256</v>
      </c>
      <c r="C150" t="s">
        <v>627</v>
      </c>
      <c r="D150" t="s">
        <v>628</v>
      </c>
      <c r="E150" t="s">
        <v>629</v>
      </c>
    </row>
    <row r="151" spans="1:5" x14ac:dyDescent="0.35">
      <c r="A151" t="s">
        <v>250</v>
      </c>
      <c r="B151" s="97">
        <v>46256</v>
      </c>
      <c r="C151" t="s">
        <v>638</v>
      </c>
      <c r="D151" t="s">
        <v>639</v>
      </c>
      <c r="E151" t="s">
        <v>640</v>
      </c>
    </row>
    <row r="152" spans="1:5" x14ac:dyDescent="0.35">
      <c r="A152" t="s">
        <v>253</v>
      </c>
      <c r="B152" s="97">
        <v>46256</v>
      </c>
      <c r="C152" t="s">
        <v>638</v>
      </c>
      <c r="D152" t="s">
        <v>639</v>
      </c>
      <c r="E152" t="s">
        <v>641</v>
      </c>
    </row>
    <row r="153" spans="1:5" x14ac:dyDescent="0.35">
      <c r="A153" t="s">
        <v>167</v>
      </c>
      <c r="B153" s="97">
        <v>46256</v>
      </c>
      <c r="C153" t="s">
        <v>642</v>
      </c>
      <c r="D153" t="s">
        <v>639</v>
      </c>
      <c r="E153" t="s">
        <v>643</v>
      </c>
    </row>
    <row r="154" spans="1:5" x14ac:dyDescent="0.35">
      <c r="A154" t="s">
        <v>254</v>
      </c>
      <c r="B154" s="97">
        <v>46256</v>
      </c>
      <c r="C154" t="s">
        <v>644</v>
      </c>
      <c r="D154" t="s">
        <v>645</v>
      </c>
      <c r="E154" t="s">
        <v>646</v>
      </c>
    </row>
    <row r="155" spans="1:5" x14ac:dyDescent="0.35">
      <c r="A155" t="s">
        <v>260</v>
      </c>
      <c r="B155" s="97">
        <v>46256</v>
      </c>
      <c r="C155" t="s">
        <v>647</v>
      </c>
      <c r="D155" t="s">
        <v>645</v>
      </c>
      <c r="E155" t="s">
        <v>648</v>
      </c>
    </row>
    <row r="156" spans="1:5" x14ac:dyDescent="0.35">
      <c r="A156" t="s">
        <v>264</v>
      </c>
      <c r="B156" s="97">
        <v>46256</v>
      </c>
      <c r="C156" t="s">
        <v>621</v>
      </c>
      <c r="D156" t="s">
        <v>645</v>
      </c>
      <c r="E156" t="s">
        <v>649</v>
      </c>
    </row>
    <row r="157" spans="1:5" x14ac:dyDescent="0.35">
      <c r="A157" t="s">
        <v>268</v>
      </c>
      <c r="B157" s="97">
        <v>46256</v>
      </c>
      <c r="C157" t="s">
        <v>650</v>
      </c>
      <c r="D157" t="s">
        <v>645</v>
      </c>
      <c r="E157" t="s">
        <v>651</v>
      </c>
    </row>
    <row r="158" spans="1:5" x14ac:dyDescent="0.35">
      <c r="A158" t="s">
        <v>253</v>
      </c>
      <c r="B158" s="97">
        <v>46256</v>
      </c>
      <c r="C158" t="s">
        <v>662</v>
      </c>
      <c r="D158" t="s">
        <v>663</v>
      </c>
      <c r="E158" t="s">
        <v>664</v>
      </c>
    </row>
    <row r="159" spans="1:5" x14ac:dyDescent="0.35">
      <c r="A159" t="s">
        <v>257</v>
      </c>
      <c r="B159" s="97">
        <v>46256</v>
      </c>
      <c r="C159" t="s">
        <v>665</v>
      </c>
      <c r="D159" t="s">
        <v>663</v>
      </c>
      <c r="E159" t="s">
        <v>666</v>
      </c>
    </row>
    <row r="160" spans="1:5" x14ac:dyDescent="0.35">
      <c r="A160" t="s">
        <v>264</v>
      </c>
      <c r="B160" s="97">
        <v>46256</v>
      </c>
      <c r="C160" t="s">
        <v>667</v>
      </c>
      <c r="D160" t="s">
        <v>663</v>
      </c>
      <c r="E160" t="s">
        <v>668</v>
      </c>
    </row>
    <row r="161" spans="1:5" x14ac:dyDescent="0.35">
      <c r="A161" t="s">
        <v>167</v>
      </c>
      <c r="B161" s="97">
        <v>46256</v>
      </c>
      <c r="C161" t="s">
        <v>669</v>
      </c>
      <c r="D161" t="s">
        <v>663</v>
      </c>
      <c r="E161" t="s">
        <v>670</v>
      </c>
    </row>
    <row r="162" spans="1:5" x14ac:dyDescent="0.35">
      <c r="A162" t="s">
        <v>260</v>
      </c>
      <c r="B162" s="97">
        <v>46256</v>
      </c>
      <c r="C162" t="s">
        <v>669</v>
      </c>
      <c r="D162" t="s">
        <v>663</v>
      </c>
      <c r="E162" t="s">
        <v>671</v>
      </c>
    </row>
    <row r="163" spans="1:5" x14ac:dyDescent="0.35">
      <c r="A163" t="s">
        <v>250</v>
      </c>
      <c r="B163" s="97">
        <v>46256</v>
      </c>
      <c r="C163" t="s">
        <v>672</v>
      </c>
      <c r="D163" t="s">
        <v>663</v>
      </c>
      <c r="E163" t="s">
        <v>673</v>
      </c>
    </row>
    <row r="164" spans="1:5" x14ac:dyDescent="0.35">
      <c r="A164" t="s">
        <v>452</v>
      </c>
      <c r="B164" s="97">
        <v>46256</v>
      </c>
      <c r="C164" t="s">
        <v>674</v>
      </c>
      <c r="D164" t="s">
        <v>663</v>
      </c>
      <c r="E164" t="s">
        <v>675</v>
      </c>
    </row>
    <row r="165" spans="1:5" x14ac:dyDescent="0.35">
      <c r="A165" t="s">
        <v>452</v>
      </c>
      <c r="B165">
        <v>46259</v>
      </c>
      <c r="C165" t="s">
        <v>685</v>
      </c>
      <c r="D165" t="s">
        <v>686</v>
      </c>
      <c r="E165" t="s">
        <v>687</v>
      </c>
    </row>
    <row r="166" spans="1:5" x14ac:dyDescent="0.35">
      <c r="A166" t="s">
        <v>275</v>
      </c>
      <c r="B166">
        <v>46259</v>
      </c>
      <c r="C166" t="s">
        <v>688</v>
      </c>
      <c r="D166" t="s">
        <v>689</v>
      </c>
      <c r="E166" t="s">
        <v>690</v>
      </c>
    </row>
    <row r="167" spans="1:5" x14ac:dyDescent="0.35">
      <c r="A167" t="s">
        <v>259</v>
      </c>
      <c r="B167">
        <v>46259</v>
      </c>
      <c r="C167" t="s">
        <v>691</v>
      </c>
      <c r="D167" t="s">
        <v>692</v>
      </c>
      <c r="E167" t="s">
        <v>693</v>
      </c>
    </row>
    <row r="168" spans="1:5" x14ac:dyDescent="0.35">
      <c r="A168" t="s">
        <v>340</v>
      </c>
      <c r="B168">
        <v>46259</v>
      </c>
      <c r="C168" t="s">
        <v>691</v>
      </c>
      <c r="D168" t="s">
        <v>694</v>
      </c>
      <c r="E168" t="s">
        <v>695</v>
      </c>
    </row>
    <row r="169" spans="1:5" x14ac:dyDescent="0.35">
      <c r="A169" t="s">
        <v>369</v>
      </c>
      <c r="B169">
        <v>46259</v>
      </c>
      <c r="C169" t="s">
        <v>691</v>
      </c>
      <c r="D169" t="s">
        <v>696</v>
      </c>
      <c r="E169" t="s">
        <v>697</v>
      </c>
    </row>
    <row r="170" spans="1:5" x14ac:dyDescent="0.35">
      <c r="A170" t="s">
        <v>370</v>
      </c>
      <c r="B170">
        <v>46259</v>
      </c>
      <c r="C170" t="s">
        <v>691</v>
      </c>
      <c r="D170" t="s">
        <v>698</v>
      </c>
      <c r="E170" t="s">
        <v>699</v>
      </c>
    </row>
    <row r="171" spans="1:5" x14ac:dyDescent="0.35">
      <c r="A171" t="s">
        <v>372</v>
      </c>
      <c r="B171">
        <v>46259</v>
      </c>
      <c r="C171" t="s">
        <v>688</v>
      </c>
      <c r="D171" t="s">
        <v>700</v>
      </c>
      <c r="E171" t="s">
        <v>701</v>
      </c>
    </row>
    <row r="172" spans="1:5" x14ac:dyDescent="0.35">
      <c r="A172" t="s">
        <v>374</v>
      </c>
      <c r="B172">
        <v>46259</v>
      </c>
      <c r="C172" t="s">
        <v>691</v>
      </c>
      <c r="D172" t="s">
        <v>692</v>
      </c>
      <c r="E172" t="s">
        <v>702</v>
      </c>
    </row>
    <row r="173" spans="1:5" x14ac:dyDescent="0.35">
      <c r="A173" t="s">
        <v>703</v>
      </c>
      <c r="B173">
        <v>46259</v>
      </c>
      <c r="C173" t="s">
        <v>704</v>
      </c>
      <c r="D173" t="s">
        <v>705</v>
      </c>
      <c r="E173" t="s">
        <v>706</v>
      </c>
    </row>
    <row r="174" spans="1:5" x14ac:dyDescent="0.35">
      <c r="A174" t="s">
        <v>707</v>
      </c>
      <c r="B174">
        <v>46259</v>
      </c>
      <c r="C174" t="s">
        <v>708</v>
      </c>
      <c r="D174" t="s">
        <v>709</v>
      </c>
      <c r="E174" t="s">
        <v>710</v>
      </c>
    </row>
    <row r="175" spans="1:5" x14ac:dyDescent="0.35">
      <c r="A175" t="s">
        <v>379</v>
      </c>
      <c r="B175">
        <v>46259</v>
      </c>
      <c r="C175" t="s">
        <v>711</v>
      </c>
      <c r="D175" t="s">
        <v>712</v>
      </c>
      <c r="E175" t="s">
        <v>713</v>
      </c>
    </row>
    <row r="176" spans="1:5" x14ac:dyDescent="0.35">
      <c r="A176" t="s">
        <v>382</v>
      </c>
      <c r="B176">
        <v>46259</v>
      </c>
      <c r="C176" t="s">
        <v>691</v>
      </c>
      <c r="D176" t="s">
        <v>709</v>
      </c>
      <c r="E176" t="s">
        <v>714</v>
      </c>
    </row>
    <row r="177" spans="1:5" x14ac:dyDescent="0.35">
      <c r="A177" t="s">
        <v>384</v>
      </c>
      <c r="B177">
        <v>46259</v>
      </c>
      <c r="C177" t="s">
        <v>715</v>
      </c>
      <c r="D177" t="s">
        <v>716</v>
      </c>
      <c r="E177" t="s">
        <v>717</v>
      </c>
    </row>
    <row r="178" spans="1:5" x14ac:dyDescent="0.35">
      <c r="A178" t="s">
        <v>385</v>
      </c>
      <c r="B178">
        <v>46259</v>
      </c>
      <c r="C178" t="s">
        <v>718</v>
      </c>
      <c r="D178" t="s">
        <v>719</v>
      </c>
      <c r="E178" t="s">
        <v>720</v>
      </c>
    </row>
    <row r="179" spans="1:5" x14ac:dyDescent="0.35">
      <c r="A179" t="s">
        <v>386</v>
      </c>
      <c r="B179">
        <v>46259</v>
      </c>
      <c r="C179" t="s">
        <v>691</v>
      </c>
      <c r="D179" t="s">
        <v>721</v>
      </c>
      <c r="E179" t="s">
        <v>722</v>
      </c>
    </row>
    <row r="180" spans="1:5" x14ac:dyDescent="0.35">
      <c r="A180" t="s">
        <v>426</v>
      </c>
      <c r="B180">
        <v>46259</v>
      </c>
      <c r="C180" t="s">
        <v>691</v>
      </c>
      <c r="D180" t="s">
        <v>723</v>
      </c>
      <c r="E180" t="s">
        <v>724</v>
      </c>
    </row>
    <row r="181" spans="1:5" x14ac:dyDescent="0.35">
      <c r="A181" t="s">
        <v>387</v>
      </c>
      <c r="B181">
        <v>46259</v>
      </c>
      <c r="C181" t="s">
        <v>718</v>
      </c>
      <c r="D181" t="s">
        <v>721</v>
      </c>
      <c r="E181" t="s">
        <v>725</v>
      </c>
    </row>
    <row r="182" spans="1:5" x14ac:dyDescent="0.35">
      <c r="A182" t="s">
        <v>726</v>
      </c>
      <c r="B182">
        <v>46259</v>
      </c>
      <c r="C182" t="s">
        <v>727</v>
      </c>
      <c r="D182" t="s">
        <v>728</v>
      </c>
      <c r="E182" t="s">
        <v>729</v>
      </c>
    </row>
    <row r="183" spans="1:5" x14ac:dyDescent="0.35">
      <c r="A183" t="s">
        <v>169</v>
      </c>
      <c r="B183">
        <v>46259</v>
      </c>
      <c r="C183" t="s">
        <v>727</v>
      </c>
      <c r="D183" t="s">
        <v>730</v>
      </c>
      <c r="E183" t="s">
        <v>731</v>
      </c>
    </row>
    <row r="184" spans="1:5" x14ac:dyDescent="0.35">
      <c r="A184" t="s">
        <v>452</v>
      </c>
      <c r="B184">
        <v>46259</v>
      </c>
      <c r="C184" t="s">
        <v>732</v>
      </c>
      <c r="D184" t="s">
        <v>733</v>
      </c>
      <c r="E184" t="s">
        <v>734</v>
      </c>
    </row>
    <row r="185" spans="1:5" x14ac:dyDescent="0.35">
      <c r="A185" t="s">
        <v>452</v>
      </c>
      <c r="B185">
        <v>46259</v>
      </c>
      <c r="C185" t="s">
        <v>735</v>
      </c>
      <c r="D185" t="s">
        <v>736</v>
      </c>
      <c r="E185" t="s">
        <v>737</v>
      </c>
    </row>
    <row r="186" spans="1:5" x14ac:dyDescent="0.35">
      <c r="A186" t="s">
        <v>452</v>
      </c>
      <c r="B186">
        <v>46259</v>
      </c>
      <c r="C186" t="s">
        <v>738</v>
      </c>
      <c r="D186" t="s">
        <v>739</v>
      </c>
      <c r="E186" t="s">
        <v>740</v>
      </c>
    </row>
    <row r="187" spans="1:5" x14ac:dyDescent="0.35">
      <c r="A187" t="s">
        <v>260</v>
      </c>
      <c r="B187">
        <v>46259</v>
      </c>
      <c r="C187" t="s">
        <v>741</v>
      </c>
      <c r="D187" t="s">
        <v>742</v>
      </c>
      <c r="E187" t="s">
        <v>743</v>
      </c>
    </row>
    <row r="188" spans="1:5" x14ac:dyDescent="0.35">
      <c r="A188" t="s">
        <v>254</v>
      </c>
      <c r="B188">
        <v>46259</v>
      </c>
      <c r="C188" t="s">
        <v>744</v>
      </c>
      <c r="D188" t="s">
        <v>742</v>
      </c>
      <c r="E188" t="s">
        <v>745</v>
      </c>
    </row>
    <row r="189" spans="1:5" x14ac:dyDescent="0.35">
      <c r="A189" t="s">
        <v>265</v>
      </c>
      <c r="B189">
        <v>46259</v>
      </c>
      <c r="C189" t="s">
        <v>744</v>
      </c>
      <c r="D189" t="s">
        <v>742</v>
      </c>
      <c r="E189" t="s">
        <v>746</v>
      </c>
    </row>
    <row r="190" spans="1:5" x14ac:dyDescent="0.35">
      <c r="A190" t="s">
        <v>255</v>
      </c>
      <c r="B190">
        <v>46259</v>
      </c>
      <c r="C190" t="s">
        <v>744</v>
      </c>
      <c r="D190" t="s">
        <v>742</v>
      </c>
      <c r="E190" t="s">
        <v>747</v>
      </c>
    </row>
    <row r="191" spans="1:5" x14ac:dyDescent="0.35">
      <c r="A191" t="s">
        <v>274</v>
      </c>
      <c r="B191">
        <v>46259</v>
      </c>
      <c r="C191" t="s">
        <v>744</v>
      </c>
      <c r="D191" t="s">
        <v>742</v>
      </c>
      <c r="E191" t="s">
        <v>748</v>
      </c>
    </row>
    <row r="192" spans="1:5" x14ac:dyDescent="0.35">
      <c r="A192" t="s">
        <v>272</v>
      </c>
      <c r="B192">
        <v>46259</v>
      </c>
      <c r="C192" t="s">
        <v>744</v>
      </c>
      <c r="D192" t="s">
        <v>742</v>
      </c>
      <c r="E192" t="s">
        <v>749</v>
      </c>
    </row>
    <row r="193" spans="1:5" x14ac:dyDescent="0.35">
      <c r="A193" t="s">
        <v>269</v>
      </c>
      <c r="B193">
        <v>46259</v>
      </c>
      <c r="C193" t="s">
        <v>744</v>
      </c>
      <c r="D193" t="s">
        <v>742</v>
      </c>
      <c r="E193" t="s">
        <v>750</v>
      </c>
    </row>
    <row r="194" spans="1:5" x14ac:dyDescent="0.35">
      <c r="A194" t="s">
        <v>368</v>
      </c>
      <c r="B194">
        <v>46259</v>
      </c>
      <c r="C194" t="s">
        <v>744</v>
      </c>
      <c r="D194" t="s">
        <v>742</v>
      </c>
      <c r="E194" t="s">
        <v>751</v>
      </c>
    </row>
    <row r="195" spans="1:5" x14ac:dyDescent="0.35">
      <c r="A195" t="s">
        <v>726</v>
      </c>
      <c r="B195">
        <v>46259</v>
      </c>
      <c r="C195" t="s">
        <v>744</v>
      </c>
      <c r="D195" t="s">
        <v>742</v>
      </c>
      <c r="E195" t="s">
        <v>752</v>
      </c>
    </row>
    <row r="196" spans="1:5" x14ac:dyDescent="0.35">
      <c r="A196" t="s">
        <v>371</v>
      </c>
      <c r="B196">
        <v>46259</v>
      </c>
      <c r="C196" t="s">
        <v>744</v>
      </c>
      <c r="D196" t="s">
        <v>742</v>
      </c>
      <c r="E196" t="s">
        <v>753</v>
      </c>
    </row>
    <row r="197" spans="1:5" x14ac:dyDescent="0.35">
      <c r="A197" t="s">
        <v>327</v>
      </c>
      <c r="B197">
        <v>46259</v>
      </c>
      <c r="C197" t="s">
        <v>744</v>
      </c>
      <c r="D197" t="s">
        <v>742</v>
      </c>
      <c r="E197" t="s">
        <v>754</v>
      </c>
    </row>
    <row r="198" spans="1:5" x14ac:dyDescent="0.35">
      <c r="A198" t="s">
        <v>375</v>
      </c>
      <c r="B198">
        <v>46259</v>
      </c>
      <c r="C198" t="s">
        <v>744</v>
      </c>
      <c r="D198" t="s">
        <v>742</v>
      </c>
      <c r="E198" t="s">
        <v>755</v>
      </c>
    </row>
    <row r="199" spans="1:5" x14ac:dyDescent="0.35">
      <c r="A199" t="s">
        <v>393</v>
      </c>
      <c r="B199">
        <v>46259</v>
      </c>
      <c r="C199" t="s">
        <v>744</v>
      </c>
      <c r="D199" t="s">
        <v>742</v>
      </c>
      <c r="E199" t="s">
        <v>756</v>
      </c>
    </row>
    <row r="200" spans="1:5" x14ac:dyDescent="0.35">
      <c r="A200" t="s">
        <v>377</v>
      </c>
      <c r="B200">
        <v>46259</v>
      </c>
      <c r="C200" t="s">
        <v>744</v>
      </c>
      <c r="D200" t="s">
        <v>742</v>
      </c>
      <c r="E200" t="s">
        <v>757</v>
      </c>
    </row>
    <row r="201" spans="1:5" x14ac:dyDescent="0.35">
      <c r="A201" t="s">
        <v>248</v>
      </c>
      <c r="B201">
        <v>46259</v>
      </c>
      <c r="C201" t="s">
        <v>744</v>
      </c>
      <c r="D201" t="s">
        <v>742</v>
      </c>
      <c r="E201" t="s">
        <v>758</v>
      </c>
    </row>
    <row r="202" spans="1:5" x14ac:dyDescent="0.35">
      <c r="A202" t="s">
        <v>261</v>
      </c>
      <c r="B202">
        <v>46259</v>
      </c>
      <c r="C202" t="s">
        <v>744</v>
      </c>
      <c r="D202" t="s">
        <v>742</v>
      </c>
      <c r="E202" t="s">
        <v>759</v>
      </c>
    </row>
    <row r="203" spans="1:5" x14ac:dyDescent="0.35">
      <c r="A203" t="s">
        <v>468</v>
      </c>
      <c r="B203">
        <v>46259</v>
      </c>
      <c r="C203" t="s">
        <v>744</v>
      </c>
      <c r="D203" t="s">
        <v>742</v>
      </c>
      <c r="E203" t="s">
        <v>760</v>
      </c>
    </row>
    <row r="204" spans="1:5" x14ac:dyDescent="0.35">
      <c r="A204" t="s">
        <v>252</v>
      </c>
      <c r="B204">
        <v>46259</v>
      </c>
      <c r="C204" t="s">
        <v>744</v>
      </c>
      <c r="D204" t="s">
        <v>742</v>
      </c>
      <c r="E204" t="s">
        <v>761</v>
      </c>
    </row>
    <row r="205" spans="1:5" x14ac:dyDescent="0.35">
      <c r="A205" t="s">
        <v>306</v>
      </c>
      <c r="B205">
        <v>46259</v>
      </c>
      <c r="C205" t="s">
        <v>744</v>
      </c>
      <c r="D205" t="s">
        <v>742</v>
      </c>
      <c r="E205" t="s">
        <v>762</v>
      </c>
    </row>
    <row r="206" spans="1:5" x14ac:dyDescent="0.35">
      <c r="A206" t="s">
        <v>397</v>
      </c>
      <c r="B206">
        <v>46259</v>
      </c>
      <c r="C206" t="s">
        <v>744</v>
      </c>
      <c r="D206" t="s">
        <v>742</v>
      </c>
      <c r="E206" t="s">
        <v>763</v>
      </c>
    </row>
    <row r="207" spans="1:5" x14ac:dyDescent="0.35">
      <c r="A207" t="s">
        <v>540</v>
      </c>
      <c r="B207">
        <v>46259</v>
      </c>
      <c r="C207" t="s">
        <v>764</v>
      </c>
      <c r="D207" t="s">
        <v>742</v>
      </c>
      <c r="E207" t="s">
        <v>765</v>
      </c>
    </row>
    <row r="208" spans="1:5" x14ac:dyDescent="0.35">
      <c r="A208" t="s">
        <v>543</v>
      </c>
      <c r="B208">
        <v>46259</v>
      </c>
      <c r="C208" t="s">
        <v>764</v>
      </c>
      <c r="D208" t="s">
        <v>742</v>
      </c>
      <c r="E208" t="s">
        <v>766</v>
      </c>
    </row>
    <row r="209" spans="1:5" x14ac:dyDescent="0.35">
      <c r="A209" t="s">
        <v>545</v>
      </c>
      <c r="B209">
        <v>46259</v>
      </c>
      <c r="C209" t="s">
        <v>744</v>
      </c>
      <c r="D209" t="s">
        <v>742</v>
      </c>
      <c r="E209" t="s">
        <v>767</v>
      </c>
    </row>
    <row r="210" spans="1:5" x14ac:dyDescent="0.35">
      <c r="A210" t="s">
        <v>452</v>
      </c>
      <c r="B210">
        <v>46259</v>
      </c>
      <c r="C210" t="s">
        <v>768</v>
      </c>
      <c r="D210" t="s">
        <v>769</v>
      </c>
      <c r="E210" t="s">
        <v>770</v>
      </c>
    </row>
    <row r="211" spans="1:5" x14ac:dyDescent="0.35">
      <c r="A211" t="s">
        <v>452</v>
      </c>
      <c r="B211">
        <v>46259</v>
      </c>
      <c r="C211" t="s">
        <v>771</v>
      </c>
      <c r="D211" t="s">
        <v>772</v>
      </c>
      <c r="E211" t="s">
        <v>773</v>
      </c>
    </row>
    <row r="212" spans="1:5" x14ac:dyDescent="0.35">
      <c r="A212" t="s">
        <v>525</v>
      </c>
      <c r="B212">
        <v>46259</v>
      </c>
      <c r="C212" t="s">
        <v>774</v>
      </c>
      <c r="D212" t="s">
        <v>772</v>
      </c>
      <c r="E212" t="s">
        <v>775</v>
      </c>
    </row>
    <row r="213" spans="1:5" x14ac:dyDescent="0.35">
      <c r="A213" t="s">
        <v>374</v>
      </c>
      <c r="B213">
        <v>46259</v>
      </c>
      <c r="C213" t="s">
        <v>777</v>
      </c>
      <c r="D213" t="s">
        <v>778</v>
      </c>
      <c r="E213" t="s">
        <v>779</v>
      </c>
    </row>
    <row r="214" spans="1:5" x14ac:dyDescent="0.35">
      <c r="A214" t="s">
        <v>327</v>
      </c>
      <c r="B214">
        <v>46259</v>
      </c>
      <c r="C214" t="s">
        <v>665</v>
      </c>
      <c r="D214" t="s">
        <v>778</v>
      </c>
      <c r="E214" t="s">
        <v>780</v>
      </c>
    </row>
    <row r="215" spans="1:5" x14ac:dyDescent="0.35">
      <c r="A215" t="s">
        <v>335</v>
      </c>
      <c r="B215">
        <v>46259</v>
      </c>
      <c r="C215" t="s">
        <v>781</v>
      </c>
      <c r="D215" t="s">
        <v>778</v>
      </c>
      <c r="E215" t="s">
        <v>782</v>
      </c>
    </row>
    <row r="216" spans="1:5" x14ac:dyDescent="0.35">
      <c r="A216" t="s">
        <v>271</v>
      </c>
      <c r="B216">
        <v>46259</v>
      </c>
      <c r="C216" t="s">
        <v>783</v>
      </c>
      <c r="D216" t="s">
        <v>778</v>
      </c>
      <c r="E216" t="s">
        <v>784</v>
      </c>
    </row>
    <row r="217" spans="1:5" x14ac:dyDescent="0.35">
      <c r="A217" t="s">
        <v>257</v>
      </c>
      <c r="B217">
        <v>46259</v>
      </c>
      <c r="C217" t="s">
        <v>785</v>
      </c>
      <c r="D217" t="s">
        <v>778</v>
      </c>
      <c r="E217" t="s">
        <v>786</v>
      </c>
    </row>
    <row r="218" spans="1:5" x14ac:dyDescent="0.35">
      <c r="A218" t="s">
        <v>256</v>
      </c>
      <c r="B218">
        <v>46259</v>
      </c>
      <c r="C218" t="s">
        <v>787</v>
      </c>
      <c r="D218" t="s">
        <v>778</v>
      </c>
      <c r="E218" t="s">
        <v>788</v>
      </c>
    </row>
    <row r="219" spans="1:5" x14ac:dyDescent="0.35">
      <c r="A219" t="s">
        <v>404</v>
      </c>
      <c r="B219">
        <v>46259</v>
      </c>
      <c r="C219" t="s">
        <v>789</v>
      </c>
      <c r="D219" t="s">
        <v>778</v>
      </c>
      <c r="E219" t="s">
        <v>790</v>
      </c>
    </row>
    <row r="220" spans="1:5" x14ac:dyDescent="0.35">
      <c r="A220" t="s">
        <v>388</v>
      </c>
      <c r="B220">
        <v>46259</v>
      </c>
      <c r="C220" t="s">
        <v>791</v>
      </c>
      <c r="D220" t="s">
        <v>778</v>
      </c>
      <c r="E220" t="s">
        <v>792</v>
      </c>
    </row>
    <row r="221" spans="1:5" x14ac:dyDescent="0.35">
      <c r="A221" t="s">
        <v>260</v>
      </c>
      <c r="B221">
        <v>46259</v>
      </c>
      <c r="C221" t="s">
        <v>793</v>
      </c>
      <c r="D221" t="s">
        <v>794</v>
      </c>
      <c r="E221" t="s">
        <v>795</v>
      </c>
    </row>
    <row r="222" spans="1:5" x14ac:dyDescent="0.35">
      <c r="A222" t="s">
        <v>452</v>
      </c>
      <c r="B222">
        <v>46259</v>
      </c>
      <c r="C222" t="s">
        <v>768</v>
      </c>
      <c r="D222" t="s">
        <v>778</v>
      </c>
      <c r="E222" t="s">
        <v>796</v>
      </c>
    </row>
    <row r="223" spans="1:5" x14ac:dyDescent="0.35">
      <c r="A223" t="s">
        <v>257</v>
      </c>
      <c r="B223">
        <v>46259</v>
      </c>
      <c r="C223" t="s">
        <v>799</v>
      </c>
      <c r="D223" t="s">
        <v>800</v>
      </c>
      <c r="E223" t="s">
        <v>801</v>
      </c>
    </row>
    <row r="224" spans="1:5" x14ac:dyDescent="0.35">
      <c r="A224" t="s">
        <v>404</v>
      </c>
      <c r="B224">
        <v>46259</v>
      </c>
      <c r="C224" t="s">
        <v>672</v>
      </c>
      <c r="D224" t="s">
        <v>802</v>
      </c>
      <c r="E224" t="s">
        <v>803</v>
      </c>
    </row>
    <row r="225" spans="1:5" x14ac:dyDescent="0.35">
      <c r="A225" t="s">
        <v>271</v>
      </c>
      <c r="B225">
        <v>46259</v>
      </c>
      <c r="C225" t="s">
        <v>672</v>
      </c>
      <c r="D225" t="s">
        <v>804</v>
      </c>
      <c r="E225" t="s">
        <v>805</v>
      </c>
    </row>
    <row r="226" spans="1:5" x14ac:dyDescent="0.35">
      <c r="A226" t="s">
        <v>388</v>
      </c>
      <c r="B226">
        <v>46259</v>
      </c>
      <c r="C226" t="s">
        <v>806</v>
      </c>
      <c r="D226" t="s">
        <v>807</v>
      </c>
      <c r="E226" t="s">
        <v>808</v>
      </c>
    </row>
    <row r="227" spans="1:5" x14ac:dyDescent="0.35">
      <c r="A227" t="s">
        <v>452</v>
      </c>
      <c r="B227">
        <v>46259</v>
      </c>
      <c r="C227" t="s">
        <v>809</v>
      </c>
      <c r="D227" t="s">
        <v>810</v>
      </c>
      <c r="E227" t="s">
        <v>811</v>
      </c>
    </row>
    <row r="228" spans="1:5" x14ac:dyDescent="0.35">
      <c r="A228" t="s">
        <v>452</v>
      </c>
      <c r="B228">
        <v>46259</v>
      </c>
      <c r="C228" t="s">
        <v>812</v>
      </c>
      <c r="D228" t="s">
        <v>813</v>
      </c>
      <c r="E228" t="s">
        <v>814</v>
      </c>
    </row>
    <row r="229" spans="1:5" x14ac:dyDescent="0.35">
      <c r="A229" t="s">
        <v>335</v>
      </c>
      <c r="B229">
        <v>46259</v>
      </c>
      <c r="C229" t="s">
        <v>815</v>
      </c>
      <c r="D229" t="s">
        <v>816</v>
      </c>
      <c r="E229" t="s">
        <v>817</v>
      </c>
    </row>
    <row r="230" spans="1:5" x14ac:dyDescent="0.35">
      <c r="A230" t="s">
        <v>254</v>
      </c>
      <c r="B230">
        <v>46259</v>
      </c>
      <c r="C230" t="s">
        <v>665</v>
      </c>
      <c r="D230" t="s">
        <v>818</v>
      </c>
      <c r="E230" t="s">
        <v>819</v>
      </c>
    </row>
    <row r="231" spans="1:5" x14ac:dyDescent="0.35">
      <c r="A231" t="s">
        <v>272</v>
      </c>
      <c r="B231">
        <v>46259</v>
      </c>
      <c r="C231" t="s">
        <v>820</v>
      </c>
      <c r="D231" t="s">
        <v>818</v>
      </c>
      <c r="E231" t="s">
        <v>821</v>
      </c>
    </row>
    <row r="232" spans="1:5" x14ac:dyDescent="0.35">
      <c r="A232" t="s">
        <v>452</v>
      </c>
      <c r="B232">
        <v>46259</v>
      </c>
      <c r="C232" t="s">
        <v>822</v>
      </c>
      <c r="D232" t="s">
        <v>823</v>
      </c>
      <c r="E232" t="s">
        <v>824</v>
      </c>
    </row>
    <row r="233" spans="1:5" x14ac:dyDescent="0.35">
      <c r="A233" t="s">
        <v>275</v>
      </c>
      <c r="B233">
        <v>46259</v>
      </c>
      <c r="C233" t="s">
        <v>825</v>
      </c>
      <c r="D233" t="s">
        <v>818</v>
      </c>
      <c r="E233" t="s">
        <v>826</v>
      </c>
    </row>
    <row r="234" spans="1:5" x14ac:dyDescent="0.35">
      <c r="A234" t="s">
        <v>259</v>
      </c>
      <c r="B234">
        <v>46259</v>
      </c>
      <c r="C234" t="s">
        <v>827</v>
      </c>
      <c r="D234" t="s">
        <v>818</v>
      </c>
      <c r="E234" t="s">
        <v>828</v>
      </c>
    </row>
    <row r="235" spans="1:5" x14ac:dyDescent="0.35">
      <c r="A235" t="s">
        <v>375</v>
      </c>
      <c r="B235">
        <v>46259</v>
      </c>
      <c r="C235" t="s">
        <v>829</v>
      </c>
      <c r="D235" t="s">
        <v>818</v>
      </c>
      <c r="E235" t="s">
        <v>830</v>
      </c>
    </row>
    <row r="236" spans="1:5" x14ac:dyDescent="0.35">
      <c r="A236" t="s">
        <v>371</v>
      </c>
      <c r="B236">
        <v>46259</v>
      </c>
      <c r="C236" t="s">
        <v>831</v>
      </c>
      <c r="D236" t="s">
        <v>818</v>
      </c>
      <c r="E236" t="s">
        <v>832</v>
      </c>
    </row>
    <row r="237" spans="1:5" x14ac:dyDescent="0.35">
      <c r="A237" t="s">
        <v>468</v>
      </c>
      <c r="B237">
        <v>46259</v>
      </c>
      <c r="C237" t="s">
        <v>665</v>
      </c>
      <c r="D237" t="s">
        <v>818</v>
      </c>
      <c r="E237" t="s">
        <v>833</v>
      </c>
    </row>
    <row r="238" spans="1:5" x14ac:dyDescent="0.35">
      <c r="A238" t="s">
        <v>379</v>
      </c>
      <c r="B238">
        <v>46259</v>
      </c>
      <c r="C238" t="s">
        <v>834</v>
      </c>
      <c r="D238" t="s">
        <v>818</v>
      </c>
      <c r="E238" t="s">
        <v>835</v>
      </c>
    </row>
    <row r="239" spans="1:5" x14ac:dyDescent="0.35">
      <c r="A239" t="s">
        <v>837</v>
      </c>
      <c r="B239">
        <v>46260</v>
      </c>
      <c r="C239" t="s">
        <v>842</v>
      </c>
      <c r="D239" t="s">
        <v>843</v>
      </c>
      <c r="E239" t="s">
        <v>844</v>
      </c>
    </row>
    <row r="240" spans="1:5" x14ac:dyDescent="0.35">
      <c r="A240" t="s">
        <v>839</v>
      </c>
      <c r="B240">
        <v>46260</v>
      </c>
      <c r="C240" t="s">
        <v>845</v>
      </c>
      <c r="D240" t="s">
        <v>843</v>
      </c>
      <c r="E240" t="s">
        <v>846</v>
      </c>
    </row>
    <row r="241" spans="1:5" x14ac:dyDescent="0.35">
      <c r="A241" t="s">
        <v>263</v>
      </c>
      <c r="B241">
        <v>46260</v>
      </c>
      <c r="C241" t="s">
        <v>744</v>
      </c>
      <c r="D241" t="s">
        <v>847</v>
      </c>
      <c r="E241" t="s">
        <v>848</v>
      </c>
    </row>
    <row r="242" spans="1:5" x14ac:dyDescent="0.35">
      <c r="A242" t="s">
        <v>452</v>
      </c>
      <c r="B242">
        <v>46260</v>
      </c>
      <c r="C242" t="s">
        <v>822</v>
      </c>
      <c r="D242" t="s">
        <v>849</v>
      </c>
      <c r="E242" t="s">
        <v>850</v>
      </c>
    </row>
    <row r="243" spans="1:5" x14ac:dyDescent="0.35">
      <c r="A243" t="s">
        <v>263</v>
      </c>
      <c r="B243">
        <v>46260</v>
      </c>
      <c r="C243" t="s">
        <v>777</v>
      </c>
      <c r="D243" t="s">
        <v>847</v>
      </c>
      <c r="E243" t="s">
        <v>851</v>
      </c>
    </row>
    <row r="244" spans="1:5" x14ac:dyDescent="0.35">
      <c r="A244" t="s">
        <v>268</v>
      </c>
      <c r="B244">
        <v>46260</v>
      </c>
      <c r="C244" t="s">
        <v>665</v>
      </c>
      <c r="D244" t="s">
        <v>847</v>
      </c>
      <c r="E244" t="s">
        <v>852</v>
      </c>
    </row>
    <row r="245" spans="1:5" x14ac:dyDescent="0.35">
      <c r="A245" t="s">
        <v>274</v>
      </c>
      <c r="B245">
        <v>46260</v>
      </c>
      <c r="C245" t="s">
        <v>853</v>
      </c>
      <c r="D245" t="s">
        <v>847</v>
      </c>
      <c r="E245" t="s">
        <v>854</v>
      </c>
    </row>
    <row r="246" spans="1:5" x14ac:dyDescent="0.35">
      <c r="A246" t="s">
        <v>262</v>
      </c>
      <c r="B246">
        <v>46260</v>
      </c>
      <c r="C246" t="s">
        <v>855</v>
      </c>
      <c r="D246" t="s">
        <v>847</v>
      </c>
      <c r="E246" t="s">
        <v>856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2026-08-26T15:36:01Z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