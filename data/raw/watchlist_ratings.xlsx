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530A618C-ED5B-4B10-BE35-B307BEF7EAA2}"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1" l="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5" i="1"/>
  <c r="BM65" i="1" s="1"/>
  <c r="BJ65" i="1"/>
  <c r="BL65" i="1" s="1"/>
  <c r="BG65" i="1"/>
  <c r="BE65" i="1"/>
  <c r="BB65" i="1"/>
  <c r="BA65" i="1"/>
  <c r="BC65" i="1" s="1"/>
  <c r="AL65" i="1"/>
  <c r="AM65" i="1" s="1"/>
  <c r="AB65" i="1"/>
  <c r="AC65" i="1" s="1"/>
  <c r="R65" i="1"/>
  <c r="S65" i="1" s="1"/>
  <c r="I65" i="1"/>
  <c r="AR65" i="1" s="1"/>
  <c r="BG64" i="1"/>
  <c r="BE64" i="1"/>
  <c r="BC64" i="1"/>
  <c r="BB64" i="1"/>
  <c r="BA64" i="1"/>
  <c r="AL64" i="1"/>
  <c r="AM64" i="1" s="1"/>
  <c r="AB64" i="1"/>
  <c r="AC64" i="1" s="1"/>
  <c r="R64" i="1"/>
  <c r="S64" i="1" s="1"/>
  <c r="AN64" i="1" s="1"/>
  <c r="H64" i="1" a="1"/>
  <c r="H64" i="1" s="1"/>
  <c r="G64" i="1" a="1"/>
  <c r="G64" i="1" s="1"/>
  <c r="I64" i="1" s="1"/>
  <c r="AR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I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I53" i="1" s="1"/>
  <c r="AR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I52" i="1" s="1"/>
  <c r="AR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I51" i="1" s="1"/>
  <c r="AR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I50" i="1" s="1"/>
  <c r="AR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I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I44" i="1" s="1"/>
  <c r="AR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I43" i="1" s="1"/>
  <c r="AR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I42" i="1" s="1"/>
  <c r="AR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I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I40" i="1" s="1"/>
  <c r="AR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I32" i="1" s="1"/>
  <c r="AR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I28" i="1" s="1"/>
  <c r="AR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I27" i="1" s="1"/>
  <c r="AR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I24" i="1" s="1"/>
  <c r="AR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I22" i="1" s="1"/>
  <c r="AR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I20" i="1" s="1"/>
  <c r="AR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I17" i="1" s="1"/>
  <c r="AR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AN65" i="1" l="1"/>
  <c r="I12" i="1"/>
  <c r="I14" i="1"/>
  <c r="AR14" i="1" s="1"/>
  <c r="I59" i="1"/>
  <c r="AR59" i="1" s="1"/>
  <c r="I16" i="1"/>
  <c r="AR16" i="1" s="1"/>
  <c r="I55" i="1"/>
  <c r="AR55" i="1" s="1"/>
  <c r="I34" i="1"/>
  <c r="AR34" i="1" s="1"/>
  <c r="I15" i="1"/>
  <c r="AR15" i="1" s="1"/>
  <c r="I23" i="1"/>
  <c r="AR23" i="1" s="1"/>
  <c r="I57" i="1"/>
  <c r="AR57" i="1" s="1"/>
  <c r="I47" i="1"/>
  <c r="AR47" i="1" s="1"/>
  <c r="I46" i="1"/>
  <c r="AR46" i="1" s="1"/>
  <c r="I18" i="1"/>
  <c r="AR18" i="1" s="1"/>
  <c r="AW18" i="1" s="1"/>
  <c r="I31" i="1"/>
  <c r="AR31" i="1" s="1"/>
  <c r="I19" i="1"/>
  <c r="AR19" i="1" s="1"/>
  <c r="I39" i="1"/>
  <c r="AR39" i="1" s="1"/>
  <c r="I36" i="1"/>
  <c r="I33" i="1"/>
  <c r="I54" i="1"/>
  <c r="AR54" i="1" s="1"/>
  <c r="I30" i="1"/>
  <c r="AR30" i="1" s="1"/>
  <c r="I38" i="1"/>
  <c r="AR38" i="1" s="1"/>
  <c r="I29" i="1"/>
  <c r="AR29" i="1" s="1"/>
  <c r="I21" i="1"/>
  <c r="AR21" i="1" s="1"/>
  <c r="I62" i="1"/>
  <c r="AR62" i="1" s="1"/>
  <c r="I58" i="1"/>
  <c r="AR58" i="1" s="1"/>
  <c r="I56" i="1"/>
  <c r="AR56" i="1" s="1"/>
  <c r="AR41" i="1"/>
  <c r="AR49" i="1"/>
  <c r="AR36" i="1"/>
  <c r="AR33" i="1"/>
  <c r="AR63" i="1"/>
  <c r="AR12" i="1"/>
  <c r="I61" i="1"/>
  <c r="AR61" i="1" s="1"/>
  <c r="B73" i="3"/>
  <c r="I13" i="1"/>
  <c r="AR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O81" i="3"/>
  <c r="N81" i="3"/>
  <c r="M81" i="3"/>
  <c r="L81" i="3"/>
  <c r="A4" i="3"/>
  <c r="O8" i="3"/>
  <c r="S8" i="3"/>
  <c r="V8" i="3"/>
  <c r="Y8" i="3"/>
  <c r="AA8" i="3"/>
  <c r="L75" i="3"/>
  <c r="J64" i="3"/>
  <c r="K77" i="3"/>
  <c r="Q77" i="3" s="1"/>
  <c r="B74" i="3"/>
  <c r="B83" i="3"/>
  <c r="G88" i="3"/>
  <c r="P83" i="3"/>
  <c r="O83" i="3"/>
  <c r="N83" i="3"/>
  <c r="M83" i="3"/>
  <c r="L83" i="3"/>
  <c r="C74" i="3"/>
  <c r="D74" i="3"/>
  <c r="A64" i="3"/>
  <c r="L74" i="3"/>
  <c r="M74" i="3"/>
  <c r="N74" i="3"/>
  <c r="O74" i="3"/>
  <c r="K83" i="3"/>
  <c r="Q83" i="3" s="1"/>
  <c r="P74" i="3"/>
  <c r="B75" i="3"/>
  <c r="C75" i="3"/>
  <c r="D75" i="3"/>
  <c r="K75" i="3"/>
  <c r="Q75" i="3" s="1"/>
  <c r="M75" i="3"/>
  <c r="N75" i="3"/>
  <c r="O75" i="3"/>
  <c r="P75" i="3"/>
  <c r="K74" i="3"/>
  <c r="Q74" i="3" s="1"/>
  <c r="C77" i="3"/>
  <c r="D77" i="3"/>
  <c r="L77" i="3"/>
  <c r="M77" i="3"/>
  <c r="N77" i="3"/>
  <c r="O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AW60" i="1"/>
  <c r="AX60" i="1"/>
  <c r="AY60" i="1"/>
  <c r="BK59" i="1"/>
  <c r="BM59" i="1" s="1"/>
  <c r="BJ59" i="1"/>
  <c r="BL59" i="1" s="1"/>
  <c r="AW59" i="1"/>
  <c r="AX59" i="1"/>
  <c r="AY59" i="1"/>
  <c r="BK58" i="1"/>
  <c r="BM58" i="1" s="1"/>
  <c r="BJ58" i="1"/>
  <c r="BL58" i="1" s="1"/>
  <c r="BK57" i="1"/>
  <c r="BM57" i="1" s="1"/>
  <c r="BJ57" i="1"/>
  <c r="BL57" i="1" s="1"/>
  <c r="AW57" i="1"/>
  <c r="AX57" i="1"/>
  <c r="AY57" i="1"/>
  <c r="BK56" i="1"/>
  <c r="BM56" i="1" s="1"/>
  <c r="BJ56" i="1"/>
  <c r="BL56" i="1" s="1"/>
  <c r="BK55" i="1"/>
  <c r="BM55" i="1" s="1"/>
  <c r="BJ55" i="1"/>
  <c r="BL55" i="1" s="1"/>
  <c r="AW55" i="1"/>
  <c r="AX55" i="1"/>
  <c r="AY55" i="1"/>
  <c r="BK53" i="1"/>
  <c r="BM53" i="1" s="1"/>
  <c r="BJ53" i="1"/>
  <c r="BL53" i="1" s="1"/>
  <c r="AW53" i="1"/>
  <c r="AX53" i="1"/>
  <c r="AY53" i="1"/>
  <c r="BK52" i="1"/>
  <c r="BM52" i="1" s="1"/>
  <c r="BJ52" i="1"/>
  <c r="BL52" i="1" s="1"/>
  <c r="AW52" i="1"/>
  <c r="AX52" i="1"/>
  <c r="AY52" i="1"/>
  <c r="BJ51" i="1"/>
  <c r="BL51" i="1" s="1"/>
  <c r="BK51" i="1"/>
  <c r="BM51" i="1" s="1"/>
  <c r="AW51" i="1"/>
  <c r="AX51" i="1"/>
  <c r="AY51" i="1"/>
  <c r="BK50" i="1"/>
  <c r="BM50" i="1" s="1"/>
  <c r="BJ50" i="1"/>
  <c r="BL50" i="1" s="1"/>
  <c r="AW50" i="1"/>
  <c r="AX50" i="1"/>
  <c r="AY50" i="1"/>
  <c r="BK49" i="1"/>
  <c r="BM49" i="1" s="1"/>
  <c r="BJ49" i="1"/>
  <c r="BL49" i="1" s="1"/>
  <c r="BK48" i="1"/>
  <c r="BM48" i="1" s="1"/>
  <c r="BJ48" i="1"/>
  <c r="BL48" i="1" s="1"/>
  <c r="AW48" i="1"/>
  <c r="AX48" i="1"/>
  <c r="AY48" i="1"/>
  <c r="BJ47" i="1"/>
  <c r="BL47" i="1" s="1"/>
  <c r="BK47" i="1"/>
  <c r="BM47" i="1" s="1"/>
  <c r="AW47" i="1"/>
  <c r="AX47" i="1"/>
  <c r="AY47" i="1"/>
  <c r="BK46" i="1"/>
  <c r="BM46" i="1" s="1"/>
  <c r="BJ46" i="1"/>
  <c r="BL46" i="1" s="1"/>
  <c r="BK45" i="1"/>
  <c r="BM45" i="1" s="1"/>
  <c r="BJ45" i="1"/>
  <c r="BL45" i="1" s="1"/>
  <c r="AW45" i="1"/>
  <c r="AX45" i="1"/>
  <c r="AY45" i="1"/>
  <c r="AW44" i="1"/>
  <c r="AX44" i="1"/>
  <c r="AY44" i="1"/>
  <c r="BK43" i="1"/>
  <c r="BM43" i="1" s="1"/>
  <c r="BJ43" i="1"/>
  <c r="BL43" i="1" s="1"/>
  <c r="AW43" i="1"/>
  <c r="AX43" i="1"/>
  <c r="AY43" i="1"/>
  <c r="BK42" i="1"/>
  <c r="BM42" i="1" s="1"/>
  <c r="BJ42" i="1"/>
  <c r="BL42" i="1" s="1"/>
  <c r="AW42" i="1"/>
  <c r="AX42" i="1"/>
  <c r="AY42" i="1"/>
  <c r="BK41" i="1"/>
  <c r="BM41" i="1" s="1"/>
  <c r="BJ41" i="1"/>
  <c r="BL41" i="1" s="1"/>
  <c r="BJ40" i="1"/>
  <c r="BL40" i="1" s="1"/>
  <c r="BK40" i="1"/>
  <c r="BM40" i="1" s="1"/>
  <c r="AW40" i="1"/>
  <c r="AX40" i="1"/>
  <c r="AY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AW34" i="1"/>
  <c r="AX34" i="1"/>
  <c r="AY34" i="1"/>
  <c r="BJ33" i="1"/>
  <c r="BL33" i="1" s="1"/>
  <c r="BK33" i="1"/>
  <c r="BM33" i="1" s="1"/>
  <c r="BK32" i="1"/>
  <c r="BM32" i="1" s="1"/>
  <c r="BJ32" i="1"/>
  <c r="BL32" i="1" s="1"/>
  <c r="AW32" i="1"/>
  <c r="AX32" i="1"/>
  <c r="AY32" i="1"/>
  <c r="BK31" i="1"/>
  <c r="BM31" i="1" s="1"/>
  <c r="BJ31" i="1"/>
  <c r="BL31" i="1" s="1"/>
  <c r="AW31" i="1"/>
  <c r="AX31" i="1"/>
  <c r="AY31" i="1"/>
  <c r="BJ30" i="1"/>
  <c r="BL30" i="1" s="1"/>
  <c r="BK30" i="1"/>
  <c r="BM30" i="1" s="1"/>
  <c r="BK29" i="1"/>
  <c r="BM29" i="1" s="1"/>
  <c r="BJ29" i="1"/>
  <c r="BL29" i="1" s="1"/>
  <c r="BK28" i="1"/>
  <c r="BM28" i="1" s="1"/>
  <c r="BJ28" i="1"/>
  <c r="BL28" i="1" s="1"/>
  <c r="AW28" i="1"/>
  <c r="AX28" i="1"/>
  <c r="AY28" i="1"/>
  <c r="BJ27" i="1"/>
  <c r="BL27" i="1" s="1"/>
  <c r="BK27" i="1"/>
  <c r="BM27" i="1" s="1"/>
  <c r="AW27" i="1"/>
  <c r="AX27" i="1"/>
  <c r="AY27" i="1"/>
  <c r="BK26" i="1"/>
  <c r="BM26" i="1" s="1"/>
  <c r="BJ26" i="1"/>
  <c r="BL26" i="1" s="1"/>
  <c r="AW26" i="1"/>
  <c r="AX26" i="1"/>
  <c r="AY26" i="1"/>
  <c r="BK25" i="1"/>
  <c r="BM25" i="1" s="1"/>
  <c r="BJ25" i="1"/>
  <c r="BL25" i="1" s="1"/>
  <c r="AW25" i="1"/>
  <c r="AX25" i="1"/>
  <c r="AY25" i="1"/>
  <c r="AY24" i="1"/>
  <c r="AX24" i="1"/>
  <c r="AW24" i="1"/>
  <c r="BK23" i="1"/>
  <c r="BM23" i="1" s="1"/>
  <c r="Q27" i="3" s="1"/>
  <c r="BJ23" i="1"/>
  <c r="BL23" i="1" s="1"/>
  <c r="BK22" i="1"/>
  <c r="BM22" i="1" s="1"/>
  <c r="Q26" i="3" s="1"/>
  <c r="BJ22" i="1"/>
  <c r="BL22" i="1" s="1"/>
  <c r="AW22" i="1"/>
  <c r="AX22" i="1"/>
  <c r="AY22" i="1"/>
  <c r="BJ21" i="1"/>
  <c r="BL21" i="1" s="1"/>
  <c r="BK21" i="1"/>
  <c r="BM21" i="1" s="1"/>
  <c r="Q25" i="3" s="1"/>
  <c r="BK20" i="1"/>
  <c r="BM20" i="1" s="1"/>
  <c r="BJ20" i="1"/>
  <c r="BL20" i="1" s="1"/>
  <c r="AW20" i="1"/>
  <c r="AX20" i="1"/>
  <c r="AY20" i="1"/>
  <c r="BK19" i="1"/>
  <c r="BM19" i="1" s="1"/>
  <c r="Q23" i="3" s="1"/>
  <c r="BJ19" i="1"/>
  <c r="BL19" i="1" s="1"/>
  <c r="AW19" i="1"/>
  <c r="AX19" i="1"/>
  <c r="AY19" i="1"/>
  <c r="AN18" i="1"/>
  <c r="C22" i="3"/>
  <c r="BJ18" i="1"/>
  <c r="BL18" i="1" s="1"/>
  <c r="AB22" i="3" s="1"/>
  <c r="BK18" i="1"/>
  <c r="BM18" i="1" s="1"/>
  <c r="AN17" i="1"/>
  <c r="C21" i="3"/>
  <c r="BK17" i="1"/>
  <c r="BM17" i="1" s="1"/>
  <c r="BJ17" i="1"/>
  <c r="BL17" i="1" s="1"/>
  <c r="AB21" i="3" s="1"/>
  <c r="AW17" i="1"/>
  <c r="AX17" i="1"/>
  <c r="AY17" i="1"/>
  <c r="AN16" i="1"/>
  <c r="C20" i="3"/>
  <c r="BK16" i="1"/>
  <c r="BM16" i="1" s="1"/>
  <c r="BJ16" i="1"/>
  <c r="BL16" i="1" s="1"/>
  <c r="AB20" i="3" s="1"/>
  <c r="AY16" i="1"/>
  <c r="V20" i="3"/>
  <c r="Y20" i="3"/>
  <c r="O20" i="3"/>
  <c r="B20" i="3"/>
  <c r="AN15" i="1"/>
  <c r="C19" i="3"/>
  <c r="BK15" i="1"/>
  <c r="BM15" i="1" s="1"/>
  <c r="BJ15" i="1"/>
  <c r="BL15" i="1" s="1"/>
  <c r="AB19" i="3" s="1"/>
  <c r="AW15" i="1"/>
  <c r="AX15" i="1"/>
  <c r="AY15" i="1"/>
  <c r="B19" i="3"/>
  <c r="O19" i="3"/>
  <c r="Y19" i="3"/>
  <c r="V19" i="3"/>
  <c r="AA19" i="3"/>
  <c r="AN14" i="1"/>
  <c r="C18" i="3"/>
  <c r="BK14" i="1"/>
  <c r="BM14" i="1" s="1"/>
  <c r="BJ14" i="1"/>
  <c r="BL14" i="1" s="1"/>
  <c r="AB18" i="3" s="1"/>
  <c r="AW14" i="1"/>
  <c r="AX14" i="1"/>
  <c r="AY14" i="1"/>
  <c r="O18" i="3"/>
  <c r="B18" i="3"/>
  <c r="V18" i="3"/>
  <c r="AA18" i="3"/>
  <c r="Y18" i="3"/>
  <c r="I17" i="3"/>
  <c r="T17" i="3"/>
  <c r="E17" i="3"/>
  <c r="K73" i="3"/>
  <c r="Q73" i="3" s="1"/>
  <c r="AN13" i="1"/>
  <c r="C17" i="3"/>
  <c r="BJ13" i="1"/>
  <c r="E83" i="3" s="1"/>
  <c r="H83" i="3" s="1"/>
  <c r="BK13" i="1"/>
  <c r="AW13" i="1"/>
  <c r="AX13" i="1"/>
  <c r="AY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W16" i="1" l="1"/>
  <c r="AX16" i="1"/>
  <c r="AW23" i="1"/>
  <c r="AX23" i="1"/>
  <c r="AY23" i="1"/>
  <c r="AW46" i="1"/>
  <c r="AX46" i="1"/>
  <c r="AY46" i="1"/>
  <c r="AY30" i="1"/>
  <c r="AW30" i="1"/>
  <c r="AX30" i="1"/>
  <c r="AW29" i="1"/>
  <c r="AX29" i="1"/>
  <c r="AY29" i="1"/>
  <c r="AW21" i="1"/>
  <c r="AX21" i="1"/>
  <c r="AY21" i="1"/>
  <c r="AX18" i="1"/>
  <c r="AY18" i="1"/>
  <c r="AX39" i="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J21" i="3"/>
  <c r="F20" i="3"/>
  <c r="P20" i="3"/>
  <c r="AC20" i="3"/>
  <c r="Q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20" i="3" l="1"/>
  <c r="Z20" i="3"/>
  <c r="J15" i="3"/>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G70" i="3" s="1"/>
  <c r="Q14" i="3"/>
  <c r="AC14" i="3"/>
  <c r="E69" i="3"/>
  <c r="H69" i="3" s="1"/>
  <c r="AB13" i="3"/>
  <c r="F69" i="3"/>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69" i="3" l="1"/>
  <c r="G67" i="3"/>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<sst xmlns="http://schemas.openxmlformats.org/spreadsheetml/2006/main" count="826" uniqueCount="449">
  <si>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</si>
  <si>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</si>
  <si>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</si>
  <si>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</si>
  <si>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</si>
  <si>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</si>
  <si>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</si>
  <si>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</si>
  <si>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</si>
  <si>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</si>
  <si>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</si>
  <si>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</si>
  <si>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</si>
  <si>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</si>
  <si>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</si>
  <si>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</si>
  <si>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</si>
  <si>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</si>
  <si>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</si>
  <si>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</si>
  <si>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</si>
  <si>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</si>
  <si>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</si>
  <si>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</si>
  <si>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</si>
  <si>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</si>
  <si>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</si>
  <si>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</si>
  <si>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</si>
  <si>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</si>
  <si>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</si>
  <si>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</si>
  <si>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</si>
  <si>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</si>
  <si>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</si>
  <si>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</si>
  <si>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</si>
  <si>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</si>
  <si>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</si>
  <si>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</si>
  <si>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</si>
  <si>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</si>
  <si>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</si>
  <si>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</si>
  <si>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</si>
  <si>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</si>
  <si>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</si>
  <si>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</si>
  <si>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</si>
  <si>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</si>
  <si>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</si>
  <si>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</si>
  <si>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</si>
  <si>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</si>
  <si>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</si>
  <si>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</si>
  <si>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</si>
  <si>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</si>
  <si>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</si>
  <si>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</si>
  <si>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</si>
  <si>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</si>
  <si>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</si>
  <si>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</si>
  <si>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</si>
  <si>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</si>
  <si>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</si>
  <si>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</si>
  <si>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</si>
  <si>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</si>
  <si>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</si>
  <si>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</si>
  <si>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</si>
  <si>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</si>
  <si>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</si>
  <si>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</si>
  <si>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</si>
  <si>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</si>
  <si>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</si>
  <si>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</si>
  <si>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</si>
  <si>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</si>
  <si>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</si>
  <si>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</si>
  <si>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</si>
  <si>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</si>
  <si>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</si>
  <si>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28/01/2026</t>
  </si>
  <si>
    <t>29/04/2026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</si>
  <si>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</si>
  <si>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</si>
  <si>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</si>
  <si>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</si>
  <si>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</si>
  <si>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</si>
  <si>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</si>
  <si>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</si>
  <si>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</si>
  <si>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</si>
  <si>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</si>
  <si>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</si>
  <si>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</si>
  <si>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</si>
  <si>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</si>
  <si>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</si>
  <si>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</si>
  <si>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</si>
  <si>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</si>
  <si>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</si>
  <si>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</si>
  <si>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</si>
  <si>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</si>
  <si>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</si>
  <si>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</si>
  <si>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</si>
  <si>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</si>
  <si>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</si>
  <si>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</si>
  <si>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</si>
  <si>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</si>
  <si>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</si>
  <si>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</si>
  <si>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</si>
  <si>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25/03/2026</t>
  </si>
  <si>
    <t>08/05/2026</t>
  </si>
  <si>
    <t>72,933</t>
  </si>
  <si>
    <t>109,218</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</si>
  <si>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</si>
  <si>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</si>
  <si>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</si>
  <si>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</si>
  <si>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</si>
  <si>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</si>
  <si>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</si>
  <si>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</si>
  <si>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</si>
  <si>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</si>
  <si>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</si>
  <si>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</si>
  <si>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</si>
  <si>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</si>
  <si>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</si>
  <si>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</si>
  <si>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</si>
  <si>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</si>
  <si>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</si>
  <si>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</si>
  <si>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28/04/2026</t>
  </si>
  <si>
    <t>Industrial</t>
  </si>
  <si>
    <t>SEK</t>
  </si>
  <si>
    <t>5,330</t>
  </si>
  <si>
    <t>8,331</t>
  </si>
  <si>
    <t>24/04/2026</t>
  </si>
  <si>
    <t>14/07/2026</t>
  </si>
  <si>
    <t>547</t>
  </si>
  <si>
    <t>866</t>
  </si>
  <si>
    <t>2,190</t>
  </si>
  <si>
    <t>3,033</t>
  </si>
  <si>
    <t>07/05/2026</t>
  </si>
  <si>
    <t>5,360</t>
  </si>
  <si>
    <t>8,448</t>
  </si>
  <si>
    <t>PLN</t>
  </si>
  <si>
    <t>1,234</t>
  </si>
  <si>
    <t>2,052</t>
  </si>
  <si>
    <t>1,338</t>
  </si>
  <si>
    <t>1,939</t>
  </si>
  <si>
    <t>03/02/2026</t>
  </si>
  <si>
    <t>1,740</t>
  </si>
  <si>
    <t>2,615</t>
  </si>
  <si>
    <t>27</t>
  </si>
  <si>
    <t>46</t>
  </si>
  <si>
    <t>N/D</t>
  </si>
  <si>
    <t>CHF</t>
  </si>
  <si>
    <t>468</t>
  </si>
  <si>
    <t>735</t>
  </si>
  <si>
    <t>29/04/2025</t>
  </si>
  <si>
    <t>63,814</t>
  </si>
  <si>
    <t>105,017</t>
  </si>
  <si>
    <t>5,891</t>
  </si>
  <si>
    <t>10,451</t>
  </si>
  <si>
    <t>05/05/2026</t>
  </si>
  <si>
    <t>539</t>
  </si>
  <si>
    <t>962</t>
  </si>
  <si>
    <t>10/02/2026</t>
  </si>
  <si>
    <t>2,115</t>
  </si>
  <si>
    <t>3,811</t>
  </si>
  <si>
    <t>03/03/2026</t>
  </si>
  <si>
    <t>09/06/2026</t>
  </si>
  <si>
    <t>95,721</t>
  </si>
  <si>
    <t>150,852</t>
  </si>
  <si>
    <t>04/02/2026</t>
  </si>
  <si>
    <t>5,110</t>
  </si>
  <si>
    <t>7,402</t>
  </si>
  <si>
    <t>22/04/2026</t>
  </si>
  <si>
    <t>16/07/2026</t>
  </si>
  <si>
    <t>Sports</t>
  </si>
  <si>
    <t>1,582</t>
  </si>
  <si>
    <t>2,395</t>
  </si>
  <si>
    <t>18/02/2026</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</si>
  <si>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</si>
  <si>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</si>
  <si>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</si>
  <si>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</si>
  <si>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</si>
  <si>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</si>
  <si>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</si>
  <si>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</si>
  <si>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</si>
  <si>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</si>
  <si>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</si>
  <si>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</si>
  <si>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</si>
  <si>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</si>
  <si>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</si>
  <si>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</si>
  <si>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</si>
  <si>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</si>
  <si>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</si>
  <si>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26/03/2026</t>
  </si>
  <si>
    <t>51,426</t>
  </si>
  <si>
    <t>94,595</t>
  </si>
  <si>
    <t>15/04/2026</t>
  </si>
  <si>
    <t>4,637</t>
  </si>
  <si>
    <t>6,442</t>
  </si>
  <si>
    <t>1,204</t>
  </si>
  <si>
    <t>2,059</t>
  </si>
  <si>
    <t>29/10/2025</t>
  </si>
  <si>
    <t>30/04/2026</t>
  </si>
  <si>
    <t>55</t>
  </si>
  <si>
    <t>77</t>
  </si>
  <si>
    <t>31/03/2026</t>
  </si>
  <si>
    <t>28/08/2026</t>
  </si>
  <si>
    <t>348</t>
  </si>
  <si>
    <t>506</t>
  </si>
  <si>
    <t>03/03/2025</t>
  </si>
  <si>
    <t>1,275</t>
  </si>
  <si>
    <t>1,854</t>
  </si>
  <si>
    <t>23/02/2026</t>
  </si>
  <si>
    <t>27/07/2026</t>
  </si>
  <si>
    <t>Special situation</t>
  </si>
  <si>
    <t>1,435</t>
  </si>
  <si>
    <t>2,094</t>
  </si>
  <si>
    <t>116</t>
  </si>
  <si>
    <t>183</t>
  </si>
  <si>
    <t>210</t>
  </si>
  <si>
    <t>308</t>
  </si>
  <si>
    <t>Materials</t>
  </si>
  <si>
    <t>Raw materials</t>
  </si>
  <si>
    <t>242</t>
  </si>
  <si>
    <t>473</t>
  </si>
  <si>
    <t>16/04/2026</t>
  </si>
  <si>
    <t>5,000</t>
  </si>
  <si>
    <t>7,693</t>
  </si>
  <si>
    <t>25/06/2026</t>
  </si>
  <si>
    <t>121</t>
  </si>
  <si>
    <t>23/04/2026</t>
  </si>
  <si>
    <t>2,522</t>
  </si>
  <si>
    <t>4,044</t>
  </si>
  <si>
    <t>09/12/2025</t>
  </si>
  <si>
    <t>73</t>
  </si>
  <si>
    <t>186</t>
  </si>
  <si>
    <t>12/03/2026</t>
  </si>
  <si>
    <t>190</t>
  </si>
  <si>
    <t>366</t>
  </si>
  <si>
    <t>24/02/2026</t>
  </si>
  <si>
    <t>3,693</t>
  </si>
  <si>
    <t>25</t>
  </si>
  <si>
    <t>44</t>
  </si>
  <si>
    <t>323</t>
  </si>
  <si>
    <t>817</t>
  </si>
  <si>
    <t>88</t>
  </si>
  <si>
    <t>168</t>
  </si>
  <si>
    <t>28/07/2026</t>
  </si>
  <si>
    <t>90</t>
  </si>
  <si>
    <t>173</t>
  </si>
  <si>
    <t>04/12/2025</t>
  </si>
  <si>
    <t>02/07/2026</t>
  </si>
  <si>
    <t>178</t>
  </si>
  <si>
    <t>405</t>
  </si>
  <si>
    <t>-50</t>
  </si>
  <si>
    <t>114</t>
  </si>
  <si>
    <t>11/02/2026</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</si>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</sst>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8" fillId="40" borderId="0" xfId="0" applyFont="1" applyFill="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2" fillId="27" borderId="0" xfId="0" applyFont="1" applyFill="1"/>
    <xf numFmtId="0" fontId="25" fillId="34" borderId="21" xfId="0" applyFont="1" applyFill="1" applyBorder="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0.34329692568943093</c:v>
                </c:pt>
                <c:pt idx="1">
                  <c:v>0.10535648659769592</c:v>
                </c:pt>
                <c:pt idx="2">
                  <c:v>0.29489453079395211</c:v>
                </c:pt>
                <c:pt idx="3">
                  <c:v>0.25007229949436627</c:v>
                </c:pt>
                <c:pt idx="4">
                  <c:v>-1.6089199691735612E-2</c:v>
                </c:pt>
                <c:pt idx="5">
                  <c:v>0.22845688983290469</c:v>
                </c:pt>
                <c:pt idx="6">
                  <c:v>0.1558924719250312</c:v>
                </c:pt>
                <c:pt idx="7">
                  <c:v>0.23909386335572558</c:v>
                </c:pt>
                <c:pt idx="8">
                  <c:v>0.1218094535347829</c:v>
                </c:pt>
                <c:pt idx="9">
                  <c:v>4.2438993232079225E-2</c:v>
                </c:pt>
                <c:pt idx="10">
                  <c:v>7.6526817433812955E-2</c:v>
                </c:pt>
                <c:pt idx="11">
                  <c:v>0.16540754702958971</c:v>
                </c:pt>
                <c:pt idx="12">
                  <c:v>1.8693712124910222E-2</c:v>
                </c:pt>
                <c:pt idx="13">
                  <c:v>5.0409660501293585E-2</c:v>
                </c:pt>
                <c:pt idx="14">
                  <c:v>0.10519309436556035</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163198700</v>
    <v>2007</v>
    <v>166.15</v>
    <v>0.93120000000000003</v>
    <v>0.27</v>
    <v>1.6479999999999999E-3</v>
    <v>26784170644</v>
    <v>163.85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46161.796944941409</v>
    <v>New York Stock Exchange</v>
    <v>0</v>
    <v>169.935</v>
    <v>310.5</v>
    <v>162.85</v>
    <v>148.05000000000001</v>
    <v>USD</v>
    <v>VEEVA SYSTEMS INC.</v>
    <v>VEEVA SYSTEMS INC.</v>
    <v>30.094999999999999</v>
    <v>164.12</v>
    <v>Healthcare Equipment &amp; Supplies</v>
    <v>4280 Hacienda Drive, PLEASANTON, CA, 94588 US</v>
    <v>VEEV</v>
    <v>Acciones</v>
    <v>VEEVA SYSTEMS INC. (XNYS:VEEV)</v>
    <v>1466165</v>
    <v>3908036</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429.98</v>
    <v>1.0938000000000001</v>
    <v>-5.38</v>
    <v>-1.2702E-2</v>
    <v>3106274379600</v>
    <v>423.54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46161.797015995311</v>
    <v>6</v>
    <v>Nasdaq Stock Market</v>
    <v>7</v>
    <v>432.7</v>
    <v>555.45000000000005</v>
    <v>417.1</v>
    <v>356.28</v>
    <v>USD</v>
    <v>MICROSOFT CORPORATION</v>
    <v>MICROSOFT CORPORATION</v>
    <v>24.905899999999999</v>
    <v>418.16</v>
    <v>Software &amp; IT Services</v>
    <v>One Microsoft Way, REDMOND, WA, 98052 US</v>
    <v>MSFT</v>
    <v>Acciones</v>
    <v>MICROSOFT CORPORATION (XNAS:MSFT)</v>
    <v>21783225</v>
    <v>35845592</v>
  </rv>
  <rv s="2">
    <v>8</v>
  </rv>
  <rv s="0">
    <v>https://www.bing.com/financeapi/forcetrigger?t=b1ao52&amp;q=XAMS%3aADYEN&amp;form=skydnc</v>
    <v>Learn more on Bing</v>
  </rv>
  <rv s="1">
    <v>es-ES</v>
    <v>b1ao52</v>
    <v>268435456</v>
    <v>1</v>
    <v>Con tecnología de Refinitiv</v>
    <v>0</v>
    <v>1</v>
    <v>Adyen NV (XAMS:ADYEN)</v>
    <v>3</v>
    <v>12</v>
    <v>Finance</v>
    <v>13</v>
    <v>XAMS</v>
    <v>31547680</v>
    <v>2006</v>
    <v>910</v>
    <v>2.4156</v>
    <v>43.3</v>
    <v>4.7618999999999995E-2</v>
    <v>44081990000</v>
    <v>909.3</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46161.666666666664</v>
    <v>Euronext Amsterdam</v>
    <v>10</v>
    <v>956.1</v>
    <v>1750.4</v>
    <v>909</v>
    <v>824.4</v>
    <v>EUR</v>
    <v>Adyen NV</v>
    <v>Adyen NV</v>
    <v>28.252500000000001</v>
    <v>952.6</v>
    <v>Financial Technology (Fintech) &amp; Infrastructure</v>
    <v>Simon Carmiggeltstraat 6-50, AMSTERDAM, NOORD-HOLLAND, 1011DJ NL</v>
    <v>ADYEN</v>
    <v>Acciones</v>
    <v>Adyen NV (XAMS:ADYEN)</v>
    <v>144289</v>
    <v>140530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45.02</v>
    <v>1.5601</v>
    <v>-0.43990000000000001</v>
    <v>-9.7629999999999991E-3</v>
    <v>109358376827</v>
    <v>45.06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46161.796983135937</v>
    <v>New York Stock Exchange</v>
    <v>13</v>
    <v>45.36</v>
    <v>49.564999999999998</v>
    <v>44.58</v>
    <v>37.54</v>
    <v>USD</v>
    <v>Brookfield Corporation</v>
    <v>Brookfield Corporation</v>
    <v>94.6143</v>
    <v>44.620100000000001</v>
    <v>Investment Banking &amp; Investment Services</v>
    <v>Suite 100, Brookfield Place, 181 Bay Street, M5J 2T3 CA</v>
    <v>BN</v>
    <v>Acciones</v>
    <v>Brookfield Corporation (XNYS:BN)</v>
    <v>2456543</v>
    <v>5744906</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1077</v>
    <v>0.91820000000000002</v>
    <v>16.41</v>
    <v>1.5244000000000001E-2</v>
    <v>484858944200</v>
    <v>1076.47</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46161.797003726562</v>
    <v>Nasdaq Stock Market</v>
    <v>16</v>
    <v>1096.5</v>
    <v>1096.5</v>
    <v>1072.0999999999999</v>
    <v>844.06</v>
    <v>USD</v>
    <v>COSTCO WHOLESALE CORPORATION</v>
    <v>COSTCO WHOLESALE CORPORATION</v>
    <v>56.837400000000002</v>
    <v>1092.8800000000001</v>
    <v>Diversified Retail</v>
    <v>999 Lake Dr, ISSAQUAH, WA, 98027- US</v>
    <v>COST</v>
    <v>Acciones</v>
    <v>COSTCO WHOLESALE CORPORATION (XNAS:COST)</v>
    <v>1420539</v>
    <v>1808165</v>
  </rv>
  <rv s="2">
    <v>17</v>
  </rv>
  <rv s="0">
    <v>https://www.bing.com/financeapi/forcetrigger?t=a1rb5r&amp;q=XNAS%3aDSGX&amp;form=skydnc</v>
    <v>Learn more on Bing</v>
  </rv>
  <rv s="1">
    <v>es-ES</v>
    <v>a1rb5r</v>
    <v>268435456</v>
    <v>1</v>
    <v>Con tecnología de Refinitiv</v>
    <v>0</v>
    <v>1</v>
    <v>The Descartes Systems Group Inc. (XNAS:DSGX)</v>
    <v>3</v>
    <v>14</v>
    <v>Finance</v>
    <v>5</v>
    <v>XNAS</v>
    <v>86020600</v>
    <v>2023</v>
    <v>71.84</v>
    <v>0.21179999999999999</v>
    <v>0.43</v>
    <v>6.0689999999999997E-3</v>
    <v>10503770000</v>
    <v>70.849999999999994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46161.796814131252</v>
    <v>Nasdaq Stock Market</v>
    <v>19</v>
    <v>72.474999999999994</v>
    <v>117.35</v>
    <v>70.420100000000005</v>
    <v>62.555</v>
    <v>USD</v>
    <v>The Descartes Systems Group Inc.</v>
    <v>The Descartes Systems Group Inc.</v>
    <v>38.119700000000002</v>
    <v>71.28</v>
    <v>Software &amp; IT Services</v>
    <v>120 Randall Drive, WATERLOO, ON, N2V 1C6 CA</v>
    <v>DSGX</v>
    <v>Acciones</v>
    <v>The Descartes Systems Group Inc. (XNAS:DSGX)</v>
    <v>294214</v>
    <v>527607</v>
  </rv>
  <rv s="2">
    <v>20</v>
  </rv>
  <rv s="0">
    <v>https://www.bing.com/financeapi/forcetrigger?t=afjdk2&amp;q=XFRA%3aRAA&amp;form=skydnc</v>
    <v>Learn more on Bing</v>
  </rv>
  <rv s="1">
    <v>es-ES</v>
    <v>afjdk2</v>
    <v>268435456</v>
    <v>1</v>
    <v>Con tecnología de Refinitiv</v>
    <v>0</v>
    <v>1</v>
    <v>Rational (XFRA:RAA)</v>
    <v>3</v>
    <v>12</v>
    <v>Finance</v>
    <v>13</v>
    <v>XFRA</v>
    <v>11370000</v>
    <v>1999</v>
    <v>642.5</v>
    <v>1.3293999999999999</v>
    <v>-3</v>
    <v>-4.594E-3</v>
    <v>7691805000</v>
    <v>653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46161.757060185184</v>
    <v>Deutsche Boerse AG</v>
    <v>22</v>
    <v>659</v>
    <v>1028</v>
    <v>642.5</v>
    <v>388.4</v>
    <v>EUR</v>
    <v>Rational</v>
    <v>Rational</v>
    <v>28.8504</v>
    <v>650</v>
    <v>Household Goods</v>
    <v>Siegfried-Meister-Strasse 1, BAYERN, 86899 DE</v>
    <v>RAA</v>
    <v>Acciones</v>
    <v>Rational (XFRA:RAA)</v>
    <v>150</v>
    <v>15230</v>
  </rv>
  <rv s="2">
    <v>23</v>
  </rv>
  <rv s="0">
    <v>https://www.bing.com/financeapi/forcetrigger?t=azbtyc&amp;q=XNAS%3aZS&amp;form=skydnc</v>
    <v>Learn more on Bing</v>
  </rv>
  <rv s="1">
    <v>es-ES</v>
    <v>azbtyc</v>
    <v>268435456</v>
    <v>1</v>
    <v>Con tecnología de Refinitiv</v>
    <v>0</v>
    <v>1</v>
    <v>ZSCALER, INC. (XNAS:ZS)</v>
    <v>3</v>
    <v>4</v>
    <v>Finance</v>
    <v>5</v>
    <v>XNAS</v>
    <v>160790700</v>
    <v>2007</v>
    <v>178.14</v>
    <v>1.006</v>
    <v>1.02</v>
    <v>5.8389999999999996E-3</v>
    <v>28252533897</v>
    <v>174.69</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46161.796998946091</v>
    <v>Nasdaq Stock Market</v>
    <v>25</v>
    <v>182.9699</v>
    <v>336.99</v>
    <v>173.95</v>
    <v>114.625</v>
    <v>USD</v>
    <v>ZSCALER, INC.</v>
    <v>ZSCALER, INC.</v>
    <v>0</v>
    <v>175.71</v>
    <v>Software &amp; IT Services</v>
    <v>120 Holger Way, SAN JOSE, CA, 95134 US</v>
    <v>ZS</v>
    <v>Acciones</v>
    <v>ZSCALER, INC. (XNAS:ZS)</v>
    <v>3326638</v>
    <v>2921928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40.700000000000003</v>
    <v>0.20960000000000001</v>
    <v>2.0699999999999998</v>
    <v>5.2504999999999996E-2</v>
    <v>12921970000000</v>
    <v>39.424999999999997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46161.782638888886</v>
    <v>Deutsche Boerse AG</v>
    <v>28</v>
    <v>41.494999999999997</v>
    <v>546.1</v>
    <v>40.564999999999998</v>
    <v>34.6</v>
    <v>EUR</v>
    <v>Nintendo Co., Ltd.</v>
    <v>Nintendo Co., Ltd.</v>
    <v>19.37</v>
    <v>41.494999999999997</v>
    <v>Leisure Products</v>
    <v>11-1, Kamitoba Hokotate-cho, Minami-ku, KYOTO-SHI, KYOTO-FU, 601-8501 JP</v>
    <v>NTO</v>
    <v>Acciones</v>
    <v>Nintendo Co., Ltd. (XFRA:NTO)</v>
    <v>1689</v>
    <v>14763220</v>
  </rv>
  <rv s="2">
    <v>29</v>
  </rv>
  <rv s="0">
    <v>https://www.bing.com/financeapi/forcetrigger?t=a1nhlh&amp;q=XNAS%3aAMZN&amp;form=skydnc</v>
    <v>Learn more on Bing</v>
  </rv>
  <rv s="1">
    <v>es-ES</v>
    <v>a1nhlh</v>
    <v>268435456</v>
    <v>1</v>
    <v>Con tecnología de Refinitiv</v>
    <v>0</v>
    <v>1</v>
    <v>AMAZON.COM, INC. (XNAS:AMZN)</v>
    <v>3</v>
    <v>4</v>
    <v>Finance</v>
    <v>5</v>
    <v>XNAS</v>
    <v>10757110000</v>
    <v>1996</v>
    <v>262.07</v>
    <v>1.4598</v>
    <v>-5.74</v>
    <v>-2.1671999999999997E-2</v>
    <v>2787382343200</v>
    <v>264.86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46161.797047707812</v>
    <v>Nasdaq Stock Market</v>
    <v>31</v>
    <v>262.21499999999997</v>
    <v>278.56</v>
    <v>255.19</v>
    <v>196</v>
    <v>USD</v>
    <v>AMAZON.COM, INC.</v>
    <v>AMAZON.COM, INC.</v>
    <v>30.966699999999999</v>
    <v>259.12</v>
    <v>Diversified Retail</v>
    <v>410 Terry Avenue North, SEATTLE, WA, 98109 US</v>
    <v>AMZN</v>
    <v>Acciones</v>
    <v>AMAZON.COM, INC. (XNAS:AMZN)</v>
    <v>28654823</v>
    <v>46353879</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258.7</v>
    <v>1.4200999999999999</v>
    <v>-5.15</v>
    <v>-1.9736E-2</v>
    <v>137614900000</v>
    <v>260.95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46161.666666666664</v>
    <v>Euronext Paris</v>
    <v>34</v>
    <v>263.55</v>
    <v>287.89999999999998</v>
    <v>253.05</v>
    <v>208.8</v>
    <v>EUR</v>
    <v>Schneider Electric SE</v>
    <v>Schneider Electric SE</v>
    <v>34.549799999999998</v>
    <v>255.8</v>
    <v>Machinery, Equipment &amp; Components</v>
    <v>35 rue Joseph Monier, RUEIL-MALMAISON, ILE-DE-FRANCE, 92500 FR</v>
    <v>SU</v>
    <v>Acciones</v>
    <v>Schneider Electric SE (XPAR:SU)</v>
    <v>814796</v>
    <v>1008770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50.36</v>
    <v>1.1573</v>
    <v>-0.34</v>
    <v>-6.7779999999999993E-3</v>
    <v>178023200000</v>
    <v>50.16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46161.666666666664</v>
    <v>Bolsas y Mercados Espanoles</v>
    <v>37</v>
    <v>50.66</v>
    <v>58.28</v>
    <v>49.82</v>
    <v>40.799999999999997</v>
    <v>EUR</v>
    <v>Industria de Diseño Textil, S.A.</v>
    <v>Industria de Diseño Textil, S.A.</v>
    <v>24.961200000000002</v>
    <v>49.82</v>
    <v>Specialty Retailers</v>
    <v>Edificio Inditex, Avda. Diputacion, s/n, ARTEIXO, LA CORUNA, 15143 ES</v>
    <v>ITX</v>
    <v>Acciones</v>
    <v>Industria de Diseño Textil, S.A. (BMEX:ITX)</v>
    <v>1378402</v>
    <v>1991420</v>
  </rv>
  <rv s="2">
    <v>38</v>
  </rv>
  <rv s="0">
    <v>https://www.bing.com/financeapi/forcetrigger?t=aaq652&amp;q=XBRU%3aLOTB&amp;form=skydnc</v>
    <v>Learn more on Bing</v>
  </rv>
  <rv s="1">
    <v>es-ES</v>
    <v>aaq652</v>
    <v>268435456</v>
    <v>1</v>
    <v>Con tecnología de Refinitiv</v>
    <v>0</v>
    <v>1</v>
    <v>Lotus Bakeries (XBRU:LOTB)</v>
    <v>3</v>
    <v>12</v>
    <v>Finance</v>
    <v>13</v>
    <v>XBRU</v>
    <v>816010</v>
    <v>1934</v>
    <v>10520</v>
    <v>0.83930000000000005</v>
    <v>60</v>
    <v>5.6710000000000007E-3</v>
    <v>7442039000</v>
    <v>10580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46161.666666666664</v>
    <v>Euronext Brussels</v>
    <v>40</v>
    <v>10740</v>
    <v>10980</v>
    <v>10520</v>
    <v>7230</v>
    <v>EUR</v>
    <v>Lotus Bakeries</v>
    <v>Lotus Bakeries</v>
    <v>50.1736</v>
    <v>10640</v>
    <v>Food &amp; Tobacco</v>
    <v>Gentstraat 1, Lembeke, 9971 BE</v>
    <v>LOTB</v>
    <v>Acciones</v>
    <v>Lotus Bakeries (XBRU:LOTB)</v>
    <v>476</v>
    <v>550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4472</v>
    <v>1.2</v>
    <v>-88</v>
    <v>-1.9608E-2</v>
    <v>13796310000</v>
    <v>4488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46161.639028738282</v>
    <v>London Stock Exchange</v>
    <v>43</v>
    <v>4538</v>
    <v>4714</v>
    <v>4400</v>
    <v>2822</v>
    <v>GBp</v>
    <v>HALMA PUBLIC LIMITED COMPANY</v>
    <v>HALMA PUBLIC LIMITED COMPANY</v>
    <v>48.214300000000001</v>
    <v>4400</v>
    <v>Electronic Equipment &amp; Parts</v>
    <v>MISBOURNE COURT RECTORY WAY, BUCKINGHAMSHIRE, HP7 0DE GB</v>
    <v>HLMA</v>
    <v>Acciones</v>
    <v>HALMA PUBLIC LIMITED COMPANY (XLON:HLMA)</v>
    <v>948594</v>
    <v>1225480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1207.78</v>
    <v>1.2444999999999999</v>
    <v>9.5250000000000004</v>
    <v>8.0600000000000012E-3</v>
    <v>27628374673</v>
    <v>1181.82</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46161.797010508591</v>
    <v>New York Stock Exchange</v>
    <v>46</v>
    <v>1245.94</v>
    <v>2217.6</v>
    <v>1171.06</v>
    <v>870.01</v>
    <v>USD</v>
    <v>FAIR ISAAC CORPORATION</v>
    <v>FAIR ISAAC CORPORATION</v>
    <v>37.742600000000003</v>
    <v>1191.345</v>
    <v>Software &amp; IT Services</v>
    <v>5 West Mendenhall, Suites 105, BOZEMAN, MT, 59715 US</v>
    <v>FICO</v>
    <v>Acciones</v>
    <v>FAIR ISAAC CORPORATION (XNYS:FICO)</v>
    <v>308111</v>
    <v>391756</v>
  </rv>
  <rv s="2">
    <v>47</v>
  </rv>
  <rv s="0">
    <v>https://www.bing.com/financeapi/forcetrigger?t=amwtu2&amp;q=XSTO%3aLIFCO+B&amp;form=skydnc</v>
    <v>Learn more on Bing</v>
  </rv>
  <rv s="6">
    <v>es-ES</v>
    <v>amwtu2</v>
    <v>268435456</v>
    <v>1</v>
    <v>Con tecnología de Refinitiv</v>
    <v>18</v>
    <v>19</v>
    <v>Lifco (XSTO:LIFCO B)</v>
    <v>3</v>
    <v>20</v>
    <v>Finance</v>
    <v>21</v>
    <v>XSTO</v>
    <v>423836500</v>
    <v>1993</v>
    <v>282.60000000000002</v>
    <v>1.3874</v>
    <v>6.8</v>
    <v>0</v>
    <v>2.4062E-2</v>
    <v>0</v>
    <v>140205100000</v>
    <v>282.60000000000002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46161.666666666664</v>
    <v>NASDAQ Stockholm</v>
    <v>49</v>
    <v>291.60000000000002</v>
    <v>956.5</v>
    <v>282.60000000000002</v>
    <v>140.30000000000001</v>
    <v>SEK</v>
    <v>Lifco</v>
    <v>Lifco</v>
    <v>35.552799999999998</v>
    <v>289.39999999999998</v>
    <v>289.39999999999998</v>
    <v>Consumer Goods Conglomerates</v>
    <v>Verkmastaregatan 1, UPPSALA, 745 85 SE</v>
    <v>LIFCO B</v>
    <v>Acciones</v>
    <v>Lifco (XSTO:LIFCO B)</v>
    <v>471358</v>
    <v>484380</v>
  </rv>
  <rv s="2">
    <v>50</v>
  </rv>
  <rv s="0">
    <v>https://www.bing.com/financeapi/forcetrigger?t=af9n8m&amp;q=XFRA%3aEVD&amp;form=skydnc</v>
    <v>Learn more on Bing</v>
  </rv>
  <rv s="1">
    <v>es-ES</v>
    <v>af9n8m</v>
    <v>268435456</v>
    <v>1</v>
    <v>Con tecnología de Refinitiv</v>
    <v>0</v>
    <v>1</v>
    <v>Eventim (XFRA:EVD)</v>
    <v>3</v>
    <v>12</v>
    <v>Finance</v>
    <v>13</v>
    <v>XFRA</v>
    <v>96000000</v>
    <v>2014</v>
    <v>55.2</v>
    <v>1.3277000000000001</v>
    <v>0.55000000000000004</v>
    <v>9.8740000000000008E-3</v>
    <v>7502400000</v>
    <v>55.7</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46161.770833333336</v>
    <v>Deutsche Boerse AG</v>
    <v>52</v>
    <v>56.65</v>
    <v>113.8</v>
    <v>55.2</v>
    <v>25.98</v>
    <v>EUR</v>
    <v>Eventim</v>
    <v>Eventim</v>
    <v>19.531300000000002</v>
    <v>56.25</v>
    <v>Software &amp; IT Services</v>
    <v>Contrescarpe 75 A, BREMEN, 28195 DE</v>
    <v>EVD</v>
    <v>Acciones</v>
    <v>Eventim (XFRA:EVD)</v>
    <v>170</v>
    <v>278000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87.53</v>
    <v>0.51780000000000004</v>
    <v>-2.2149999999999999</v>
    <v>-2.5017000000000001E-2</v>
    <v>84426549232</v>
    <v>88.54</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46161.79704356406</v>
    <v>Nasdaq Stock Market</v>
    <v>55</v>
    <v>88.034999999999997</v>
    <v>88.77</v>
    <v>86.21</v>
    <v>58.09</v>
    <v>USD</v>
    <v>MONSTER BEVERAGE CORPORATION</v>
    <v>MONSTER BEVERAGE CORPORATION</v>
    <v>41.895200000000003</v>
    <v>86.325000000000003</v>
    <v>Beverages</v>
    <v>1 Monster Way, CORONA, CA, 92879-7101 US</v>
    <v>MNST</v>
    <v>Acciones</v>
    <v>MONSTER BEVERAGE CORPORATION (XNAS:MNST)</v>
    <v>2324632</v>
    <v>5336618</v>
  </rv>
  <rv s="2">
    <v>56</v>
  </rv>
  <rv s="0">
    <v>https://www.bing.com/financeapi/forcetrigger?t=bwvem7&amp;q=XNAS%3aABNB&amp;form=skydnc</v>
    <v>Learn more on Bing</v>
  </rv>
  <rv s="1">
    <v>es-ES</v>
    <v>bwvem7</v>
    <v>268435456</v>
    <v>1</v>
    <v>Con tecnología de Refinitiv</v>
    <v>0</v>
    <v>1</v>
    <v>AIRBNB, INC. (XNAS:ABNB)</v>
    <v>3</v>
    <v>4</v>
    <v>Finance</v>
    <v>5</v>
    <v>XNAS</v>
    <v>593504900</v>
    <v>2008</v>
    <v>133.07</v>
    <v>1.1910000000000001</v>
    <v>-3.45</v>
    <v>-2.5689000000000003E-2</v>
    <v>77660116165</v>
    <v>134.30000000000001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46161.797069907028</v>
    <v>Nasdaq Stock Market</v>
    <v>58</v>
    <v>135.5</v>
    <v>147.25</v>
    <v>130.01</v>
    <v>110.81</v>
    <v>USD</v>
    <v>AIRBNB, INC.</v>
    <v>AIRBNB, INC.</v>
    <v>32.242600000000003</v>
    <v>130.85</v>
    <v>Software &amp; IT Services</v>
    <v>888 Brannan St., SAN FRANCISCO, CA, 94103 US</v>
    <v>ABNB</v>
    <v>Acciones</v>
    <v>AIRBNB, INC. (XNAS:ABNB)</v>
    <v>2232279</v>
    <v>3712420</v>
  </rv>
  <rv s="2">
    <v>59</v>
  </rv>
  <rv s="0">
    <v>https://www.bing.com/financeapi/forcetrigger?t=aqbzjc&amp;q=XWAR%3aDNP&amp;form=skydnc</v>
    <v>Learn more on Bing</v>
  </rv>
  <rv s="1">
    <v>es-ES</v>
    <v>aqbzjc</v>
    <v>268435456</v>
    <v>1</v>
    <v>Con tecnología de Refinitiv</v>
    <v>0</v>
    <v>1</v>
    <v>Dino Polska (XWAR:DNP)</v>
    <v>3</v>
    <v>22</v>
    <v>Finance</v>
    <v>23</v>
    <v>XWAR</v>
    <v>980400000</v>
    <v>2012</v>
    <v>32.630000000000003</v>
    <v>1.0214000000000001</v>
    <v>-0.03</v>
    <v>-9.2789999999999995E-4</v>
    <v>41353270000</v>
    <v>32.33</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46161.627705613282</v>
    <v>Warsaw Stock Exchange</v>
    <v>61</v>
    <v>32.75</v>
    <v>55.8</v>
    <v>31.9</v>
    <v>28.24</v>
    <v>PLN</v>
    <v>Dino Polska</v>
    <v>Dino Polska</v>
    <v>20.259699999999999</v>
    <v>32.299999999999997</v>
    <v>Food &amp; Drug Retailing</v>
    <v>ul. Ostrowska 122, KROTOSZYN, WOJ. WIELKOPOLSKIE, 63-700 PL</v>
    <v>DNP</v>
    <v>Acciones</v>
    <v>Dino Polska (XWAR:DNP)</v>
    <v>4834683</v>
    <v>5938520</v>
  </rv>
  <rv s="2">
    <v>62</v>
  </rv>
  <rv s="7">
    <v>es-ES</v>
    <v>caydcw</v>
    <v>268435456</v>
    <v>1</v>
    <v>Con tecnología de Refinitiv</v>
    <v>24</v>
    <v>25</v>
    <v>VERALTO CORPORATION (XNYS:VLTO)</v>
    <v>26</v>
    <v>4</v>
    <v>Finance</v>
    <v>5</v>
    <v>XNYS</v>
    <v>245599300</v>
    <v>2022</v>
    <v>86.905000000000001</v>
    <v>0.73099999999999998</v>
    <v>-0.01</v>
    <v>-1.153E-4</v>
    <v>21293459310</v>
    <v>86.71</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46161.797035103904</v>
    <v>New York Stock Exchange</v>
    <v>87.76</v>
    <v>110.11</v>
    <v>85.754999999999995</v>
    <v>84.45</v>
    <v>USD</v>
    <v>VERALTO CORPORATION</v>
    <v>VERALTO CORPORATION</v>
    <v>22.3748</v>
    <v>86.7</v>
    <v>Professional &amp; Commercial Services</v>
    <v>225 Wyman Street, Suite 250, WALTHAM, MA, 02451 US</v>
    <v>VLTO</v>
    <v>Acciones</v>
    <v>VERALTO CORPORATION (XNYS:VLTO)</v>
    <v>796834</v>
    <v>2043137</v>
  </rv>
  <rv s="2">
    <v>64</v>
  </rv>
  <rv s="0">
    <v>https://www.bing.com/financeapi/forcetrigger?t=ae94vh&amp;q=XPAR%3aLR&amp;form=skydnc</v>
    <v>Learn more on Bing</v>
  </rv>
  <rv s="1">
    <v>es-ES</v>
    <v>ae94vh</v>
    <v>268435456</v>
    <v>1</v>
    <v>Con tecnología de Refinitiv</v>
    <v>0</v>
    <v>1</v>
    <v>Legrand SA (XPAR:LR)</v>
    <v>3</v>
    <v>12</v>
    <v>Finance</v>
    <v>13</v>
    <v>XPAR</v>
    <v>262245700</v>
    <v>1998</v>
    <v>147.75</v>
    <v>1.2805</v>
    <v>-3.35</v>
    <v>-2.2490999999999997E-2</v>
    <v>33318320000</v>
    <v>148.94999999999999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46161.666666666664</v>
    <v>Euronext Paris</v>
    <v>66</v>
    <v>149.85</v>
    <v>166.95</v>
    <v>144.5</v>
    <v>104.9</v>
    <v>EUR</v>
    <v>Legrand SA</v>
    <v>Legrand SA</v>
    <v>29.642299999999999</v>
    <v>145.6</v>
    <v>Machinery, Equipment &amp; Components</v>
    <v>128, av. du Marechal de Lattre de Tassigny, LIMOGES, NOUVELLE-AQUITAINE, 87000 FR</v>
    <v>LR</v>
    <v>Acciones</v>
    <v>Legrand SA (XPAR:LR)</v>
    <v>646470</v>
    <v>494770</v>
  </rv>
  <rv s="2">
    <v>67</v>
  </rv>
  <rv s="0">
    <v>https://www.bing.com/financeapi/forcetrigger?t=aoaorw&amp;q=XLON%3aJDG&amp;form=skydnc</v>
    <v>Learn more on Bing</v>
  </rv>
  <rv s="1">
    <v>es-ES</v>
    <v>aoaorw</v>
    <v>268435456</v>
    <v>1</v>
    <v>Con tecnología de Refinitiv</v>
    <v>0</v>
    <v>1</v>
    <v>Judges (XLON:JDG)</v>
    <v>3</v>
    <v>16</v>
    <v>Finance</v>
    <v>17</v>
    <v>XLON</v>
    <v>6660440</v>
    <v>2002</v>
    <v>5000</v>
    <v>0.79259999999999997</v>
    <v>-20</v>
    <v>-4.0239999999999998E-3</v>
    <v>383100600</v>
    <v>4970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46161.461886574078</v>
    <v>London Stock Exchange</v>
    <v>69</v>
    <v>4975</v>
    <v>9120</v>
    <v>4900</v>
    <v>3480</v>
    <v>GBp</v>
    <v>Judges</v>
    <v>Judges</v>
    <v>60.195799999999998</v>
    <v>4950</v>
    <v>Machinery, Equipment &amp; Components</v>
    <v>52c Borough High Street, LONDON, SE1 1XN GB</v>
    <v>JDG</v>
    <v>Acciones</v>
    <v>Judges (XLON:JDG)</v>
    <v>46415</v>
    <v>13020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85.3</v>
    <v>1.3347</v>
    <v>1.6</v>
    <v>2.085E-3</v>
    <v>1.8886E-2</v>
    <v>0.18</v>
    <v>15961470000</v>
    <v>84.72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46161.695104166669</v>
    <v>SIX Swiss Exchange</v>
    <v>72</v>
    <v>86.54</v>
    <v>112.65</v>
    <v>85.22</v>
    <v>73.02</v>
    <v>CHF</v>
    <v>Straumann Holding Ltd</v>
    <v>Straumann Holding Ltd</v>
    <v>38.708500000000001</v>
    <v>86.32</v>
    <v>86.5</v>
    <v>Healthcare Equipment &amp; Supplies</v>
    <v>Peter Merian-Weg 12, BASEL, BASEL-STADT, 4002 CH</v>
    <v>STMN</v>
    <v>Acciones</v>
    <v>Straumann Holding Ltd (XSWX:STMN)</v>
    <v>335740</v>
    <v>408450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608.91999999999996</v>
    <v>1.2372000000000001</v>
    <v>-10.015000000000001</v>
    <v>-1.6386000000000001E-2</v>
    <v>1526087215485</v>
    <v>611.21</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46161.797060543751</v>
    <v>Nasdaq Stock Market</v>
    <v>75</v>
    <v>613.92999999999995</v>
    <v>796.25</v>
    <v>600.55999999999995</v>
    <v>520.26</v>
    <v>USD</v>
    <v>META PLATFORMS, INC.</v>
    <v>META PLATFORMS, INC.</v>
    <v>18.235199999999999</v>
    <v>601.19500000000005</v>
    <v>Software &amp; IT Services</v>
    <v>1 Meta Way, MENLO PARK, CA, 94025 US</v>
    <v>META</v>
    <v>Acciones</v>
    <v>META PLATFORMS, INC. (XNAS:META)</v>
    <v>8041528</v>
    <v>15573199</v>
  </rv>
  <rv s="2">
    <v>76</v>
  </rv>
  <rv s="0">
    <v>https://www.bing.com/financeapi/forcetrigger?t=a1wj9c&amp;q=XNYS%3aKKR&amp;form=skydnc</v>
    <v>Learn more on Bing</v>
  </rv>
  <rv s="1">
    <v>es-ES</v>
    <v>a1wj9c</v>
    <v>268435456</v>
    <v>1</v>
    <v>Con tecnología de Refinitiv</v>
    <v>0</v>
    <v>1</v>
    <v>KKR &amp; CO. INC. (XNYS:KKR)</v>
    <v>3</v>
    <v>4</v>
    <v>Finance</v>
    <v>5</v>
    <v>XNYS</v>
    <v>897872900</v>
    <v>2021</v>
    <v>95.655000000000001</v>
    <v>1.8328</v>
    <v>-3.4249999999999998</v>
    <v>-3.5687999999999998E-2</v>
    <v>83093647530</v>
    <v>95.97</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46161.797069189066</v>
    <v>New York Stock Exchange</v>
    <v>78</v>
    <v>95.88</v>
    <v>153.87</v>
    <v>92.480099999999993</v>
    <v>82.67</v>
    <v>USD</v>
    <v>KKR &amp; CO. INC.</v>
    <v>KKR &amp; CO. INC.</v>
    <v>31.361599999999999</v>
    <v>92.545000000000002</v>
    <v>Investment Banking &amp; Investment Services</v>
    <v>30 Hudson Yards, NEW YORK, NY, 10001 US</v>
    <v>KKR</v>
    <v>Acciones</v>
    <v>KKR &amp; CO. INC. (XNYS:KKR)</v>
    <v>3034557</v>
    <v>4942180</v>
  </rv>
  <rv s="2">
    <v>79</v>
  </rv>
  <rv s="0">
    <v>https://www.bing.com/financeapi/forcetrigger?t=brh6oc&amp;q=XNYS%3aNET&amp;form=skydnc</v>
    <v>Learn more on Bing</v>
  </rv>
  <rv s="8">
    <v>es-ES</v>
    <v>brh6oc</v>
    <v>268435456</v>
    <v>1</v>
    <v>Con tecnología de Refinitiv</v>
    <v>29</v>
    <v>30</v>
    <v>CLOUDFLARE, INC. (XNYS:NET)</v>
    <v>3</v>
    <v>31</v>
    <v>Finance</v>
    <v>5</v>
    <v>XNYS</v>
    <v>353466200</v>
    <v>2009</v>
    <v>203.66</v>
    <v>1.66</v>
    <v>2.59</v>
    <v>1.2838E-2</v>
    <v>72227283308</v>
    <v>201.75</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46161.796965231253</v>
    <v>New York Stock Exchange</v>
    <v>81</v>
    <v>208.67</v>
    <v>260</v>
    <v>200.42</v>
    <v>154.03</v>
    <v>USD</v>
    <v>CLOUDFLARE, INC.</v>
    <v>CLOUDFLARE, INC.</v>
    <v>204.34</v>
    <v>Software &amp; IT Services</v>
    <v>101 Townsend St, SAN FRANCISCO, CA, 94107-1934 US</v>
    <v>NET</v>
    <v>Acciones</v>
    <v>CLOUDFLARE, INC. (XNYS:NET)</v>
    <v>2360595</v>
    <v>4638298</v>
  </rv>
  <rv s="2">
    <v>82</v>
  </rv>
  <rv s="0">
    <v>https://www.bing.com/financeapi/forcetrigger?t=bq8rqh&amp;q=XNAS%3aCRWD&amp;form=skydnc</v>
    <v>Learn more on Bing</v>
  </rv>
  <rv s="1">
    <v>es-ES</v>
    <v>bq8rqh</v>
    <v>268435456</v>
    <v>1</v>
    <v>Con tecnología de Refinitiv</v>
    <v>0</v>
    <v>1</v>
    <v>CROWDSTRIKE HOLDINGS, INC. (XNAS:CRWD)</v>
    <v>3</v>
    <v>4</v>
    <v>Finance</v>
    <v>5</v>
    <v>XNAS</v>
    <v>254536500</v>
    <v>2011</v>
    <v>620</v>
    <v>1.1093999999999999</v>
    <v>1</v>
    <v>1.616E-3</v>
    <v>157769358795</v>
    <v>618.83000000000004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46161.797011503906</v>
    <v>Nasdaq Stock Market</v>
    <v>84</v>
    <v>634.24</v>
    <v>634.24</v>
    <v>613.29</v>
    <v>342.72</v>
    <v>USD</v>
    <v>CROWDSTRIKE HOLDINGS, INC.</v>
    <v>CROWDSTRIKE HOLDINGS, INC.</v>
    <v>0</v>
    <v>619.83000000000004</v>
    <v>Software &amp; IT Services</v>
    <v>206 E. 9TH STREET, SUITE 1400, AUSTIN, TX, 78701 US</v>
    <v>CRWD</v>
    <v>Acciones</v>
    <v>CROWDSTRIKE HOLDINGS, INC. (XNAS:CRWD)</v>
    <v>3353197</v>
    <v>2938621</v>
  </rv>
  <rv s="2">
    <v>85</v>
  </rv>
  <rv s="0">
    <v>https://www.bing.com/financeapi/forcetrigger?t=a1u3p2&amp;q=XNAS%3aGOOG&amp;form=skydnc</v>
    <v>Learn more on Bing</v>
  </rv>
  <rv s="1">
    <v>es-ES</v>
    <v>a1u3p2</v>
    <v>268435456</v>
    <v>1</v>
    <v>Con tecnología de Refinitiv</v>
    <v>0</v>
    <v>1</v>
    <v>ALPHABET INC. (XNAS:GOOG)</v>
    <v>3</v>
    <v>4</v>
    <v>Finance</v>
    <v>5</v>
    <v>XNAS</v>
    <v>12116000000</v>
    <v>2015</v>
    <v>393.12</v>
    <v>1.2641</v>
    <v>-7.78</v>
    <v>-1.9791E-2</v>
    <v>4668658280000</v>
    <v>393.11</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46161.797069860935</v>
    <v>Nasdaq Stock Market</v>
    <v>87</v>
    <v>393.36270000000002</v>
    <v>404.47</v>
    <v>383</v>
    <v>163.33000000000001</v>
    <v>USD</v>
    <v>ALPHABET INC.</v>
    <v>ALPHABET INC.</v>
    <v>29.4282</v>
    <v>385.33</v>
    <v>Software &amp; IT Services</v>
    <v>1600 Amphitheatre Parkway, MOUNTAIN VIEW, CA, 94043 US</v>
    <v>GOOG</v>
    <v>Acciones</v>
    <v>ALPHABET INC. (XNAS:GOOG)</v>
    <v>13846625</v>
    <v>18230772</v>
  </rv>
  <rv s="2">
    <v>88</v>
  </rv>
  <rv s="9">
    <v>es-ES</v>
    <v>cjjy9c</v>
    <v>268435456</v>
    <v>1</v>
    <v>Con tecnología de Refinitiv</v>
    <v>32</v>
    <v>33</v>
    <v>Abb Ltd (XSWX:ABBNE)</v>
    <v>26</v>
    <v>34</v>
    <v>Finance</v>
    <v>13</v>
    <v>XSWX</v>
    <v>1823154000</v>
    <v>1999</v>
    <v>80.459999999999994</v>
    <v>1.1315999999999999</v>
    <v>-1.4</v>
    <v>-1.7330999999999999E-2</v>
    <v>122992200000</v>
    <v>80.78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46161.630162037036</v>
    <v>SIX Swiss Exchange</v>
    <v>81.760000000000005</v>
    <v>79.099999999999994</v>
    <v>CHF</v>
    <v>Abb Ltd</v>
    <v>Abb Ltd</v>
    <v>79.38</v>
    <v>Machinery, Equipment &amp; Components</v>
    <v>Affolternstrasse 44, ZUERICH, ZUERICH, 8050 CH</v>
    <v>ABBNE</v>
    <v>Acciones</v>
    <v>Abb Ltd (XSWX:ABBNE)</v>
    <v>23000</v>
    <v>2423220</v>
  </rv>
  <rv s="2">
    <v>90</v>
  </rv>
  <rv s="0">
    <v>https://www.bing.com/financeapi/forcetrigger?t=a1u6sm&amp;q=XNYS%3aGRMN&amp;form=skydnc</v>
    <v>Learn more on Bing</v>
  </rv>
  <rv s="1">
    <v>es-ES</v>
    <v>a1u6sm</v>
    <v>268435456</v>
    <v>1</v>
    <v>Con tecnología de Refinitiv</v>
    <v>0</v>
    <v>1</v>
    <v>Garmin Ltd (XNYS:GRMN)</v>
    <v>3</v>
    <v>4</v>
    <v>Finance</v>
    <v>5</v>
    <v>XNYS</v>
    <v>192856200</v>
    <v>2010</v>
    <v>225.77500000000001</v>
    <v>0.9405</v>
    <v>3.1749999999999998</v>
    <v>1.3993999999999999E-2</v>
    <v>44369461653</v>
    <v>226.89</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46161.797040335157</v>
    <v>New York Stock Exchange</v>
    <v>92</v>
    <v>230.36</v>
    <v>273.32</v>
    <v>224.58</v>
    <v>186.67</v>
    <v>USD</v>
    <v>Garmin Ltd</v>
    <v>Garmin Ltd</v>
    <v>25.653700000000001</v>
    <v>230.065</v>
    <v>Communications &amp; Networking</v>
    <v>Muehlentalstrasse 2, SCHAFFHAUSEN, SCHAFFHAUSEN, 8200 CH</v>
    <v>GRMN</v>
    <v>Acciones</v>
    <v>Garmin Ltd (XNYS:GRMN)</v>
    <v>380506</v>
    <v>794042</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180339100</v>
    <v>1979</v>
    <v>72.95</v>
    <v>1.2408999999999999</v>
    <v>-0.25</v>
    <v>-3.4150000000000001E-3</v>
    <v>12847890000</v>
    <v>73.2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46161.716666666667</v>
    <v>Deutsche Boerse AG</v>
    <v>95</v>
    <v>72.95</v>
    <v>108.4</v>
    <v>72.95</v>
    <v>32.01</v>
    <v>EUR</v>
    <v>KINGSPAN GROUP PUBLIC LIMITED COMPANY</v>
    <v>KINGSPAN GROUP PUBLIC LIMITED COMPANY</v>
    <v>19.716200000000001</v>
    <v>72.95</v>
    <v>Homebuilding &amp; Construction Supplies</v>
    <v>Dublin Road,, KINGSCOURT, CAVAN, A82 XY31 IE</v>
    <v>KRX</v>
    <v>Acciones</v>
    <v>KINGSPAN GROUP PUBLIC LIMITED COMPANY (XFRA:KRX)</v>
    <v>180</v>
    <v>450790</v>
  </rv>
  <rv s="2">
    <v>96</v>
  </rv>
  <rv s="0">
    <v>https://www.bing.com/financeapi/forcetrigger?t=bpiour&amp;q=OTCM%3aKAKZF&amp;form=skydnc</v>
    <v>Learn more on Bing</v>
  </rv>
  <rv s="1">
    <v>es-ES</v>
    <v>bpiour</v>
    <v>268435456</v>
    <v>1</v>
    <v>Con tecnología de Refinitiv</v>
    <v>0</v>
    <v>1</v>
    <v>Kaspi.kz AO (XNAS:KSPI)</v>
    <v>3</v>
    <v>4</v>
    <v>Finance</v>
    <v>5</v>
    <v>XNAS</v>
    <v>189333500</v>
    <v>2008</v>
    <v>88.4</v>
    <v>0.18809999999999999</v>
    <v>0.61499999999999999</v>
    <v>6.9169999999999995E-3</v>
    <v>16949134920</v>
    <v>88.905000000000001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46161.796779710159</v>
    <v>Nasdaq Stock Market</v>
    <v>98</v>
    <v>90.347999999999999</v>
    <v>99.2</v>
    <v>87</v>
    <v>68.59</v>
    <v>USD</v>
    <v>Kaspi.kz AO</v>
    <v>Kaspi.kz AO</v>
    <v>7.6341999999999999</v>
    <v>89.52</v>
    <v>Financial Technology (Fintech) &amp; Infrastructure</v>
    <v>Bostandykskiy Rayon, Ul. Nauryzbay Batyra, 154A, ALMATY, 050013 KZ</v>
    <v>KSPI</v>
    <v>Acciones</v>
    <v>Kaspi.kz AO (XNAS:KSPI)</v>
    <v>454981</v>
    <v>569806</v>
  </rv>
  <rv s="2">
    <v>99</v>
  </rv>
  <rv s="0">
    <v>https://www.bing.com/financeapi/forcetrigger?t=amft3m&amp;q=BMEX%3aCBAV&amp;form=skydnc</v>
    <v>Learn more on Bing</v>
  </rv>
  <rv s="10">
    <v>es-ES</v>
    <v>amft3m</v>
    <v>268435456</v>
    <v>1</v>
    <v>Con tecnología de Refinitiv</v>
    <v>35</v>
    <v>36</v>
    <v>CLINICA BAVIERA S.A (BMEX:CBAV)</v>
    <v>3</v>
    <v>37</v>
    <v>Finance</v>
    <v>13</v>
    <v>BMEX</v>
    <v>16307580</v>
    <v>56.6</v>
    <v>0.76829999999999998</v>
    <v>-1.2</v>
    <v>-2.1277000000000001E-2</v>
    <v>844732700</v>
    <v>56.4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46161.666666666664</v>
    <v>Bolsas y Mercados Espanoles</v>
    <v>101</v>
    <v>56.6</v>
    <v>58</v>
    <v>55</v>
    <v>37.700000000000003</v>
    <v>EUR</v>
    <v>CLINICA BAVIERA S.A</v>
    <v>CLINICA BAVIERA S.A</v>
    <v>21.489000000000001</v>
    <v>55.2</v>
    <v>Healthcare Providers &amp; Services</v>
    <v>Paseo de la Castellana 20, MADRID, MADRID, 28046 ES</v>
    <v>CBAV</v>
    <v>Acciones</v>
    <v>CLINICA BAVIERA S.A (BMEX:CBAV)</v>
    <v>1908</v>
    <v>2230</v>
  </rv>
  <rv s="2">
    <v>102</v>
  </rv>
  <rv s="0">
    <v>https://www.bing.com/financeapi/forcetrigger?t=a1yv52&amp;q=XNAS%3aNVDA&amp;form=skydnc</v>
    <v>Learn more on Bing</v>
  </rv>
  <rv s="1">
    <v>es-ES</v>
    <v>a1yv52</v>
    <v>268435456</v>
    <v>1</v>
    <v>Con tecnología de Refinitiv</v>
    <v>0</v>
    <v>1</v>
    <v>NVIDIA CORPORATION (XNAS:NVDA)</v>
    <v>3</v>
    <v>4</v>
    <v>Finance</v>
    <v>5</v>
    <v>XNAS</v>
    <v>24220530000</v>
    <v>1998</v>
    <v>219.8</v>
    <v>2.2479</v>
    <v>-0.4199</v>
    <v>-1.8890000000000001E-3</v>
    <v>5374538029053</v>
    <v>222.32</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46161.797056885938</v>
    <v>Nasdaq Stock Market</v>
    <v>104</v>
    <v>224.48</v>
    <v>236.54</v>
    <v>217.91</v>
    <v>129.16</v>
    <v>USD</v>
    <v>NVIDIA CORPORATION</v>
    <v>NVIDIA CORPORATION</v>
    <v>45.269100000000002</v>
    <v>221.90010000000001</v>
    <v>Semiconductors &amp; Semiconductor Equipment</v>
    <v>2788 San Tomas Expressway, SANTA CLARA, CA, 95051 US</v>
    <v>NVDA</v>
    <v>Acciones</v>
    <v>NVIDIA CORPORATION (XNAS:NVDA)</v>
    <v>95278561</v>
    <v>154349134</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6.96</v>
    <v>0.44379999999999997</v>
    <v>-0.03</v>
    <v>-4.3230000000000005E-3</v>
    <v>911050000</v>
    <v>6.94</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46161.666666666664</v>
    <v>Euronext Lisbon</v>
    <v>107</v>
    <v>7.05</v>
    <v>8.52</v>
    <v>6.89</v>
    <v>6.04</v>
    <v>EUR</v>
    <v>Corticeira Amori</v>
    <v>Corticeira Amori</v>
    <v>16.539000000000001</v>
    <v>6.91</v>
    <v>Paper &amp; Forest Products</v>
    <v>Rua Comendador Americo Ferreira Amorim, N 380, Apartado 20, Mozelos, AVEIRO, 4536-902 PT</v>
    <v>COR</v>
    <v>Acciones</v>
    <v>Corticeira Amori (XLIS:COR)</v>
    <v>434691</v>
    <v>246970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389.18</v>
    <v>1.3940999999999999</v>
    <v>-1.59</v>
    <v>-4.0160000000000005E-3</v>
    <v>2045350111800</v>
    <v>395.95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46161.797093564062</v>
    <v>New York Stock Exchange</v>
    <v>110</v>
    <v>398.875</v>
    <v>421.97</v>
    <v>385.07499999999999</v>
    <v>188.8107</v>
    <v>USD</v>
    <v>Taiwan Semiconductor Manufacturing Company Limited</v>
    <v>Taiwan Semiconductor Manufacturing Company Limited</v>
    <v>33.366300000000003</v>
    <v>394.36</v>
    <v>Semiconductors &amp; Semiconductor Equipment</v>
    <v>No.8, Li-Hsin 6th Road, Hsinchu Science Park, HSINCHU, HSINCHU, 300 TW</v>
    <v>TSM</v>
    <v>Acciones</v>
    <v>Taiwan Semiconductor Manufacturing Company Limited (XNYS:TSM)</v>
    <v>10550429</v>
    <v>14850305</v>
  </rv>
  <rv s="2">
    <v>111</v>
  </rv>
  <rv s="0">
    <v>https://www.bing.com/financeapi/forcetrigger?t=azgv7w&amp;q=XNYS%3aSPOT&amp;form=skydnc</v>
    <v>Learn more on Bing</v>
  </rv>
  <rv s="1">
    <v>es-ES</v>
    <v>azgv7w</v>
    <v>268435456</v>
    <v>1</v>
    <v>Con tecnología de Refinitiv</v>
    <v>0</v>
    <v>1</v>
    <v>Spotify Technology SA (XNYS:SPOT)</v>
    <v>3</v>
    <v>4</v>
    <v>Finance</v>
    <v>5</v>
    <v>XNYS</v>
    <v>209741300</v>
    <v>2007</v>
    <v>443.26499999999999</v>
    <v>1.5451999999999999</v>
    <v>-6.77</v>
    <v>-1.5213000000000001E-2</v>
    <v>91917027312</v>
    <v>445.01</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46161.797047534375</v>
    <v>New York Stock Exchange</v>
    <v>113</v>
    <v>449.51</v>
    <v>785</v>
    <v>435.04</v>
    <v>405</v>
    <v>USD</v>
    <v>Spotify Technology SA</v>
    <v>Spotify Technology SA</v>
    <v>29.5946</v>
    <v>438.24</v>
    <v>Software &amp; IT Services</v>
    <v>33, Boulevard Prince Henri, LUXEMBOURG, 1724 LU</v>
    <v>SPOT</v>
    <v>Acciones</v>
    <v>Spotify Technology SA (XNYS:SPOT)</v>
    <v>1176134</v>
    <v>2266558</v>
  </rv>
  <rv s="2">
    <v>114</v>
  </rv>
  <rv s="0">
    <v>https://www.bing.com/financeapi/forcetrigger?t=ajg6ec&amp;q=XMIL%3aPRY&amp;form=skydnc</v>
    <v>Learn more on Bing</v>
  </rv>
  <rv s="10">
    <v>es-ES</v>
    <v>ajg6ec</v>
    <v>268435456</v>
    <v>1</v>
    <v>Con tecnología de Refinitiv</v>
    <v>35</v>
    <v>36</v>
    <v>Prysmian SpA (XMIL:PRY)</v>
    <v>3</v>
    <v>37</v>
    <v>Finance</v>
    <v>38</v>
    <v>XMIL</v>
    <v>296403800</v>
    <v>144.4</v>
    <v>0.95860000000000001</v>
    <v>-7.45</v>
    <v>-5.0354999999999997E-2</v>
    <v>25573720000</v>
    <v>147.94999999999999</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46161.666666666664</v>
    <v>Borsa Italiana</v>
    <v>116</v>
    <v>146.55000000000001</v>
    <v>157.25</v>
    <v>137.30000000000001</v>
    <v>53.04</v>
    <v>EUR</v>
    <v>Prysmian SpA</v>
    <v>Prysmian SpA</v>
    <v>29.597000000000001</v>
    <v>140.5</v>
    <v>Machinery, Equipment &amp; Components</v>
    <v>Via Chiese 6, MILANO, MILANO, 20126 IT</v>
    <v>PRY</v>
    <v>Acciones</v>
    <v>Prysmian SpA (XMIL:PRY)</v>
    <v>2385988</v>
    <v>1333860</v>
  </rv>
  <rv s="2">
    <v>117</v>
  </rv>
  <rv s="0">
    <v>https://www.bing.com/financeapi/forcetrigger?t=an2bf2&amp;q=XSWX%3aJFN&amp;form=skydnc</v>
    <v>Learn more on Bing</v>
  </rv>
  <rv s="6">
    <v>es-ES</v>
    <v>an2bf2</v>
    <v>268435456</v>
    <v>1</v>
    <v>Con tecnología de Refinitiv</v>
    <v>18</v>
    <v>19</v>
    <v>Jungfraubahn (XSWX:JFN)</v>
    <v>3</v>
    <v>27</v>
    <v>Finance</v>
    <v>28</v>
    <v>XSWX</v>
    <v>5835000</v>
    <v>1952</v>
    <v>249.5</v>
    <v>0.60740000000000005</v>
    <v>3.5</v>
    <v>-3.9450000000000006E-3</v>
    <v>1.3999999999999999E-2</v>
    <v>-1</v>
    <v>1639635000</v>
    <v>250</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46161.679016203707</v>
    <v>SIX Swiss Exchange</v>
    <v>119</v>
    <v>254</v>
    <v>327</v>
    <v>249</v>
    <v>192.2</v>
    <v>CHF</v>
    <v>Jungfraubahn</v>
    <v>Jungfraubahn</v>
    <v>18.639700000000001</v>
    <v>253.5</v>
    <v>252.5</v>
    <v>Hotels &amp; Entertainment Services</v>
    <v>Harderstrasse 14, BERN, 3800 CH</v>
    <v>JFN</v>
    <v>Acciones</v>
    <v>Jungfraubahn (XSWX:JFN)</v>
    <v>5748</v>
    <v>6520</v>
  </rv>
  <rv s="2">
    <v>120</v>
  </rv>
  <rv s="0">
    <v>https://www.bing.com/financeapi/forcetrigger?t=ajejhw&amp;q=XMIL%3aCPR&amp;form=skydnc</v>
    <v>Learn more on Bing</v>
  </rv>
  <rv s="1">
    <v>es-ES</v>
    <v>ajejhw</v>
    <v>268435456</v>
    <v>1</v>
    <v>Con tecnología de Refinitiv</v>
    <v>0</v>
    <v>1</v>
    <v>Davide Campari Milano NV (XMIL:CPR)</v>
    <v>3</v>
    <v>12</v>
    <v>Finance</v>
    <v>38</v>
    <v>XMIL</v>
    <v>1231268000</v>
    <v>2020</v>
    <v>5.44</v>
    <v>0.35199999999999998</v>
    <v>0.11799999999999999</v>
    <v>2.1844000000000002E-2</v>
    <v>6927112000</v>
    <v>5.4020000000000001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46161.666666666664</v>
    <v>Borsa Italiana</v>
    <v>122</v>
    <v>5.5460000000000003</v>
    <v>6.83</v>
    <v>5.4219999999999997</v>
    <v>5.27</v>
    <v>EUR</v>
    <v>Davide Campari Milano NV</v>
    <v>Davide Campari Milano NV</v>
    <v>19.173300000000001</v>
    <v>5.52</v>
    <v>Beverages</v>
    <v>Via Sacchetti, 20, SESTO SAN GIOVANNI, MILANO, 20099 IT</v>
    <v>CPR</v>
    <v>Acciones</v>
    <v>Davide Campari Milano NV (XMIL:CPR)</v>
    <v>7982874</v>
    <v>14113300</v>
  </rv>
  <rv s="2">
    <v>123</v>
  </rv>
  <rv s="0">
    <v>https://www.bing.com/financeapi/forcetrigger?t=b1lbp2&amp;q=XSWX%3aSIKA&amp;form=skydnc</v>
    <v>Learn more on Bing</v>
  </rv>
  <rv s="6">
    <v>es-ES</v>
    <v>b1lbp2</v>
    <v>268435456</v>
    <v>1</v>
    <v>Con tecnología de Refinitiv</v>
    <v>18</v>
    <v>19</v>
    <v>Sika Ltd (XSWX:SIKA)</v>
    <v>3</v>
    <v>27</v>
    <v>Finance</v>
    <v>28</v>
    <v>XSWX</v>
    <v>160479300</v>
    <v>1971</v>
    <v>139.80000000000001</v>
    <v>1.5988</v>
    <v>0.5</v>
    <v>-3.2140000000000003E-3</v>
    <v>3.5839999999999999E-3</v>
    <v>-0.45</v>
    <v>23927460000</v>
    <v>139.5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46161.784351851849</v>
    <v>SIX Swiss Exchange</v>
    <v>125</v>
    <v>141.80000000000001</v>
    <v>226.8</v>
    <v>137.9</v>
    <v>120.35</v>
    <v>CHF</v>
    <v>Sika Ltd</v>
    <v>Sika Ltd</v>
    <v>21.538499999999999</v>
    <v>140</v>
    <v>139.55000000000001</v>
    <v>Chemicals</v>
    <v>Zugerstrasse 50, BAAR, ZUG, 6340 CH</v>
    <v>SIKA</v>
    <v>Acciones</v>
    <v>Sika Ltd (XSWX:SIKA)</v>
    <v>531299</v>
    <v>413590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104027800</v>
    <v>1993</v>
    <v>129.19</v>
    <v>0.44429999999999997</v>
    <v>-0.46</v>
    <v>-3.614E-3</v>
    <v>13192805596</v>
    <v>127.28</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46161.796995450779</v>
    <v>Nasdaq Stock Market</v>
    <v>128</v>
    <v>130.07</v>
    <v>233.78</v>
    <v>126.0001</v>
    <v>112.23</v>
    <v>USD</v>
    <v>CHECK POINT SOFTWARE TECHNOLOGIES LTD.</v>
    <v>CHECK POINT SOFTWARE TECHNOLOGIES LTD.</v>
    <v>13.039</v>
    <v>126.82</v>
    <v>Software &amp; IT Services</v>
    <v>5 Shlomo Kaplan Street, 6789159 IL</v>
    <v>CHKP</v>
    <v>Acciones</v>
    <v>CHECK POINT SOFTWARE TECHNOLOGIES LTD. (XNAS:CHKP)</v>
    <v>896256</v>
    <v>1971899</v>
  </rv>
  <rv s="2">
    <v>129</v>
  </rv>
  <rv s="0">
    <v>https://www.bing.com/financeapi/forcetrigger?t=ajgoa2&amp;q=XMIL%3aTGYM&amp;form=skydnc</v>
    <v>Learn more on Bing</v>
  </rv>
  <rv s="10">
    <v>es-ES</v>
    <v>ajgoa2</v>
    <v>268435456</v>
    <v>1</v>
    <v>Con tecnología de Refinitiv</v>
    <v>35</v>
    <v>36</v>
    <v>Technogym SpA (XMIL:TGYM)</v>
    <v>3</v>
    <v>37</v>
    <v>Finance</v>
    <v>38</v>
    <v>XMIL</v>
    <v>201327500</v>
    <v>20.58</v>
    <v>0.88360000000000005</v>
    <v>0.18</v>
    <v>8.7799999999999996E-3</v>
    <v>3480952000</v>
    <v>20.5</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46161.666666666664</v>
    <v>Borsa Italiana</v>
    <v>131</v>
    <v>20.96</v>
    <v>21.82</v>
    <v>20.56</v>
    <v>11.24</v>
    <v>EUR</v>
    <v>Technogym SpA</v>
    <v>Technogym SpA</v>
    <v>36.034199999999998</v>
    <v>20.68</v>
    <v>Leisure Products</v>
    <v>Via Calcinaro, 2861, CESENA, FORLI-CESENA, 47521 IT</v>
    <v>TGYM</v>
    <v>Acciones</v>
    <v>Technogym SpA (XMIL:TGYM)</v>
    <v>137236</v>
    <v>243070</v>
  </rv>
  <rv s="2">
    <v>132</v>
  </rv>
  <rv s="0">
    <v>https://www.bing.com/financeapi/forcetrigger?t=amg4gh&amp;q=BMEX%3aVID&amp;form=skydnc</v>
    <v>Learn more on Bing</v>
  </rv>
  <rv s="10">
    <v>es-ES</v>
    <v>amg4gh</v>
    <v>268435456</v>
    <v>1</v>
    <v>Con tecnología de Refinitiv</v>
    <v>35</v>
    <v>36</v>
    <v>VIDRALA, S.A. (BMEX:VID)</v>
    <v>3</v>
    <v>37</v>
    <v>Finance</v>
    <v>13</v>
    <v>BMEX</v>
    <v>35206260</v>
    <v>74.400000000000006</v>
    <v>0.96199999999999997</v>
    <v>0.9</v>
    <v>1.2081E-2</v>
    <v>3207290000</v>
    <v>74.5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46161.666666666664</v>
    <v>Bolsas y Mercados Espanoles</v>
    <v>134</v>
    <v>76</v>
    <v>95.81</v>
    <v>74.400000000000006</v>
    <v>70.400000000000006</v>
    <v>EUR</v>
    <v>VIDRALA, S.A.</v>
    <v>VIDRALA, S.A.</v>
    <v>12.3126</v>
    <v>75.400000000000006</v>
    <v>Containers &amp; Packaging</v>
    <v>Barrio Munegazo, 22, LLODIO, ALAVA, 01400 ES</v>
    <v>VID</v>
    <v>Acciones</v>
    <v>VIDRALA, S.A. (BMEX:VID)</v>
    <v>43051</v>
    <v>36850</v>
  </rv>
  <rv s="2">
    <v>135</v>
  </rv>
  <rv s="0">
    <v>https://www.bing.com/financeapi/forcetrigger?t=c276a2&amp;q=XTSE%3aTFPM&amp;form=skydnc</v>
    <v>Learn more on Bing</v>
  </rv>
  <rv s="1">
    <v>es-ES</v>
    <v>c276a2</v>
    <v>268435456</v>
    <v>1</v>
    <v>Con tecnología de Refinitiv</v>
    <v>0</v>
    <v>1</v>
    <v>Triple Flag Prec (XTSE:TFPM)</v>
    <v>3</v>
    <v>39</v>
    <v>Finance</v>
    <v>40</v>
    <v>XTSE</v>
    <v>206603900</v>
    <v>2019</v>
    <v>43.56</v>
    <v>0.29659999999999997</v>
    <v>-1.36</v>
    <v>-3.0922999999999999E-2</v>
    <v>8805458218</v>
    <v>43.98</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46161.785868055558</v>
    <v>Toronto Stock Exchange</v>
    <v>137</v>
    <v>43.56</v>
    <v>57.26</v>
    <v>42.24</v>
    <v>28.29</v>
    <v>CAD</v>
    <v>Triple Flag Prec</v>
    <v>Triple Flag Prec</v>
    <v>20.253</v>
    <v>42.62</v>
    <v>Metals &amp; Mining</v>
    <v>TD Canada Trust Tower, 161 Bay Street, Suite 4535, Toronto, ON, M5J 2S1 CA</v>
    <v>TFPM</v>
    <v>Acciones</v>
    <v>Triple Flag Prec (XTSE:TFPM)</v>
    <v>140825</v>
    <v>219890</v>
  </rv>
  <rv s="2">
    <v>138</v>
  </rv>
  <rv s="0">
    <v>https://www.bing.com/financeapi/forcetrigger?t=a1ygoc&amp;q=XNAS%3aNFLX&amp;form=skydnc</v>
    <v>Learn more on Bing</v>
  </rv>
  <rv s="1">
    <v>es-ES</v>
    <v>a1ygoc</v>
    <v>268435456</v>
    <v>1</v>
    <v>Con tecnología de Refinitiv</v>
    <v>0</v>
    <v>1</v>
    <v>NETFLIX, INC. (XNAS:NFLX)</v>
    <v>3</v>
    <v>4</v>
    <v>Finance</v>
    <v>5</v>
    <v>XNAS</v>
    <v>4210798000</v>
    <v>1997</v>
    <v>90</v>
    <v>1.5348999999999999</v>
    <v>-0.68</v>
    <v>-7.5849999999999997E-3</v>
    <v>374634698060</v>
    <v>89.65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46161.797084096877</v>
    <v>Nasdaq Stock Market</v>
    <v>140</v>
    <v>91.46</v>
    <v>134.11500000000001</v>
    <v>88.69</v>
    <v>75.010000000000005</v>
    <v>USD</v>
    <v>NETFLIX, INC.</v>
    <v>NETFLIX, INC.</v>
    <v>28.749199999999998</v>
    <v>88.97</v>
    <v>Software &amp; IT Services</v>
    <v>121 Albright Way, LOS GATOS, CA, 95032 US</v>
    <v>NFLX</v>
    <v>Acciones</v>
    <v>NETFLIX, INC. (XNAS:NFLX)</v>
    <v>24510832</v>
    <v>42301164</v>
  </rv>
  <rv s="2">
    <v>141</v>
  </rv>
  <rv s="0">
    <v>https://www.bing.com/financeapi/forcetrigger?t=a1yjxm&amp;q=XNYS%3aNKE&amp;form=skydnc</v>
    <v>Learn more on Bing</v>
  </rv>
  <rv s="1">
    <v>es-ES</v>
    <v>a1yjxm</v>
    <v>268435456</v>
    <v>1</v>
    <v>Con tecnología de Refinitiv</v>
    <v>0</v>
    <v>1</v>
    <v>NIKE, INC. (XNYS:NKE)</v>
    <v>3</v>
    <v>4</v>
    <v>Finance</v>
    <v>5</v>
    <v>XNYS</v>
    <v>1480887000</v>
    <v>1969</v>
    <v>42.56</v>
    <v>1.1189</v>
    <v>-0.29210000000000003</v>
    <v>-6.862E-3</v>
    <v>62608792497</v>
    <v>42.57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46161.797020335158</v>
    <v>New York Stock Exchange</v>
    <v>143</v>
    <v>43.2</v>
    <v>80.165000000000006</v>
    <v>41.811999999999998</v>
    <v>41.35</v>
    <v>USD</v>
    <v>NIKE, INC.</v>
    <v>NIKE, INC.</v>
    <v>27.8126</v>
    <v>42.277900000000002</v>
    <v>Textiles &amp; Apparel</v>
    <v>One Bowerman Dr, BEAVERTON, OR, 97005-6453 US</v>
    <v>NKE</v>
    <v>Acciones</v>
    <v>NIKE, INC. (XNYS:NKE)</v>
    <v>14536628</v>
    <v>20420731</v>
  </rv>
  <rv s="2">
    <v>144</v>
  </rv>
  <rv s="0">
    <v>https://www.bing.com/financeapi/forcetrigger?t=amwwgh&amp;q=XSTO%3aMIPS&amp;form=skydnc</v>
    <v>Learn more on Bing</v>
  </rv>
  <rv s="11">
    <v>es-ES</v>
    <v>amwwgh</v>
    <v>268435456</v>
    <v>1</v>
    <v>Con tecnología de Refinitiv</v>
    <v>41</v>
    <v>42</v>
    <v>MIPS (XSTO:MIPS)</v>
    <v>3</v>
    <v>43</v>
    <v>Finance</v>
    <v>21</v>
    <v>XSTO</v>
    <v>26491120</v>
    <v>2001</v>
    <v>255.2</v>
    <v>2.0289999999999999</v>
    <v>-3.8</v>
    <v>0</v>
    <v>-1.4914E-2</v>
    <v>0</v>
    <v>8599019000</v>
    <v>254.8</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46161.666666666664</v>
    <v>NASDAQ Stockholm</v>
    <v>146</v>
    <v>263</v>
    <v>250.2</v>
    <v>SEK</v>
    <v>MIPS</v>
    <v>MIPS</v>
    <v>51.224499999999999</v>
    <v>251</v>
    <v>251</v>
    <v>Leisure Products</v>
    <v>Kemistvagen 1B, STOCKHOLM, 183 79 SE</v>
    <v>MIPS</v>
    <v>Acciones</v>
    <v>MIPS (XSTO:MIPS)</v>
    <v>112794</v>
    <v>120920</v>
  </rv>
  <rv s="2">
    <v>147</v>
  </rv>
  <rv s="0">
    <v>https://www.bing.com/financeapi/forcetrigger?t=a325ur&amp;q=XNYS%3aFERG&amp;form=skydnc</v>
    <v>Learn more on Bing</v>
  </rv>
  <rv s="1">
    <v>es-ES</v>
    <v>a325ur</v>
    <v>268435456</v>
    <v>1</v>
    <v>Con tecnología de Refinitiv</v>
    <v>0</v>
    <v>1</v>
    <v>FERGUSON ENTERPRISES INC. (XNYS:FERG)</v>
    <v>3</v>
    <v>4</v>
    <v>Finance</v>
    <v>5</v>
    <v>XNYS</v>
    <v>193937800</v>
    <v>2024</v>
    <v>217.36</v>
    <v>1.1721999999999999</v>
    <v>0.94499999999999995</v>
    <v>4.2959999999999995E-3</v>
    <v>42839890331</v>
    <v>219.95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46161.797097001559</v>
    <v>New York Stock Exchange</v>
    <v>149</v>
    <v>222.02</v>
    <v>271.64</v>
    <v>214.44</v>
    <v>176.26</v>
    <v>USD</v>
    <v>FERGUSON ENTERPRISES INC.</v>
    <v>FERGUSON ENTERPRISES INC.</v>
    <v>21.737100000000002</v>
    <v>220.89500000000001</v>
    <v>Homebuilding &amp; Construction Supplies</v>
    <v>751 Lakefront Commons, NEWPORT NEWS, VA, 23606 US</v>
    <v>FERG</v>
    <v>Acciones</v>
    <v>FERGUSON ENTERPRISES INC. (XNYS:FERG)</v>
    <v>773955</v>
    <v>1379602</v>
  </rv>
  <rv s="2">
    <v>150</v>
  </rv>
  <rv s="0">
    <v>https://www.bing.com/financeapi/forcetrigger?t=c2kadm&amp;q=XNYS%3aS&amp;form=skydnc</v>
    <v>Learn more on Bing</v>
  </rv>
  <rv s="8">
    <v>es-ES</v>
    <v>c2kadm</v>
    <v>268435456</v>
    <v>1</v>
    <v>Con tecnología de Refinitiv</v>
    <v>29</v>
    <v>30</v>
    <v>SENTINELONE, INC. (XNYS:S)</v>
    <v>3</v>
    <v>31</v>
    <v>Finance</v>
    <v>5</v>
    <v>XNYS</v>
    <v>341482100</v>
    <v>2013</v>
    <v>17.88</v>
    <v>0.81689999999999996</v>
    <v>-0.01</v>
    <v>-5.7010000000000003E-4</v>
    <v>5986181213</v>
    <v>17.54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46161.797086087499</v>
    <v>New York Stock Exchange</v>
    <v>152</v>
    <v>18.1191</v>
    <v>21.4</v>
    <v>17.399999999999999</v>
    <v>11.81</v>
    <v>USD</v>
    <v>SENTINELONE, INC.</v>
    <v>SENTINELONE, INC.</v>
    <v>17.53</v>
    <v>Software &amp; IT Services</v>
    <v>444 Castro Street, Suite 400, MOUNTAIN VIEW, CA, 94041 US</v>
    <v>S</v>
    <v>Acciones</v>
    <v>SENTINELONE, INC. (XNYS:S)</v>
    <v>6002993</v>
    <v>6920592</v>
  </rv>
  <rv s="2">
    <v>153</v>
  </rv>
  <rv s="0">
    <v>https://www.bing.com/financeapi/forcetrigger?t=a24grw&amp;q=XNYS%3aTREX&amp;form=skydnc</v>
    <v>Learn more on Bing</v>
  </rv>
  <rv s="1">
    <v>es-ES</v>
    <v>a24grw</v>
    <v>268435456</v>
    <v>1</v>
    <v>Con tecnología de Refinitiv</v>
    <v>0</v>
    <v>1</v>
    <v>TREX COMPANY, INC. (XNYS:TREX)</v>
    <v>3</v>
    <v>4</v>
    <v>Finance</v>
    <v>5</v>
    <v>XNYS</v>
    <v>103898700</v>
    <v>1998</v>
    <v>38.299999999999997</v>
    <v>1.5044999999999999</v>
    <v>-1.61</v>
    <v>-4.2168999999999998E-2</v>
    <v>3799575459</v>
    <v>38.18</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46161.797109235937</v>
    <v>New York Stock Exchange</v>
    <v>155</v>
    <v>38.299999999999997</v>
    <v>68.78</v>
    <v>36.130000000000003</v>
    <v>29.77</v>
    <v>USD</v>
    <v>TREX COMPANY, INC.</v>
    <v>TREX COMPANY, INC.</v>
    <v>20.344899999999999</v>
    <v>36.57</v>
    <v>Homebuilding &amp; Construction Supplies</v>
    <v>2500 TREX WAY, WINCHESTER, VA, 22601 US</v>
    <v>TREX</v>
    <v>Acciones</v>
    <v>TREX COMPANY, INC. (XNYS:TREX)</v>
    <v>1697028</v>
    <v>2080645</v>
  </rv>
  <rv s="2">
    <v>156</v>
  </rv>
  <rv s="0">
    <v>https://www.bing.com/financeapi/forcetrigger?t=aea12w&amp;q=XPAR%3aSGO&amp;form=skydnc</v>
    <v>Learn more on Bing</v>
  </rv>
  <rv s="1">
    <v>es-ES</v>
    <v>aea12w</v>
    <v>268435456</v>
    <v>1</v>
    <v>Con tecnología de Refinitiv</v>
    <v>0</v>
    <v>1</v>
    <v>Compagnie de Saint Gobain SA (XPAR:SGO)</v>
    <v>3</v>
    <v>12</v>
    <v>Finance</v>
    <v>13</v>
    <v>XPAR</v>
    <v>494825300</v>
    <v>1981</v>
    <v>74.86</v>
    <v>1.4187000000000001</v>
    <v>-1.74</v>
    <v>-2.3274E-2</v>
    <v>41397000000</v>
    <v>74.760000000000005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46161.666666666664</v>
    <v>Euronext Paris</v>
    <v>158</v>
    <v>75.959999999999994</v>
    <v>104.65</v>
    <v>72.88</v>
    <v>65.88</v>
    <v>EUR</v>
    <v>Compagnie de Saint Gobain SA</v>
    <v>Compagnie de Saint Gobain SA</v>
    <v>12.520799999999999</v>
    <v>73.02</v>
    <v>Homebuilding &amp; Construction Supplies</v>
    <v>Tour Saint-Gobain, 12 place de l'Iris, La Defense Cedex, 92096 FR</v>
    <v>SGO</v>
    <v>Acciones</v>
    <v>Compagnie de Saint Gobain SA (XPAR:SGO)</v>
    <v>1184463</v>
    <v>1191970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0.56930000000000003</v>
    <v>0</v>
    <v>0</v>
    <v>379400000</v>
    <v>17</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46161.666666666664</v>
    <v>Euronext Paris</v>
    <v>161</v>
    <v>17</v>
    <v>25.3</v>
    <v>16.739999999999998</v>
    <v>14.65</v>
    <v>EUR</v>
    <v>Tonnellerie FF</v>
    <v>Tonnellerie FF</v>
    <v>15.7349</v>
    <v>17</v>
    <v>Containers &amp; Packaging</v>
    <v>Route departementale 17, Saint-Romain, SAINT-ROMAIN-AU-MONT-D OR, AUVERGNE-RHONE-ALPES, 21190 FR</v>
    <v>TFF</v>
    <v>Acciones</v>
    <v>Tonnellerie FF (XPAR:TFF)</v>
    <v>645</v>
    <v>3360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29.7</v>
    <v>0.91720000000000002</v>
    <v>0.01</v>
    <v>3.4090000000000005E-4</v>
    <v>7500489336</v>
    <v>29.33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46161.797115474219</v>
    <v>Nasdaq Stock Market</v>
    <v>164</v>
    <v>30.139900000000001</v>
    <v>66.739999999999995</v>
    <v>29.27</v>
    <v>27.66</v>
    <v>USD</v>
    <v>CELSIUS HOLDINGS, INC.</v>
    <v>CELSIUS HOLDINGS, INC.</v>
    <v>69.840500000000006</v>
    <v>29.34</v>
    <v>Beverages</v>
    <v>2424 N. Federal Hwy, Suite 208, BOCA RATON, FL, 33431 US</v>
    <v>CELH</v>
    <v>Acciones</v>
    <v>CELSIUS HOLDINGS, INC. (XNAS:CELH)</v>
    <v>3235798</v>
    <v>9802690</v>
  </rv>
  <rv s="2">
    <v>165</v>
  </rv>
  <rv s="0">
    <v>https://www.bing.com/financeapi/forcetrigger?t=alo1ar&amp;q=XAMS%3aBFIT&amp;form=skydnc</v>
    <v>Learn more on Bing</v>
  </rv>
  <rv s="1">
    <v>es-ES</v>
    <v>alo1ar</v>
    <v>268435456</v>
    <v>1</v>
    <v>Con tecnología de Refinitiv</v>
    <v>0</v>
    <v>1</v>
    <v>Basic-Fit NV (XAMS:BFIT)</v>
    <v>3</v>
    <v>12</v>
    <v>Finance</v>
    <v>13</v>
    <v>XAMS</v>
    <v>66000000</v>
    <v>2016</v>
    <v>29.86</v>
    <v>0.81540000000000001</v>
    <v>0.08</v>
    <v>2.6939999999999998E-3</v>
    <v>1974720000</v>
    <v>29.7</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46161.666666666664</v>
    <v>Euronext Amsterdam</v>
    <v>167</v>
    <v>30.2</v>
    <v>34.76</v>
    <v>29.44</v>
    <v>20.94</v>
    <v>EUR</v>
    <v>Basic-Fit NV</v>
    <v>Basic-Fit NV</v>
    <v>132.35560000000001</v>
    <v>29.78</v>
    <v>Hotels &amp; Entertainment Services</v>
    <v>Wegalaan 60, HOOFDDORP, NOORD-HOLLAND, 2132JC NL</v>
    <v>BFIT</v>
    <v>Acciones</v>
    <v>Basic-Fit NV (XAMS:BFIT)</v>
    <v>144059</v>
    <v>126410</v>
  </rv>
  <rv s="2">
    <v>168</v>
  </rv>
  <rv s="0">
    <v>https://www.bing.com/financeapi/forcetrigger?t=bscvur&amp;q=XWBO%3aVRLA&amp;form=skydnc</v>
    <v>Learn more on Bing</v>
  </rv>
  <rv s="12">
    <v>es-ES</v>
    <v>bscvur</v>
    <v>268435456</v>
    <v>1</v>
    <v>Con tecnología de Refinitiv</v>
    <v>44</v>
    <v>45</v>
    <v>Verallia SA (XWBO:VRLA)</v>
    <v>3</v>
    <v>46</v>
    <v>Finance</v>
    <v>13</v>
    <v>XWBO</v>
    <v>120805100</v>
    <v>2015</v>
    <v>19.68</v>
    <v>1.137</v>
    <v>-0.41</v>
    <v>-2.0357E-2</v>
    <v>2800262000</v>
    <v>20.14</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46150</v>
    <v>Wiener Boerse</v>
    <v>170</v>
    <v>19.78</v>
    <v>19.68</v>
    <v>EUR</v>
    <v>Verallia SA</v>
    <v>Verallia SA</v>
    <v>25.69</v>
    <v>19.73</v>
    <v>Containers &amp; Packaging</v>
    <v>TOUR CARPE DIEM - ESPLANADE NORD, 31 PLACE DES COROLLES, COURBEVOIE, ILE-DE-FRANCE, 92400 FR</v>
    <v>VRLA</v>
    <v>Acciones</v>
    <v>Verallia SA (XWBO:VRLA)</v>
    <v>213</v>
    <v>24030</v>
  </rv>
  <rv s="2">
    <v>171</v>
  </rv>
  <rv s="7">
    <v>es-ES</v>
    <v>c8f4a2</v>
    <v>268435456</v>
    <v>1</v>
    <v>Con tecnología de Refinitiv</v>
    <v>24</v>
    <v>25</v>
    <v>Kistos Holdings (XLON:KIST)</v>
    <v>26</v>
    <v>16</v>
    <v>Finance</v>
    <v>17</v>
    <v>XLON</v>
    <v>83117650</v>
    <v>2022</v>
    <v>297.5</v>
    <v>1.1485000000000001</v>
    <v>-10</v>
    <v>-3.3333000000000002E-2</v>
    <v>170389700</v>
    <v>300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46161.649454050785</v>
    <v>London Stock Exchange</v>
    <v>295</v>
    <v>335</v>
    <v>290</v>
    <v>137</v>
    <v>GBp</v>
    <v>Kistos Holdings</v>
    <v>Kistos Holdings</v>
    <v>0</v>
    <v>290</v>
    <v>Oil &amp; Gas</v>
    <v>2nd Floor, 3 St James Square, NaN, LONDON, SW1Y 4JU GB</v>
    <v>KIST</v>
    <v>Acciones</v>
    <v>Kistos Holdings (XLON:KIST)</v>
    <v>86416</v>
    <v>232100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662</v>
    <v>2.3532000000000002</v>
    <v>-14.5</v>
    <v>-2.2136999999999997E-2</v>
    <v>1100250000</v>
    <v>655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46161.693831018521</v>
    <v>London Stock Exchange</v>
    <v>175</v>
    <v>668.5</v>
    <v>668.5</v>
    <v>636</v>
    <v>316.2</v>
    <v>GBp</v>
    <v>Watches of CH</v>
    <v>Watches of CH</v>
    <v>21.7514</v>
    <v>640.5</v>
    <v>Specialty Retailers</v>
    <v>CARLTON PARK KING EDWARD AVENUE, Narborough, LE19 0AL GB</v>
    <v>WOSG</v>
    <v>Acciones</v>
    <v>Watches of CH (XLON:WOSG)</v>
    <v>1163322</v>
    <v>1034710</v>
  </rv>
  <rv s="2">
    <v>176</v>
  </rv>
  <rv s="0">
    <v>https://www.bing.com/financeapi/forcetrigger?t=aayx5r&amp;q=XTSE%3aIPCO&amp;form=skydnc</v>
    <v>Learn more on Bing</v>
  </rv>
  <rv s="1">
    <v>es-ES</v>
    <v>aayx5r</v>
    <v>268435456</v>
    <v>1</v>
    <v>Con tecnología de Refinitiv</v>
    <v>0</v>
    <v>1</v>
    <v>INTERNATIONAL PETROLEUM CORPORATION (XTSE:IPCO)</v>
    <v>3</v>
    <v>47</v>
    <v>Finance</v>
    <v>40</v>
    <v>XTSE</v>
    <v>112826800</v>
    <v>2017</v>
    <v>39.229999999999997</v>
    <v>0.3584</v>
    <v>0.52</v>
    <v>1.3399000000000001E-2</v>
    <v>19431310000</v>
    <v>38.81</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46161.785925925928</v>
    <v>Toronto Stock Exchange</v>
    <v>178</v>
    <v>39.340000000000003</v>
    <v>39.340000000000003</v>
    <v>38.619999999999997</v>
    <v>18.8</v>
    <v>CAD</v>
    <v>INTERNATIONAL PETROLEUM CORPORATION</v>
    <v>INTERNATIONAL PETROLEUM CORPORATION</v>
    <v>131.94890000000001</v>
    <v>39.33</v>
    <v>Oil &amp; Gas</v>
    <v>Suite 2800, 1055 Dunsmuir Street, VANCOUVER, BC, V7X 1L2 CA</v>
    <v>IPCO</v>
    <v>Acciones</v>
    <v>INTERNATIONAL PETROLEUM CORPORATION (XTSE:IPCO)</v>
    <v>59916</v>
    <v>206400</v>
  </rv>
  <rv s="2">
    <v>179</v>
  </rv>
  <rv s="0">
    <v>https://www.bing.com/financeapi/forcetrigger?t=c1w41h&amp;q=XNAS%3aOTLY&amp;form=skydnc</v>
    <v>Learn more on Bing</v>
  </rv>
  <rv s="1">
    <v>es-ES</v>
    <v>c1w41h</v>
    <v>268435456</v>
    <v>1</v>
    <v>Con tecnología de Refinitiv</v>
    <v>0</v>
    <v>1</v>
    <v>Oatly Group (XNAS:OTLY)</v>
    <v>3</v>
    <v>4</v>
    <v>Finance</v>
    <v>5</v>
    <v>XNAS</v>
    <v>31225000</v>
    <v>2016</v>
    <v>9.84</v>
    <v>1.8801000000000001</v>
    <v>-3.1E-2</v>
    <v>-3.1280000000000001E-3</v>
    <v>308471775</v>
    <v>9.91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46161.795225474219</v>
    <v>Nasdaq Stock Market</v>
    <v>181</v>
    <v>9.9795999999999996</v>
    <v>18.84</v>
    <v>9.74</v>
    <v>9.4</v>
    <v>USD</v>
    <v>Oatly Group</v>
    <v>Oatly Group</v>
    <v>0</v>
    <v>9.8789999999999996</v>
    <v>Food &amp; Tobacco</v>
    <v>Angfarjekajen 8, MALMO, SKANE, 211 36 SE</v>
    <v>OTLY</v>
    <v>Acciones</v>
    <v>Oatly Group (XNAS:OTLY)</v>
    <v>19369</v>
    <v>64393</v>
  </rv>
  <rv s="2">
    <v>182</v>
  </rv>
  <rv s="0">
    <v>https://www.bing.com/financeapi/forcetrigger?t=aaxn6h&amp;q=XTSE%3aCSU&amp;form=skydnc</v>
    <v>Learn more on Bing</v>
  </rv>
  <rv s="1">
    <v>es-ES</v>
    <v>aaxn6h</v>
    <v>268435456</v>
    <v>1</v>
    <v>Con tecnología de Refinitiv</v>
    <v>0</v>
    <v>1</v>
    <v>Constellation Software Inc. (XTSE:CSU)</v>
    <v>3</v>
    <v>39</v>
    <v>Finance</v>
    <v>40</v>
    <v>XTSE</v>
    <v>21191530</v>
    <v>2002</v>
    <v>2625</v>
    <v>0.67800000000000005</v>
    <v>140.16999999999999</v>
    <v>5.3657000000000003E-2</v>
    <v>58329898240</v>
    <v>2612.34</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46161.786180555559</v>
    <v>Toronto Stock Exchange</v>
    <v>184</v>
    <v>2880.35</v>
    <v>5124.8999999999996</v>
    <v>2625</v>
    <v>2196</v>
    <v>CAD</v>
    <v>Constellation Software Inc.</v>
    <v>Constellation Software Inc.</v>
    <v>56.4223</v>
    <v>2752.51</v>
    <v>Software &amp; IT Services</v>
    <v>#66 Wellington Street West, Suite 5300, TD Bank Tower, TORONTO, ON, M5K 1E6 CA</v>
    <v>CSU</v>
    <v>Acciones</v>
    <v>Constellation Software Inc. (XTSE:CSU)</v>
    <v>92697</v>
    <v>56290</v>
  </rv>
  <rv s="2">
    <v>185</v>
  </rv>
  <rv s="13">
    <v>es-ES</v>
    <v>av8wim</v>
    <v>268435456</v>
    <v>1</v>
    <v>Con tecnología de Refinitiv</v>
    <v>48</v>
    <v>49</v>
    <v>EUR/JPY</v>
    <v>50</v>
    <v>51</v>
    <v>Finance</v>
    <v>52</v>
    <v>185.12</v>
    <v>-0.59</v>
    <v>-3.1869999999999997E-3</v>
    <v>185.12</v>
    <v>EUR</v>
    <v>46161.797118055554</v>
    <v>185.2</v>
    <v>187.93</v>
    <v>184.25</v>
    <v>161.03</v>
    <v>JPY</v>
    <v>Euro/Japanese Yen FX Cross Rate</v>
    <v>184.53</v>
    <v>EURJPY</v>
    <v>Par de divisa</v>
    <v>EUR/JPY</v>
  </rv>
  <rv s="2">
    <v>187</v>
  </rv>
  <rv s="13">
    <v>es-ES</v>
    <v>avv7r7</v>
    <v>268435456</v>
    <v>1</v>
    <v>Con tecnología de Refinitiv</v>
    <v>48</v>
    <v>49</v>
    <v>CHF/USD</v>
    <v>50</v>
    <v>53</v>
    <v>Finance</v>
    <v>52</v>
    <v>1.2746999999999999</v>
    <v>-7.6E-3</v>
    <v>-5.9650000000000007E-3</v>
    <v>1.2742</v>
    <v>CHF</v>
    <v>46161.797048611108</v>
    <v>1.2753000000000001</v>
    <v>1.3149</v>
    <v>1.2648999999999999</v>
    <v>1.1850000000000001</v>
    <v>USD</v>
    <v>Swiss Franc/US Dollar FX Cross Rate</v>
    <v>1.2665999999999999</v>
    <v>CHFUSD</v>
    <v>Par de divisa</v>
    <v>CHF/USD</v>
  </rv>
  <rv s="2">
    <v>189</v>
  </rv>
  <rv s="13">
    <v>es-ES</v>
    <v>avyosm</v>
    <v>268435456</v>
    <v>1</v>
    <v>Con tecnología de Refinitiv</v>
    <v>48</v>
    <v>49</v>
    <v>USD/KZT</v>
    <v>50</v>
    <v>54</v>
    <v>Finance</v>
    <v>52</v>
    <v>468.02</v>
    <v>2.65</v>
    <v>5.6630000000000005E-3</v>
    <v>467.98</v>
    <v>USD</v>
    <v>46161.775462962964</v>
    <v>473.69</v>
    <v>549.66</v>
    <v>468.58</v>
    <v>455.33</v>
    <v>KZT</v>
    <v>US Dollar/Kazakhstan Tenge FX Spot Rate</v>
    <v>470.63</v>
    <v>USDKZT</v>
    <v>Par de divisa</v>
    <v>USD/KZT</v>
  </rv>
  <rv s="2">
    <v>191</v>
  </rv>
  <rv s="13">
    <v>es-ES</v>
    <v>av3wnm</v>
    <v>268435456</v>
    <v>1</v>
    <v>Con tecnología de Refinitiv</v>
    <v>48</v>
    <v>49</v>
    <v>CAD/USD</v>
    <v>50</v>
    <v>53</v>
    <v>Finance</v>
    <v>52</v>
    <v>0.72770000000000001</v>
    <v>-5.0000000000000001E-4</v>
    <v>-6.8709999999999995E-4</v>
    <v>0.72770000000000001</v>
    <v>CAD</v>
    <v>46161.796944444446</v>
    <v>0.72799999999999998</v>
    <v>0.74170000000000003</v>
    <v>0.72609999999999997</v>
    <v>0.70709999999999995</v>
    <v>USD</v>
    <v>Canadian Dollar/US Dollar FX Cross Rate</v>
    <v>0.72719999999999996</v>
    <v>CADUSD</v>
    <v>Par de divisa</v>
    <v>CAD/USD</v>
  </rv>
  <rv s="2">
    <v>193</v>
  </rv>
  <rv s="13">
    <v>es-ES</v>
    <v>avyn9c</v>
    <v>268435456</v>
    <v>1</v>
    <v>Con tecnología de Refinitiv</v>
    <v>48</v>
    <v>49</v>
    <v>USD/EUR</v>
    <v>50</v>
    <v>55</v>
    <v>Finance</v>
    <v>52</v>
    <v>0.85780000000000001</v>
    <v>3.8999999999999998E-3</v>
    <v>4.5459999999999997E-3</v>
    <v>0.8579</v>
    <v>USD</v>
    <v>46161.797106481485</v>
    <v>0.86260000000000003</v>
    <v>0.89829999999999999</v>
    <v>0.85760000000000003</v>
    <v>0.82779999999999998</v>
    <v>EUR</v>
    <v>US Dollar/Euro FX Cross Rate</v>
    <v>0.86180000000000001</v>
    <v>USDEUR</v>
    <v>Par de divisa</v>
    <v>USD/EUR</v>
  </rv>
  <rv s="2">
    <v>195</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6">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Change</v>
      <v>Currency</v>
      <v>High</v>
      <v>Low</v>
      <v>Name</v>
      <v>Price</v>
      <v>Open</v>
      <v>Change (%)</v>
      <v>UniqueName</v>
      <v>From currency</v>
      <v>%ProviderInfo</v>
      <v>Previous close</v>
      <v>Ticker symbol</v>
      <v>Instrument type</v>
      <v>52 week high</v>
      <v>52 week low</v>
      <v>Last trade time</v>
    </spb>
    <spb s="16">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5"/>
  <sheetViews>
    <sheetView tabSelected="1" zoomScaleNormal="100" workbookViewId="0">
      <pane xSplit="2" ySplit="3" topLeftCell="C49" activePane="bottomRight" state="frozen"/>
      <selection pane="topRight" activeCell="C1" sqref="C1"/>
      <selection pane="bottomLeft" activeCell="A4" sqref="A4"/>
      <selection pane="bottomRight" activeCell="M65" sqref="M6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100"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97"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5"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164.12</v>
      </c>
      <c r="H4" s="13">
        <f t="array" aca="1" ref="H4" ca="1">_FV(A4,"Acciones en circulación",TRUE())/1000000</f>
        <v>163.1987</v>
      </c>
      <c r="I4" s="14">
        <f t="shared" ref="I4:I16" ca="1" si="0">G4*H4</f>
        <v>26784.170644000002</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21684.170644000002</v>
      </c>
      <c r="AS4" s="19">
        <v>1100</v>
      </c>
      <c r="AT4" s="19">
        <v>810</v>
      </c>
      <c r="AU4" s="19">
        <v>1050</v>
      </c>
      <c r="AV4" s="19">
        <v>3200</v>
      </c>
      <c r="AW4" s="20">
        <f t="shared" ref="AW4:AW35" ca="1" si="9">AR4/AS4</f>
        <v>19.712882403636364</v>
      </c>
      <c r="AX4" s="20">
        <f t="shared" ref="AX4:AX35" ca="1" si="10">AR4/AU4</f>
        <v>20.651591089523812</v>
      </c>
      <c r="AY4" s="20">
        <f t="shared" ref="AY4:AY35" ca="1" si="11">AR4/AV4</f>
        <v>6.7763033262500008</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209.48696282507152</v>
      </c>
      <c r="BK4" s="25">
        <f t="shared" ref="BK4:BK11" ca="1" si="18">(BF4*BI4+$AP4-$AQ4)/$H4</f>
        <v>534.37925669751041</v>
      </c>
      <c r="BL4" s="23">
        <f t="shared" ref="BL4:BL35" ca="1" si="19">($BJ4/G4)^(1/5)-1</f>
        <v>5.0023692268371889E-2</v>
      </c>
      <c r="BM4" s="23">
        <f t="shared" ref="BM4:BM35" ca="1" si="20">(BK4/G4)^(1/4)-1</f>
        <v>0.34329692568943093</v>
      </c>
      <c r="BN4" s="93" t="s">
        <v>81</v>
      </c>
      <c r="BO4" s="93" t="s">
        <v>82</v>
      </c>
      <c r="BP4" s="93" t="s">
        <v>83</v>
      </c>
    </row>
    <row r="5" spans="1:68" ht="15" customHeight="1" x14ac: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418.16</v>
      </c>
      <c r="H5" s="13">
        <f t="array" aca="1" ref="H5" ca="1">_FV(A5,"Acciones en circulación",TRUE())/1000000</f>
        <v>7428.4350000000004</v>
      </c>
      <c r="I5" s="14">
        <f t="shared" ca="1" si="0"/>
        <v>3106274.3796000006</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3073274.3796000006</v>
      </c>
      <c r="AS5" s="19">
        <v>70000</v>
      </c>
      <c r="AT5" s="19">
        <v>90000</v>
      </c>
      <c r="AU5" s="19">
        <v>144000</v>
      </c>
      <c r="AV5" s="19">
        <v>270000</v>
      </c>
      <c r="AW5" s="20">
        <f t="shared" ca="1" si="9"/>
        <v>43.903919708571436</v>
      </c>
      <c r="AX5" s="20">
        <f t="shared" ca="1" si="10"/>
        <v>21.34218319166667</v>
      </c>
      <c r="AY5" s="20">
        <f t="shared" ca="1" si="11"/>
        <v>11.382497702222224</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281.35939804279099</v>
      </c>
      <c r="BK5" s="25">
        <f t="shared" ca="1" si="18"/>
        <v>624.24050287846626</v>
      </c>
      <c r="BL5" s="23">
        <f t="shared" ca="1" si="19"/>
        <v>-7.6187598967572323E-2</v>
      </c>
      <c r="BM5" s="23">
        <f t="shared" ca="1" si="20"/>
        <v>0.10535648659769592</v>
      </c>
      <c r="BN5" s="93" t="s">
        <v>81</v>
      </c>
      <c r="BO5" s="93" t="s">
        <v>87</v>
      </c>
      <c r="BP5" s="93" t="s">
        <v>88</v>
      </c>
    </row>
    <row r="6" spans="1:68" ht="15" customHeight="1" x14ac:dyDescent="0.25">
      <c r="A6" s="86" t="e" vm="3">
        <v>#VALUE!</v>
      </c>
      <c r="B6" s="10" t="str">
        <f t="array" aca="1" ref="B6" ca="1">_FV(A6,"Símbolo bursátil",TRUE())</f>
        <v>ADYEN</v>
      </c>
      <c r="C6" s="88" t="s">
        <v>89</v>
      </c>
      <c r="D6" s="88" t="s">
        <v>77</v>
      </c>
      <c r="E6" s="11" t="str">
        <f t="array" aca="1" ref="E6" ca="1">_FV(A6,"Abreviatura de intercambio",TRUE())</f>
        <v>XAMS</v>
      </c>
      <c r="F6" s="11" t="str">
        <f t="array" aca="1" ref="F6" ca="1">_FV(A6,"Moneda")</f>
        <v>EUR</v>
      </c>
      <c r="G6" s="12">
        <f t="array" aca="1" ref="G6" ca="1">_FV(A6,"Precio")</f>
        <v>952.6</v>
      </c>
      <c r="H6" s="13">
        <f t="array" aca="1" ref="H6" ca="1">_FV(A6,"Acciones en circulación",TRUE())/1000000</f>
        <v>31.54768</v>
      </c>
      <c r="I6" s="14">
        <f t="shared" ca="1" si="0"/>
        <v>30052.319968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90</v>
      </c>
      <c r="AP6" s="19">
        <v>9000</v>
      </c>
      <c r="AQ6" s="19">
        <v>500</v>
      </c>
      <c r="AR6" s="19">
        <f t="shared" ca="1" si="8"/>
        <v>21552.319968</v>
      </c>
      <c r="AS6" s="19">
        <v>790</v>
      </c>
      <c r="AT6" s="19">
        <v>600</v>
      </c>
      <c r="AU6" s="19">
        <v>1050</v>
      </c>
      <c r="AV6" s="19">
        <v>2050</v>
      </c>
      <c r="AW6" s="20">
        <f t="shared" ca="1" si="9"/>
        <v>27.281417681012659</v>
      </c>
      <c r="AX6" s="20">
        <f t="shared" ca="1" si="10"/>
        <v>20.526019017142858</v>
      </c>
      <c r="AY6" s="20">
        <f t="shared" ca="1" si="11"/>
        <v>10.513326813658537</v>
      </c>
      <c r="AZ6" s="21">
        <v>2500</v>
      </c>
      <c r="BA6" s="22">
        <f t="shared" si="12"/>
        <v>0.29268292682926828</v>
      </c>
      <c r="BB6" s="22">
        <f t="shared" si="13"/>
        <v>0.82</v>
      </c>
      <c r="BC6" s="23">
        <f t="shared" si="14"/>
        <v>0.23999999999999996</v>
      </c>
      <c r="BD6" t="s">
        <v>91</v>
      </c>
      <c r="BE6" s="23">
        <f t="shared" si="15"/>
        <v>0.11995978575519017</v>
      </c>
      <c r="BF6" t="s">
        <v>92</v>
      </c>
      <c r="BG6" s="23">
        <f t="shared" si="16"/>
        <v>0.27996044996171676</v>
      </c>
      <c r="BH6" s="24">
        <v>17.5</v>
      </c>
      <c r="BI6" s="24">
        <v>28</v>
      </c>
      <c r="BJ6" s="25">
        <f t="shared" ca="1" si="17"/>
        <v>1041.5979875540768</v>
      </c>
      <c r="BK6" s="25">
        <f t="shared" ca="1" si="18"/>
        <v>2678.2318065860945</v>
      </c>
      <c r="BL6" s="23">
        <f t="shared" ca="1" si="19"/>
        <v>1.8023752328891529E-2</v>
      </c>
      <c r="BM6" s="23">
        <f t="shared" ca="1" si="20"/>
        <v>0.29489453079395211</v>
      </c>
      <c r="BN6" s="93" t="s">
        <v>81</v>
      </c>
      <c r="BO6" s="93" t="s">
        <v>93</v>
      </c>
      <c r="BP6" s="93" t="s">
        <v>94</v>
      </c>
    </row>
    <row r="7" spans="1:68" ht="15" customHeight="1" x14ac:dyDescent="0.25">
      <c r="A7" s="86" t="e" vm="4">
        <v>#VALUE!</v>
      </c>
      <c r="B7" s="10" t="str">
        <f t="array" aca="1" ref="B7" ca="1">_FV(A7,"Símbolo bursátil",TRUE())</f>
        <v>BN</v>
      </c>
      <c r="C7" s="88" t="s">
        <v>95</v>
      </c>
      <c r="D7" s="88" t="s">
        <v>77</v>
      </c>
      <c r="E7" s="11" t="str">
        <f t="array" aca="1" ref="E7" ca="1">_FV(A7,"Abreviatura de intercambio",TRUE())</f>
        <v>XNYS</v>
      </c>
      <c r="F7" s="11" t="str">
        <f t="array" aca="1" ref="F7" ca="1">_FV(A7,"Moneda")</f>
        <v>USD</v>
      </c>
      <c r="G7" s="12">
        <f t="array" aca="1" ref="G7" ca="1">_FV(A7,"Precio")</f>
        <v>44.620100000000001</v>
      </c>
      <c r="H7" s="13">
        <f t="array" aca="1" ref="H7" ca="1">_FV(A7,"Acciones en circulación",TRUE())/1000000</f>
        <v>2450.877</v>
      </c>
      <c r="I7" s="14">
        <f t="shared" ca="1" si="0"/>
        <v>109358.37682770001</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116358.37682770001</v>
      </c>
      <c r="AS7" s="19">
        <v>5000</v>
      </c>
      <c r="AT7" s="19">
        <v>5500</v>
      </c>
      <c r="AU7" s="19">
        <v>15000</v>
      </c>
      <c r="AV7" s="19">
        <v>98000</v>
      </c>
      <c r="AW7" s="20">
        <f t="shared" ca="1" si="9"/>
        <v>23.271675365540002</v>
      </c>
      <c r="AX7" s="20">
        <f t="shared" ca="1" si="10"/>
        <v>7.757225121846667</v>
      </c>
      <c r="AY7" s="20">
        <f t="shared" ca="1" si="11"/>
        <v>1.1873303757928573</v>
      </c>
      <c r="AZ7" s="21">
        <v>90000</v>
      </c>
      <c r="BA7" s="22">
        <f t="shared" si="12"/>
        <v>5.6122448979591837E-2</v>
      </c>
      <c r="BB7" s="22">
        <f t="shared" si="13"/>
        <v>1.0888888888888888</v>
      </c>
      <c r="BC7" s="23">
        <f t="shared" si="14"/>
        <v>6.1111111111111109E-2</v>
      </c>
      <c r="BD7" t="s">
        <v>96</v>
      </c>
      <c r="BE7" s="23">
        <f t="shared" si="15"/>
        <v>7.0007364782187942E-2</v>
      </c>
      <c r="BF7" t="s">
        <v>97</v>
      </c>
      <c r="BG7" s="23">
        <f t="shared" si="16"/>
        <v>0.16999487310434414</v>
      </c>
      <c r="BH7" s="24">
        <v>18</v>
      </c>
      <c r="BI7" s="24">
        <v>25</v>
      </c>
      <c r="BJ7" s="25">
        <f t="shared" ca="1" si="17"/>
        <v>48.649524231530187</v>
      </c>
      <c r="BK7" s="25">
        <f t="shared" ca="1" si="18"/>
        <v>108.96099641067259</v>
      </c>
      <c r="BL7" s="23">
        <f t="shared" ca="1" si="19"/>
        <v>1.7441883555142645E-2</v>
      </c>
      <c r="BM7" s="23">
        <f t="shared" ca="1" si="20"/>
        <v>0.25007229949436627</v>
      </c>
      <c r="BN7" s="93" t="s">
        <v>81</v>
      </c>
      <c r="BO7" s="94" t="s">
        <v>98</v>
      </c>
      <c r="BP7" s="93" t="s">
        <v>99</v>
      </c>
    </row>
    <row r="8" spans="1:68" ht="15" customHeight="1" x14ac:dyDescent="0.25">
      <c r="A8" s="86" t="e" vm="5">
        <v>#VALUE!</v>
      </c>
      <c r="B8" s="10" t="str">
        <f t="array" aca="1" ref="B8" ca="1">_FV(A8,"Símbolo bursátil",TRUE())</f>
        <v>COST</v>
      </c>
      <c r="C8" s="88" t="s">
        <v>100</v>
      </c>
      <c r="D8" s="88" t="s">
        <v>100</v>
      </c>
      <c r="E8" s="11" t="str">
        <f t="array" aca="1" ref="E8" ca="1">_FV(A8,"Abreviatura de intercambio",TRUE())</f>
        <v>XNAS</v>
      </c>
      <c r="F8" s="11" t="str">
        <f t="array" aca="1" ref="F8" ca="1">_FV(A8,"Moneda")</f>
        <v>USD</v>
      </c>
      <c r="G8" s="12">
        <f t="array" aca="1" ref="G8" ca="1">_FV(A8,"Precio")</f>
        <v>1092.8800000000001</v>
      </c>
      <c r="H8" s="13">
        <f t="array" aca="1" ref="H8" ca="1">_FV(A8,"Acciones en circulación",TRUE())/1000000</f>
        <v>443.65249999999997</v>
      </c>
      <c r="I8" s="14">
        <f t="shared" ca="1" si="0"/>
        <v>484858.94420000003</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479858.94420000003</v>
      </c>
      <c r="AS8" s="19">
        <v>8500</v>
      </c>
      <c r="AT8" s="19">
        <v>7500</v>
      </c>
      <c r="AU8" s="19">
        <v>11800</v>
      </c>
      <c r="AV8" s="19">
        <v>262000</v>
      </c>
      <c r="AW8" s="20">
        <f t="shared" ca="1" si="9"/>
        <v>56.453993435294123</v>
      </c>
      <c r="AX8" s="20">
        <f t="shared" ca="1" si="10"/>
        <v>40.666012220338985</v>
      </c>
      <c r="AY8" s="20">
        <f t="shared" ca="1" si="11"/>
        <v>1.8315226877862596</v>
      </c>
      <c r="AZ8" s="21">
        <v>40000</v>
      </c>
      <c r="BA8" s="22">
        <f t="shared" si="12"/>
        <v>2.8625954198473282E-2</v>
      </c>
      <c r="BB8" s="22">
        <f t="shared" si="13"/>
        <v>6.55</v>
      </c>
      <c r="BC8" s="23">
        <f t="shared" si="14"/>
        <v>0.1875</v>
      </c>
      <c r="BD8" t="s">
        <v>101</v>
      </c>
      <c r="BE8" s="23">
        <f t="shared" si="15"/>
        <v>6.0001539273940807E-2</v>
      </c>
      <c r="BF8" t="s">
        <v>102</v>
      </c>
      <c r="BG8" s="23">
        <f t="shared" si="16"/>
        <v>0.12000143092585835</v>
      </c>
      <c r="BH8" s="24">
        <v>20</v>
      </c>
      <c r="BI8" s="24">
        <v>30</v>
      </c>
      <c r="BJ8" s="25">
        <f t="shared" ca="1" si="17"/>
        <v>524.05880728723503</v>
      </c>
      <c r="BK8" s="25">
        <f t="shared" ca="1" si="18"/>
        <v>1024.2250409949229</v>
      </c>
      <c r="BL8" s="23">
        <f t="shared" ca="1" si="19"/>
        <v>-0.13670046069207387</v>
      </c>
      <c r="BM8" s="23">
        <f t="shared" ca="1" si="20"/>
        <v>-1.6089199691735612E-2</v>
      </c>
      <c r="BN8" s="93" t="s">
        <v>81</v>
      </c>
      <c r="BO8" s="93" t="s">
        <v>103</v>
      </c>
      <c r="BP8" s="93" t="s">
        <v>104</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71.28</v>
      </c>
      <c r="H9" s="13">
        <f t="array" aca="1" ref="H9" ca="1">_FV(A9,"Acciones en circulación",TRUE())/1000000</f>
        <v>86.020600000000002</v>
      </c>
      <c r="I9" s="14">
        <f t="shared" ca="1" si="0"/>
        <v>6131.5483680000007</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5775.5483680000007</v>
      </c>
      <c r="AS9" s="19">
        <v>240</v>
      </c>
      <c r="AT9" s="19">
        <v>160</v>
      </c>
      <c r="AU9" s="19">
        <v>329</v>
      </c>
      <c r="AV9" s="19">
        <v>729</v>
      </c>
      <c r="AW9" s="20">
        <f t="shared" ca="1" si="9"/>
        <v>24.06478486666667</v>
      </c>
      <c r="AX9" s="20">
        <f t="shared" ca="1" si="10"/>
        <v>17.554858261398177</v>
      </c>
      <c r="AY9" s="20">
        <f t="shared" ca="1" si="11"/>
        <v>7.9225629190672162</v>
      </c>
      <c r="AZ9" s="21">
        <v>950</v>
      </c>
      <c r="BA9" s="22">
        <f t="shared" si="12"/>
        <v>0.21947873799725651</v>
      </c>
      <c r="BB9" s="22">
        <f t="shared" si="13"/>
        <v>0.76736842105263159</v>
      </c>
      <c r="BC9" s="23">
        <f t="shared" si="14"/>
        <v>0.16842105263157894</v>
      </c>
      <c r="BD9" t="s">
        <v>105</v>
      </c>
      <c r="BE9" s="23">
        <f t="shared" si="15"/>
        <v>8.022119107630199E-2</v>
      </c>
      <c r="BF9" t="s">
        <v>106</v>
      </c>
      <c r="BG9" s="23">
        <f t="shared" si="16"/>
        <v>0.15996225865400127</v>
      </c>
      <c r="BH9" s="24">
        <v>17.5</v>
      </c>
      <c r="BI9" s="24">
        <v>27</v>
      </c>
      <c r="BJ9" s="25">
        <f t="shared" ca="1" si="17"/>
        <v>75.952736902555898</v>
      </c>
      <c r="BK9" s="25">
        <f t="shared" ca="1" si="18"/>
        <v>162.33320855702007</v>
      </c>
      <c r="BL9" s="23">
        <f t="shared" ca="1" si="19"/>
        <v>1.2780072095005313E-2</v>
      </c>
      <c r="BM9" s="23">
        <f t="shared" ca="1" si="20"/>
        <v>0.22845688983290469</v>
      </c>
      <c r="BN9" s="93" t="s">
        <v>81</v>
      </c>
      <c r="BO9" s="93" t="s">
        <v>107</v>
      </c>
      <c r="BP9" s="93" t="s">
        <v>108</v>
      </c>
    </row>
    <row r="10" spans="1:68" ht="15" customHeight="1" x14ac:dyDescent="0.25">
      <c r="A10" s="86" t="e" vm="7">
        <v>#VALUE!</v>
      </c>
      <c r="B10" s="10" t="str">
        <f t="array" aca="1" ref="B10" ca="1">_FV(A10,"Símbolo bursátil",TRUE())</f>
        <v>RAA</v>
      </c>
      <c r="C10" s="88" t="s">
        <v>109</v>
      </c>
      <c r="D10" s="88" t="s">
        <v>77</v>
      </c>
      <c r="E10" s="11" t="str">
        <f t="array" aca="1" ref="E10" ca="1">_FV(A10,"Abreviatura de intercambio",TRUE())</f>
        <v>XFRA</v>
      </c>
      <c r="F10" s="11" t="str">
        <f t="array" aca="1" ref="F10" ca="1">_FV(A10,"Moneda")</f>
        <v>EUR</v>
      </c>
      <c r="G10" s="12">
        <f t="array" aca="1" ref="G10" ca="1">_FV(A10,"Precio")</f>
        <v>650</v>
      </c>
      <c r="H10" s="13">
        <f t="array" aca="1" ref="H10" ca="1">_FV(A10,"Acciones en circulación",TRUE())/1000000</f>
        <v>11.37</v>
      </c>
      <c r="I10" s="14">
        <f t="shared" ca="1" si="0"/>
        <v>7390.4999999999991</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90</v>
      </c>
      <c r="AP10" s="19">
        <v>280</v>
      </c>
      <c r="AQ10" s="19">
        <v>20</v>
      </c>
      <c r="AR10" s="19">
        <f t="shared" ca="1" si="8"/>
        <v>7130.4999999999991</v>
      </c>
      <c r="AS10" s="19">
        <v>260</v>
      </c>
      <c r="AT10" s="19">
        <v>230</v>
      </c>
      <c r="AU10" s="19">
        <v>320</v>
      </c>
      <c r="AV10" s="19">
        <v>1200</v>
      </c>
      <c r="AW10" s="20">
        <f t="shared" ca="1" si="9"/>
        <v>27.424999999999997</v>
      </c>
      <c r="AX10" s="20">
        <f t="shared" ca="1" si="10"/>
        <v>22.282812499999999</v>
      </c>
      <c r="AY10" s="20">
        <f t="shared" ca="1" si="11"/>
        <v>5.9420833333333327</v>
      </c>
      <c r="AZ10" s="21">
        <v>600</v>
      </c>
      <c r="BA10" s="22">
        <f t="shared" si="12"/>
        <v>0.19166666666666668</v>
      </c>
      <c r="BB10" s="22">
        <f t="shared" si="13"/>
        <v>2</v>
      </c>
      <c r="BC10" s="23">
        <f t="shared" si="14"/>
        <v>0.38333333333333336</v>
      </c>
      <c r="BD10" t="s">
        <v>110</v>
      </c>
      <c r="BE10" s="23">
        <f t="shared" si="15"/>
        <v>5.0105533884466924E-2</v>
      </c>
      <c r="BF10" t="s">
        <v>111</v>
      </c>
      <c r="BG10" s="23">
        <f t="shared" si="16"/>
        <v>0.12998436153517012</v>
      </c>
      <c r="BH10" s="24">
        <v>15</v>
      </c>
      <c r="BI10" s="24">
        <v>27</v>
      </c>
      <c r="BJ10" s="25">
        <f t="shared" ca="1" si="17"/>
        <v>460.86191732629732</v>
      </c>
      <c r="BK10" s="25">
        <f t="shared" ca="1" si="18"/>
        <v>1160.3342128408092</v>
      </c>
      <c r="BL10" s="23">
        <f t="shared" ca="1" si="19"/>
        <v>-6.6463091170055888E-2</v>
      </c>
      <c r="BM10" s="23">
        <f t="shared" ca="1" si="20"/>
        <v>0.1558924719250312</v>
      </c>
      <c r="BN10" s="93" t="s">
        <v>81</v>
      </c>
      <c r="BO10" s="93" t="s">
        <v>112</v>
      </c>
      <c r="BP10" s="93" t="s">
        <v>113</v>
      </c>
    </row>
    <row r="11" spans="1:68" ht="15" customHeight="1" x14ac:dyDescent="0.25">
      <c r="A11" s="86" t="e" vm="8">
        <v>#VALUE!</v>
      </c>
      <c r="B11" s="10" t="str">
        <f t="array" aca="1" ref="B11" ca="1">_FV(A11,"Símbolo bursátil",TRUE())</f>
        <v>ZS</v>
      </c>
      <c r="C11" s="88" t="s">
        <v>114</v>
      </c>
      <c r="D11" s="88" t="s">
        <v>115</v>
      </c>
      <c r="E11" s="11" t="str">
        <f t="array" aca="1" ref="E11" ca="1">_FV(A11,"Abreviatura de intercambio",TRUE())</f>
        <v>XNAS</v>
      </c>
      <c r="F11" s="11" t="str">
        <f t="array" aca="1" ref="F11" ca="1">_FV(A11,"Moneda")</f>
        <v>USD</v>
      </c>
      <c r="G11" s="12">
        <f t="array" aca="1" ref="G11" ca="1">_FV(A11,"Precio")</f>
        <v>175.71</v>
      </c>
      <c r="H11" s="13">
        <f t="array" aca="1" ref="H11" ca="1">_FV(A11,"Acciones en circulación",TRUE())/1000000</f>
        <v>160.79069999999999</v>
      </c>
      <c r="I11" s="14">
        <f t="shared" ca="1" si="0"/>
        <v>28252.533896999998</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25852.533896999998</v>
      </c>
      <c r="AS11" s="19">
        <v>730</v>
      </c>
      <c r="AT11" s="19">
        <v>300</v>
      </c>
      <c r="AU11" s="19">
        <v>550</v>
      </c>
      <c r="AV11" s="19">
        <v>2700</v>
      </c>
      <c r="AW11" s="20">
        <f t="shared" ca="1" si="9"/>
        <v>35.414429995890409</v>
      </c>
      <c r="AX11" s="20">
        <f t="shared" ca="1" si="10"/>
        <v>47.004607085454538</v>
      </c>
      <c r="AY11" s="20">
        <f t="shared" ca="1" si="11"/>
        <v>9.5750125544444433</v>
      </c>
      <c r="AZ11" s="21">
        <v>2000</v>
      </c>
      <c r="BA11" s="22">
        <f t="shared" si="12"/>
        <v>0.1111111111111111</v>
      </c>
      <c r="BB11" s="22">
        <f t="shared" si="13"/>
        <v>1.35</v>
      </c>
      <c r="BC11" s="23">
        <f t="shared" si="14"/>
        <v>0.15</v>
      </c>
      <c r="BD11" t="s">
        <v>116</v>
      </c>
      <c r="BE11" s="23">
        <f t="shared" si="15"/>
        <v>0.10006131467358759</v>
      </c>
      <c r="BF11" t="s">
        <v>117</v>
      </c>
      <c r="BG11" s="23">
        <f t="shared" si="16"/>
        <v>0.23998999963593159</v>
      </c>
      <c r="BH11" s="24">
        <v>20</v>
      </c>
      <c r="BI11" s="24">
        <v>30</v>
      </c>
      <c r="BJ11" s="25">
        <f t="shared" ca="1" si="17"/>
        <v>161.2033531790085</v>
      </c>
      <c r="BK11" s="25">
        <f t="shared" ca="1" si="18"/>
        <v>414.20306025161904</v>
      </c>
      <c r="BL11" s="23">
        <f t="shared" ca="1" si="19"/>
        <v>-1.7086005469886589E-2</v>
      </c>
      <c r="BM11" s="23">
        <f t="shared" ca="1" si="20"/>
        <v>0.23909386335572558</v>
      </c>
      <c r="BN11" s="93" t="s">
        <v>81</v>
      </c>
      <c r="BO11" s="93" t="s">
        <v>118</v>
      </c>
      <c r="BP11" s="93" t="s">
        <v>104</v>
      </c>
    </row>
    <row r="12" spans="1:68" ht="15" customHeight="1" x14ac:dyDescent="0.25">
      <c r="A12" s="86" t="e" vm="9">
        <v>#VALUE!</v>
      </c>
      <c r="B12" s="10" t="str">
        <f t="array" aca="1" ref="B12" ca="1">_FV(A12,"Símbolo bursátil",TRUE())</f>
        <v>NTO</v>
      </c>
      <c r="C12" s="88" t="s">
        <v>119</v>
      </c>
      <c r="D12" s="88" t="s">
        <v>77</v>
      </c>
      <c r="E12" s="11" t="str">
        <f t="array" aca="1" ref="E12" ca="1">_FV(A12,"Abreviatura de intercambio",TRUE())</f>
        <v>XFRA</v>
      </c>
      <c r="F12" s="11" t="str">
        <f t="array" aca="1" ref="F12" ca="1">_FV(A12,"Moneda")</f>
        <v>EUR</v>
      </c>
      <c r="G12" s="12">
        <f t="array" aca="1" ref="G12" ca="1">_FV(A12,"Precio")</f>
        <v>41.494999999999997</v>
      </c>
      <c r="H12" s="13">
        <f t="array" aca="1" ref="H12" ca="1">_FV(A12,"Acciones en circulación",TRUE())/1000000</f>
        <v>1287.26</v>
      </c>
      <c r="I12" s="14">
        <f t="shared" ca="1" si="0"/>
        <v>53414.8537</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120</v>
      </c>
      <c r="AP12" s="19">
        <v>1950000</v>
      </c>
      <c r="AQ12" s="19">
        <v>20000</v>
      </c>
      <c r="AR12" s="19">
        <f ca="1">I12*'Framework Notes'!E4-AP12+AQ12</f>
        <v>7926642.9532609992</v>
      </c>
      <c r="AS12" s="19">
        <v>330000</v>
      </c>
      <c r="AT12" s="19">
        <v>350000</v>
      </c>
      <c r="AU12" s="19">
        <v>550000</v>
      </c>
      <c r="AV12" s="19">
        <v>2000000</v>
      </c>
      <c r="AW12" s="20">
        <f t="shared" ca="1" si="9"/>
        <v>24.020130161396967</v>
      </c>
      <c r="AX12" s="20">
        <f t="shared" ca="1" si="10"/>
        <v>14.412078096838181</v>
      </c>
      <c r="AY12" s="20">
        <f t="shared" ca="1" si="11"/>
        <v>3.9633214766304996</v>
      </c>
      <c r="AZ12" s="21">
        <v>1600000</v>
      </c>
      <c r="BA12" s="22">
        <f t="shared" si="12"/>
        <v>0.17499999999999999</v>
      </c>
      <c r="BB12" s="22">
        <f t="shared" si="13"/>
        <v>1.25</v>
      </c>
      <c r="BC12" s="23">
        <f t="shared" si="14"/>
        <v>0.21875</v>
      </c>
      <c r="BD12" t="s">
        <v>121</v>
      </c>
      <c r="BE12" s="23">
        <f t="shared" si="15"/>
        <v>0</v>
      </c>
      <c r="BF12" t="s">
        <v>122</v>
      </c>
      <c r="BG12" s="23">
        <f t="shared" si="16"/>
        <v>0.13000014527509696</v>
      </c>
      <c r="BH12" s="24">
        <v>15</v>
      </c>
      <c r="BI12" s="24">
        <v>22.5</v>
      </c>
      <c r="BJ12" s="25">
        <f ca="1">((BD12*BH12+$AP12-$AQ12)/$H12)/'Framework Notes'!E4</f>
        <v>28.963776140998302</v>
      </c>
      <c r="BK12" s="25">
        <f ca="1">((BF12*BI12+$AP12-$AQ12)/$H12)/'Framework Notes'!E4</f>
        <v>65.716155857679681</v>
      </c>
      <c r="BL12" s="23">
        <f t="shared" ca="1" si="19"/>
        <v>-6.9381069461507461E-2</v>
      </c>
      <c r="BM12" s="23">
        <f t="shared" ca="1" si="20"/>
        <v>0.1218094535347829</v>
      </c>
      <c r="BN12" s="93" t="s">
        <v>81</v>
      </c>
      <c r="BO12" s="94" t="s">
        <v>123</v>
      </c>
      <c r="BP12" s="93" t="s">
        <v>124</v>
      </c>
    </row>
    <row r="13" spans="1:68" ht="15" customHeight="1" x14ac:dyDescent="0.25">
      <c r="A13" s="86" t="e" vm="10">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259.12</v>
      </c>
      <c r="H13" s="13">
        <f t="array" aca="1" ref="H13" ca="1">_FV(A13,"Acciones en circulación",TRUE())/1000000</f>
        <v>10757.11</v>
      </c>
      <c r="I13" s="14">
        <f t="shared" ca="1" si="0"/>
        <v>2787382.3432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2772382.3432</v>
      </c>
      <c r="AS13" s="19">
        <v>52000</v>
      </c>
      <c r="AT13" s="19">
        <v>55000</v>
      </c>
      <c r="AU13" s="19">
        <v>138000</v>
      </c>
      <c r="AV13" s="19">
        <v>637000</v>
      </c>
      <c r="AW13" s="20">
        <f t="shared" ca="1" si="9"/>
        <v>53.315045061538463</v>
      </c>
      <c r="AX13" s="20">
        <f t="shared" ca="1" si="10"/>
        <v>20.08972712463768</v>
      </c>
      <c r="AY13" s="20">
        <f t="shared" ca="1" si="11"/>
        <v>4.3522485764521193</v>
      </c>
      <c r="AZ13" s="21">
        <v>300000</v>
      </c>
      <c r="BA13" s="22">
        <f t="shared" si="12"/>
        <v>8.6342229199372053E-2</v>
      </c>
      <c r="BB13" s="22">
        <f t="shared" si="13"/>
        <v>2.1233333333333335</v>
      </c>
      <c r="BC13" s="23">
        <f t="shared" si="14"/>
        <v>0.18333333333333335</v>
      </c>
      <c r="BD13" t="s">
        <v>125</v>
      </c>
      <c r="BE13" s="23">
        <f t="shared" si="15"/>
        <v>7.0000909614846396E-2</v>
      </c>
      <c r="BF13" t="s">
        <v>126</v>
      </c>
      <c r="BG13" s="23">
        <f t="shared" si="16"/>
        <v>0.16000049664691973</v>
      </c>
      <c r="BH13" s="24">
        <v>22.5</v>
      </c>
      <c r="BI13" s="24">
        <v>30</v>
      </c>
      <c r="BJ13" s="25">
        <f ca="1">(BD13*BH13+$AP13-$AQ13)/$H13</f>
        <v>153.94399611047947</v>
      </c>
      <c r="BK13" s="25">
        <f ca="1">(BF13*BI13+$AP13-$AQ13)/$H13</f>
        <v>305.98738880610125</v>
      </c>
      <c r="BL13" s="23">
        <f t="shared" ca="1" si="19"/>
        <v>-9.8901297854279036E-2</v>
      </c>
      <c r="BM13" s="23">
        <f t="shared" ca="1" si="20"/>
        <v>4.2438993232079225E-2</v>
      </c>
      <c r="BN13" s="93" t="s">
        <v>81</v>
      </c>
      <c r="BO13" s="93" t="s">
        <v>98</v>
      </c>
      <c r="BP13" s="93" t="s">
        <v>88</v>
      </c>
    </row>
    <row r="14" spans="1:68" ht="15" customHeight="1" x14ac:dyDescent="0.25">
      <c r="A14" s="86" t="e" vm="11">
        <v>#VALUE!</v>
      </c>
      <c r="B14" s="10" t="str">
        <f t="array" aca="1" ref="B14" ca="1">_FV(A14,"Símbolo bursátil",TRUE())</f>
        <v>SU</v>
      </c>
      <c r="C14" s="88" t="s">
        <v>127</v>
      </c>
      <c r="D14" s="88" t="s">
        <v>77</v>
      </c>
      <c r="E14" s="11" t="str">
        <f t="array" aca="1" ref="E14" ca="1">_FV(A14,"Abreviatura de intercambio",TRUE())</f>
        <v>XPAR</v>
      </c>
      <c r="F14" s="11" t="str">
        <f t="array" aca="1" ref="F14" ca="1">_FV(A14,"Moneda")</f>
        <v>EUR</v>
      </c>
      <c r="G14" s="12">
        <f t="array" aca="1" ref="G14" ca="1">_FV(A14,"Precio")</f>
        <v>255.8</v>
      </c>
      <c r="H14" s="13">
        <f t="array" aca="1" ref="H14" ca="1">_FV(A14,"Acciones en circulación",TRUE())/1000000</f>
        <v>577.12249999999995</v>
      </c>
      <c r="I14" s="14">
        <f t="shared" ca="1" si="0"/>
        <v>147627.93549999999</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90</v>
      </c>
      <c r="AP14" s="19">
        <v>3500</v>
      </c>
      <c r="AQ14" s="19">
        <v>12500</v>
      </c>
      <c r="AR14" s="19">
        <f t="shared" ca="1" si="21"/>
        <v>156627.93549999999</v>
      </c>
      <c r="AS14" s="19">
        <v>4500</v>
      </c>
      <c r="AT14" s="19">
        <v>4800</v>
      </c>
      <c r="AU14" s="19">
        <v>8800</v>
      </c>
      <c r="AV14" s="19">
        <v>39500</v>
      </c>
      <c r="AW14" s="20">
        <f t="shared" ca="1" si="9"/>
        <v>34.806207888888885</v>
      </c>
      <c r="AX14" s="20">
        <f t="shared" ca="1" si="10"/>
        <v>17.798629034090908</v>
      </c>
      <c r="AY14" s="20">
        <f t="shared" ca="1" si="11"/>
        <v>3.9652641898734173</v>
      </c>
      <c r="AZ14" s="21">
        <v>38000</v>
      </c>
      <c r="BA14" s="22">
        <f t="shared" si="12"/>
        <v>0.12151898734177215</v>
      </c>
      <c r="BB14" s="22">
        <f t="shared" si="13"/>
        <v>1.0394736842105263</v>
      </c>
      <c r="BC14" s="23">
        <f t="shared" si="14"/>
        <v>0.12631578947368421</v>
      </c>
      <c r="BD14" t="s">
        <v>128</v>
      </c>
      <c r="BE14" s="23">
        <f t="shared" si="15"/>
        <v>4.9990235939731065E-2</v>
      </c>
      <c r="BF14" t="s">
        <v>129</v>
      </c>
      <c r="BG14" s="23">
        <f t="shared" si="16"/>
        <v>0.13000113649503442</v>
      </c>
      <c r="BH14" s="24">
        <v>17.5</v>
      </c>
      <c r="BI14" s="24">
        <v>25</v>
      </c>
      <c r="BJ14" s="25">
        <f ca="1">(BD14*BH14+$AP14-$AQ14)/$H14</f>
        <v>158.54952804647195</v>
      </c>
      <c r="BK14" s="25">
        <f ca="1">(BF14*BI14+$AP14-$AQ14)/$H14</f>
        <v>343.5579101490585</v>
      </c>
      <c r="BL14" s="23">
        <f t="shared" ca="1" si="19"/>
        <v>-9.1232299954577156E-2</v>
      </c>
      <c r="BM14" s="23">
        <f t="shared" ca="1" si="20"/>
        <v>7.6526817433812955E-2</v>
      </c>
      <c r="BN14" s="93" t="s">
        <v>81</v>
      </c>
      <c r="BO14" s="93" t="s">
        <v>118</v>
      </c>
      <c r="BP14" s="93" t="s">
        <v>130</v>
      </c>
    </row>
    <row r="15" spans="1:68" ht="15" customHeight="1" x14ac:dyDescent="0.25">
      <c r="A15" s="86" t="e" vm="12">
        <v>#VALUE!</v>
      </c>
      <c r="B15" s="10" t="str">
        <f t="array" aca="1" ref="B15" ca="1">_FV(A15,"Símbolo bursátil",TRUE())</f>
        <v>ITX</v>
      </c>
      <c r="C15" s="88" t="s">
        <v>131</v>
      </c>
      <c r="D15" s="88" t="s">
        <v>77</v>
      </c>
      <c r="E15" s="11" t="str">
        <f t="array" aca="1" ref="E15" ca="1">_FV(A15,"Abreviatura de intercambio",TRUE())</f>
        <v>BMEX</v>
      </c>
      <c r="F15" s="11" t="str">
        <f t="array" aca="1" ref="F15" ca="1">_FV(A15,"Moneda")</f>
        <v>EUR</v>
      </c>
      <c r="G15" s="12">
        <f t="array" aca="1" ref="G15" ca="1">_FV(A15,"Precio")</f>
        <v>49.82</v>
      </c>
      <c r="H15" s="13">
        <f t="array" aca="1" ref="H15" ca="1">_FV(A15,"Acciones en circulación",TRUE())/1000000</f>
        <v>3116.652</v>
      </c>
      <c r="I15" s="14">
        <f t="shared" ca="1" si="0"/>
        <v>155271.60264</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90</v>
      </c>
      <c r="AP15" s="19">
        <v>11500</v>
      </c>
      <c r="AQ15" s="19">
        <v>0</v>
      </c>
      <c r="AR15" s="19">
        <f t="shared" ca="1" si="21"/>
        <v>143771.60264</v>
      </c>
      <c r="AS15" s="19">
        <v>6500</v>
      </c>
      <c r="AT15" s="19">
        <v>6500</v>
      </c>
      <c r="AU15" s="19">
        <v>11000</v>
      </c>
      <c r="AV15" s="19">
        <v>38600</v>
      </c>
      <c r="AW15" s="20">
        <f t="shared" ca="1" si="9"/>
        <v>22.118708098461539</v>
      </c>
      <c r="AX15" s="20">
        <f t="shared" ca="1" si="10"/>
        <v>13.070145694545454</v>
      </c>
      <c r="AY15" s="20">
        <f t="shared" ca="1" si="11"/>
        <v>3.7246529181347148</v>
      </c>
      <c r="AZ15" s="21">
        <v>18000</v>
      </c>
      <c r="BA15" s="22">
        <f t="shared" si="12"/>
        <v>0.16839378238341968</v>
      </c>
      <c r="BB15" s="22">
        <f t="shared" si="13"/>
        <v>2.1444444444444444</v>
      </c>
      <c r="BC15" s="23">
        <f t="shared" si="14"/>
        <v>0.36111111111111105</v>
      </c>
      <c r="BD15" t="s">
        <v>132</v>
      </c>
      <c r="BE15" s="23">
        <f t="shared" si="15"/>
        <v>3.9993585848977053E-2</v>
      </c>
      <c r="BF15" t="s">
        <v>133</v>
      </c>
      <c r="BG15" s="23">
        <f t="shared" si="16"/>
        <v>0.11999567960135571</v>
      </c>
      <c r="BH15" s="24">
        <v>16</v>
      </c>
      <c r="BI15" s="24">
        <v>24</v>
      </c>
      <c r="BJ15" s="25">
        <f ca="1">(BD15*BH15+$AP15-$AQ15)/$H15</f>
        <v>44.287267234198751</v>
      </c>
      <c r="BK15" s="25">
        <f ca="1">(BF15*BI15+$AP15-$AQ15)/$H15</f>
        <v>91.89989771074859</v>
      </c>
      <c r="BL15" s="23">
        <f t="shared" ca="1" si="19"/>
        <v>-2.3268864808639433E-2</v>
      </c>
      <c r="BM15" s="23">
        <f t="shared" ca="1" si="20"/>
        <v>0.16540754702958971</v>
      </c>
      <c r="BN15" s="93" t="s">
        <v>81</v>
      </c>
      <c r="BO15" s="93" t="s">
        <v>134</v>
      </c>
      <c r="BP15" s="93" t="s">
        <v>108</v>
      </c>
    </row>
    <row r="16" spans="1:68" ht="15" customHeight="1" x14ac:dyDescent="0.25">
      <c r="A16" s="86" t="e" vm="13">
        <v>#VALUE!</v>
      </c>
      <c r="B16" s="10" t="str">
        <f t="array" aca="1" ref="B16" ca="1">_FV(A16,"Símbolo bursátil",TRUE())</f>
        <v>LOTB</v>
      </c>
      <c r="C16" s="88" t="s">
        <v>131</v>
      </c>
      <c r="D16" s="88" t="s">
        <v>77</v>
      </c>
      <c r="E16" s="11" t="str">
        <f t="array" aca="1" ref="E16" ca="1">_FV(A16,"Abreviatura de intercambio",TRUE())</f>
        <v>XBRU</v>
      </c>
      <c r="F16" s="11" t="str">
        <f t="array" aca="1" ref="F16" ca="1">_FV(A16,"Moneda")</f>
        <v>EUR</v>
      </c>
      <c r="G16" s="12">
        <f t="array" aca="1" ref="G16" ca="1">_FV(A16,"Precio")</f>
        <v>10640</v>
      </c>
      <c r="H16" s="13">
        <f t="array" aca="1" ref="H16" ca="1">_FV(A16,"Acciones en circulación",TRUE())/1000000</f>
        <v>0.81601000000000001</v>
      </c>
      <c r="I16" s="14">
        <f t="shared" ca="1" si="0"/>
        <v>8682.3464000000004</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90</v>
      </c>
      <c r="AP16" s="19">
        <v>100</v>
      </c>
      <c r="AQ16" s="19">
        <v>200</v>
      </c>
      <c r="AR16" s="19">
        <f t="shared" ca="1" si="21"/>
        <v>8782.3464000000004</v>
      </c>
      <c r="AS16" s="19">
        <v>180</v>
      </c>
      <c r="AT16" s="19">
        <v>165</v>
      </c>
      <c r="AU16" s="19">
        <v>260</v>
      </c>
      <c r="AV16" s="19">
        <v>1200</v>
      </c>
      <c r="AW16" s="20">
        <f t="shared" ca="1" si="9"/>
        <v>48.790813333333332</v>
      </c>
      <c r="AX16" s="20">
        <f t="shared" ca="1" si="10"/>
        <v>33.778255384615385</v>
      </c>
      <c r="AY16" s="20">
        <f t="shared" ca="1" si="11"/>
        <v>7.3186220000000004</v>
      </c>
      <c r="AZ16" s="21">
        <v>800</v>
      </c>
      <c r="BA16" s="22">
        <f t="shared" si="12"/>
        <v>0.13750000000000001</v>
      </c>
      <c r="BB16" s="22">
        <f t="shared" si="13"/>
        <v>1.5</v>
      </c>
      <c r="BC16" s="23">
        <f t="shared" si="14"/>
        <v>0.20625000000000002</v>
      </c>
      <c r="BD16" t="s">
        <v>135</v>
      </c>
      <c r="BE16" s="23">
        <f t="shared" si="15"/>
        <v>6.9610375725068785E-2</v>
      </c>
      <c r="BF16" t="s">
        <v>136</v>
      </c>
      <c r="BG16" s="23">
        <f t="shared" si="16"/>
        <v>0.15996225865400127</v>
      </c>
      <c r="BH16" s="24">
        <v>15</v>
      </c>
      <c r="BI16" s="24">
        <v>25</v>
      </c>
      <c r="BJ16" s="25">
        <f ca="1">(BD16*BH16+$AP16-$AQ16)/$H16</f>
        <v>4509.7486550409922</v>
      </c>
      <c r="BK16" s="25">
        <f ca="1">(BF16*BI16+$AP16-$AQ16)/$H16</f>
        <v>11458.192914302521</v>
      </c>
      <c r="BL16" s="23">
        <f t="shared" ca="1" si="19"/>
        <v>-0.15774782346553951</v>
      </c>
      <c r="BM16" s="23">
        <f t="shared" ca="1" si="20"/>
        <v>1.8693712124910222E-2</v>
      </c>
      <c r="BN16" s="93" t="s">
        <v>81</v>
      </c>
      <c r="BO16" s="93" t="s">
        <v>137</v>
      </c>
      <c r="BP16" s="93" t="s">
        <v>138</v>
      </c>
    </row>
    <row r="17" spans="1:68" ht="15" customHeight="1" x14ac:dyDescent="0.25">
      <c r="A17" s="86" t="e" vm="14">
        <v>#VALUE!</v>
      </c>
      <c r="B17" s="10" t="str">
        <f t="array" aca="1" ref="B17" ca="1">_FV(A17,"Símbolo bursátil",TRUE())</f>
        <v>HLMA</v>
      </c>
      <c r="C17" s="88" t="s">
        <v>139</v>
      </c>
      <c r="D17" s="88" t="s">
        <v>77</v>
      </c>
      <c r="E17" s="11" t="str">
        <f t="array" aca="1" ref="E17" ca="1">_FV(A17,"Abreviatura de intercambio",TRUE())</f>
        <v>XLON</v>
      </c>
      <c r="F17" s="11" t="str">
        <f t="array" aca="1" ref="F17" ca="1">_FV(A17,"Moneda")</f>
        <v>GBp</v>
      </c>
      <c r="G17" s="12">
        <f t="array" aca="1" ref="G17" ca="1">_FV(A17,"Precio")</f>
        <v>4400</v>
      </c>
      <c r="H17" s="13">
        <f t="array" aca="1" ref="H17" ca="1">_FV(A17,"Acciones en circulación",TRUE())/1000000</f>
        <v>379.64530000000002</v>
      </c>
      <c r="I17" s="14">
        <f ca="1">G17/100*H17</f>
        <v>16704.393200000002</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140</v>
      </c>
      <c r="AP17" s="19">
        <v>100</v>
      </c>
      <c r="AQ17" s="19">
        <v>400</v>
      </c>
      <c r="AR17" s="19">
        <f t="shared" ca="1" si="21"/>
        <v>17004.393200000002</v>
      </c>
      <c r="AS17" s="19">
        <v>400</v>
      </c>
      <c r="AT17" s="19">
        <v>370</v>
      </c>
      <c r="AU17" s="19">
        <v>515</v>
      </c>
      <c r="AV17" s="19">
        <v>2340</v>
      </c>
      <c r="AW17" s="20">
        <f t="shared" ca="1" si="9"/>
        <v>42.510983000000003</v>
      </c>
      <c r="AX17" s="20">
        <f t="shared" ca="1" si="10"/>
        <v>33.018239223300974</v>
      </c>
      <c r="AY17" s="20">
        <f t="shared" ca="1" si="11"/>
        <v>7.2668347008547016</v>
      </c>
      <c r="AZ17" s="21">
        <v>2100</v>
      </c>
      <c r="BA17" s="22">
        <f t="shared" si="12"/>
        <v>0.15811965811965811</v>
      </c>
      <c r="BB17" s="22">
        <f t="shared" si="13"/>
        <v>1.1142857142857143</v>
      </c>
      <c r="BC17" s="23">
        <f t="shared" si="14"/>
        <v>0.1761904761904762</v>
      </c>
      <c r="BD17" t="s">
        <v>141</v>
      </c>
      <c r="BE17" s="23">
        <f t="shared" si="15"/>
        <v>5.0200405794756708E-2</v>
      </c>
      <c r="BF17" t="s">
        <v>142</v>
      </c>
      <c r="BG17" s="23">
        <f t="shared" si="16"/>
        <v>0.13000795103795748</v>
      </c>
      <c r="BH17" s="24">
        <v>18</v>
      </c>
      <c r="BI17" s="24">
        <v>28</v>
      </c>
      <c r="BJ17" s="25">
        <f ca="1">(BD17*BH17+$AP17-$AQ17)/$H17*100</f>
        <v>2343.766668519273</v>
      </c>
      <c r="BK17" s="25">
        <f ca="1">(BF17*BI17+$AP17-$AQ17)/$H17*100</f>
        <v>5356.5788908752456</v>
      </c>
      <c r="BL17" s="23">
        <f t="shared" ca="1" si="19"/>
        <v>-0.11835786122721392</v>
      </c>
      <c r="BM17" s="23">
        <f t="shared" ca="1" si="20"/>
        <v>5.0409660501293585E-2</v>
      </c>
      <c r="BN17" s="93" t="s">
        <v>81</v>
      </c>
      <c r="BO17" s="94" t="s">
        <v>143</v>
      </c>
      <c r="BP17" s="93" t="s">
        <v>144</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1191.345</v>
      </c>
      <c r="H18" s="13">
        <f t="array" aca="1" ref="H18" ca="1">_FV(A18,"Acciones en circulación",TRUE())/1000000</f>
        <v>23.190909999999999</v>
      </c>
      <c r="I18" s="14">
        <f t="shared" ref="I18:I25" ca="1" si="22">G18*H18</f>
        <v>27628.374673949998</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29828.374673949998</v>
      </c>
      <c r="AS18" s="19">
        <v>730</v>
      </c>
      <c r="AT18" s="19">
        <v>640</v>
      </c>
      <c r="AU18" s="19">
        <v>875</v>
      </c>
      <c r="AV18" s="19">
        <v>1720</v>
      </c>
      <c r="AW18" s="20">
        <f t="shared" ca="1" si="9"/>
        <v>40.860787224589039</v>
      </c>
      <c r="AX18" s="20">
        <f t="shared" ca="1" si="10"/>
        <v>34.089571055942855</v>
      </c>
      <c r="AY18" s="20">
        <f t="shared" ca="1" si="11"/>
        <v>17.34207829880814</v>
      </c>
      <c r="AZ18" s="21">
        <v>2200</v>
      </c>
      <c r="BA18" s="22">
        <f t="shared" si="12"/>
        <v>0.37209302325581395</v>
      </c>
      <c r="BB18" s="22">
        <f t="shared" si="13"/>
        <v>0.78181818181818186</v>
      </c>
      <c r="BC18" s="23">
        <f t="shared" si="14"/>
        <v>0.29090909090909089</v>
      </c>
      <c r="BD18" t="s">
        <v>145</v>
      </c>
      <c r="BE18" s="23">
        <f t="shared" si="15"/>
        <v>8.0078627468473051E-2</v>
      </c>
      <c r="BF18" t="s">
        <v>146</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-9.134454503960554E-2</v>
      </c>
      <c r="BM18" s="23">
        <f t="shared" ca="1" si="20"/>
        <v>0.10519309436556035</v>
      </c>
      <c r="BN18" s="93" t="s">
        <v>81</v>
      </c>
      <c r="BO18" s="93" t="s">
        <v>87</v>
      </c>
      <c r="BP18" s="93" t="s">
        <v>147</v>
      </c>
    </row>
    <row r="19" spans="1:68" ht="15" customHeight="1" x14ac:dyDescent="0.25">
      <c r="A19" s="86" t="e" vm="16">
        <v>#VALUE!</v>
      </c>
      <c r="B19" s="10" t="str">
        <f t="array" aca="1" ref="B19" ca="1">_FV(A19,"Símbolo bursátil",TRUE())</f>
        <v>LIFCO B</v>
      </c>
      <c r="C19" s="88" t="s">
        <v>148</v>
      </c>
      <c r="D19" s="88" t="s">
        <v>77</v>
      </c>
      <c r="E19" s="11" t="str">
        <f t="array" aca="1" ref="E19" ca="1">_FV(A19,"Abreviatura de intercambio",TRUE())</f>
        <v>XSTO</v>
      </c>
      <c r="F19" s="11" t="str">
        <f t="array" aca="1" ref="F19" ca="1">_FV(A19,"Moneda")</f>
        <v>SEK</v>
      </c>
      <c r="G19" s="12">
        <f t="array" aca="1" ref="G19" ca="1">_FV(A19,"Precio")</f>
        <v>289.39999999999998</v>
      </c>
      <c r="H19" s="13">
        <f t="array" aca="1" ref="H19" ca="1">_FV(A19,"Acciones en circulación",TRUE())/1000000</f>
        <v>423.8365</v>
      </c>
      <c r="I19" s="14">
        <f t="shared" ca="1" si="22"/>
        <v>122658.28309999999</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149</v>
      </c>
      <c r="AP19" s="19">
        <v>3000</v>
      </c>
      <c r="AQ19" s="19">
        <v>12500</v>
      </c>
      <c r="AR19" s="19">
        <f t="shared" ca="1" si="21"/>
        <v>132158.2831</v>
      </c>
      <c r="AS19" s="19">
        <v>3800</v>
      </c>
      <c r="AT19" s="19">
        <v>3400</v>
      </c>
      <c r="AU19" s="19">
        <v>5800</v>
      </c>
      <c r="AV19" s="19">
        <v>26500</v>
      </c>
      <c r="AW19" s="20">
        <f t="shared" ca="1" si="9"/>
        <v>34.778495552631576</v>
      </c>
      <c r="AX19" s="20">
        <f t="shared" ca="1" si="10"/>
        <v>22.785910879310347</v>
      </c>
      <c r="AY19" s="20">
        <f t="shared" ca="1" si="11"/>
        <v>4.9871050226415097</v>
      </c>
      <c r="AZ19" s="21">
        <v>22000</v>
      </c>
      <c r="BA19" s="22">
        <f t="shared" si="12"/>
        <v>0.12830188679245283</v>
      </c>
      <c r="BB19" s="22">
        <f t="shared" si="13"/>
        <v>1.2045454545454546</v>
      </c>
      <c r="BC19" s="23">
        <f t="shared" si="14"/>
        <v>0.15454545454545454</v>
      </c>
      <c r="BD19" t="s">
        <v>150</v>
      </c>
      <c r="BE19" s="23">
        <f t="shared" si="15"/>
        <v>7.001218289169242E-2</v>
      </c>
      <c r="BF19" t="s">
        <v>151</v>
      </c>
      <c r="BG19" s="23">
        <f t="shared" si="16"/>
        <v>0.1699915026044907</v>
      </c>
      <c r="BH19" s="24">
        <v>16</v>
      </c>
      <c r="BI19" s="24">
        <v>26</v>
      </c>
      <c r="BJ19" s="25">
        <f t="shared" ca="1" si="23"/>
        <v>178.79536094696894</v>
      </c>
      <c r="BK19" s="25">
        <f t="shared" ca="1" si="24"/>
        <v>488.64597551178343</v>
      </c>
      <c r="BL19" s="23">
        <f t="shared" ca="1" si="19"/>
        <v>-9.1820814922578653E-2</v>
      </c>
      <c r="BM19" s="23">
        <f t="shared" ca="1" si="20"/>
        <v>0.1399188881795328</v>
      </c>
      <c r="BN19" s="93" t="s">
        <v>81</v>
      </c>
      <c r="BO19" s="93" t="s">
        <v>152</v>
      </c>
      <c r="BP19" s="93" t="s">
        <v>153</v>
      </c>
    </row>
    <row r="20" spans="1:68" ht="15" customHeight="1" x14ac:dyDescent="0.25">
      <c r="A20" s="86" t="e" vm="17">
        <v>#VALUE!</v>
      </c>
      <c r="B20" s="10" t="str">
        <f t="array" aca="1" ref="B20" ca="1">_FV(A20,"Símbolo bursátil",TRUE())</f>
        <v>EVD</v>
      </c>
      <c r="C20" s="88" t="s">
        <v>131</v>
      </c>
      <c r="D20" s="88" t="s">
        <v>77</v>
      </c>
      <c r="E20" s="11" t="str">
        <f t="array" aca="1" ref="E20" ca="1">_FV(A20,"Abreviatura de intercambio",TRUE())</f>
        <v>XFRA</v>
      </c>
      <c r="F20" s="11" t="str">
        <f t="array" aca="1" ref="F20" ca="1">_FV(A20,"Moneda")</f>
        <v>EUR</v>
      </c>
      <c r="G20" s="12">
        <f t="array" aca="1" ref="G20" ca="1">_FV(A20,"Precio")</f>
        <v>56.25</v>
      </c>
      <c r="H20" s="13">
        <f t="array" aca="1" ref="H20" ca="1">_FV(A20,"Acciones en circulación",TRUE())/1000000</f>
        <v>96</v>
      </c>
      <c r="I20" s="14">
        <f t="shared" ca="1" si="22"/>
        <v>5400</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90</v>
      </c>
      <c r="AP20" s="19">
        <v>1500</v>
      </c>
      <c r="AQ20" s="19">
        <v>800</v>
      </c>
      <c r="AR20" s="19">
        <f t="shared" ca="1" si="21"/>
        <v>4700</v>
      </c>
      <c r="AS20" s="19">
        <v>450</v>
      </c>
      <c r="AT20" s="19">
        <v>350</v>
      </c>
      <c r="AU20" s="19">
        <v>630</v>
      </c>
      <c r="AV20" s="19">
        <v>3100</v>
      </c>
      <c r="AW20" s="20">
        <f t="shared" ca="1" si="9"/>
        <v>10.444444444444445</v>
      </c>
      <c r="AX20" s="20">
        <f t="shared" ca="1" si="10"/>
        <v>7.4603174603174605</v>
      </c>
      <c r="AY20" s="20">
        <f t="shared" ca="1" si="11"/>
        <v>1.5161290322580645</v>
      </c>
      <c r="AZ20" s="21">
        <v>1600</v>
      </c>
      <c r="BA20" s="22">
        <f t="shared" si="12"/>
        <v>0.11290322580645161</v>
      </c>
      <c r="BB20" s="22">
        <f t="shared" si="13"/>
        <v>1.9375</v>
      </c>
      <c r="BC20" s="23">
        <f t="shared" si="14"/>
        <v>0.21875</v>
      </c>
      <c r="BD20" t="s">
        <v>154</v>
      </c>
      <c r="BE20" s="23">
        <f t="shared" si="15"/>
        <v>3.9812328944305531E-2</v>
      </c>
      <c r="BF20" t="s">
        <v>155</v>
      </c>
      <c r="BG20" s="23">
        <f t="shared" si="16"/>
        <v>0.13988509692971296</v>
      </c>
      <c r="BH20" s="24">
        <v>12</v>
      </c>
      <c r="BI20" s="24">
        <v>20</v>
      </c>
      <c r="BJ20" s="25">
        <f t="shared" ca="1" si="23"/>
        <v>75.666666666666671</v>
      </c>
      <c r="BK20" s="25">
        <f t="shared" ca="1" si="24"/>
        <v>187.70833333333334</v>
      </c>
      <c r="BL20" s="23">
        <f t="shared" ca="1" si="19"/>
        <v>6.1100245802087505E-2</v>
      </c>
      <c r="BM20" s="23">
        <f t="shared" ca="1" si="20"/>
        <v>0.35157533189574863</v>
      </c>
      <c r="BN20" s="93" t="s">
        <v>81</v>
      </c>
      <c r="BO20" s="93" t="s">
        <v>123</v>
      </c>
      <c r="BP20" s="93" t="s">
        <v>104</v>
      </c>
    </row>
    <row r="21" spans="1:68" ht="15" customHeight="1" x14ac:dyDescent="0.25">
      <c r="A21" s="86" t="e" vm="18">
        <v>#VALUE!</v>
      </c>
      <c r="B21" s="10" t="str">
        <f t="array" aca="1" ref="B21" ca="1">_FV(A21,"Símbolo bursátil",TRUE())</f>
        <v>MNST</v>
      </c>
      <c r="C21" s="88" t="s">
        <v>131</v>
      </c>
      <c r="D21" s="88" t="s">
        <v>77</v>
      </c>
      <c r="E21" s="11" t="str">
        <f t="array" aca="1" ref="E21" ca="1">_FV(A21,"Abreviatura de intercambio",TRUE())</f>
        <v>XNAS</v>
      </c>
      <c r="F21" s="11" t="str">
        <f t="array" aca="1" ref="F21" ca="1">_FV(A21,"Moneda")</f>
        <v>USD</v>
      </c>
      <c r="G21" s="12">
        <f t="array" aca="1" ref="G21" ca="1">_FV(A21,"Precio")</f>
        <v>86.325000000000003</v>
      </c>
      <c r="H21" s="13">
        <f t="array" aca="1" ref="H21" ca="1">_FV(A21,"Acciones en circulación",TRUE())/1000000</f>
        <v>978.00810000000001</v>
      </c>
      <c r="I21" s="14">
        <f t="shared" ca="1" si="22"/>
        <v>84426.549232500009</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81876.549232500009</v>
      </c>
      <c r="AS21" s="19">
        <v>1800</v>
      </c>
      <c r="AT21" s="19">
        <v>1900</v>
      </c>
      <c r="AU21" s="19">
        <v>2350</v>
      </c>
      <c r="AV21" s="19">
        <v>7500</v>
      </c>
      <c r="AW21" s="20">
        <f t="shared" ca="1" si="9"/>
        <v>45.486971795833341</v>
      </c>
      <c r="AX21" s="20">
        <f t="shared" ca="1" si="10"/>
        <v>34.841084779787238</v>
      </c>
      <c r="AY21" s="20">
        <f t="shared" ca="1" si="11"/>
        <v>10.916873231</v>
      </c>
      <c r="AZ21" s="21">
        <v>3200</v>
      </c>
      <c r="BA21" s="22">
        <f t="shared" si="12"/>
        <v>0.25333333333333335</v>
      </c>
      <c r="BB21" s="22">
        <f t="shared" si="13"/>
        <v>2.34375</v>
      </c>
      <c r="BC21" s="23">
        <f t="shared" si="14"/>
        <v>0.59375</v>
      </c>
      <c r="BD21" t="s">
        <v>156</v>
      </c>
      <c r="BE21" s="23">
        <f t="shared" si="15"/>
        <v>4.0002353139918068E-2</v>
      </c>
      <c r="BF21" t="s">
        <v>157</v>
      </c>
      <c r="BG21" s="23">
        <f t="shared" si="16"/>
        <v>0.10999233818109388</v>
      </c>
      <c r="BH21" s="24">
        <v>18</v>
      </c>
      <c r="BI21" s="24">
        <v>22</v>
      </c>
      <c r="BJ21" s="25">
        <f t="shared" ca="1" si="23"/>
        <v>42.913755008777535</v>
      </c>
      <c r="BK21" s="25">
        <f t="shared" ca="1" si="24"/>
        <v>70.833769168169468</v>
      </c>
      <c r="BL21" s="23">
        <f t="shared" ca="1" si="19"/>
        <v>-0.13045515233215055</v>
      </c>
      <c r="BM21" s="23">
        <f t="shared" ca="1" si="20"/>
        <v>-4.8243303405886451E-2</v>
      </c>
      <c r="BN21" s="93" t="s">
        <v>81</v>
      </c>
      <c r="BO21" s="93" t="s">
        <v>118</v>
      </c>
      <c r="BP21" s="93" t="s">
        <v>158</v>
      </c>
    </row>
    <row r="22" spans="1:68" ht="15" customHeight="1" x14ac:dyDescent="0.25">
      <c r="A22" s="86" t="e" vm="19">
        <v>#VALUE!</v>
      </c>
      <c r="B22" s="10" t="str">
        <f t="array" aca="1" ref="B22" ca="1">_FV(A22,"Símbolo bursátil",TRUE())</f>
        <v>ABNB</v>
      </c>
      <c r="C22" s="88" t="s">
        <v>131</v>
      </c>
      <c r="D22" s="88" t="s">
        <v>115</v>
      </c>
      <c r="E22" s="11" t="str">
        <f t="array" aca="1" ref="E22" ca="1">_FV(A22,"Abreviatura de intercambio",TRUE())</f>
        <v>XNAS</v>
      </c>
      <c r="F22" s="11" t="str">
        <f t="array" aca="1" ref="F22" ca="1">_FV(A22,"Moneda")</f>
        <v>USD</v>
      </c>
      <c r="G22" s="12">
        <f t="array" aca="1" ref="G22" ca="1">_FV(A22,"Precio")</f>
        <v>130.85</v>
      </c>
      <c r="H22" s="13">
        <f t="array" aca="1" ref="H22" ca="1">_FV(A22,"Acciones en circulación",TRUE())/1000000</f>
        <v>593.50490000000002</v>
      </c>
      <c r="I22" s="14">
        <f t="shared" ca="1" si="22"/>
        <v>77660.116164999999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68660.116164999999</v>
      </c>
      <c r="AS22" s="19">
        <v>4200</v>
      </c>
      <c r="AT22" s="19">
        <v>1500</v>
      </c>
      <c r="AU22" s="19">
        <v>3500</v>
      </c>
      <c r="AV22" s="19">
        <v>11100</v>
      </c>
      <c r="AW22" s="20">
        <f t="shared" ca="1" si="9"/>
        <v>16.347646705952382</v>
      </c>
      <c r="AX22" s="20">
        <f t="shared" ca="1" si="10"/>
        <v>19.617176047142856</v>
      </c>
      <c r="AY22" s="20">
        <f t="shared" ca="1" si="11"/>
        <v>6.1855960509009007</v>
      </c>
      <c r="AZ22" s="21">
        <v>4000</v>
      </c>
      <c r="BA22" s="22">
        <f t="shared" si="12"/>
        <v>0.13513513513513514</v>
      </c>
      <c r="BB22" s="22">
        <f t="shared" si="13"/>
        <v>2.7749999999999999</v>
      </c>
      <c r="BC22" s="23">
        <f t="shared" si="14"/>
        <v>0.375</v>
      </c>
      <c r="BD22" t="s">
        <v>159</v>
      </c>
      <c r="BE22" s="23">
        <f t="shared" si="15"/>
        <v>4.9985012185677746E-2</v>
      </c>
      <c r="BF22" t="s">
        <v>160</v>
      </c>
      <c r="BG22" s="23">
        <f t="shared" si="16"/>
        <v>0.15000816268269079</v>
      </c>
      <c r="BH22" s="24">
        <v>16</v>
      </c>
      <c r="BI22" s="24">
        <v>24</v>
      </c>
      <c r="BJ22" s="25">
        <f t="shared" ca="1" si="23"/>
        <v>159.66169782254536</v>
      </c>
      <c r="BK22" s="25">
        <f t="shared" ca="1" si="24"/>
        <v>356.78222707175627</v>
      </c>
      <c r="BL22" s="23">
        <f t="shared" ca="1" si="19"/>
        <v>4.0603789831051618E-2</v>
      </c>
      <c r="BM22" s="23">
        <f t="shared" ca="1" si="20"/>
        <v>0.28501255614383658</v>
      </c>
      <c r="BN22" s="93" t="s">
        <v>81</v>
      </c>
      <c r="BO22" s="93" t="s">
        <v>93</v>
      </c>
      <c r="BP22" s="93" t="s">
        <v>158</v>
      </c>
    </row>
    <row r="23" spans="1:68" ht="15" customHeight="1" x14ac:dyDescent="0.25">
      <c r="A23" s="86" t="e" vm="20">
        <v>#VALUE!</v>
      </c>
      <c r="B23" s="10" t="str">
        <f t="array" aca="1" ref="B23" ca="1">_FV(A23,"Símbolo bursátil",TRUE())</f>
        <v>DNP</v>
      </c>
      <c r="C23" s="88" t="s">
        <v>100</v>
      </c>
      <c r="D23" s="88" t="s">
        <v>100</v>
      </c>
      <c r="E23" s="11" t="str">
        <f t="array" aca="1" ref="E23" ca="1">_FV(A23,"Abreviatura de intercambio",TRUE())</f>
        <v>XWAR</v>
      </c>
      <c r="F23" s="11" t="str">
        <f t="array" aca="1" ref="F23" ca="1">_FV(A23,"Moneda")</f>
        <v>PLN</v>
      </c>
      <c r="G23" s="12">
        <f t="array" aca="1" ref="G23" ca="1">_FV(A23,"Precio")</f>
        <v>32.299999999999997</v>
      </c>
      <c r="H23" s="13">
        <f t="array" aca="1" ref="H23" ca="1">_FV(A23,"Acciones en circulación",TRUE())/1000000</f>
        <v>980.4</v>
      </c>
      <c r="I23" s="14">
        <f t="shared" ca="1" si="22"/>
        <v>31666.92</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161</v>
      </c>
      <c r="AP23" s="19">
        <v>500</v>
      </c>
      <c r="AQ23" s="19">
        <v>1000</v>
      </c>
      <c r="AR23" s="19">
        <f t="shared" ca="1" si="21"/>
        <v>32166.92</v>
      </c>
      <c r="AS23" s="19">
        <v>700</v>
      </c>
      <c r="AT23" s="19">
        <v>1700</v>
      </c>
      <c r="AU23" s="19">
        <v>2500</v>
      </c>
      <c r="AV23" s="19">
        <v>36000</v>
      </c>
      <c r="AW23" s="20">
        <f t="shared" ca="1" si="9"/>
        <v>45.952742857142852</v>
      </c>
      <c r="AX23" s="20">
        <f t="shared" ca="1" si="10"/>
        <v>12.866767999999999</v>
      </c>
      <c r="AY23" s="20">
        <f t="shared" ca="1" si="11"/>
        <v>0.89352555555555546</v>
      </c>
      <c r="AZ23" s="21">
        <v>6500</v>
      </c>
      <c r="BA23" s="22">
        <f t="shared" si="12"/>
        <v>4.7222222222222221E-2</v>
      </c>
      <c r="BB23" s="22">
        <f t="shared" si="13"/>
        <v>5.5384615384615383</v>
      </c>
      <c r="BC23" s="23">
        <f t="shared" si="14"/>
        <v>0.2615384615384615</v>
      </c>
      <c r="BD23" t="s">
        <v>162</v>
      </c>
      <c r="BE23" s="23">
        <f t="shared" si="15"/>
        <v>0.12006550912241742</v>
      </c>
      <c r="BF23" t="s">
        <v>163</v>
      </c>
      <c r="BG23" s="23">
        <f t="shared" si="16"/>
        <v>0.23998337745572296</v>
      </c>
      <c r="BH23" s="24">
        <v>15</v>
      </c>
      <c r="BI23" s="24">
        <v>20</v>
      </c>
      <c r="BJ23" s="25">
        <f t="shared" ca="1" si="23"/>
        <v>18.370053039575684</v>
      </c>
      <c r="BK23" s="25">
        <f t="shared" ca="1" si="24"/>
        <v>41.350469196246429</v>
      </c>
      <c r="BL23" s="23">
        <f t="shared" ca="1" si="19"/>
        <v>-0.10673240875431</v>
      </c>
      <c r="BM23" s="23">
        <f t="shared" ca="1" si="20"/>
        <v>6.3700785282530648E-2</v>
      </c>
      <c r="BN23" s="93" t="s">
        <v>81</v>
      </c>
      <c r="BO23" s="93" t="s">
        <v>123</v>
      </c>
      <c r="BP23" s="93" t="s">
        <v>99</v>
      </c>
    </row>
    <row r="24" spans="1:68" ht="15" customHeight="1" x14ac:dyDescent="0.25">
      <c r="A24" s="86" t="e" vm="21">
        <v>#VALUE!</v>
      </c>
      <c r="B24" s="10" t="str">
        <f t="array" aca="1" ref="B24" ca="1">_FV(A24,"Símbolo bursátil",TRUE())</f>
        <v>VLTO</v>
      </c>
      <c r="C24" s="88" t="s">
        <v>148</v>
      </c>
      <c r="D24" s="88" t="s">
        <v>77</v>
      </c>
      <c r="E24" s="11" t="str">
        <f t="array" aca="1" ref="E24" ca="1">_FV(A24,"Abreviatura de intercambio",TRUE())</f>
        <v>XNYS</v>
      </c>
      <c r="F24" s="11" t="str">
        <f t="array" aca="1" ref="F24" ca="1">_FV(A24,"Moneda")</f>
        <v>USD</v>
      </c>
      <c r="G24" s="12">
        <f t="array" aca="1" ref="G24" ca="1">_FV(A24,"Precio")</f>
        <v>86.7</v>
      </c>
      <c r="H24" s="13">
        <f t="array" aca="1" ref="H24" ca="1">_FV(A24,"Acciones en circulación",TRUE())/1000000</f>
        <v>245.5993</v>
      </c>
      <c r="I24" s="14">
        <f t="shared" ca="1" si="22"/>
        <v>21293.459310000002</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22793.459310000002</v>
      </c>
      <c r="AS24" s="19">
        <v>1100</v>
      </c>
      <c r="AT24" s="19">
        <v>1000</v>
      </c>
      <c r="AU24" s="19">
        <v>1350</v>
      </c>
      <c r="AV24" s="19">
        <v>5500</v>
      </c>
      <c r="AW24" s="20">
        <f t="shared" ca="1" si="9"/>
        <v>20.721326645454546</v>
      </c>
      <c r="AX24" s="20">
        <f t="shared" ca="1" si="10"/>
        <v>16.884043933333334</v>
      </c>
      <c r="AY24" s="20">
        <f t="shared" ca="1" si="11"/>
        <v>4.1442653290909091</v>
      </c>
      <c r="AZ24" s="21">
        <v>6500</v>
      </c>
      <c r="BA24" s="22">
        <f t="shared" si="12"/>
        <v>0.18181818181818182</v>
      </c>
      <c r="BB24" s="22">
        <f t="shared" si="13"/>
        <v>0.84615384615384615</v>
      </c>
      <c r="BC24" s="23">
        <f t="shared" si="14"/>
        <v>0.15384615384615385</v>
      </c>
      <c r="BD24" t="s">
        <v>164</v>
      </c>
      <c r="BE24" s="23">
        <f t="shared" si="15"/>
        <v>3.9950542132181077E-2</v>
      </c>
      <c r="BF24" t="s">
        <v>165</v>
      </c>
      <c r="BG24" s="23">
        <f t="shared" si="16"/>
        <v>0.12004900553442877</v>
      </c>
      <c r="BH24" s="24">
        <v>12.5</v>
      </c>
      <c r="BI24" s="24">
        <v>20</v>
      </c>
      <c r="BJ24" s="25">
        <f t="shared" ca="1" si="23"/>
        <v>61.991219030347402</v>
      </c>
      <c r="BK24" s="25">
        <f t="shared" ca="1" si="24"/>
        <v>151.79196357644341</v>
      </c>
      <c r="BL24" s="23">
        <f t="shared" ca="1" si="19"/>
        <v>-6.4891045366732625E-2</v>
      </c>
      <c r="BM24" s="23">
        <f t="shared" ca="1" si="20"/>
        <v>0.15029020156422734</v>
      </c>
      <c r="BN24" s="93" t="s">
        <v>81</v>
      </c>
      <c r="BO24" s="93" t="s">
        <v>166</v>
      </c>
      <c r="BP24" s="93" t="s">
        <v>147</v>
      </c>
    </row>
    <row r="25" spans="1:68" ht="15" customHeight="1" x14ac:dyDescent="0.25">
      <c r="A25" s="86" t="e" vm="22">
        <v>#VALUE!</v>
      </c>
      <c r="B25" s="10" t="str">
        <f t="array" aca="1" ref="B25" ca="1">_FV(A25,"Símbolo bursátil",TRUE())</f>
        <v>LR</v>
      </c>
      <c r="C25" s="88" t="s">
        <v>127</v>
      </c>
      <c r="D25" s="88" t="s">
        <v>77</v>
      </c>
      <c r="E25" s="11" t="str">
        <f t="array" aca="1" ref="E25" ca="1">_FV(A25,"Abreviatura de intercambio",TRUE())</f>
        <v>XPAR</v>
      </c>
      <c r="F25" s="11" t="str">
        <f t="array" aca="1" ref="F25" ca="1">_FV(A25,"Moneda")</f>
        <v>EUR</v>
      </c>
      <c r="G25" s="12">
        <f t="array" aca="1" ref="G25" ca="1">_FV(A25,"Precio")</f>
        <v>145.6</v>
      </c>
      <c r="H25" s="13">
        <f t="array" aca="1" ref="H25" ca="1">_FV(A25,"Acciones en circulación",TRUE())/1000000</f>
        <v>262.2457</v>
      </c>
      <c r="I25" s="14">
        <f t="shared" ca="1" si="22"/>
        <v>38182.973919999997</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90</v>
      </c>
      <c r="AP25" s="19">
        <v>1800</v>
      </c>
      <c r="AQ25" s="19">
        <v>4300</v>
      </c>
      <c r="AR25" s="19">
        <f t="shared" ca="1" si="21"/>
        <v>40682.973919999997</v>
      </c>
      <c r="AS25" s="19">
        <v>1300</v>
      </c>
      <c r="AT25" s="19">
        <v>1450</v>
      </c>
      <c r="AU25" s="19">
        <v>2250</v>
      </c>
      <c r="AV25" s="19">
        <v>9500</v>
      </c>
      <c r="AW25" s="20">
        <f t="shared" ca="1" si="9"/>
        <v>31.294595323076919</v>
      </c>
      <c r="AX25" s="20">
        <f t="shared" ca="1" si="10"/>
        <v>18.081321742222222</v>
      </c>
      <c r="AY25" s="20">
        <f t="shared" ca="1" si="11"/>
        <v>4.2824183073684203</v>
      </c>
      <c r="AZ25" s="21">
        <v>9500</v>
      </c>
      <c r="BA25" s="22">
        <f t="shared" si="12"/>
        <v>0.15263157894736842</v>
      </c>
      <c r="BB25" s="22">
        <f t="shared" si="13"/>
        <v>1</v>
      </c>
      <c r="BC25" s="23">
        <f t="shared" si="14"/>
        <v>0.15263157894736842</v>
      </c>
      <c r="BD25" t="s">
        <v>167</v>
      </c>
      <c r="BE25" s="23">
        <f t="shared" si="15"/>
        <v>6.003737798448272E-2</v>
      </c>
      <c r="BF25" t="s">
        <v>168</v>
      </c>
      <c r="BG25" s="23">
        <f t="shared" si="16"/>
        <v>0.15002072805673161</v>
      </c>
      <c r="BH25" s="24">
        <v>13</v>
      </c>
      <c r="BI25" s="24">
        <v>24</v>
      </c>
      <c r="BJ25" s="25">
        <f t="shared" ca="1" si="23"/>
        <v>76.721944344559319</v>
      </c>
      <c r="BK25" s="25">
        <f t="shared" ca="1" si="24"/>
        <v>229.78451124270103</v>
      </c>
      <c r="BL25" s="23">
        <f t="shared" ca="1" si="19"/>
        <v>-0.120265456758615</v>
      </c>
      <c r="BM25" s="23">
        <f t="shared" ca="1" si="20"/>
        <v>0.12083025141255477</v>
      </c>
      <c r="BN25" s="93" t="s">
        <v>81</v>
      </c>
      <c r="BO25" s="93" t="s">
        <v>93</v>
      </c>
      <c r="BP25" s="93" t="s">
        <v>158</v>
      </c>
    </row>
    <row r="26" spans="1:68" ht="15" customHeight="1" x14ac:dyDescent="0.25">
      <c r="A26" s="86" t="e" vm="23">
        <v>#VALUE!</v>
      </c>
      <c r="B26" s="10" t="str">
        <f t="array" aca="1" ref="B26" ca="1">_FV(A26,"Símbolo bursátil",TRUE())</f>
        <v>JDG</v>
      </c>
      <c r="C26" s="88" t="s">
        <v>139</v>
      </c>
      <c r="D26" s="88" t="s">
        <v>77</v>
      </c>
      <c r="E26" s="11" t="str">
        <f t="array" aca="1" ref="E26" ca="1">_FV(A26,"Abreviatura de intercambio",TRUE())</f>
        <v>XLON</v>
      </c>
      <c r="F26" s="11" t="str">
        <f t="array" aca="1" ref="F26" ca="1">_FV(A26,"Moneda")</f>
        <v>GBp</v>
      </c>
      <c r="G26" s="12">
        <f t="array" aca="1" ref="G26" ca="1">_FV(A26,"Precio")</f>
        <v>4950</v>
      </c>
      <c r="H26" s="13">
        <f t="array" aca="1" ref="H26" ca="1">_FV(A26,"Acciones en circulación",TRUE())/1000000</f>
        <v>6.6604400000000004</v>
      </c>
      <c r="I26" s="14">
        <f ca="1">G26/100*H26</f>
        <v>329.69177999999999</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140</v>
      </c>
      <c r="AP26" s="19">
        <v>10</v>
      </c>
      <c r="AQ26" s="19">
        <v>55</v>
      </c>
      <c r="AR26" s="19">
        <f t="shared" ca="1" si="21"/>
        <v>374.69177999999999</v>
      </c>
      <c r="AS26" s="19">
        <v>20</v>
      </c>
      <c r="AT26" s="19">
        <v>18</v>
      </c>
      <c r="AU26" s="19">
        <v>30</v>
      </c>
      <c r="AV26" s="19">
        <v>145</v>
      </c>
      <c r="AW26" s="20">
        <f t="shared" ca="1" si="9"/>
        <v>18.734589</v>
      </c>
      <c r="AX26" s="20">
        <f t="shared" ca="1" si="10"/>
        <v>12.489725999999999</v>
      </c>
      <c r="AY26" s="20">
        <f t="shared" ca="1" si="11"/>
        <v>2.5840812413793102</v>
      </c>
      <c r="AZ26" s="21">
        <v>120</v>
      </c>
      <c r="BA26" s="22">
        <f t="shared" si="12"/>
        <v>0.12413793103448276</v>
      </c>
      <c r="BB26" s="22">
        <f t="shared" si="13"/>
        <v>1.2083333333333333</v>
      </c>
      <c r="BC26" s="23">
        <f t="shared" si="14"/>
        <v>0.15</v>
      </c>
      <c r="BD26" t="s">
        <v>169</v>
      </c>
      <c r="BE26" s="23">
        <f t="shared" si="15"/>
        <v>6.1858758794934632E-2</v>
      </c>
      <c r="BF26" t="s">
        <v>170</v>
      </c>
      <c r="BG26" s="23">
        <f t="shared" si="16"/>
        <v>0.18126018804310839</v>
      </c>
      <c r="BH26" s="24">
        <v>10</v>
      </c>
      <c r="BI26" s="24">
        <v>20</v>
      </c>
      <c r="BJ26" s="25">
        <f ca="1">(BD26*BH26+$AP26-$AQ26)/$H26*100</f>
        <v>3378.1551969539551</v>
      </c>
      <c r="BK26" s="25">
        <f ca="1">(BF26*BI26+$AP26-$AQ26)/$H26*100</f>
        <v>13137.270210376491</v>
      </c>
      <c r="BL26" s="23">
        <f t="shared" ca="1" si="19"/>
        <v>-7.3565158365240246E-2</v>
      </c>
      <c r="BM26" s="23">
        <f t="shared" ca="1" si="20"/>
        <v>0.27636528451701214</v>
      </c>
      <c r="BN26" s="93" t="s">
        <v>81</v>
      </c>
      <c r="BO26" s="93" t="s">
        <v>171</v>
      </c>
      <c r="BP26" s="93" t="s">
        <v>171</v>
      </c>
    </row>
    <row r="27" spans="1:68" ht="15" customHeight="1" x14ac:dyDescent="0.25">
      <c r="A27" s="86" t="e" vm="24">
        <v>#VALUE!</v>
      </c>
      <c r="B27" s="10" t="str">
        <f t="array" aca="1" ref="B27" ca="1">_FV(A27,"Símbolo bursátil",TRUE())</f>
        <v>STMN</v>
      </c>
      <c r="C27" s="88" t="s">
        <v>139</v>
      </c>
      <c r="D27" s="88" t="s">
        <v>77</v>
      </c>
      <c r="E27" s="11" t="str">
        <f t="array" aca="1" ref="E27" ca="1">_FV(A27,"Abreviatura de intercambio",TRUE())</f>
        <v>XSWX</v>
      </c>
      <c r="F27" s="11" t="str">
        <f t="array" aca="1" ref="F27" ca="1">_FV(A27,"Moneda")</f>
        <v>CHF</v>
      </c>
      <c r="G27" s="12">
        <f t="array" aca="1" ref="G27" ca="1">_FV(A27,"Precio")</f>
        <v>86.32</v>
      </c>
      <c r="H27" s="13">
        <f t="array" aca="1" ref="H27" ca="1">_FV(A27,"Acciones en circulación",TRUE())/1000000</f>
        <v>159.45519999999999</v>
      </c>
      <c r="I27" s="14">
        <f t="shared" ref="I27:I60" ca="1" si="25">G27*H27</f>
        <v>13764.172863999998</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172</v>
      </c>
      <c r="AP27" s="19">
        <v>300</v>
      </c>
      <c r="AQ27" s="19">
        <v>700</v>
      </c>
      <c r="AR27" s="19">
        <f t="shared" ca="1" si="21"/>
        <v>14164.172863999998</v>
      </c>
      <c r="AS27" s="19">
        <v>350</v>
      </c>
      <c r="AT27" s="19">
        <v>380</v>
      </c>
      <c r="AU27" s="19">
        <v>550</v>
      </c>
      <c r="AV27" s="19">
        <v>2600</v>
      </c>
      <c r="AW27" s="20">
        <f t="shared" ca="1" si="9"/>
        <v>40.469065325714283</v>
      </c>
      <c r="AX27" s="20">
        <f t="shared" ca="1" si="10"/>
        <v>25.753041570909087</v>
      </c>
      <c r="AY27" s="20">
        <f t="shared" ca="1" si="11"/>
        <v>5.4477587938461536</v>
      </c>
      <c r="AZ27" s="21">
        <v>2800</v>
      </c>
      <c r="BA27" s="22">
        <f t="shared" si="12"/>
        <v>0.14615384615384616</v>
      </c>
      <c r="BB27" s="22">
        <f t="shared" si="13"/>
        <v>0.9285714285714286</v>
      </c>
      <c r="BC27" s="23">
        <f t="shared" si="14"/>
        <v>0.13571428571428573</v>
      </c>
      <c r="BD27" t="s">
        <v>173</v>
      </c>
      <c r="BE27" s="23">
        <f t="shared" si="15"/>
        <v>5.9828421260577302E-2</v>
      </c>
      <c r="BF27" t="s">
        <v>174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-0.10230633508946507</v>
      </c>
      <c r="BM27" s="23">
        <f t="shared" ca="1" si="20"/>
        <v>6.9004898286631589E-2</v>
      </c>
      <c r="BN27" s="93" t="s">
        <v>81</v>
      </c>
      <c r="BO27" s="94" t="s">
        <v>175</v>
      </c>
      <c r="BP27" s="93" t="s">
        <v>88</v>
      </c>
    </row>
    <row r="28" spans="1:68" ht="15" customHeight="1" x14ac:dyDescent="0.25">
      <c r="A28" s="86" t="e" vm="25">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601.19500000000005</v>
      </c>
      <c r="H28" s="13">
        <f t="array" aca="1" ref="H28" ca="1">_FV(A28,"Acciones en circulación",TRUE())/1000000</f>
        <v>2538.4229999999998</v>
      </c>
      <c r="I28" s="14">
        <f t="shared" ca="1" si="25"/>
        <v>1526087.2154850001</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1488087.2154850001</v>
      </c>
      <c r="AS28" s="19">
        <v>50000</v>
      </c>
      <c r="AT28" s="19">
        <v>55000</v>
      </c>
      <c r="AU28" s="19">
        <v>95000</v>
      </c>
      <c r="AV28" s="19">
        <v>164000</v>
      </c>
      <c r="AW28" s="20">
        <f t="shared" ca="1" si="9"/>
        <v>29.761744309700003</v>
      </c>
      <c r="AX28" s="20">
        <f t="shared" ca="1" si="10"/>
        <v>15.664075952473684</v>
      </c>
      <c r="AY28" s="20">
        <f t="shared" ca="1" si="11"/>
        <v>9.0737025334451218</v>
      </c>
      <c r="AZ28" s="21">
        <v>190000</v>
      </c>
      <c r="BA28" s="22">
        <f t="shared" si="12"/>
        <v>0.33536585365853661</v>
      </c>
      <c r="BB28" s="22">
        <f t="shared" si="13"/>
        <v>0.86315789473684212</v>
      </c>
      <c r="BC28" s="23">
        <f t="shared" si="14"/>
        <v>0.28947368421052633</v>
      </c>
      <c r="BD28" t="s">
        <v>176</v>
      </c>
      <c r="BE28" s="23">
        <f t="shared" si="15"/>
        <v>4.9999742905350697E-2</v>
      </c>
      <c r="BF28" t="s">
        <v>177</v>
      </c>
      <c r="BG28" s="23">
        <f t="shared" si="16"/>
        <v>0.15999981690439746</v>
      </c>
      <c r="BH28" s="24">
        <v>18</v>
      </c>
      <c r="BI28" s="24">
        <v>26</v>
      </c>
      <c r="BJ28" s="25">
        <f t="shared" ca="1" si="26"/>
        <v>467.47606683362073</v>
      </c>
      <c r="BK28" s="25">
        <f t="shared" ca="1" si="27"/>
        <v>1090.6149211538032</v>
      </c>
      <c r="BL28" s="23">
        <f t="shared" ca="1" si="19"/>
        <v>-4.9069440527155117E-2</v>
      </c>
      <c r="BM28" s="23">
        <f t="shared" ca="1" si="20"/>
        <v>0.16055043524378698</v>
      </c>
      <c r="BN28" s="93" t="s">
        <v>81</v>
      </c>
      <c r="BO28" s="93" t="s">
        <v>87</v>
      </c>
      <c r="BP28" s="93" t="s">
        <v>88</v>
      </c>
    </row>
    <row r="29" spans="1:68" ht="15" customHeight="1" x14ac:dyDescent="0.25">
      <c r="A29" s="86" t="e" vm="26">
        <v>#VALUE!</v>
      </c>
      <c r="B29" s="10" t="str">
        <f t="array" aca="1" ref="B29" ca="1">_FV(A29,"Símbolo bursátil",TRUE())</f>
        <v>KKR</v>
      </c>
      <c r="C29" s="88" t="s">
        <v>95</v>
      </c>
      <c r="D29" s="88" t="s">
        <v>77</v>
      </c>
      <c r="E29" s="11" t="str">
        <f t="array" aca="1" ref="E29" ca="1">_FV(A29,"Abreviatura de intercambio",TRUE())</f>
        <v>XNYS</v>
      </c>
      <c r="F29" s="11" t="str">
        <f t="array" aca="1" ref="F29" ca="1">_FV(A29,"Moneda")</f>
        <v>USD</v>
      </c>
      <c r="G29" s="12">
        <f t="array" aca="1" ref="G29" ca="1">_FV(A29,"Precio")</f>
        <v>92.545000000000002</v>
      </c>
      <c r="H29" s="13">
        <f t="array" aca="1" ref="H29" ca="1">_FV(A29,"Acciones en circulación",TRUE())/1000000</f>
        <v>897.87289999999996</v>
      </c>
      <c r="I29" s="14">
        <f t="shared" ca="1" si="25"/>
        <v>83093.647530499991</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133093.64753049999</v>
      </c>
      <c r="AS29" s="19">
        <v>4200</v>
      </c>
      <c r="AT29" s="19">
        <v>4500</v>
      </c>
      <c r="AU29" s="19">
        <v>7500</v>
      </c>
      <c r="AV29" s="19">
        <v>17500</v>
      </c>
      <c r="AW29" s="20">
        <f t="shared" ca="1" si="9"/>
        <v>31.688963697738092</v>
      </c>
      <c r="AX29" s="20">
        <f t="shared" ca="1" si="10"/>
        <v>17.745819670733333</v>
      </c>
      <c r="AY29" s="20">
        <f t="shared" ca="1" si="11"/>
        <v>7.6053512874571423</v>
      </c>
      <c r="AZ29" s="21">
        <v>80000</v>
      </c>
      <c r="BA29" s="22">
        <f t="shared" si="12"/>
        <v>0.25714285714285712</v>
      </c>
      <c r="BB29" s="22">
        <f t="shared" si="13"/>
        <v>0.21875</v>
      </c>
      <c r="BC29" s="23">
        <f t="shared" si="14"/>
        <v>5.6249999999999994E-2</v>
      </c>
      <c r="BD29" t="s">
        <v>178</v>
      </c>
      <c r="BE29" s="23">
        <f t="shared" si="15"/>
        <v>7.0010270953862141E-2</v>
      </c>
      <c r="BF29" t="s">
        <v>179</v>
      </c>
      <c r="BG29" s="23">
        <f t="shared" si="16"/>
        <v>0.20000128600547407</v>
      </c>
      <c r="BH29" s="24">
        <v>15</v>
      </c>
      <c r="BI29" s="24">
        <v>25</v>
      </c>
      <c r="BJ29" s="25">
        <f t="shared" ca="1" si="26"/>
        <v>42.728764839656037</v>
      </c>
      <c r="BK29" s="25">
        <f t="shared" ca="1" si="27"/>
        <v>235.30613297271807</v>
      </c>
      <c r="BL29" s="23">
        <f t="shared" ca="1" si="19"/>
        <v>-0.14321180154884217</v>
      </c>
      <c r="BM29" s="23">
        <f t="shared" ca="1" si="20"/>
        <v>0.26275783466301661</v>
      </c>
      <c r="BN29" s="93" t="s">
        <v>81</v>
      </c>
      <c r="BO29" s="93" t="s">
        <v>98</v>
      </c>
      <c r="BP29" s="93" t="s">
        <v>180</v>
      </c>
    </row>
    <row r="30" spans="1:68" ht="15" customHeight="1" x14ac:dyDescent="0.25">
      <c r="A30" s="86" t="e" vm="27">
        <v>#VALUE!</v>
      </c>
      <c r="B30" s="10" t="str">
        <f t="array" aca="1" ref="B30" ca="1">_FV(A30,"Símbolo bursátil",TRUE())</f>
        <v>NET</v>
      </c>
      <c r="C30" s="88" t="s">
        <v>114</v>
      </c>
      <c r="D30" s="88" t="s">
        <v>115</v>
      </c>
      <c r="E30" s="11" t="str">
        <f t="array" aca="1" ref="E30" ca="1">_FV(A30,"Abreviatura de intercambio",TRUE())</f>
        <v>XNYS</v>
      </c>
      <c r="F30" s="11" t="str">
        <f t="array" aca="1" ref="F30" ca="1">_FV(A30,"Moneda")</f>
        <v>USD</v>
      </c>
      <c r="G30" s="12">
        <f t="array" aca="1" ref="G30" ca="1">_FV(A30,"Precio")</f>
        <v>204.34</v>
      </c>
      <c r="H30" s="13">
        <f t="array" aca="1" ref="H30" ca="1">_FV(A30,"Acciones en circulación",TRUE())/1000000</f>
        <v>353.46620000000001</v>
      </c>
      <c r="I30" s="14">
        <f t="shared" ca="1" si="25"/>
        <v>72227.283307999998</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71727.283307999998</v>
      </c>
      <c r="AS30" s="19">
        <v>280</v>
      </c>
      <c r="AT30" s="19">
        <v>50</v>
      </c>
      <c r="AU30" s="19">
        <v>320</v>
      </c>
      <c r="AV30" s="19">
        <v>1850</v>
      </c>
      <c r="AW30" s="20">
        <f t="shared" ca="1" si="9"/>
        <v>256.16886895714288</v>
      </c>
      <c r="AX30" s="20">
        <f t="shared" ca="1" si="10"/>
        <v>224.14776033749999</v>
      </c>
      <c r="AY30" s="20">
        <f t="shared" ca="1" si="11"/>
        <v>38.771504490810813</v>
      </c>
      <c r="AZ30" s="21">
        <v>3500</v>
      </c>
      <c r="BA30" s="22">
        <f t="shared" si="12"/>
        <v>2.7027027027027029E-2</v>
      </c>
      <c r="BB30" s="22">
        <f t="shared" si="13"/>
        <v>0.52857142857142858</v>
      </c>
      <c r="BC30" s="23">
        <f t="shared" si="14"/>
        <v>1.4285714285714287E-2</v>
      </c>
      <c r="BD30" t="s">
        <v>181</v>
      </c>
      <c r="BE30" s="23">
        <f t="shared" si="15"/>
        <v>0.13995090255865472</v>
      </c>
      <c r="BF30" t="s">
        <v>182</v>
      </c>
      <c r="BG30" s="23">
        <f t="shared" si="16"/>
        <v>0.27998066135282862</v>
      </c>
      <c r="BH30" s="24">
        <v>20</v>
      </c>
      <c r="BI30" s="24">
        <v>30</v>
      </c>
      <c r="BJ30" s="25">
        <f t="shared" ca="1" si="26"/>
        <v>31.912527987117297</v>
      </c>
      <c r="BK30" s="25">
        <f t="shared" ca="1" si="27"/>
        <v>83.063104760794658</v>
      </c>
      <c r="BL30" s="23">
        <f t="shared" ca="1" si="19"/>
        <v>-0.31020258277241719</v>
      </c>
      <c r="BM30" s="23">
        <f t="shared" ca="1" si="20"/>
        <v>-0.20152064307736439</v>
      </c>
      <c r="BN30" s="93" t="s">
        <v>81</v>
      </c>
      <c r="BO30" s="93" t="s">
        <v>183</v>
      </c>
      <c r="BP30" s="93" t="s">
        <v>158</v>
      </c>
    </row>
    <row r="31" spans="1:68" ht="15" customHeight="1" x14ac:dyDescent="0.25">
      <c r="A31" s="86" t="e" vm="28">
        <v>#VALUE!</v>
      </c>
      <c r="B31" s="10" t="str">
        <f t="array" aca="1" ref="B31" ca="1">_FV(A31,"Símbolo bursátil",TRUE())</f>
        <v>CRWD</v>
      </c>
      <c r="C31" s="88" t="s">
        <v>114</v>
      </c>
      <c r="D31" s="88" t="s">
        <v>115</v>
      </c>
      <c r="E31" s="11" t="str">
        <f t="array" aca="1" ref="E31" ca="1">_FV(A31,"Abreviatura de intercambio",TRUE())</f>
        <v>XNAS</v>
      </c>
      <c r="F31" s="11" t="str">
        <f t="array" aca="1" ref="F31" ca="1">_FV(A31,"Moneda")</f>
        <v>USD</v>
      </c>
      <c r="G31" s="12">
        <f t="array" aca="1" ref="G31" ca="1">_FV(A31,"Precio")</f>
        <v>619.83000000000004</v>
      </c>
      <c r="H31" s="13">
        <f t="array" aca="1" ref="H31" ca="1">_FV(A31,"Acciones en circulación",TRUE())/1000000</f>
        <v>254.53649999999999</v>
      </c>
      <c r="I31" s="14">
        <f t="shared" ca="1" si="25"/>
        <v>157769.35879500001</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154119.35879500001</v>
      </c>
      <c r="AS31" s="19">
        <v>1200</v>
      </c>
      <c r="AT31" s="19">
        <v>700</v>
      </c>
      <c r="AU31" s="19">
        <v>1400</v>
      </c>
      <c r="AV31" s="19">
        <v>4000</v>
      </c>
      <c r="AW31" s="20">
        <f t="shared" ca="1" si="9"/>
        <v>128.43279899583334</v>
      </c>
      <c r="AX31" s="20">
        <f t="shared" ca="1" si="10"/>
        <v>110.08525628214286</v>
      </c>
      <c r="AY31" s="20">
        <f t="shared" ca="1" si="11"/>
        <v>38.529839698750003</v>
      </c>
      <c r="AZ31" s="21">
        <v>3500</v>
      </c>
      <c r="BA31" s="22">
        <f t="shared" si="12"/>
        <v>0.17499999999999999</v>
      </c>
      <c r="BB31" s="22">
        <f t="shared" si="13"/>
        <v>1.1428571428571428</v>
      </c>
      <c r="BC31" s="23">
        <f t="shared" si="14"/>
        <v>0.19999999999999998</v>
      </c>
      <c r="BD31" t="s">
        <v>184</v>
      </c>
      <c r="BE31" s="23">
        <f t="shared" si="15"/>
        <v>0.12002012191466971</v>
      </c>
      <c r="BF31" t="s">
        <v>185</v>
      </c>
      <c r="BG31" s="23">
        <f t="shared" si="16"/>
        <v>0.26000288799408033</v>
      </c>
      <c r="BH31" s="24">
        <v>20</v>
      </c>
      <c r="BI31" s="24">
        <v>30</v>
      </c>
      <c r="BJ31" s="25">
        <f t="shared" ca="1" si="26"/>
        <v>180.52420772659323</v>
      </c>
      <c r="BK31" s="25">
        <f t="shared" ca="1" si="27"/>
        <v>463.50916273304614</v>
      </c>
      <c r="BL31" s="23">
        <f t="shared" ca="1" si="19"/>
        <v>-0.21863748777809278</v>
      </c>
      <c r="BM31" s="23">
        <f t="shared" ca="1" si="20"/>
        <v>-7.0078191617545804E-2</v>
      </c>
      <c r="BN31" s="93" t="s">
        <v>81</v>
      </c>
      <c r="BO31" s="93" t="s">
        <v>186</v>
      </c>
      <c r="BP31" s="93" t="s">
        <v>187</v>
      </c>
    </row>
    <row r="32" spans="1:68" ht="15" customHeight="1" x14ac:dyDescent="0.25">
      <c r="A32" s="86" t="e" vm="29">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385.33</v>
      </c>
      <c r="H32" s="13">
        <f t="array" aca="1" ref="H32" ca="1">_FV(A32,"Acciones en circulación",TRUE())/1000000</f>
        <v>12116</v>
      </c>
      <c r="I32" s="14">
        <f t="shared" ca="1" si="25"/>
        <v>4668658.28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4573658.28</v>
      </c>
      <c r="AS32" s="19">
        <v>75000</v>
      </c>
      <c r="AT32" s="19">
        <v>95000</v>
      </c>
      <c r="AU32" s="19">
        <v>148000</v>
      </c>
      <c r="AV32" s="19">
        <v>350000</v>
      </c>
      <c r="AW32" s="20">
        <f t="shared" ca="1" si="9"/>
        <v>60.982110400000003</v>
      </c>
      <c r="AX32" s="20">
        <f t="shared" ca="1" si="10"/>
        <v>30.90309648648649</v>
      </c>
      <c r="AY32" s="20">
        <f t="shared" ca="1" si="11"/>
        <v>13.067595085714286</v>
      </c>
      <c r="AZ32" s="21">
        <v>350000</v>
      </c>
      <c r="BA32" s="22">
        <f t="shared" si="12"/>
        <v>0.27142857142857141</v>
      </c>
      <c r="BB32" s="22">
        <f t="shared" si="13"/>
        <v>1</v>
      </c>
      <c r="BC32" s="23">
        <f t="shared" si="14"/>
        <v>0.27142857142857141</v>
      </c>
      <c r="BD32" t="s">
        <v>188</v>
      </c>
      <c r="BE32" s="23">
        <f t="shared" si="15"/>
        <v>4.9999742905350697E-2</v>
      </c>
      <c r="BF32" t="s">
        <v>189</v>
      </c>
      <c r="BG32" s="23">
        <f t="shared" si="16"/>
        <v>0.15000032161102084</v>
      </c>
      <c r="BH32" s="24">
        <v>20</v>
      </c>
      <c r="BI32" s="24">
        <v>30</v>
      </c>
      <c r="BJ32" s="25">
        <f t="shared" ca="1" si="26"/>
        <v>165.84846483988116</v>
      </c>
      <c r="BK32" s="25">
        <f t="shared" ca="1" si="27"/>
        <v>381.36018487949821</v>
      </c>
      <c r="BL32" s="23">
        <f t="shared" ca="1" si="19"/>
        <v>-0.15515755125191266</v>
      </c>
      <c r="BM32" s="23">
        <f t="shared" ca="1" si="20"/>
        <v>-2.5856051303022598E-3</v>
      </c>
      <c r="BN32" s="93" t="s">
        <v>81</v>
      </c>
      <c r="BO32" s="93" t="s">
        <v>190</v>
      </c>
      <c r="BP32" s="93" t="s">
        <v>88</v>
      </c>
    </row>
    <row r="33" spans="1:68" ht="15" customHeight="1" x14ac:dyDescent="0.25">
      <c r="A33" s="86" t="e" vm="30">
        <v>#VALUE!</v>
      </c>
      <c r="B33" s="10" t="str">
        <f t="array" aca="1" ref="B33" ca="1">_FV(A33,"Símbolo bursátil",TRUE())</f>
        <v>ABBNE</v>
      </c>
      <c r="C33" s="88" t="s">
        <v>127</v>
      </c>
      <c r="D33" s="88" t="s">
        <v>77</v>
      </c>
      <c r="E33" s="11" t="str">
        <f t="array" aca="1" ref="E33" ca="1">_FV(A33,"Abreviatura de intercambio",TRUE())</f>
        <v>XSWX</v>
      </c>
      <c r="F33" s="11" t="str">
        <f t="array" aca="1" ref="F33" ca="1">_FV(A33,"Moneda")</f>
        <v>CHF</v>
      </c>
      <c r="G33" s="12">
        <f t="array" aca="1" ref="G33" ca="1">_FV(A33,"Precio")</f>
        <v>79.38</v>
      </c>
      <c r="H33" s="13">
        <f t="array" aca="1" ref="H33" ca="1">_FV(A33,"Acciones en circulación",TRUE())/1000000</f>
        <v>1823.154</v>
      </c>
      <c r="I33" s="14">
        <f t="shared" ca="1" si="25"/>
        <v>144721.96451999998</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185804.84026103196</v>
      </c>
      <c r="AS33" s="19">
        <v>4200</v>
      </c>
      <c r="AT33" s="19">
        <v>4500</v>
      </c>
      <c r="AU33" s="19">
        <v>6200</v>
      </c>
      <c r="AV33" s="19">
        <v>33500</v>
      </c>
      <c r="AW33" s="20">
        <f t="shared" ca="1" si="9"/>
        <v>44.239247681198087</v>
      </c>
      <c r="AX33" s="20">
        <f t="shared" ca="1" si="10"/>
        <v>29.968522622747091</v>
      </c>
      <c r="AY33" s="20">
        <f t="shared" ca="1" si="11"/>
        <v>5.5464131421203566</v>
      </c>
      <c r="AZ33" s="21">
        <v>22000</v>
      </c>
      <c r="BA33" s="22">
        <f t="shared" si="12"/>
        <v>0.13432835820895522</v>
      </c>
      <c r="BB33" s="22">
        <f t="shared" si="13"/>
        <v>1.5227272727272727</v>
      </c>
      <c r="BC33" s="23">
        <f t="shared" si="14"/>
        <v>0.20454545454545453</v>
      </c>
      <c r="BD33" t="s">
        <v>191</v>
      </c>
      <c r="BE33" s="23">
        <f t="shared" si="15"/>
        <v>4.0002353139918068E-2</v>
      </c>
      <c r="BF33" t="s">
        <v>192</v>
      </c>
      <c r="BG33" s="23">
        <f t="shared" si="16"/>
        <v>0.12000499121039754</v>
      </c>
      <c r="BH33" s="24">
        <v>14</v>
      </c>
      <c r="BI33" s="24">
        <v>25</v>
      </c>
      <c r="BJ33" s="25">
        <f ca="1">((BD33*BH33+$AP33-$AQ33)/$H33)/'Framework Notes'!E5</f>
        <v>29.897711332639883</v>
      </c>
      <c r="BK33" s="25">
        <f ca="1">((BF33*BI33+$AP33-$AQ33)/$H33)/'Framework Notes'!E5</f>
        <v>79.053117088259143</v>
      </c>
      <c r="BL33" s="23">
        <f t="shared" ca="1" si="19"/>
        <v>-0.17740631721761912</v>
      </c>
      <c r="BM33" s="23">
        <f t="shared" ca="1" si="20"/>
        <v>-1.0310812251596024E-3</v>
      </c>
      <c r="BN33" s="93" t="s">
        <v>81</v>
      </c>
      <c r="BO33" s="93" t="s">
        <v>193</v>
      </c>
      <c r="BP33" s="93" t="s">
        <v>194</v>
      </c>
    </row>
    <row r="34" spans="1:68" ht="15" customHeight="1" x14ac:dyDescent="0.25">
      <c r="A34" s="86" t="e" vm="31">
        <v>#VALUE!</v>
      </c>
      <c r="B34" s="10" t="str">
        <f t="array" aca="1" ref="B34" ca="1">_FV(A34,"Símbolo bursátil",TRUE())</f>
        <v>GRMN</v>
      </c>
      <c r="C34" s="88" t="s">
        <v>195</v>
      </c>
      <c r="D34" s="88" t="s">
        <v>77</v>
      </c>
      <c r="E34" s="11" t="str">
        <f t="array" aca="1" ref="E34" ca="1">_FV(A34,"Abreviatura de intercambio",TRUE())</f>
        <v>XNYS</v>
      </c>
      <c r="F34" s="11" t="str">
        <f t="array" aca="1" ref="F34" ca="1">_FV(A34,"Moneda")</f>
        <v>USD</v>
      </c>
      <c r="G34" s="12">
        <f t="array" aca="1" ref="G34" ca="1">_FV(A34,"Precio")</f>
        <v>230.065</v>
      </c>
      <c r="H34" s="13">
        <f t="array" aca="1" ref="H34" ca="1">_FV(A34,"Acciones en circulación",TRUE())/1000000</f>
        <v>192.8562</v>
      </c>
      <c r="I34" s="14">
        <f t="shared" ca="1" si="25"/>
        <v>44369.461652999998</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40869.461652999998</v>
      </c>
      <c r="AS34" s="19">
        <v>1300</v>
      </c>
      <c r="AT34" s="19">
        <v>1200</v>
      </c>
      <c r="AU34" s="19">
        <v>1650</v>
      </c>
      <c r="AV34" s="19">
        <v>6300</v>
      </c>
      <c r="AW34" s="20">
        <f t="shared" ca="1" si="9"/>
        <v>31.438047425384614</v>
      </c>
      <c r="AX34" s="20">
        <f t="shared" ca="1" si="10"/>
        <v>24.769370698787878</v>
      </c>
      <c r="AY34" s="20">
        <f t="shared" ca="1" si="11"/>
        <v>6.4872161353968254</v>
      </c>
      <c r="AZ34" s="21">
        <v>4800</v>
      </c>
      <c r="BA34" s="22">
        <f t="shared" si="12"/>
        <v>0.19047619047619047</v>
      </c>
      <c r="BB34" s="22">
        <f t="shared" si="13"/>
        <v>1.3125</v>
      </c>
      <c r="BC34" s="23">
        <f t="shared" si="14"/>
        <v>0.25</v>
      </c>
      <c r="BD34" t="s">
        <v>196</v>
      </c>
      <c r="BE34" s="23">
        <f t="shared" si="15"/>
        <v>4.004618516068903E-2</v>
      </c>
      <c r="BF34" t="s">
        <v>197</v>
      </c>
      <c r="BG34" s="23">
        <f t="shared" si="16"/>
        <v>0.12998436153517012</v>
      </c>
      <c r="BH34" s="24">
        <v>18</v>
      </c>
      <c r="BI34" s="24">
        <v>26</v>
      </c>
      <c r="BJ34" s="25">
        <f ca="1">(BD34*BH34+$AP34-$AQ34)/$H34</f>
        <v>165.80229207046494</v>
      </c>
      <c r="BK34" s="25">
        <f ca="1">(BF34*BI34+$AP34-$AQ34)/$H34</f>
        <v>341.03129689374776</v>
      </c>
      <c r="BL34" s="23">
        <f t="shared" ca="1" si="19"/>
        <v>-6.341328082157438E-2</v>
      </c>
      <c r="BM34" s="23">
        <f t="shared" ca="1" si="20"/>
        <v>0.1034074721678333</v>
      </c>
      <c r="BN34" s="93" t="s">
        <v>81</v>
      </c>
      <c r="BO34" s="93" t="s">
        <v>198</v>
      </c>
      <c r="BP34" s="93" t="s">
        <v>88</v>
      </c>
    </row>
    <row r="35" spans="1:68" ht="15" customHeight="1" x14ac:dyDescent="0.25">
      <c r="A35" s="86" t="e" vm="32">
        <v>#VALUE!</v>
      </c>
      <c r="B35" s="10" t="str">
        <f t="array" aca="1" ref="B35" ca="1">_FV(A35,"Símbolo bursátil",TRUE())</f>
        <v>KRX</v>
      </c>
      <c r="C35" s="88" t="s">
        <v>199</v>
      </c>
      <c r="D35" s="88" t="s">
        <v>77</v>
      </c>
      <c r="E35" s="11" t="str">
        <f t="array" aca="1" ref="E35" ca="1">_FV(A35,"Abreviatura de intercambio",TRUE())</f>
        <v>XFRA</v>
      </c>
      <c r="F35" s="11" t="str">
        <f t="array" aca="1" ref="F35" ca="1">_FV(A35,"Moneda")</f>
        <v>EUR</v>
      </c>
      <c r="G35" s="12">
        <f t="array" aca="1" ref="G35" ca="1">_FV(A35,"Precio")</f>
        <v>72.95</v>
      </c>
      <c r="H35" s="13">
        <f t="array" aca="1" ref="H35" ca="1">_FV(A35,"Acciones en circulación",TRUE())/1000000</f>
        <v>180.3391</v>
      </c>
      <c r="I35" s="14">
        <f t="shared" ca="1" si="25"/>
        <v>13155.737345000001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90</v>
      </c>
      <c r="AP35" s="19">
        <v>800</v>
      </c>
      <c r="AQ35" s="19">
        <v>2800</v>
      </c>
      <c r="AR35" s="19">
        <f ca="1">I35-AP35+AQ35</f>
        <v>15155.737345000001</v>
      </c>
      <c r="AS35" s="19">
        <v>600</v>
      </c>
      <c r="AT35" s="19">
        <v>700</v>
      </c>
      <c r="AU35" s="19">
        <v>1200</v>
      </c>
      <c r="AV35" s="19">
        <v>9200</v>
      </c>
      <c r="AW35" s="20">
        <f t="shared" ca="1" si="9"/>
        <v>25.259562241666668</v>
      </c>
      <c r="AX35" s="20">
        <f t="shared" ca="1" si="10"/>
        <v>12.629781120833334</v>
      </c>
      <c r="AY35" s="20">
        <f t="shared" ca="1" si="11"/>
        <v>1.6473627548913046</v>
      </c>
      <c r="AZ35" s="21">
        <v>6500</v>
      </c>
      <c r="BA35" s="22">
        <f t="shared" si="12"/>
        <v>7.6086956521739135E-2</v>
      </c>
      <c r="BB35" s="22">
        <f t="shared" si="13"/>
        <v>1.4153846153846155</v>
      </c>
      <c r="BC35" s="23">
        <f t="shared" si="14"/>
        <v>0.1076923076923077</v>
      </c>
      <c r="BD35" t="s">
        <v>200</v>
      </c>
      <c r="BE35" s="23">
        <f t="shared" si="15"/>
        <v>4.0002353139918068E-2</v>
      </c>
      <c r="BF35" t="s">
        <v>201</v>
      </c>
      <c r="BG35" s="23">
        <f t="shared" si="16"/>
        <v>0.15003538696572605</v>
      </c>
      <c r="BH35" s="24">
        <v>14</v>
      </c>
      <c r="BI35" s="24">
        <v>22</v>
      </c>
      <c r="BJ35" s="25">
        <f ca="1">(BD35*BH35+$AP35-$AQ35)/$H35</f>
        <v>45.580797508693344</v>
      </c>
      <c r="BK35" s="25">
        <f ca="1">(BF35*BI35+$AP35-$AQ35)/$H35</f>
        <v>136.15461095236697</v>
      </c>
      <c r="BL35" s="23">
        <f t="shared" ca="1" si="19"/>
        <v>-8.9769623826624345E-2</v>
      </c>
      <c r="BM35" s="23">
        <f t="shared" ca="1" si="20"/>
        <v>0.16883111517589322</v>
      </c>
      <c r="BN35" s="93" t="s">
        <v>81</v>
      </c>
      <c r="BO35" s="93" t="s">
        <v>202</v>
      </c>
      <c r="BP35" s="93" t="s">
        <v>138</v>
      </c>
    </row>
    <row r="36" spans="1:68" ht="15" customHeight="1" x14ac:dyDescent="0.25">
      <c r="A36" s="86" t="e" vm="33">
        <v>#VALUE!</v>
      </c>
      <c r="B36" s="10" t="str">
        <f t="array" aca="1" ref="B36" ca="1">_FV(A36,"Símbolo bursátil",TRUE())</f>
        <v>KSPI</v>
      </c>
      <c r="C36" s="88" t="s">
        <v>89</v>
      </c>
      <c r="D36" s="88" t="s">
        <v>115</v>
      </c>
      <c r="E36" s="11" t="str">
        <f t="array" aca="1" ref="E36" ca="1">_FV(A36,"Abreviatura de intercambio",TRUE())</f>
        <v>XNAS</v>
      </c>
      <c r="F36" s="11" t="str">
        <f t="array" aca="1" ref="F36" ca="1">_FV(A36,"Moneda")</f>
        <v>USD</v>
      </c>
      <c r="G36" s="12">
        <f t="array" aca="1" ref="G36" ca="1">_FV(A36,"Precio")</f>
        <v>89.52</v>
      </c>
      <c r="H36" s="13">
        <f t="array" aca="1" ref="H36" ca="1">_FV(A36,"Acciones en circulación",TRUE())/1000000</f>
        <v>189.33349999999999</v>
      </c>
      <c r="I36" s="14">
        <f t="shared" ca="1" si="25"/>
        <v>16949.134919999997</v>
      </c>
      <c r="J36" s="90">
        <v>1</v>
      </c>
      <c r="K36" s="90">
        <v>7</v>
      </c>
      <c r="L36" s="90">
        <v>2</v>
      </c>
      <c r="M36" s="90">
        <v>1</v>
      </c>
      <c r="N36" s="90">
        <v>-2</v>
      </c>
      <c r="O36" s="90">
        <v>0</v>
      </c>
      <c r="P36" s="90">
        <v>1</v>
      </c>
      <c r="Q36" s="90">
        <v>1</v>
      </c>
      <c r="R36" s="15">
        <f t="shared" ref="R36:R65" si="28">SUM(J36:Q36)</f>
        <v>11</v>
      </c>
      <c r="S36" s="16">
        <f t="shared" ref="S36:S65" si="29">ROUND(R36/17*10,2)</f>
        <v>6.47</v>
      </c>
      <c r="T36" s="90">
        <v>15</v>
      </c>
      <c r="U36" s="90">
        <v>16</v>
      </c>
      <c r="V36" s="90">
        <v>10</v>
      </c>
      <c r="W36" s="90">
        <v>7</v>
      </c>
      <c r="X36" s="90">
        <v>8</v>
      </c>
      <c r="Y36" s="90">
        <v>11</v>
      </c>
      <c r="Z36" s="90">
        <v>10</v>
      </c>
      <c r="AA36" s="90">
        <v>-16</v>
      </c>
      <c r="AB36" s="15">
        <f t="shared" ref="AB36:AB65" si="30">SUM(T36:AA36)</f>
        <v>61</v>
      </c>
      <c r="AC36" s="16">
        <f t="shared" ref="AC36:AC65" si="31">ROUND(AB36/10,2)</f>
        <v>6.1</v>
      </c>
      <c r="AD36" s="90">
        <v>10</v>
      </c>
      <c r="AE36" s="90">
        <v>-6</v>
      </c>
      <c r="AF36" s="90">
        <v>8</v>
      </c>
      <c r="AG36" s="90">
        <v>12</v>
      </c>
      <c r="AH36" s="90">
        <v>3</v>
      </c>
      <c r="AI36" s="90">
        <v>9</v>
      </c>
      <c r="AJ36" s="90">
        <v>11</v>
      </c>
      <c r="AK36" s="90">
        <v>-9</v>
      </c>
      <c r="AL36" s="15">
        <f t="shared" ref="AL36:AL65" si="32">SUM(AD36:AK36)</f>
        <v>38</v>
      </c>
      <c r="AM36" s="16">
        <f t="shared" ref="AM36:AM65" si="33">ROUND(AL36/70*10,2)</f>
        <v>5.43</v>
      </c>
      <c r="AN36" s="17">
        <f t="shared" ref="AN36:AN65" si="34">ROUND((S36+AC36+AM36)/3,2)</f>
        <v>6</v>
      </c>
      <c r="AO36" s="18" t="s">
        <v>203</v>
      </c>
      <c r="AP36" s="19">
        <v>900000</v>
      </c>
      <c r="AQ36" s="19">
        <v>100000</v>
      </c>
      <c r="AR36" s="19">
        <f ca="1">I36*'Framework Notes'!E6-AP36+AQ36</f>
        <v>7176771.3673995985</v>
      </c>
      <c r="AS36" s="19">
        <v>410000</v>
      </c>
      <c r="AT36" s="19">
        <v>420000</v>
      </c>
      <c r="AU36" s="19">
        <v>520000</v>
      </c>
      <c r="AV36" s="19">
        <v>1000000</v>
      </c>
      <c r="AW36" s="20">
        <f t="shared" ref="AW36:AW65" ca="1" si="35">AR36/AS36</f>
        <v>17.504320408291704</v>
      </c>
      <c r="AX36" s="20">
        <f t="shared" ref="AX36:AX65" ca="1" si="36">AR36/AU36</f>
        <v>13.801483398845381</v>
      </c>
      <c r="AY36" s="20">
        <f t="shared" ref="AY36:AY65" ca="1" si="37">AR36/AV36</f>
        <v>7.1767713673995983</v>
      </c>
      <c r="AZ36" s="21">
        <v>1800000</v>
      </c>
      <c r="BA36" s="22">
        <f t="shared" ref="BA36:BA65" si="38">AT36/AV36</f>
        <v>0.42</v>
      </c>
      <c r="BB36" s="22">
        <f t="shared" ref="BB36:BB65" si="39">AV36/AZ36</f>
        <v>0.55555555555555558</v>
      </c>
      <c r="BC36" s="23">
        <f t="shared" ref="BC36:BC65" si="40">BA36*BB36</f>
        <v>0.23333333333333334</v>
      </c>
      <c r="BD36" t="s">
        <v>204</v>
      </c>
      <c r="BE36" s="23">
        <f t="shared" ref="BE36:BE65" si="41">(BD36/AS36)^(1/5)-1</f>
        <v>6.9999922003442849E-2</v>
      </c>
      <c r="BF36" t="s">
        <v>205</v>
      </c>
      <c r="BG36" s="23">
        <f t="shared" ref="BG36:BG65" si="42">(BF36/AS36)^(1/5)-1</f>
        <v>0.19999995295091466</v>
      </c>
      <c r="BH36" s="24">
        <v>8</v>
      </c>
      <c r="BI36" s="24">
        <v>15</v>
      </c>
      <c r="BJ36" s="25">
        <f ca="1">((BD36*BH36+$AP36-$AQ36)/$H36)/'Framework Notes'!E6</f>
        <v>60.606092502009382</v>
      </c>
      <c r="BK36" s="25">
        <f ca="1">((BF36*BI36+$AP36-$AQ36)/$H36)/'Framework Notes'!E6</f>
        <v>180.71914868859307</v>
      </c>
      <c r="BL36" s="23">
        <f t="shared" ref="BL36:BL64" ca="1" si="43">($BJ36/G36)^(1/5)-1</f>
        <v>-7.5047901234522651E-2</v>
      </c>
      <c r="BM36" s="23">
        <f t="shared" ref="BM36:BM65" ca="1" si="44">(BK36/G36)^(1/4)-1</f>
        <v>0.19198564331280221</v>
      </c>
      <c r="BN36" s="93" t="s">
        <v>81</v>
      </c>
      <c r="BO36" s="93" t="s">
        <v>206</v>
      </c>
      <c r="BP36" s="93" t="s">
        <v>207</v>
      </c>
    </row>
    <row r="37" spans="1:68" ht="15" customHeight="1" x14ac:dyDescent="0.25">
      <c r="A37" s="86" t="e" vm="34">
        <v>#VALUE!</v>
      </c>
      <c r="B37" s="10" t="str">
        <f t="array" aca="1" ref="B37" ca="1">_FV(A37,"Símbolo bursátil",TRUE())</f>
        <v>CBAV</v>
      </c>
      <c r="C37" s="88" t="s">
        <v>139</v>
      </c>
      <c r="D37" s="88" t="s">
        <v>77</v>
      </c>
      <c r="E37" s="11" t="str">
        <f t="array" aca="1" ref="E37" ca="1">_FV(A37,"Abreviatura de intercambio",TRUE())</f>
        <v>BMEX</v>
      </c>
      <c r="F37" s="11" t="str">
        <f t="array" aca="1" ref="F37" ca="1">_FV(A37,"Moneda")</f>
        <v>EUR</v>
      </c>
      <c r="G37" s="12">
        <f t="array" aca="1" ref="G37" ca="1">_FV(A37,"Precio")</f>
        <v>55.2</v>
      </c>
      <c r="H37" s="13">
        <f t="array" aca="1" ref="H37" ca="1">_FV(A37,"Acciones en circulación",TRUE())/1000000</f>
        <v>16.307580000000002</v>
      </c>
      <c r="I37" s="14">
        <f t="shared" ca="1" si="25"/>
        <v>900.17841600000008</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90</v>
      </c>
      <c r="AP37" s="19">
        <v>45</v>
      </c>
      <c r="AQ37" s="19">
        <v>70</v>
      </c>
      <c r="AR37" s="19">
        <f ca="1">I37-AP37+AQ37</f>
        <v>925.17841600000008</v>
      </c>
      <c r="AS37" s="19">
        <v>42</v>
      </c>
      <c r="AT37" s="19">
        <v>35</v>
      </c>
      <c r="AU37" s="19">
        <v>62</v>
      </c>
      <c r="AV37" s="19">
        <v>290</v>
      </c>
      <c r="AW37" s="20">
        <f t="shared" ca="1" si="35"/>
        <v>22.028057523809526</v>
      </c>
      <c r="AX37" s="20">
        <f t="shared" ca="1" si="36"/>
        <v>14.922232516129034</v>
      </c>
      <c r="AY37" s="20">
        <f t="shared" ca="1" si="37"/>
        <v>3.1902704000000002</v>
      </c>
      <c r="AZ37" s="21">
        <v>220</v>
      </c>
      <c r="BA37" s="22">
        <f t="shared" si="38"/>
        <v>0.1206896551724138</v>
      </c>
      <c r="BB37" s="22">
        <f t="shared" si="39"/>
        <v>1.3181818181818181</v>
      </c>
      <c r="BC37" s="23">
        <f t="shared" si="40"/>
        <v>0.15909090909090909</v>
      </c>
      <c r="BD37" t="s">
        <v>208</v>
      </c>
      <c r="BE37" s="23">
        <f t="shared" si="41"/>
        <v>5.9223841048812176E-2</v>
      </c>
      <c r="BF37" t="s">
        <v>209</v>
      </c>
      <c r="BG37" s="23">
        <f t="shared" si="42"/>
        <v>0.16978946918768023</v>
      </c>
      <c r="BH37" s="24">
        <v>12</v>
      </c>
      <c r="BI37" s="24">
        <v>16.5</v>
      </c>
      <c r="BJ37" s="25">
        <f ca="1">(BD37*BH37+$AP37-$AQ37)/$H37</f>
        <v>39.674801534010562</v>
      </c>
      <c r="BK37" s="25">
        <f ca="1">(BF37*BI37+$AP37-$AQ37)/$H37</f>
        <v>91.552517295637969</v>
      </c>
      <c r="BL37" s="23">
        <f t="shared" ca="1" si="43"/>
        <v>-6.3915321239418565E-2</v>
      </c>
      <c r="BM37" s="23">
        <f t="shared" ca="1" si="44"/>
        <v>0.13483521283755318</v>
      </c>
      <c r="BN37" s="93" t="s">
        <v>81</v>
      </c>
      <c r="BO37" s="94" t="s">
        <v>118</v>
      </c>
      <c r="BP37" s="93" t="s">
        <v>171</v>
      </c>
    </row>
    <row r="38" spans="1:68" ht="15" customHeight="1" x14ac:dyDescent="0.25">
      <c r="A38" s="86" t="e" vm="35">
        <v>#VALUE!</v>
      </c>
      <c r="B38" s="10" t="str">
        <f t="array" aca="1" ref="B38" ca="1">_FV(A38,"Símbolo bursátil",TRUE())</f>
        <v>NVDA</v>
      </c>
      <c r="C38" s="88" t="s">
        <v>210</v>
      </c>
      <c r="D38" s="88" t="s">
        <v>115</v>
      </c>
      <c r="E38" s="11" t="str">
        <f t="array" aca="1" ref="E38" ca="1">_FV(A38,"Abreviatura de intercambio",TRUE())</f>
        <v>XNAS</v>
      </c>
      <c r="F38" s="11" t="str">
        <f t="array" aca="1" ref="F38" ca="1">_FV(A38,"Moneda")</f>
        <v>USD</v>
      </c>
      <c r="G38" s="12">
        <f t="array" aca="1" ref="G38" ca="1">_FV(A38,"Precio")</f>
        <v>221.90010000000001</v>
      </c>
      <c r="H38" s="13">
        <f t="array" aca="1" ref="H38" ca="1">_FV(A38,"Acciones en circulación",TRUE())/1000000</f>
        <v>24220.53</v>
      </c>
      <c r="I38" s="14">
        <f t="shared" ca="1" si="25"/>
        <v>5374538.0290529998</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5344538.0290529998</v>
      </c>
      <c r="AS38" s="19">
        <v>60000</v>
      </c>
      <c r="AT38" s="19">
        <v>75000</v>
      </c>
      <c r="AU38" s="19">
        <v>90000</v>
      </c>
      <c r="AV38" s="19">
        <v>130000</v>
      </c>
      <c r="AW38" s="20">
        <f t="shared" ca="1" si="35"/>
        <v>89.075633817549999</v>
      </c>
      <c r="AX38" s="20">
        <f t="shared" ca="1" si="36"/>
        <v>59.383755878366664</v>
      </c>
      <c r="AY38" s="20">
        <f t="shared" ca="1" si="37"/>
        <v>41.111830992715383</v>
      </c>
      <c r="AZ38" s="21">
        <v>90000</v>
      </c>
      <c r="BA38" s="22">
        <f t="shared" si="38"/>
        <v>0.57692307692307687</v>
      </c>
      <c r="BB38" s="22">
        <f t="shared" si="39"/>
        <v>1.4444444444444444</v>
      </c>
      <c r="BC38" s="23">
        <f t="shared" si="40"/>
        <v>0.83333333333333326</v>
      </c>
      <c r="BD38" t="s">
        <v>211</v>
      </c>
      <c r="BE38" s="23">
        <f t="shared" si="41"/>
        <v>8.0000772740678627E-2</v>
      </c>
      <c r="BF38" t="s">
        <v>212</v>
      </c>
      <c r="BG38" s="23">
        <f t="shared" si="42"/>
        <v>0.32000015965084327</v>
      </c>
      <c r="BH38" s="24">
        <v>20</v>
      </c>
      <c r="BI38" s="24">
        <v>30</v>
      </c>
      <c r="BJ38" s="25">
        <f ca="1">(BD38*BH38+$AP38-$AQ38)/$H38</f>
        <v>74.036365017611089</v>
      </c>
      <c r="BK38" s="25">
        <f ca="1">(BF38*BI38+$AP38-$AQ38)/$H38</f>
        <v>299.06199410169802</v>
      </c>
      <c r="BL38" s="23">
        <f t="shared" ca="1" si="43"/>
        <v>-0.19710728387257681</v>
      </c>
      <c r="BM38" s="23">
        <f t="shared" ca="1" si="44"/>
        <v>7.7459442978258242E-2</v>
      </c>
      <c r="BN38" s="93" t="s">
        <v>81</v>
      </c>
      <c r="BO38" s="93" t="s">
        <v>213</v>
      </c>
      <c r="BP38" s="93" t="s">
        <v>214</v>
      </c>
    </row>
    <row r="39" spans="1:68" ht="15" customHeight="1" x14ac:dyDescent="0.25">
      <c r="A39" s="86" t="e" vm="36">
        <v>#VALUE!</v>
      </c>
      <c r="B39" s="10" t="str">
        <f t="array" aca="1" ref="B39" ca="1">_FV(A39,"Símbolo bursátil",TRUE())</f>
        <v>COR</v>
      </c>
      <c r="C39" s="88" t="s">
        <v>215</v>
      </c>
      <c r="D39" s="88" t="s">
        <v>100</v>
      </c>
      <c r="E39" s="11" t="str">
        <f t="array" aca="1" ref="E39" ca="1">_FV(A39,"Abreviatura de intercambio",TRUE())</f>
        <v>XLIS</v>
      </c>
      <c r="F39" s="11" t="str">
        <f t="array" aca="1" ref="F39" ca="1">_FV(A39,"Moneda")</f>
        <v>EUR</v>
      </c>
      <c r="G39" s="12">
        <f t="array" aca="1" ref="G39" ca="1">_FV(A39,"Precio")</f>
        <v>6.91</v>
      </c>
      <c r="H39" s="13">
        <f t="array" aca="1" ref="H39" ca="1">_FV(A39,"Acciones en circulación",TRUE())/1000000</f>
        <v>133</v>
      </c>
      <c r="I39" s="14">
        <f t="shared" ca="1" si="25"/>
        <v>919.03</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90</v>
      </c>
      <c r="AP39" s="19">
        <v>40</v>
      </c>
      <c r="AQ39" s="19">
        <v>140</v>
      </c>
      <c r="AR39" s="19">
        <f ca="1">I39-AP39+AQ39</f>
        <v>1019.03</v>
      </c>
      <c r="AS39" s="19">
        <v>80</v>
      </c>
      <c r="AT39" s="19">
        <v>100</v>
      </c>
      <c r="AU39" s="19">
        <v>170</v>
      </c>
      <c r="AV39" s="19">
        <v>900</v>
      </c>
      <c r="AW39" s="20">
        <f t="shared" ca="1" si="35"/>
        <v>12.737874999999999</v>
      </c>
      <c r="AX39" s="20">
        <f t="shared" ca="1" si="36"/>
        <v>5.9942941176470583</v>
      </c>
      <c r="AY39" s="20">
        <f t="shared" ca="1" si="37"/>
        <v>1.1322555555555556</v>
      </c>
      <c r="AZ39" s="21">
        <v>750</v>
      </c>
      <c r="BA39" s="22">
        <f t="shared" si="38"/>
        <v>0.1111111111111111</v>
      </c>
      <c r="BB39" s="22">
        <f t="shared" si="39"/>
        <v>1.2</v>
      </c>
      <c r="BC39" s="23">
        <f t="shared" si="40"/>
        <v>0.13333333333333333</v>
      </c>
      <c r="BD39" t="s">
        <v>216</v>
      </c>
      <c r="BE39" s="23">
        <f t="shared" si="41"/>
        <v>0</v>
      </c>
      <c r="BF39" t="s">
        <v>217</v>
      </c>
      <c r="BG39" s="23">
        <f t="shared" si="42"/>
        <v>8.9840705850404712E-2</v>
      </c>
      <c r="BH39" s="24">
        <v>8.5</v>
      </c>
      <c r="BI39" s="24">
        <v>12</v>
      </c>
      <c r="BJ39" s="25">
        <f ca="1">(BD39*BH39+$AP39-$AQ39)/$H39</f>
        <v>4.3609022556390977</v>
      </c>
      <c r="BK39" s="25">
        <f ca="1">(BF39*BI39+$AP39-$AQ39)/$H39</f>
        <v>10.345864661654135</v>
      </c>
      <c r="BL39" s="23">
        <f t="shared" ca="1" si="43"/>
        <v>-8.794787185922881E-2</v>
      </c>
      <c r="BM39" s="23">
        <f t="shared" ca="1" si="44"/>
        <v>0.10617079067082402</v>
      </c>
      <c r="BN39" s="93" t="s">
        <v>81</v>
      </c>
      <c r="BO39" s="94" t="s">
        <v>218</v>
      </c>
      <c r="BP39" s="93" t="s">
        <v>180</v>
      </c>
    </row>
    <row r="40" spans="1:68" ht="15" customHeight="1" x14ac:dyDescent="0.25">
      <c r="A40" s="86" t="e" vm="37">
        <v>#VALUE!</v>
      </c>
      <c r="B40" s="10" t="str">
        <f t="array" aca="1" ref="B40" ca="1">_FV(A40,"Símbolo bursátil",TRUE())</f>
        <v>TSM</v>
      </c>
      <c r="C40" s="88" t="s">
        <v>210</v>
      </c>
      <c r="D40" s="88" t="s">
        <v>77</v>
      </c>
      <c r="E40" s="11" t="str">
        <f t="array" aca="1" ref="E40" ca="1">_FV(A40,"Abreviatura de intercambio",TRUE())</f>
        <v>XNYS</v>
      </c>
      <c r="F40" s="11" t="str">
        <f t="array" aca="1" ref="F40" ca="1">_FV(A40,"Moneda")</f>
        <v>USD</v>
      </c>
      <c r="G40" s="12">
        <f t="array" aca="1" ref="G40" ca="1">_FV(A40,"Precio")</f>
        <v>394.36</v>
      </c>
      <c r="H40" s="13">
        <f t="array" aca="1" ref="H40" ca="1">_FV(A40,"Acciones en circulación",TRUE())/1000000</f>
        <v>5186.5050000000001</v>
      </c>
      <c r="I40" s="14">
        <f t="shared" ca="1" si="25"/>
        <v>2045350.1118000001</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2015350.1118000001</v>
      </c>
      <c r="AS40" s="19">
        <v>35000</v>
      </c>
      <c r="AT40" s="19">
        <v>50000</v>
      </c>
      <c r="AU40" s="19">
        <v>75000</v>
      </c>
      <c r="AV40" s="19">
        <v>122400</v>
      </c>
      <c r="AW40" s="20">
        <f t="shared" ca="1" si="35"/>
        <v>57.581431765714285</v>
      </c>
      <c r="AX40" s="20">
        <f t="shared" ca="1" si="36"/>
        <v>26.871334824000002</v>
      </c>
      <c r="AY40" s="20">
        <f t="shared" ca="1" si="37"/>
        <v>16.465278691176472</v>
      </c>
      <c r="AZ40" s="21">
        <v>120000</v>
      </c>
      <c r="BA40" s="22">
        <f t="shared" si="38"/>
        <v>0.40849673202614378</v>
      </c>
      <c r="BB40" s="22">
        <f t="shared" si="39"/>
        <v>1.02</v>
      </c>
      <c r="BC40" s="23">
        <f t="shared" si="40"/>
        <v>0.41666666666666669</v>
      </c>
      <c r="BD40" t="s">
        <v>219</v>
      </c>
      <c r="BE40" s="23">
        <f t="shared" si="41"/>
        <v>7.9997972620447833E-2</v>
      </c>
      <c r="BF40" t="s">
        <v>220</v>
      </c>
      <c r="BG40" s="23">
        <f t="shared" si="42"/>
        <v>0.22000055273897212</v>
      </c>
      <c r="BH40" s="24">
        <v>14</v>
      </c>
      <c r="BI40" s="24">
        <v>22</v>
      </c>
      <c r="BJ40" s="25">
        <f ca="1">(BD40*BH40+$AP40-$AQ40)/$H40</f>
        <v>144.5991086483094</v>
      </c>
      <c r="BK40" s="25">
        <f ca="1">(BF40*BI40+$AP40-$AQ40)/$H40</f>
        <v>407.03518072382076</v>
      </c>
      <c r="BL40" s="23">
        <f t="shared" ca="1" si="43"/>
        <v>-0.18180927585216144</v>
      </c>
      <c r="BM40" s="23">
        <f t="shared" ca="1" si="44"/>
        <v>7.9402133942283459E-3</v>
      </c>
      <c r="BN40" s="93" t="s">
        <v>81</v>
      </c>
      <c r="BO40" s="93" t="s">
        <v>221</v>
      </c>
      <c r="BP40" s="93" t="s">
        <v>194</v>
      </c>
    </row>
    <row r="41" spans="1:68" ht="15" customHeight="1" x14ac:dyDescent="0.25">
      <c r="A41" s="86" t="e" vm="38">
        <v>#VALUE!</v>
      </c>
      <c r="B41" s="10" t="str">
        <f t="array" aca="1" ref="B41" ca="1">_FV(A41,"Símbolo bursátil",TRUE())</f>
        <v>SPOT</v>
      </c>
      <c r="C41" s="88" t="s">
        <v>131</v>
      </c>
      <c r="D41" s="88" t="s">
        <v>115</v>
      </c>
      <c r="E41" s="11" t="str">
        <f t="array" aca="1" ref="E41" ca="1">_FV(A41,"Abreviatura de intercambio",TRUE())</f>
        <v>XNYS</v>
      </c>
      <c r="F41" s="11" t="str">
        <f t="array" aca="1" ref="F41" ca="1">_FV(A41,"Moneda")</f>
        <v>USD</v>
      </c>
      <c r="G41" s="12">
        <f t="array" aca="1" ref="G41" ca="1">_FV(A41,"Precio")</f>
        <v>438.24</v>
      </c>
      <c r="H41" s="13">
        <f t="array" aca="1" ref="H41" ca="1">_FV(A41,"Acciones en circulación",TRUE())/1000000</f>
        <v>209.7413</v>
      </c>
      <c r="I41" s="14">
        <f t="shared" ca="1" si="25"/>
        <v>91917.027312000006</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90</v>
      </c>
      <c r="AP41" s="19">
        <v>5000</v>
      </c>
      <c r="AQ41" s="19">
        <v>10000</v>
      </c>
      <c r="AR41" s="19">
        <f ca="1">I41*'Framework Notes'!E8-AP41+AQ41</f>
        <v>84214.094137481603</v>
      </c>
      <c r="AS41" s="19">
        <v>4000</v>
      </c>
      <c r="AT41" s="19">
        <v>4500</v>
      </c>
      <c r="AU41" s="19">
        <v>7500</v>
      </c>
      <c r="AV41" s="19">
        <v>30000</v>
      </c>
      <c r="AW41" s="20">
        <f t="shared" ca="1" si="35"/>
        <v>21.053523534370402</v>
      </c>
      <c r="AX41" s="20">
        <f t="shared" ca="1" si="36"/>
        <v>11.228545884997548</v>
      </c>
      <c r="AY41" s="20">
        <f t="shared" ca="1" si="37"/>
        <v>2.8071364712493869</v>
      </c>
      <c r="AZ41" s="21">
        <v>25000</v>
      </c>
      <c r="BA41" s="22">
        <f t="shared" si="38"/>
        <v>0.15</v>
      </c>
      <c r="BB41" s="22">
        <f t="shared" si="39"/>
        <v>1.2</v>
      </c>
      <c r="BC41" s="23">
        <f t="shared" si="40"/>
        <v>0.18</v>
      </c>
      <c r="BD41" t="s">
        <v>222</v>
      </c>
      <c r="BE41" s="23">
        <f t="shared" si="41"/>
        <v>2.9995722023716587E-2</v>
      </c>
      <c r="BF41" t="s">
        <v>223</v>
      </c>
      <c r="BG41" s="23">
        <f t="shared" si="42"/>
        <v>9.9998633969696549E-2</v>
      </c>
      <c r="BH41" s="24">
        <v>18</v>
      </c>
      <c r="BI41" s="24">
        <v>25</v>
      </c>
      <c r="BJ41" s="25">
        <f ca="1">((BD41*BH41+$AP41-$AQ41)/$H41)/'Framework Notes'!E8</f>
        <v>434.1012822834162</v>
      </c>
      <c r="BK41" s="25">
        <f ca="1">((BF41*BI41+$AP41-$AQ41)/$H41)/'Framework Notes'!E8</f>
        <v>863.32303291014057</v>
      </c>
      <c r="BL41" s="23">
        <f t="shared" ca="1" si="43"/>
        <v>-1.8959662457834758E-3</v>
      </c>
      <c r="BM41" s="23">
        <f t="shared" ca="1" si="44"/>
        <v>0.18471893092662084</v>
      </c>
      <c r="BN41" s="93" t="s">
        <v>81</v>
      </c>
      <c r="BO41" s="93" t="s">
        <v>183</v>
      </c>
      <c r="BP41" s="93" t="s">
        <v>147</v>
      </c>
    </row>
    <row r="42" spans="1:68" ht="15" customHeight="1" x14ac:dyDescent="0.25">
      <c r="A42" s="86" t="e" vm="39">
        <v>#VALUE!</v>
      </c>
      <c r="B42" s="10" t="str">
        <f t="array" aca="1" ref="B42" ca="1">_FV(A42,"Símbolo bursátil",TRUE())</f>
        <v>PRY</v>
      </c>
      <c r="C42" s="88" t="s">
        <v>127</v>
      </c>
      <c r="D42" s="88" t="s">
        <v>77</v>
      </c>
      <c r="E42" s="11" t="str">
        <f t="array" aca="1" ref="E42" ca="1">_FV(A42,"Abreviatura de intercambio",TRUE())</f>
        <v>XMIL</v>
      </c>
      <c r="F42" s="11" t="str">
        <f t="array" aca="1" ref="F42" ca="1">_FV(A42,"Moneda")</f>
        <v>EUR</v>
      </c>
      <c r="G42" s="12">
        <f t="array" aca="1" ref="G42" ca="1">_FV(A42,"Precio")</f>
        <v>140.5</v>
      </c>
      <c r="H42" s="13">
        <f t="array" aca="1" ref="H42" ca="1">_FV(A42,"Acciones en circulación",TRUE())/1000000</f>
        <v>296.40379999999999</v>
      </c>
      <c r="I42" s="14">
        <f t="shared" ca="1" si="25"/>
        <v>41644.733899999999</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90</v>
      </c>
      <c r="AP42" s="19">
        <v>1800</v>
      </c>
      <c r="AQ42" s="19">
        <v>6000</v>
      </c>
      <c r="AR42" s="19">
        <f t="shared" ref="AR42:AR48" ca="1" si="45">I42-AP42+AQ42</f>
        <v>45844.733899999999</v>
      </c>
      <c r="AS42" s="19">
        <v>900</v>
      </c>
      <c r="AT42" s="19">
        <v>1050</v>
      </c>
      <c r="AU42" s="19">
        <v>1950</v>
      </c>
      <c r="AV42" s="19">
        <v>17500</v>
      </c>
      <c r="AW42" s="20">
        <f t="shared" ca="1" si="35"/>
        <v>50.938593222222224</v>
      </c>
      <c r="AX42" s="20">
        <f t="shared" ca="1" si="36"/>
        <v>23.51011994871795</v>
      </c>
      <c r="AY42" s="20">
        <f t="shared" ca="1" si="37"/>
        <v>2.6196990800000002</v>
      </c>
      <c r="AZ42" s="21">
        <v>9500</v>
      </c>
      <c r="BA42" s="22">
        <f t="shared" si="38"/>
        <v>0.06</v>
      </c>
      <c r="BB42" s="22">
        <f t="shared" si="39"/>
        <v>1.8421052631578947</v>
      </c>
      <c r="BC42" s="23">
        <f t="shared" si="40"/>
        <v>0.11052631578947368</v>
      </c>
      <c r="BD42" t="s">
        <v>224</v>
      </c>
      <c r="BE42" s="23">
        <f t="shared" si="41"/>
        <v>5.9929050622556934E-2</v>
      </c>
      <c r="BF42" t="s">
        <v>225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-0.15946363807643493</v>
      </c>
      <c r="BM42" s="23">
        <f t="shared" ca="1" si="44"/>
        <v>2.8856079868728735E-3</v>
      </c>
      <c r="BN42" s="93" t="s">
        <v>81</v>
      </c>
      <c r="BO42" s="93" t="s">
        <v>226</v>
      </c>
      <c r="BP42" s="93" t="s">
        <v>227</v>
      </c>
    </row>
    <row r="43" spans="1:68" ht="15" customHeight="1" x14ac:dyDescent="0.25">
      <c r="A43" s="86" t="e" vm="40">
        <v>#VALUE!</v>
      </c>
      <c r="B43" s="10" t="str">
        <f t="array" aca="1" ref="B43" ca="1">_FV(A43,"Símbolo bursátil",TRUE())</f>
        <v>JFN</v>
      </c>
      <c r="C43" s="88" t="s">
        <v>195</v>
      </c>
      <c r="D43" s="88" t="s">
        <v>100</v>
      </c>
      <c r="E43" s="11" t="str">
        <f t="array" aca="1" ref="E43" ca="1">_FV(A43,"Abreviatura de intercambio",TRUE())</f>
        <v>XSWX</v>
      </c>
      <c r="F43" s="11" t="str">
        <f t="array" aca="1" ref="F43" ca="1">_FV(A43,"Moneda")</f>
        <v>CHF</v>
      </c>
      <c r="G43" s="12">
        <f t="array" aca="1" ref="G43" ca="1">_FV(A43,"Precio")</f>
        <v>253.5</v>
      </c>
      <c r="H43" s="13">
        <f t="array" aca="1" ref="H43" ca="1">_FV(A43,"Acciones en circulación",TRUE())/1000000</f>
        <v>5.835</v>
      </c>
      <c r="I43" s="14">
        <f t="shared" ca="1" si="25"/>
        <v>1479.1724999999999</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172</v>
      </c>
      <c r="AP43" s="19">
        <v>75</v>
      </c>
      <c r="AQ43" s="19">
        <v>0</v>
      </c>
      <c r="AR43" s="19">
        <f t="shared" ca="1" si="45"/>
        <v>1404.1724999999999</v>
      </c>
      <c r="AS43" s="19">
        <v>75</v>
      </c>
      <c r="AT43" s="19">
        <v>78</v>
      </c>
      <c r="AU43" s="19">
        <v>138</v>
      </c>
      <c r="AV43" s="19">
        <v>306</v>
      </c>
      <c r="AW43" s="20">
        <f t="shared" ca="1" si="35"/>
        <v>18.722299999999997</v>
      </c>
      <c r="AX43" s="20">
        <f t="shared" ca="1" si="36"/>
        <v>10.175163043478261</v>
      </c>
      <c r="AY43" s="20">
        <f t="shared" ca="1" si="37"/>
        <v>4.5887990196078432</v>
      </c>
      <c r="AZ43" s="21">
        <v>450</v>
      </c>
      <c r="BA43" s="22">
        <f t="shared" si="38"/>
        <v>0.25490196078431371</v>
      </c>
      <c r="BB43" s="22">
        <f t="shared" si="39"/>
        <v>0.68</v>
      </c>
      <c r="BC43" s="23">
        <f t="shared" si="40"/>
        <v>0.17333333333333334</v>
      </c>
      <c r="BD43" t="s">
        <v>228</v>
      </c>
      <c r="BE43" s="23">
        <f t="shared" si="41"/>
        <v>-6.0146235650011426E-2</v>
      </c>
      <c r="BF43" t="s">
        <v>229</v>
      </c>
      <c r="BG43" s="23">
        <f t="shared" si="42"/>
        <v>5.2773380130115566E-3</v>
      </c>
      <c r="BH43" s="24">
        <v>15</v>
      </c>
      <c r="BI43" s="24">
        <v>22</v>
      </c>
      <c r="BJ43" s="25">
        <f t="shared" ca="1" si="46"/>
        <v>154.24164524421593</v>
      </c>
      <c r="BK43" s="25">
        <f t="shared" ca="1" si="47"/>
        <v>303.17052270779777</v>
      </c>
      <c r="BL43" s="23">
        <f t="shared" ca="1" si="43"/>
        <v>-9.4591146148626626E-2</v>
      </c>
      <c r="BM43" s="23">
        <f t="shared" ca="1" si="44"/>
        <v>4.5748504586241134E-2</v>
      </c>
      <c r="BN43" s="93" t="s">
        <v>81</v>
      </c>
      <c r="BO43" s="93" t="s">
        <v>230</v>
      </c>
      <c r="BP43" s="93" t="s">
        <v>231</v>
      </c>
    </row>
    <row r="44" spans="1:68" ht="15" customHeight="1" x14ac:dyDescent="0.25">
      <c r="A44" s="86" t="e" vm="41">
        <v>#VALUE!</v>
      </c>
      <c r="B44" s="10" t="str">
        <f t="array" aca="1" ref="B44" ca="1">_FV(A44,"Símbolo bursátil",TRUE())</f>
        <v>CPR</v>
      </c>
      <c r="C44" s="88" t="s">
        <v>215</v>
      </c>
      <c r="D44" s="88" t="s">
        <v>100</v>
      </c>
      <c r="E44" s="11" t="str">
        <f t="array" aca="1" ref="E44" ca="1">_FV(A44,"Abreviatura de intercambio",TRUE())</f>
        <v>XMIL</v>
      </c>
      <c r="F44" s="11" t="str">
        <f t="array" aca="1" ref="F44" ca="1">_FV(A44,"Moneda")</f>
        <v>EUR</v>
      </c>
      <c r="G44" s="12">
        <f t="array" aca="1" ref="G44" ca="1">_FV(A44,"Precio")</f>
        <v>5.52</v>
      </c>
      <c r="H44" s="13">
        <f t="array" aca="1" ref="H44" ca="1">_FV(A44,"Acciones en circulación",TRUE())/1000000</f>
        <v>1231.268</v>
      </c>
      <c r="I44" s="14">
        <f t="shared" ca="1" si="25"/>
        <v>6796.5993599999993</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90</v>
      </c>
      <c r="AP44" s="19">
        <v>800</v>
      </c>
      <c r="AQ44" s="19">
        <v>4200</v>
      </c>
      <c r="AR44" s="19">
        <f t="shared" ca="1" si="45"/>
        <v>10196.59936</v>
      </c>
      <c r="AS44" s="19">
        <v>300</v>
      </c>
      <c r="AT44" s="19">
        <v>420</v>
      </c>
      <c r="AU44" s="19">
        <v>700</v>
      </c>
      <c r="AV44" s="19">
        <v>3100</v>
      </c>
      <c r="AW44" s="20">
        <f t="shared" ca="1" si="35"/>
        <v>33.988664533333335</v>
      </c>
      <c r="AX44" s="20">
        <f t="shared" ca="1" si="36"/>
        <v>14.566570514285715</v>
      </c>
      <c r="AY44" s="20">
        <f t="shared" ca="1" si="37"/>
        <v>3.2892256</v>
      </c>
      <c r="AZ44" s="21">
        <v>5500</v>
      </c>
      <c r="BA44" s="22">
        <f t="shared" si="38"/>
        <v>0.13548387096774195</v>
      </c>
      <c r="BB44" s="22">
        <f t="shared" si="39"/>
        <v>0.5636363636363636</v>
      </c>
      <c r="BC44" s="23">
        <f t="shared" si="40"/>
        <v>7.636363636363637E-2</v>
      </c>
      <c r="BD44" t="s">
        <v>232</v>
      </c>
      <c r="BE44" s="23">
        <f t="shared" si="41"/>
        <v>3.0128962818398941E-2</v>
      </c>
      <c r="BF44" t="s">
        <v>233</v>
      </c>
      <c r="BG44" s="23">
        <f t="shared" si="42"/>
        <v>0.11021183440909099</v>
      </c>
      <c r="BH44" s="24">
        <v>15</v>
      </c>
      <c r="BI44" s="24">
        <v>20</v>
      </c>
      <c r="BJ44" s="25">
        <f t="shared" ca="1" si="46"/>
        <v>1.4781509793156322</v>
      </c>
      <c r="BK44" s="25">
        <f t="shared" ca="1" si="47"/>
        <v>5.4577882313192578</v>
      </c>
      <c r="BL44" s="23">
        <f t="shared" ca="1" si="43"/>
        <v>-0.23165557658460967</v>
      </c>
      <c r="BM44" s="23">
        <f t="shared" ca="1" si="44"/>
        <v>-2.829548869233367E-3</v>
      </c>
      <c r="BN44" s="93" t="s">
        <v>81</v>
      </c>
      <c r="BO44" s="93" t="s">
        <v>234</v>
      </c>
      <c r="BP44" s="93" t="s">
        <v>113</v>
      </c>
    </row>
    <row r="45" spans="1:68" ht="15" customHeight="1" x14ac:dyDescent="0.25">
      <c r="A45" s="86" t="e" vm="42">
        <v>#VALUE!</v>
      </c>
      <c r="B45" s="10" t="str">
        <f t="array" aca="1" ref="B45" ca="1">_FV(A45,"Símbolo bursátil",TRUE())</f>
        <v>SIKA</v>
      </c>
      <c r="C45" s="88" t="s">
        <v>199</v>
      </c>
      <c r="D45" s="88" t="s">
        <v>77</v>
      </c>
      <c r="E45" s="11" t="str">
        <f t="array" aca="1" ref="E45" ca="1">_FV(A45,"Abreviatura de intercambio",TRUE())</f>
        <v>XSWX</v>
      </c>
      <c r="F45" s="11" t="str">
        <f t="array" aca="1" ref="F45" ca="1">_FV(A45,"Moneda")</f>
        <v>CHF</v>
      </c>
      <c r="G45" s="12">
        <f t="array" aca="1" ref="G45" ca="1">_FV(A45,"Precio")</f>
        <v>140</v>
      </c>
      <c r="H45" s="13">
        <f t="array" aca="1" ref="H45" ca="1">_FV(A45,"Acciones en circulación",TRUE())/1000000</f>
        <v>160.47929999999999</v>
      </c>
      <c r="I45" s="14">
        <f t="shared" ca="1" si="25"/>
        <v>22467.101999999999</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172</v>
      </c>
      <c r="AP45" s="19">
        <v>1200</v>
      </c>
      <c r="AQ45" s="19">
        <v>4700</v>
      </c>
      <c r="AR45" s="19">
        <f t="shared" ca="1" si="45"/>
        <v>25967.101999999999</v>
      </c>
      <c r="AS45" s="19">
        <v>1100</v>
      </c>
      <c r="AT45" s="19">
        <v>1250</v>
      </c>
      <c r="AU45" s="19">
        <v>2100</v>
      </c>
      <c r="AV45" s="19">
        <v>11760</v>
      </c>
      <c r="AW45" s="20">
        <f t="shared" ca="1" si="35"/>
        <v>23.606456363636362</v>
      </c>
      <c r="AX45" s="20">
        <f t="shared" ca="1" si="36"/>
        <v>12.365286666666666</v>
      </c>
      <c r="AY45" s="20">
        <f t="shared" ca="1" si="37"/>
        <v>2.2080869047619047</v>
      </c>
      <c r="AZ45" s="21">
        <v>12500</v>
      </c>
      <c r="BA45" s="22">
        <f t="shared" si="38"/>
        <v>0.10629251700680271</v>
      </c>
      <c r="BB45" s="22">
        <f t="shared" si="39"/>
        <v>0.94079999999999997</v>
      </c>
      <c r="BC45" s="23">
        <f t="shared" si="40"/>
        <v>9.9999999999999992E-2</v>
      </c>
      <c r="BD45" t="s">
        <v>235</v>
      </c>
      <c r="BE45" s="23">
        <f t="shared" si="41"/>
        <v>2.9967449959592329E-2</v>
      </c>
      <c r="BF45" t="s">
        <v>236</v>
      </c>
      <c r="BG45" s="23">
        <f t="shared" si="42"/>
        <v>0.11005221800763754</v>
      </c>
      <c r="BH45" s="24">
        <v>18</v>
      </c>
      <c r="BI45" s="24">
        <v>22.5</v>
      </c>
      <c r="BJ45" s="25">
        <f t="shared" ca="1" si="46"/>
        <v>121.19943195165982</v>
      </c>
      <c r="BK45" s="25">
        <f t="shared" ca="1" si="47"/>
        <v>238.13040061864677</v>
      </c>
      <c r="BL45" s="23">
        <f t="shared" ca="1" si="43"/>
        <v>-2.8429075002366688E-2</v>
      </c>
      <c r="BM45" s="23">
        <f t="shared" ca="1" si="44"/>
        <v>0.14201471985891367</v>
      </c>
      <c r="BN45" s="93" t="s">
        <v>81</v>
      </c>
      <c r="BO45" s="93" t="s">
        <v>237</v>
      </c>
      <c r="BP45" s="93" t="s">
        <v>238</v>
      </c>
    </row>
    <row r="46" spans="1:68" ht="15" customHeight="1" x14ac:dyDescent="0.25">
      <c r="A46" s="86" t="e" vm="43">
        <v>#VALUE!</v>
      </c>
      <c r="B46" s="10" t="str">
        <f t="array" aca="1" ref="B46" ca="1">_FV(A46,"Símbolo bursátil",TRUE())</f>
        <v>CHKP</v>
      </c>
      <c r="C46" s="88" t="s">
        <v>114</v>
      </c>
      <c r="D46" s="88" t="s">
        <v>239</v>
      </c>
      <c r="E46" s="11" t="str">
        <f t="array" aca="1" ref="E46" ca="1">_FV(A46,"Abreviatura de intercambio",TRUE())</f>
        <v>XNAS</v>
      </c>
      <c r="F46" s="11" t="str">
        <f t="array" aca="1" ref="F46" ca="1">_FV(A46,"Moneda")</f>
        <v>USD</v>
      </c>
      <c r="G46" s="12">
        <f t="array" aca="1" ref="G46" ca="1">_FV(A46,"Precio")</f>
        <v>126.82</v>
      </c>
      <c r="H46" s="13">
        <f t="array" aca="1" ref="H46" ca="1">_FV(A46,"Acciones en circulación",TRUE())/1000000</f>
        <v>104.0278</v>
      </c>
      <c r="I46" s="14">
        <f t="shared" ca="1" si="25"/>
        <v>13192.805595999998</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10192.805595999998</v>
      </c>
      <c r="AS46" s="19">
        <v>1300</v>
      </c>
      <c r="AT46" s="19">
        <v>1000</v>
      </c>
      <c r="AU46" s="19">
        <v>1250</v>
      </c>
      <c r="AV46" s="19">
        <v>2730</v>
      </c>
      <c r="AW46" s="20">
        <f t="shared" ca="1" si="35"/>
        <v>7.8406196892307678</v>
      </c>
      <c r="AX46" s="20">
        <f t="shared" ca="1" si="36"/>
        <v>8.1542444767999989</v>
      </c>
      <c r="AY46" s="20">
        <f t="shared" ca="1" si="37"/>
        <v>3.7336284234432227</v>
      </c>
      <c r="AZ46" s="21">
        <v>1200</v>
      </c>
      <c r="BA46" s="22">
        <f t="shared" si="38"/>
        <v>0.36630036630036628</v>
      </c>
      <c r="BB46" s="22">
        <f t="shared" si="39"/>
        <v>2.2749999999999999</v>
      </c>
      <c r="BC46" s="23">
        <f t="shared" si="40"/>
        <v>0.83333333333333326</v>
      </c>
      <c r="BD46" t="s">
        <v>240</v>
      </c>
      <c r="BE46" s="23">
        <f t="shared" si="41"/>
        <v>1.9956640367314815E-2</v>
      </c>
      <c r="BF46" t="s">
        <v>241</v>
      </c>
      <c r="BG46" s="23">
        <f t="shared" si="42"/>
        <v>0.10003540934093724</v>
      </c>
      <c r="BH46" s="24">
        <v>6</v>
      </c>
      <c r="BI46" s="24">
        <v>15</v>
      </c>
      <c r="BJ46" s="25">
        <f t="shared" ca="1" si="46"/>
        <v>111.60478256773671</v>
      </c>
      <c r="BK46" s="25">
        <f t="shared" ca="1" si="47"/>
        <v>330.77696538809818</v>
      </c>
      <c r="BL46" s="23">
        <f t="shared" ca="1" si="43"/>
        <v>-2.5237055057837354E-2</v>
      </c>
      <c r="BM46" s="23">
        <f t="shared" ca="1" si="44"/>
        <v>0.27082829968195599</v>
      </c>
      <c r="BN46" s="93" t="s">
        <v>81</v>
      </c>
      <c r="BO46" s="93" t="s">
        <v>93</v>
      </c>
      <c r="BP46" s="93" t="s">
        <v>227</v>
      </c>
    </row>
    <row r="47" spans="1:68" ht="15" customHeight="1" x14ac:dyDescent="0.25">
      <c r="A47" s="86" t="e" vm="44">
        <v>#VALUE!</v>
      </c>
      <c r="B47" s="10" t="str">
        <f t="array" aca="1" ref="B47" ca="1">_FV(A47,"Símbolo bursátil",TRUE())</f>
        <v>TGYM</v>
      </c>
      <c r="C47" s="88" t="s">
        <v>195</v>
      </c>
      <c r="D47" s="88" t="s">
        <v>77</v>
      </c>
      <c r="E47" s="11" t="str">
        <f t="array" aca="1" ref="E47" ca="1">_FV(A47,"Abreviatura de intercambio",TRUE())</f>
        <v>XMIL</v>
      </c>
      <c r="F47" s="11" t="str">
        <f t="array" aca="1" ref="F47" ca="1">_FV(A47,"Moneda")</f>
        <v>EUR</v>
      </c>
      <c r="G47" s="12">
        <f t="array" aca="1" ref="G47" ca="1">_FV(A47,"Precio")</f>
        <v>20.68</v>
      </c>
      <c r="H47" s="13">
        <f t="array" aca="1" ref="H47" ca="1">_FV(A47,"Acciones en circulación",TRUE())/1000000</f>
        <v>201.32749999999999</v>
      </c>
      <c r="I47" s="14">
        <f t="shared" ca="1" si="25"/>
        <v>4163.4526999999998</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90</v>
      </c>
      <c r="AP47" s="19">
        <v>100</v>
      </c>
      <c r="AQ47" s="19">
        <v>50</v>
      </c>
      <c r="AR47" s="19">
        <f t="shared" ca="1" si="45"/>
        <v>4113.4526999999998</v>
      </c>
      <c r="AS47" s="19">
        <v>95</v>
      </c>
      <c r="AT47" s="19">
        <v>90</v>
      </c>
      <c r="AU47" s="19">
        <v>140</v>
      </c>
      <c r="AV47" s="19">
        <v>840</v>
      </c>
      <c r="AW47" s="20">
        <f t="shared" ca="1" si="35"/>
        <v>43.299502105263159</v>
      </c>
      <c r="AX47" s="20">
        <f t="shared" ca="1" si="36"/>
        <v>29.381805</v>
      </c>
      <c r="AY47" s="20">
        <f t="shared" ca="1" si="37"/>
        <v>4.8969674999999997</v>
      </c>
      <c r="AZ47" s="21">
        <v>450</v>
      </c>
      <c r="BA47" s="22">
        <f t="shared" si="38"/>
        <v>0.10714285714285714</v>
      </c>
      <c r="BB47" s="22">
        <f t="shared" si="39"/>
        <v>1.8666666666666667</v>
      </c>
      <c r="BC47" s="23">
        <f t="shared" si="40"/>
        <v>0.19999999999999998</v>
      </c>
      <c r="BD47" t="s">
        <v>242</v>
      </c>
      <c r="BE47" s="23">
        <f t="shared" si="41"/>
        <v>4.0751095710728658E-2</v>
      </c>
      <c r="BF47" t="s">
        <v>243</v>
      </c>
      <c r="BG47" s="23">
        <f t="shared" si="42"/>
        <v>0.1401066974124392</v>
      </c>
      <c r="BH47" s="24">
        <v>15</v>
      </c>
      <c r="BI47" s="24">
        <v>22.5</v>
      </c>
      <c r="BJ47" s="25">
        <f t="shared" ca="1" si="46"/>
        <v>8.8909860798946987</v>
      </c>
      <c r="BK47" s="25">
        <f t="shared" ca="1" si="47"/>
        <v>20.700103065900091</v>
      </c>
      <c r="BL47" s="23">
        <f t="shared" ca="1" si="43"/>
        <v>-0.15534398490081958</v>
      </c>
      <c r="BM47" s="23">
        <f t="shared" ca="1" si="44"/>
        <v>2.4293691631660508E-4</v>
      </c>
      <c r="BN47" s="93" t="s">
        <v>81</v>
      </c>
      <c r="BO47" s="93" t="s">
        <v>112</v>
      </c>
      <c r="BP47" s="93" t="s">
        <v>130</v>
      </c>
    </row>
    <row r="48" spans="1:68" ht="15" customHeight="1" x14ac:dyDescent="0.25">
      <c r="A48" s="86" t="e" vm="45">
        <v>#VALUE!</v>
      </c>
      <c r="B48" s="10" t="str">
        <f t="array" aca="1" ref="B48" ca="1">_FV(A48,"Símbolo bursátil",TRUE())</f>
        <v>VID</v>
      </c>
      <c r="C48" s="88" t="s">
        <v>215</v>
      </c>
      <c r="D48" s="88" t="s">
        <v>100</v>
      </c>
      <c r="E48" s="11" t="str">
        <f t="array" aca="1" ref="E48" ca="1">_FV(A48,"Abreviatura de intercambio",TRUE())</f>
        <v>BMEX</v>
      </c>
      <c r="F48" s="11" t="str">
        <f t="array" aca="1" ref="F48" ca="1">_FV(A48,"Moneda")</f>
        <v>EUR</v>
      </c>
      <c r="G48" s="12">
        <f t="array" aca="1" ref="G48" ca="1">_FV(A48,"Precio")</f>
        <v>75.400000000000006</v>
      </c>
      <c r="H48" s="13">
        <f t="array" aca="1" ref="H48" ca="1">_FV(A48,"Acciones en circulación",TRUE())/1000000</f>
        <v>35.20626</v>
      </c>
      <c r="I48" s="14">
        <f t="shared" ca="1" si="25"/>
        <v>2654.5520040000001</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90</v>
      </c>
      <c r="AP48" s="19">
        <v>130</v>
      </c>
      <c r="AQ48" s="19">
        <v>235</v>
      </c>
      <c r="AR48" s="19">
        <f t="shared" ca="1" si="45"/>
        <v>2759.5520040000001</v>
      </c>
      <c r="AS48" s="19">
        <v>200</v>
      </c>
      <c r="AT48" s="19">
        <v>210</v>
      </c>
      <c r="AU48" s="19">
        <v>385</v>
      </c>
      <c r="AV48" s="19">
        <v>1465</v>
      </c>
      <c r="AW48" s="20">
        <f t="shared" ca="1" si="35"/>
        <v>13.79776002</v>
      </c>
      <c r="AX48" s="20">
        <f t="shared" ca="1" si="36"/>
        <v>7.167667542857143</v>
      </c>
      <c r="AY48" s="20">
        <f t="shared" ca="1" si="37"/>
        <v>1.8836532450511947</v>
      </c>
      <c r="AZ48" s="21">
        <v>1200</v>
      </c>
      <c r="BA48" s="22">
        <f t="shared" si="38"/>
        <v>0.14334470989761092</v>
      </c>
      <c r="BB48" s="22">
        <f t="shared" si="39"/>
        <v>1.2208333333333334</v>
      </c>
      <c r="BC48" s="23">
        <f t="shared" si="40"/>
        <v>0.17500000000000002</v>
      </c>
      <c r="BD48" t="s">
        <v>244</v>
      </c>
      <c r="BE48" s="23">
        <f t="shared" si="41"/>
        <v>9.805797673485328E-3</v>
      </c>
      <c r="BF48" t="s">
        <v>245</v>
      </c>
      <c r="BG48" s="23">
        <f t="shared" si="42"/>
        <v>9.0194895299878342E-2</v>
      </c>
      <c r="BH48" s="24">
        <v>10</v>
      </c>
      <c r="BI48" s="24">
        <v>18</v>
      </c>
      <c r="BJ48" s="25">
        <f t="shared" ca="1" si="46"/>
        <v>56.666058820221174</v>
      </c>
      <c r="BK48" s="25">
        <f t="shared" ca="1" si="47"/>
        <v>154.48957088881352</v>
      </c>
      <c r="BL48" s="23">
        <f t="shared" ca="1" si="43"/>
        <v>-5.5525292084644406E-2</v>
      </c>
      <c r="BM48" s="23">
        <f t="shared" ca="1" si="44"/>
        <v>0.19641529176860439</v>
      </c>
      <c r="BN48" s="93" t="s">
        <v>81</v>
      </c>
      <c r="BO48" s="94" t="s">
        <v>112</v>
      </c>
      <c r="BP48" s="93" t="s">
        <v>88</v>
      </c>
    </row>
    <row r="49" spans="1:68" ht="15" customHeight="1" x14ac:dyDescent="0.25">
      <c r="A49" s="86" t="e" vm="46">
        <v>#VALUE!</v>
      </c>
      <c r="B49" s="10" t="str">
        <f t="array" aca="1" ref="B49" ca="1">_FV(A49,"Símbolo bursátil",TRUE())</f>
        <v>TFPM</v>
      </c>
      <c r="C49" s="88" t="s">
        <v>246</v>
      </c>
      <c r="D49" s="88" t="s">
        <v>247</v>
      </c>
      <c r="E49" s="11" t="str">
        <f t="array" aca="1" ref="E49" ca="1">_FV(A49,"Abreviatura de intercambio",TRUE())</f>
        <v>XTSE</v>
      </c>
      <c r="F49" s="11" t="str">
        <f t="array" aca="1" ref="F49" ca="1">_FV(A49,"Moneda")</f>
        <v>CAD</v>
      </c>
      <c r="G49" s="12">
        <f t="array" aca="1" ref="G49" ca="1">_FV(A49,"Precio")</f>
        <v>42.62</v>
      </c>
      <c r="H49" s="13">
        <f t="array" aca="1" ref="H49" ca="1">_FV(A49,"Acciones en circulación",TRUE())/1000000</f>
        <v>206.60390000000001</v>
      </c>
      <c r="I49" s="14">
        <f t="shared" ca="1" si="25"/>
        <v>8805.4582179999998</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6323.3292161295994</v>
      </c>
      <c r="AS49" s="19">
        <v>190</v>
      </c>
      <c r="AT49" s="19">
        <v>140</v>
      </c>
      <c r="AU49" s="19">
        <v>210</v>
      </c>
      <c r="AV49" s="19">
        <v>230</v>
      </c>
      <c r="AW49" s="20">
        <f t="shared" ca="1" si="35"/>
        <v>33.28068008489263</v>
      </c>
      <c r="AX49" s="20">
        <f t="shared" ca="1" si="36"/>
        <v>30.111091505379044</v>
      </c>
      <c r="AY49" s="20">
        <f t="shared" ca="1" si="37"/>
        <v>27.492735722302605</v>
      </c>
      <c r="AZ49" s="21">
        <v>1800</v>
      </c>
      <c r="BA49" s="22">
        <f t="shared" si="38"/>
        <v>0.60869565217391308</v>
      </c>
      <c r="BB49" s="22">
        <f t="shared" si="39"/>
        <v>0.12777777777777777</v>
      </c>
      <c r="BC49" s="23">
        <f t="shared" si="40"/>
        <v>7.7777777777777779E-2</v>
      </c>
      <c r="BD49" t="s">
        <v>248</v>
      </c>
      <c r="BE49" s="23">
        <f t="shared" si="41"/>
        <v>4.957228210048803E-2</v>
      </c>
      <c r="BF49" t="s">
        <v>249</v>
      </c>
      <c r="BG49" s="23">
        <f t="shared" si="42"/>
        <v>0.20011125292365506</v>
      </c>
      <c r="BH49" s="24">
        <v>18</v>
      </c>
      <c r="BI49" s="24">
        <v>22</v>
      </c>
      <c r="BJ49" s="25">
        <f ca="1">((BD49*BH49+$AP49-$AQ49)/$H49)/'Framework Notes'!E7</f>
        <v>29.525628562680087</v>
      </c>
      <c r="BK49" s="25">
        <f ca="1">((BF49*BI49+$AP49-$AQ49)/$H49)/'Framework Notes'!E7</f>
        <v>69.793900159662613</v>
      </c>
      <c r="BL49" s="23">
        <f t="shared" ca="1" si="43"/>
        <v>-7.0783011321317257E-2</v>
      </c>
      <c r="BM49" s="23">
        <f t="shared" ca="1" si="44"/>
        <v>0.13123023861760363</v>
      </c>
      <c r="BN49" s="93" t="s">
        <v>81</v>
      </c>
      <c r="BO49" s="93" t="s">
        <v>198</v>
      </c>
      <c r="BP49" s="93" t="s">
        <v>180</v>
      </c>
    </row>
    <row r="50" spans="1:68" ht="15" customHeight="1" x14ac:dyDescent="0.25">
      <c r="A50" s="86" t="e" vm="47">
        <v>#VALUE!</v>
      </c>
      <c r="B50" s="10" t="str">
        <f t="array" aca="1" ref="B50" ca="1">_FV(A50,"Símbolo bursátil",TRUE())</f>
        <v>NFLX</v>
      </c>
      <c r="C50" s="88" t="s">
        <v>131</v>
      </c>
      <c r="D50" s="88" t="s">
        <v>115</v>
      </c>
      <c r="E50" s="11" t="str">
        <f t="array" aca="1" ref="E50" ca="1">_FV(A50,"Abreviatura de intercambio",TRUE())</f>
        <v>XNAS</v>
      </c>
      <c r="F50" s="11" t="str">
        <f t="array" aca="1" ref="F50" ca="1">_FV(A50,"Moneda")</f>
        <v>USD</v>
      </c>
      <c r="G50" s="12">
        <f t="array" aca="1" ref="G50" ca="1">_FV(A50,"Precio")</f>
        <v>88.97</v>
      </c>
      <c r="H50" s="13">
        <f t="array" aca="1" ref="H50" ca="1">_FV(A50,"Acciones en circulación",TRUE())/1000000</f>
        <v>4210.7979999999998</v>
      </c>
      <c r="I50" s="14">
        <f t="shared" ca="1" si="25"/>
        <v>374634.69805999997</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376744.69805999997</v>
      </c>
      <c r="AS50" s="19">
        <v>11900</v>
      </c>
      <c r="AT50" s="19">
        <v>13800</v>
      </c>
      <c r="AU50" s="19">
        <v>14000</v>
      </c>
      <c r="AV50" s="19">
        <v>46900</v>
      </c>
      <c r="AW50" s="20">
        <f t="shared" ca="1" si="35"/>
        <v>31.659218324369746</v>
      </c>
      <c r="AX50" s="20">
        <f t="shared" ca="1" si="36"/>
        <v>26.910335575714285</v>
      </c>
      <c r="AY50" s="20">
        <f t="shared" ca="1" si="37"/>
        <v>8.0329359927505326</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-8.1889220265711438E-2</v>
      </c>
      <c r="BM50" s="23">
        <f t="shared" ca="1" si="44"/>
        <v>7.3696039819969528E-2</v>
      </c>
      <c r="BN50" s="93" t="s">
        <v>81</v>
      </c>
      <c r="BO50" s="93" t="s">
        <v>250</v>
      </c>
      <c r="BP50" s="93" t="s">
        <v>194</v>
      </c>
    </row>
    <row r="51" spans="1:68" ht="15" customHeight="1" x14ac:dyDescent="0.25">
      <c r="A51" s="86" t="e" vm="48">
        <v>#VALUE!</v>
      </c>
      <c r="B51" s="10" t="str">
        <f t="array" aca="1" ref="B51" ca="1">_FV(A51,"Símbolo bursátil",TRUE())</f>
        <v>NKE</v>
      </c>
      <c r="C51" s="88" t="s">
        <v>131</v>
      </c>
      <c r="D51" s="88" t="s">
        <v>239</v>
      </c>
      <c r="E51" s="11" t="str">
        <f t="array" aca="1" ref="E51" ca="1">_FV(A51,"Abreviatura de intercambio",TRUE())</f>
        <v>XNYS</v>
      </c>
      <c r="F51" s="11" t="str">
        <f t="array" aca="1" ref="F51" ca="1">_FV(A51,"Moneda")</f>
        <v>USD</v>
      </c>
      <c r="G51" s="12">
        <f t="array" aca="1" ref="G51" ca="1">_FV(A51,"Precio")</f>
        <v>42.277900000000002</v>
      </c>
      <c r="H51" s="13">
        <f t="array" aca="1" ref="H51" ca="1">_FV(A51,"Acciones en circulación",TRUE())/1000000</f>
        <v>1480.8869999999999</v>
      </c>
      <c r="I51" s="14">
        <f t="shared" ca="1" si="25"/>
        <v>62608.792497300004</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64108.792497300004</v>
      </c>
      <c r="AS51" s="19">
        <v>5000</v>
      </c>
      <c r="AT51" s="19">
        <v>4800</v>
      </c>
      <c r="AU51" s="19">
        <v>7500</v>
      </c>
      <c r="AV51" s="19">
        <v>51000</v>
      </c>
      <c r="AW51" s="20">
        <f t="shared" ca="1" si="35"/>
        <v>12.821758499460001</v>
      </c>
      <c r="AX51" s="20">
        <f t="shared" ca="1" si="36"/>
        <v>8.5478389996399997</v>
      </c>
      <c r="AY51" s="20">
        <f t="shared" ca="1" si="37"/>
        <v>1.2570351470058825</v>
      </c>
      <c r="AZ51" s="21">
        <v>20000</v>
      </c>
      <c r="BA51" s="22">
        <f t="shared" si="38"/>
        <v>9.4117647058823528E-2</v>
      </c>
      <c r="BB51" s="22">
        <f t="shared" si="39"/>
        <v>2.5499999999999998</v>
      </c>
      <c r="BC51" s="23">
        <f t="shared" si="40"/>
        <v>0.24</v>
      </c>
      <c r="BD51" t="s">
        <v>251</v>
      </c>
      <c r="BE51" s="23">
        <f t="shared" si="41"/>
        <v>0</v>
      </c>
      <c r="BF51" t="s">
        <v>252</v>
      </c>
      <c r="BG51" s="23">
        <f t="shared" si="42"/>
        <v>8.9996605927845197E-2</v>
      </c>
      <c r="BH51" s="24">
        <v>14</v>
      </c>
      <c r="BI51" s="24">
        <v>21</v>
      </c>
      <c r="BJ51" s="25">
        <f t="shared" ca="1" si="49"/>
        <v>46.256061401038707</v>
      </c>
      <c r="BK51" s="25">
        <f t="shared" ca="1" si="50"/>
        <v>108.07914445869267</v>
      </c>
      <c r="BL51" s="23">
        <f t="shared" ca="1" si="43"/>
        <v>1.8148319386931622E-2</v>
      </c>
      <c r="BM51" s="23">
        <f t="shared" ca="1" si="44"/>
        <v>0.2644659027112839</v>
      </c>
      <c r="BN51" s="93" t="s">
        <v>81</v>
      </c>
      <c r="BO51" s="93" t="s">
        <v>230</v>
      </c>
      <c r="BP51" s="93" t="s">
        <v>253</v>
      </c>
    </row>
    <row r="52" spans="1:68" ht="15" customHeight="1" x14ac:dyDescent="0.25">
      <c r="A52" s="86" t="e" vm="49">
        <v>#VALUE!</v>
      </c>
      <c r="B52" s="10" t="str">
        <f t="array" aca="1" ref="B52" ca="1">_FV(A52,"Símbolo bursátil",TRUE())</f>
        <v>MIPS</v>
      </c>
      <c r="C52" s="88" t="s">
        <v>119</v>
      </c>
      <c r="D52" s="88" t="s">
        <v>77</v>
      </c>
      <c r="E52" s="11" t="str">
        <f t="array" aca="1" ref="E52" ca="1">_FV(A52,"Abreviatura de intercambio",TRUE())</f>
        <v>XSTO</v>
      </c>
      <c r="F52" s="11" t="str">
        <f t="array" aca="1" ref="F52" ca="1">_FV(A52,"Moneda")</f>
        <v>SEK</v>
      </c>
      <c r="G52" s="12">
        <f t="array" aca="1" ref="G52" ca="1">_FV(A52,"Precio")</f>
        <v>251</v>
      </c>
      <c r="H52" s="13">
        <f t="array" aca="1" ref="H52" ca="1">_FV(A52,"Acciones en circulación",TRUE())/1000000</f>
        <v>26.491119999999999</v>
      </c>
      <c r="I52" s="14">
        <f t="shared" ca="1" si="25"/>
        <v>6649.2711199999994</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149</v>
      </c>
      <c r="AP52" s="19">
        <v>180</v>
      </c>
      <c r="AQ52" s="19">
        <v>0</v>
      </c>
      <c r="AR52" s="19">
        <f t="shared" ca="1" si="48"/>
        <v>6469.2711199999994</v>
      </c>
      <c r="AS52" s="19">
        <v>118</v>
      </c>
      <c r="AT52" s="19">
        <v>143</v>
      </c>
      <c r="AU52" s="19">
        <v>182</v>
      </c>
      <c r="AV52" s="19">
        <v>485</v>
      </c>
      <c r="AW52" s="20">
        <f t="shared" ca="1" si="35"/>
        <v>54.824331525423723</v>
      </c>
      <c r="AX52" s="20">
        <f t="shared" ca="1" si="36"/>
        <v>35.545445714285712</v>
      </c>
      <c r="AY52" s="20">
        <f t="shared" ca="1" si="37"/>
        <v>13.338703340206184</v>
      </c>
      <c r="AZ52" s="21">
        <v>350</v>
      </c>
      <c r="BA52" s="22">
        <f t="shared" si="38"/>
        <v>0.29484536082474228</v>
      </c>
      <c r="BB52" s="22">
        <f t="shared" si="39"/>
        <v>1.3857142857142857</v>
      </c>
      <c r="BC52" s="23">
        <f t="shared" si="40"/>
        <v>0.40857142857142859</v>
      </c>
      <c r="BD52" t="s">
        <v>254</v>
      </c>
      <c r="BE52" s="23">
        <f t="shared" si="41"/>
        <v>5.0338114975041481E-3</v>
      </c>
      <c r="BF52" t="s">
        <v>135</v>
      </c>
      <c r="BG52" s="23">
        <f t="shared" si="42"/>
        <v>0.16386794389255699</v>
      </c>
      <c r="BH52" s="24">
        <v>17.5</v>
      </c>
      <c r="BI52" s="24">
        <v>22.5</v>
      </c>
      <c r="BJ52" s="25">
        <f t="shared" ca="1" si="49"/>
        <v>86.727174992978789</v>
      </c>
      <c r="BK52" s="25">
        <f t="shared" ca="1" si="50"/>
        <v>220.82871543370007</v>
      </c>
      <c r="BL52" s="23">
        <f t="shared" ca="1" si="43"/>
        <v>-0.19146970777908034</v>
      </c>
      <c r="BM52" s="23">
        <f t="shared" ca="1" si="44"/>
        <v>-3.1509296795454111E-2</v>
      </c>
      <c r="BN52" s="93" t="s">
        <v>81</v>
      </c>
      <c r="BO52" s="93" t="s">
        <v>255</v>
      </c>
      <c r="BP52" s="93" t="s">
        <v>194</v>
      </c>
    </row>
    <row r="53" spans="1:68" ht="15" customHeight="1" x14ac:dyDescent="0.25">
      <c r="A53" s="86" t="e" vm="50">
        <v>#VALUE!</v>
      </c>
      <c r="B53" s="10" t="str">
        <f t="array" aca="1" ref="B53" ca="1">_FV(A53,"Símbolo bursátil",TRUE())</f>
        <v>FERG</v>
      </c>
      <c r="C53" s="88" t="s">
        <v>199</v>
      </c>
      <c r="D53" s="88" t="s">
        <v>100</v>
      </c>
      <c r="E53" s="11" t="str">
        <f t="array" aca="1" ref="E53" ca="1">_FV(A53,"Abreviatura de intercambio",TRUE())</f>
        <v>XNYS</v>
      </c>
      <c r="F53" s="11" t="str">
        <f t="array" aca="1" ref="F53" ca="1">_FV(A53,"Moneda")</f>
        <v>USD</v>
      </c>
      <c r="G53" s="12">
        <f t="array" aca="1" ref="G53" ca="1">_FV(A53,"Precio")</f>
        <v>220.89500000000001</v>
      </c>
      <c r="H53" s="13">
        <f t="array" aca="1" ref="H53" ca="1">_FV(A53,"Acciones en circulación",TRUE())/1000000</f>
        <v>193.93780000000001</v>
      </c>
      <c r="I53" s="14">
        <f t="shared" ca="1" si="25"/>
        <v>42839.890331000002</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46389.890331000002</v>
      </c>
      <c r="AS53" s="19">
        <v>2400</v>
      </c>
      <c r="AT53" s="19">
        <v>2800</v>
      </c>
      <c r="AU53" s="19">
        <v>3700</v>
      </c>
      <c r="AV53" s="19">
        <v>30000</v>
      </c>
      <c r="AW53" s="20">
        <f t="shared" ca="1" si="35"/>
        <v>19.329120971250003</v>
      </c>
      <c r="AX53" s="20">
        <f t="shared" ca="1" si="36"/>
        <v>12.537808197567568</v>
      </c>
      <c r="AY53" s="20">
        <f t="shared" ca="1" si="37"/>
        <v>1.5463296777000002</v>
      </c>
      <c r="AZ53" s="21">
        <v>12000</v>
      </c>
      <c r="BA53" s="22">
        <f t="shared" si="38"/>
        <v>9.3333333333333338E-2</v>
      </c>
      <c r="BB53" s="22">
        <f t="shared" si="39"/>
        <v>2.5</v>
      </c>
      <c r="BC53" s="23">
        <f t="shared" si="40"/>
        <v>0.23333333333333334</v>
      </c>
      <c r="BD53" t="s">
        <v>256</v>
      </c>
      <c r="BE53" s="23">
        <f t="shared" si="41"/>
        <v>9.966033447608158E-3</v>
      </c>
      <c r="BF53" t="s">
        <v>257</v>
      </c>
      <c r="BG53" s="23">
        <f t="shared" si="42"/>
        <v>0.10999233818109388</v>
      </c>
      <c r="BH53" s="24">
        <v>12</v>
      </c>
      <c r="BI53" s="24">
        <v>18</v>
      </c>
      <c r="BJ53" s="25">
        <f t="shared" ca="1" si="49"/>
        <v>137.74519459331805</v>
      </c>
      <c r="BK53" s="25">
        <f t="shared" ca="1" si="50"/>
        <v>357.03199685672416</v>
      </c>
      <c r="BL53" s="23">
        <f t="shared" ca="1" si="43"/>
        <v>-9.0132580198095114E-2</v>
      </c>
      <c r="BM53" s="23">
        <f t="shared" ca="1" si="44"/>
        <v>0.12753573096805093</v>
      </c>
      <c r="BN53" s="93" t="s">
        <v>81</v>
      </c>
      <c r="BO53" s="93" t="s">
        <v>258</v>
      </c>
      <c r="BP53" s="93" t="s">
        <v>180</v>
      </c>
    </row>
    <row r="54" spans="1:68" ht="15" customHeight="1" x14ac:dyDescent="0.25">
      <c r="A54" s="86" t="e" vm="51">
        <v>#VALUE!</v>
      </c>
      <c r="B54" s="10" t="str">
        <f t="array" aca="1" ref="B54" ca="1">_FV(A54,"Símbolo bursátil",TRUE())</f>
        <v>S</v>
      </c>
      <c r="C54" s="88" t="s">
        <v>114</v>
      </c>
      <c r="D54" s="88" t="s">
        <v>115</v>
      </c>
      <c r="E54" s="11" t="str">
        <f t="array" aca="1" ref="E54" ca="1">_FV(A54,"Abreviatura de intercambio",TRUE())</f>
        <v>XNYS</v>
      </c>
      <c r="F54" s="11" t="str">
        <f t="array" aca="1" ref="F54" ca="1">_FV(A54,"Moneda")</f>
        <v>USD</v>
      </c>
      <c r="G54" s="12">
        <f t="array" aca="1" ref="G54" ca="1">_FV(A54,"Precio")</f>
        <v>17.53</v>
      </c>
      <c r="H54" s="13">
        <f t="array" aca="1" ref="H54" ca="1">_FV(A54,"Acciones en circulación",TRUE())/1000000</f>
        <v>341.4821</v>
      </c>
      <c r="I54" s="14">
        <f t="shared" ca="1" si="25"/>
        <v>5986.1812130000008</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4886.1812130000008</v>
      </c>
      <c r="AS54" s="19">
        <v>50</v>
      </c>
      <c r="AT54" s="19">
        <v>-20</v>
      </c>
      <c r="AU54" s="19">
        <v>10</v>
      </c>
      <c r="AV54" s="19">
        <v>815</v>
      </c>
      <c r="AW54" s="20">
        <f t="shared" ca="1" si="35"/>
        <v>97.723624260000008</v>
      </c>
      <c r="AX54" s="20">
        <f t="shared" ca="1" si="36"/>
        <v>488.6181213000001</v>
      </c>
      <c r="AY54" s="20">
        <f t="shared" ca="1" si="37"/>
        <v>5.9953143717791422</v>
      </c>
      <c r="AZ54" s="21">
        <v>1500</v>
      </c>
      <c r="BA54" s="22">
        <f t="shared" si="38"/>
        <v>-2.4539877300613498E-2</v>
      </c>
      <c r="BB54" s="22">
        <f t="shared" si="39"/>
        <v>0.54333333333333333</v>
      </c>
      <c r="BC54" s="23">
        <f t="shared" si="40"/>
        <v>-1.3333333333333334E-2</v>
      </c>
      <c r="BD54" t="s">
        <v>259</v>
      </c>
      <c r="BE54" s="23">
        <f t="shared" si="41"/>
        <v>7.8625221439269977E-2</v>
      </c>
      <c r="BF54" t="s">
        <v>260</v>
      </c>
      <c r="BG54" s="23">
        <f t="shared" si="42"/>
        <v>0.30049470405023282</v>
      </c>
      <c r="BH54" s="24">
        <v>18</v>
      </c>
      <c r="BI54" s="24">
        <v>26</v>
      </c>
      <c r="BJ54" s="25">
        <f t="shared" ca="1" si="49"/>
        <v>7.0691845926916814</v>
      </c>
      <c r="BK54" s="25">
        <f t="shared" ca="1" si="50"/>
        <v>17.383048774738118</v>
      </c>
      <c r="BL54" s="23">
        <f t="shared" ca="1" si="43"/>
        <v>-0.1660932653387287</v>
      </c>
      <c r="BM54" s="23">
        <f t="shared" ca="1" si="44"/>
        <v>-2.1023309776532217E-3</v>
      </c>
      <c r="BN54" s="93" t="s">
        <v>81</v>
      </c>
      <c r="BO54" s="93" t="s">
        <v>261</v>
      </c>
      <c r="BP54" s="93" t="s">
        <v>83</v>
      </c>
    </row>
    <row r="55" spans="1:68" ht="15" customHeight="1" x14ac:dyDescent="0.25">
      <c r="A55" s="86" t="e" vm="52">
        <v>#VALUE!</v>
      </c>
      <c r="B55" s="10" t="str">
        <f t="array" aca="1" ref="B55" ca="1">_FV(A55,"Símbolo bursátil",TRUE())</f>
        <v>TREX</v>
      </c>
      <c r="C55" s="88" t="s">
        <v>199</v>
      </c>
      <c r="D55" s="88" t="s">
        <v>77</v>
      </c>
      <c r="E55" s="11" t="str">
        <f t="array" aca="1" ref="E55" ca="1">_FV(A55,"Abreviatura de intercambio",TRUE())</f>
        <v>XNYS</v>
      </c>
      <c r="F55" s="11" t="str">
        <f t="array" aca="1" ref="F55" ca="1">_FV(A55,"Moneda")</f>
        <v>USD</v>
      </c>
      <c r="G55" s="12">
        <f t="array" aca="1" ref="G55" ca="1">_FV(A55,"Precio")</f>
        <v>36.57</v>
      </c>
      <c r="H55" s="13">
        <f t="array" aca="1" ref="H55" ca="1">_FV(A55,"Acciones en circulación",TRUE())/1000000</f>
        <v>103.89870000000001</v>
      </c>
      <c r="I55" s="14">
        <f t="shared" ca="1" si="25"/>
        <v>3799.5754590000001</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3899.5754590000001</v>
      </c>
      <c r="AS55" s="19">
        <v>190</v>
      </c>
      <c r="AT55" s="19">
        <v>190</v>
      </c>
      <c r="AU55" s="19">
        <v>270</v>
      </c>
      <c r="AV55" s="19">
        <v>1100</v>
      </c>
      <c r="AW55" s="20">
        <f t="shared" ca="1" si="35"/>
        <v>20.524081363157894</v>
      </c>
      <c r="AX55" s="20">
        <f t="shared" ca="1" si="36"/>
        <v>14.44287207037037</v>
      </c>
      <c r="AY55" s="20">
        <f t="shared" ca="1" si="37"/>
        <v>3.5450685990909094</v>
      </c>
      <c r="AZ55" s="21">
        <v>900</v>
      </c>
      <c r="BA55" s="22">
        <f t="shared" si="38"/>
        <v>0.17272727272727273</v>
      </c>
      <c r="BB55" s="22">
        <f t="shared" si="39"/>
        <v>1.2222222222222223</v>
      </c>
      <c r="BC55" s="23">
        <f t="shared" si="40"/>
        <v>0.21111111111111114</v>
      </c>
      <c r="BD55" t="s">
        <v>262</v>
      </c>
      <c r="BE55" s="23">
        <f t="shared" si="41"/>
        <v>0</v>
      </c>
      <c r="BF55" t="s">
        <v>263</v>
      </c>
      <c r="BG55" s="23">
        <f t="shared" si="42"/>
        <v>0.1401066974124392</v>
      </c>
      <c r="BH55" s="24">
        <v>12</v>
      </c>
      <c r="BI55" s="24">
        <v>18</v>
      </c>
      <c r="BJ55" s="25">
        <f t="shared" ca="1" si="49"/>
        <v>20.981975712881873</v>
      </c>
      <c r="BK55" s="25">
        <f t="shared" ca="1" si="50"/>
        <v>62.445439644576879</v>
      </c>
      <c r="BL55" s="23">
        <f t="shared" ca="1" si="43"/>
        <v>-0.10516227721852367</v>
      </c>
      <c r="BM55" s="23">
        <f t="shared" ca="1" si="44"/>
        <v>0.14312557641689128</v>
      </c>
      <c r="BN55" s="93" t="s">
        <v>81</v>
      </c>
      <c r="BO55" s="93" t="s">
        <v>264</v>
      </c>
      <c r="BP55" s="93" t="s">
        <v>158</v>
      </c>
    </row>
    <row r="56" spans="1:68" ht="15" customHeight="1" x14ac:dyDescent="0.25">
      <c r="A56" s="86" t="e" vm="53">
        <v>#VALUE!</v>
      </c>
      <c r="B56" s="10" t="str">
        <f t="array" aca="1" ref="B56" ca="1">_FV(A56,"Símbolo bursátil",TRUE())</f>
        <v>SGO</v>
      </c>
      <c r="C56" s="88" t="s">
        <v>199</v>
      </c>
      <c r="D56" s="88" t="s">
        <v>239</v>
      </c>
      <c r="E56" s="11" t="str">
        <f t="array" aca="1" ref="E56" ca="1">_FV(A56,"Abreviatura de intercambio",TRUE())</f>
        <v>XPAR</v>
      </c>
      <c r="F56" s="11" t="str">
        <f t="array" aca="1" ref="F56" ca="1">_FV(A56,"Moneda")</f>
        <v>EUR</v>
      </c>
      <c r="G56" s="12">
        <f t="array" aca="1" ref="G56" ca="1">_FV(A56,"Precio")</f>
        <v>73.02</v>
      </c>
      <c r="H56" s="13">
        <f t="array" aca="1" ref="H56" ca="1">_FV(A56,"Acciones en circulación",TRUE())/1000000</f>
        <v>494.82530000000003</v>
      </c>
      <c r="I56" s="14">
        <f t="shared" ca="1" si="25"/>
        <v>36132.143406000003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90</v>
      </c>
      <c r="AP56" s="19">
        <v>6500</v>
      </c>
      <c r="AQ56" s="19">
        <v>15000</v>
      </c>
      <c r="AR56" s="19">
        <f t="shared" ca="1" si="48"/>
        <v>44632.143406000003</v>
      </c>
      <c r="AS56" s="19">
        <v>2400</v>
      </c>
      <c r="AT56" s="19">
        <v>3000</v>
      </c>
      <c r="AU56" s="19">
        <v>6800</v>
      </c>
      <c r="AV56" s="19">
        <v>46600</v>
      </c>
      <c r="AW56" s="20">
        <f t="shared" ca="1" si="35"/>
        <v>18.596726419166668</v>
      </c>
      <c r="AX56" s="20">
        <f t="shared" ca="1" si="36"/>
        <v>6.5635505008823536</v>
      </c>
      <c r="AY56" s="20">
        <f t="shared" ca="1" si="37"/>
        <v>0.95777131772532198</v>
      </c>
      <c r="AZ56" s="21">
        <v>28000</v>
      </c>
      <c r="BA56" s="22">
        <f t="shared" si="38"/>
        <v>6.4377682403433473E-2</v>
      </c>
      <c r="BB56" s="22">
        <f t="shared" si="39"/>
        <v>1.6642857142857144</v>
      </c>
      <c r="BC56" s="23">
        <f t="shared" si="40"/>
        <v>0.10714285714285714</v>
      </c>
      <c r="BD56" t="s">
        <v>256</v>
      </c>
      <c r="BE56" s="23">
        <f t="shared" si="41"/>
        <v>9.966033447608158E-3</v>
      </c>
      <c r="BF56" t="s">
        <v>265</v>
      </c>
      <c r="BG56" s="23">
        <f t="shared" si="42"/>
        <v>9.001785812014429E-2</v>
      </c>
      <c r="BH56" s="24">
        <v>12</v>
      </c>
      <c r="BI56" s="24">
        <v>16</v>
      </c>
      <c r="BJ56" s="25">
        <f t="shared" ca="1" si="49"/>
        <v>43.983199727257272</v>
      </c>
      <c r="BK56" s="25">
        <f t="shared" ca="1" si="50"/>
        <v>102.23406119290989</v>
      </c>
      <c r="BL56" s="23">
        <f t="shared" ca="1" si="43"/>
        <v>-9.6415029934838081E-2</v>
      </c>
      <c r="BM56" s="23">
        <f t="shared" ca="1" si="44"/>
        <v>8.7773429113617629E-2</v>
      </c>
      <c r="BN56" s="93" t="s">
        <v>81</v>
      </c>
      <c r="BO56" s="93" t="s">
        <v>118</v>
      </c>
      <c r="BP56" s="93" t="s">
        <v>130</v>
      </c>
    </row>
    <row r="57" spans="1:68" ht="15" customHeight="1" x14ac:dyDescent="0.25">
      <c r="A57" s="86" t="e" vm="54">
        <v>#VALUE!</v>
      </c>
      <c r="B57" s="10" t="str">
        <f t="array" aca="1" ref="B57" ca="1">_FV(A57,"Símbolo bursátil",TRUE())</f>
        <v>TFF</v>
      </c>
      <c r="C57" s="88" t="s">
        <v>215</v>
      </c>
      <c r="D57" s="88" t="s">
        <v>239</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90</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t="s">
        <v>266</v>
      </c>
      <c r="BE57" s="23">
        <f t="shared" si="41"/>
        <v>0</v>
      </c>
      <c r="BF57" t="s">
        <v>267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81</v>
      </c>
      <c r="BO57" s="93" t="s">
        <v>171</v>
      </c>
      <c r="BP57" s="93" t="s">
        <v>171</v>
      </c>
    </row>
    <row r="58" spans="1:68" ht="15" customHeight="1" x14ac:dyDescent="0.25">
      <c r="A58" s="86" t="e" vm="55">
        <v>#VALUE!</v>
      </c>
      <c r="B58" s="10" t="str" cm="1">
        <f t="array" aca="1" ref="B58" ca="1">_FV(A58,"Símbolo bursátil",TRUE)</f>
        <v>CELH</v>
      </c>
      <c r="C58" s="88" t="s">
        <v>131</v>
      </c>
      <c r="D58" s="88" t="s">
        <v>115</v>
      </c>
      <c r="E58" s="11" t="str">
        <f t="array" aca="1" ref="E58" ca="1">_FV(A58,"Abreviatura de intercambio",TRUE())</f>
        <v>XNAS</v>
      </c>
      <c r="F58" s="11" t="str">
        <f t="array" aca="1" ref="F58" ca="1">_FV(A58,"Moneda")</f>
        <v>USD</v>
      </c>
      <c r="G58" s="12">
        <f t="array" aca="1" ref="G58" ca="1">_FV(A58,"Precio")</f>
        <v>29.34</v>
      </c>
      <c r="H58" s="13">
        <f t="array" aca="1" ref="H58" ca="1">_FV(A58,"Acciones en circulación",TRUE())/1000000</f>
        <v>255.6404</v>
      </c>
      <c r="I58" s="14">
        <f t="shared" ca="1" si="25"/>
        <v>7500.4893359999996</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6580.4893359999996</v>
      </c>
      <c r="AS58" s="19">
        <v>220</v>
      </c>
      <c r="AT58" s="19">
        <v>180</v>
      </c>
      <c r="AU58" s="19">
        <v>270</v>
      </c>
      <c r="AV58" s="19">
        <v>1400</v>
      </c>
      <c r="AW58" s="20">
        <f t="shared" ca="1" si="35"/>
        <v>29.911315163636363</v>
      </c>
      <c r="AX58" s="20">
        <f t="shared" ca="1" si="36"/>
        <v>24.372182725925924</v>
      </c>
      <c r="AY58" s="20">
        <f t="shared" ca="1" si="37"/>
        <v>4.7003495257142855</v>
      </c>
      <c r="AZ58" s="21">
        <v>600</v>
      </c>
      <c r="BA58" s="22">
        <f t="shared" si="38"/>
        <v>0.12857142857142856</v>
      </c>
      <c r="BB58" s="22">
        <f t="shared" si="39"/>
        <v>2.3333333333333335</v>
      </c>
      <c r="BC58" s="23">
        <f t="shared" si="40"/>
        <v>0.3</v>
      </c>
      <c r="BD58" t="s">
        <v>268</v>
      </c>
      <c r="BE58" s="23">
        <f t="shared" si="41"/>
        <v>7.9831440532173836E-2</v>
      </c>
      <c r="BF58" t="s">
        <v>269</v>
      </c>
      <c r="BG58" s="23">
        <f t="shared" si="42"/>
        <v>0.30004945974509623</v>
      </c>
      <c r="BH58" s="24">
        <v>16</v>
      </c>
      <c r="BI58" s="24">
        <v>22.5</v>
      </c>
      <c r="BJ58" s="25">
        <f t="shared" ca="1" si="49"/>
        <v>23.814702214516956</v>
      </c>
      <c r="BK58" s="25">
        <f t="shared" ca="1" si="50"/>
        <v>75.506453596536389</v>
      </c>
      <c r="BL58" s="23">
        <f t="shared" ca="1" si="43"/>
        <v>-4.0871029258974345E-2</v>
      </c>
      <c r="BM58" s="23">
        <f t="shared" ca="1" si="44"/>
        <v>0.26657523111483949</v>
      </c>
      <c r="BN58" s="93" t="s">
        <v>81</v>
      </c>
      <c r="BO58" s="93" t="s">
        <v>118</v>
      </c>
      <c r="BP58" s="93" t="s">
        <v>207</v>
      </c>
    </row>
    <row r="59" spans="1:68" ht="15" customHeight="1" x14ac:dyDescent="0.25">
      <c r="A59" s="86" t="e" vm="56">
        <v>#VALUE!</v>
      </c>
      <c r="B59" s="10" t="str">
        <f t="array" aca="1" ref="B59" ca="1">_FV(A59,"Símbolo bursátil",TRUE())</f>
        <v>BFIT</v>
      </c>
      <c r="C59" s="88" t="s">
        <v>195</v>
      </c>
      <c r="D59" s="88" t="s">
        <v>115</v>
      </c>
      <c r="E59" s="11" t="str">
        <f t="array" aca="1" ref="E59" ca="1">_FV(A59,"Abreviatura de intercambio",TRUE())</f>
        <v>XAMS</v>
      </c>
      <c r="F59" s="11" t="str">
        <f t="array" aca="1" ref="F59" ca="1">_FV(A59,"Moneda")</f>
        <v>EUR</v>
      </c>
      <c r="G59" s="12">
        <f t="array" aca="1" ref="G59" ca="1">_FV(A59,"Precio")</f>
        <v>29.78</v>
      </c>
      <c r="H59" s="13">
        <f t="array" aca="1" ref="H59" ca="1">_FV(A59,"Acciones en circulación",TRUE())/1000000</f>
        <v>66</v>
      </c>
      <c r="I59" s="14">
        <f t="shared" ca="1" si="25"/>
        <v>1965.48</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90</v>
      </c>
      <c r="AP59" s="19">
        <v>40</v>
      </c>
      <c r="AQ59" s="19">
        <v>740</v>
      </c>
      <c r="AR59" s="19">
        <f t="shared" ca="1" si="48"/>
        <v>2665.48</v>
      </c>
      <c r="AS59" s="19">
        <v>80</v>
      </c>
      <c r="AT59" s="19">
        <v>50</v>
      </c>
      <c r="AU59" s="19">
        <v>260</v>
      </c>
      <c r="AV59" s="19">
        <v>1250</v>
      </c>
      <c r="AW59" s="20">
        <f t="shared" ca="1" si="35"/>
        <v>33.3185</v>
      </c>
      <c r="AX59" s="20">
        <f t="shared" ca="1" si="36"/>
        <v>10.251846153846154</v>
      </c>
      <c r="AY59" s="20">
        <f t="shared" ca="1" si="37"/>
        <v>2.1323840000000001</v>
      </c>
      <c r="AZ59" s="21">
        <v>1500</v>
      </c>
      <c r="BA59" s="22">
        <f t="shared" si="38"/>
        <v>0.04</v>
      </c>
      <c r="BB59" s="22">
        <f t="shared" si="39"/>
        <v>0.83333333333333337</v>
      </c>
      <c r="BC59" s="23">
        <f t="shared" si="40"/>
        <v>3.3333333333333333E-2</v>
      </c>
      <c r="BD59" t="s">
        <v>270</v>
      </c>
      <c r="BE59" s="23">
        <f t="shared" si="41"/>
        <v>1.9244876491456564E-2</v>
      </c>
      <c r="BF59" t="s">
        <v>271</v>
      </c>
      <c r="BG59" s="23">
        <f t="shared" si="42"/>
        <v>0.15996225865400127</v>
      </c>
      <c r="BH59" s="24">
        <v>12</v>
      </c>
      <c r="BI59" s="24">
        <v>18</v>
      </c>
      <c r="BJ59" s="25">
        <f t="shared" ca="1" si="49"/>
        <v>5.3939393939393936</v>
      </c>
      <c r="BK59" s="25">
        <f t="shared" ca="1" si="50"/>
        <v>35.212121212121211</v>
      </c>
      <c r="BL59" s="23">
        <f t="shared" ca="1" si="43"/>
        <v>-0.28944733311737059</v>
      </c>
      <c r="BM59" s="23">
        <f t="shared" ca="1" si="44"/>
        <v>4.2778032705823144E-2</v>
      </c>
      <c r="BN59" s="93" t="s">
        <v>81</v>
      </c>
      <c r="BO59" s="93" t="s">
        <v>107</v>
      </c>
      <c r="BP59" s="93" t="s">
        <v>272</v>
      </c>
    </row>
    <row r="60" spans="1:68" ht="15" customHeight="1" x14ac:dyDescent="0.25">
      <c r="A60" s="86" t="e" vm="57">
        <v>#VALUE!</v>
      </c>
      <c r="B60" s="10" t="str">
        <f t="array" aca="1" ref="B60" ca="1">_FV(A60,"Símbolo bursátil",TRUE())</f>
        <v>VRLA</v>
      </c>
      <c r="C60" s="88" t="s">
        <v>215</v>
      </c>
      <c r="D60" s="88" t="s">
        <v>239</v>
      </c>
      <c r="E60" s="11" t="str">
        <f t="array" aca="1" ref="E60" ca="1">_FV(A60,"Abreviatura de intercambio",TRUE())</f>
        <v>XWBO</v>
      </c>
      <c r="F60" s="11" t="str">
        <f t="array" aca="1" ref="F60" ca="1">_FV(A60,"Moneda")</f>
        <v>EUR</v>
      </c>
      <c r="G60" s="12">
        <f t="array" aca="1" ref="G60" ca="1">_FV(A60,"Precio")</f>
        <v>19.73</v>
      </c>
      <c r="H60" s="13">
        <f t="array" aca="1" ref="H60" ca="1">_FV(A60,"Acciones en circulación",TRUE())/1000000</f>
        <v>120.8051</v>
      </c>
      <c r="I60" s="14">
        <f t="shared" ca="1" si="25"/>
        <v>2383.4846229999998</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90</v>
      </c>
      <c r="AP60" s="19">
        <v>365</v>
      </c>
      <c r="AQ60" s="19">
        <v>2261</v>
      </c>
      <c r="AR60" s="19">
        <f t="shared" ca="1" si="48"/>
        <v>4279.4846230000003</v>
      </c>
      <c r="AS60" s="19">
        <v>249</v>
      </c>
      <c r="AT60" s="19">
        <v>270</v>
      </c>
      <c r="AU60" s="19">
        <v>704</v>
      </c>
      <c r="AV60" s="19">
        <v>3311</v>
      </c>
      <c r="AW60" s="20">
        <f t="shared" ca="1" si="35"/>
        <v>17.18668523293173</v>
      </c>
      <c r="AX60" s="20">
        <f t="shared" ca="1" si="36"/>
        <v>6.0788133849431825</v>
      </c>
      <c r="AY60" s="20">
        <f t="shared" ca="1" si="37"/>
        <v>1.2925051715493809</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-0.26710183149488786</v>
      </c>
      <c r="BM60" s="23">
        <f t="shared" ca="1" si="44"/>
        <v>0.22991668959596412</v>
      </c>
      <c r="BN60" s="93" t="s">
        <v>81</v>
      </c>
      <c r="BO60" s="93" t="s">
        <v>193</v>
      </c>
      <c r="BP60" s="93" t="s">
        <v>272</v>
      </c>
    </row>
    <row r="61" spans="1:68" ht="15" customHeight="1" x14ac:dyDescent="0.25">
      <c r="A61" s="86" t="e" vm="58">
        <v>#VALUE!</v>
      </c>
      <c r="B61" s="10" t="str">
        <f t="array" aca="1" ref="B61" ca="1">_FV(A61,"Símbolo bursátil",TRUE())</f>
        <v>KIST</v>
      </c>
      <c r="C61" s="88" t="s">
        <v>246</v>
      </c>
      <c r="D61" s="88" t="s">
        <v>247</v>
      </c>
      <c r="E61" s="11" t="str">
        <f t="array" aca="1" ref="E61" ca="1">_FV(A61,"Abreviatura de intercambio",TRUE())</f>
        <v>XLON</v>
      </c>
      <c r="F61" s="11" t="str">
        <f t="array" aca="1" ref="F61" ca="1">_FV(A61,"Moneda")</f>
        <v>GBp</v>
      </c>
      <c r="G61" s="12">
        <f t="array" aca="1" ref="G61" ca="1">_FV(A61,"Precio")</f>
        <v>290</v>
      </c>
      <c r="H61" s="13">
        <f t="array" aca="1" ref="H61" ca="1">_FV(A61,"Acciones en circulación",TRUE())/1000000</f>
        <v>83.117649999999998</v>
      </c>
      <c r="I61" s="14">
        <f ca="1">G61/100*H61</f>
        <v>241.04118499999998</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140</v>
      </c>
      <c r="AP61" s="19">
        <v>215</v>
      </c>
      <c r="AQ61" s="19">
        <f>300+148</f>
        <v>448</v>
      </c>
      <c r="AR61" s="19">
        <f t="shared" ca="1" si="48"/>
        <v>474.04118499999998</v>
      </c>
      <c r="AS61" s="19">
        <v>55</v>
      </c>
      <c r="AT61" s="19">
        <f>390-230</f>
        <v>160</v>
      </c>
      <c r="AU61" s="19">
        <v>400</v>
      </c>
      <c r="AV61" s="19">
        <v>480</v>
      </c>
      <c r="AW61" s="20">
        <f t="shared" ca="1" si="35"/>
        <v>8.6189306363636362</v>
      </c>
      <c r="AX61" s="20">
        <f t="shared" ca="1" si="36"/>
        <v>1.1851029625</v>
      </c>
      <c r="AY61" s="20">
        <f t="shared" ca="1" si="37"/>
        <v>0.98758580208333335</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-0.16644147766831041</v>
      </c>
      <c r="BM61" s="23">
        <f t="shared" ca="1" si="44"/>
        <v>0.29932074010850207</v>
      </c>
      <c r="BN61" s="93" t="s">
        <v>81</v>
      </c>
      <c r="BO61" s="93" t="s">
        <v>171</v>
      </c>
      <c r="BP61" s="93" t="s">
        <v>171</v>
      </c>
    </row>
    <row r="62" spans="1:68" ht="15" customHeight="1" x14ac:dyDescent="0.25">
      <c r="A62" s="86" t="e" vm="59">
        <v>#VALUE!</v>
      </c>
      <c r="B62" s="10" t="str">
        <f t="array" aca="1" ref="B62" ca="1">_FV(A62,"Símbolo bursátil",TRUE())</f>
        <v>WOSG</v>
      </c>
      <c r="C62" s="88" t="s">
        <v>131</v>
      </c>
      <c r="D62" s="88" t="s">
        <v>239</v>
      </c>
      <c r="E62" s="11" t="str">
        <f t="array" aca="1" ref="E62" ca="1">_FV(A62,"Abreviatura de intercambio",TRUE())</f>
        <v>XLON</v>
      </c>
      <c r="F62" s="11" t="str">
        <f t="array" aca="1" ref="F62" ca="1">_FV(A62,"Moneda")</f>
        <v>GBp</v>
      </c>
      <c r="G62" s="12">
        <f t="array" aca="1" ref="G62" ca="1">_FV(A62,"Precio")</f>
        <v>640.5</v>
      </c>
      <c r="H62" s="13">
        <f t="array" aca="1" ref="H62" ca="1">_FV(A62,"Acciones en circulación",TRUE())/1000000</f>
        <v>233.30160000000001</v>
      </c>
      <c r="I62" s="14">
        <f ca="1">G62/100*H62</f>
        <v>1494.2967480000002</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140</v>
      </c>
      <c r="AP62" s="19">
        <v>70</v>
      </c>
      <c r="AQ62" s="19">
        <v>270</v>
      </c>
      <c r="AR62" s="19">
        <f t="shared" ca="1" si="48"/>
        <v>1694.2967480000002</v>
      </c>
      <c r="AS62" s="19">
        <v>90</v>
      </c>
      <c r="AT62" s="19">
        <v>80</v>
      </c>
      <c r="AU62" s="19">
        <v>170</v>
      </c>
      <c r="AV62" s="19">
        <v>1700</v>
      </c>
      <c r="AW62" s="20">
        <f t="shared" ca="1" si="35"/>
        <v>18.825519422222225</v>
      </c>
      <c r="AX62" s="20">
        <f t="shared" ca="1" si="36"/>
        <v>9.9664514588235313</v>
      </c>
      <c r="AY62" s="20">
        <f t="shared" ca="1" si="37"/>
        <v>0.99664514588235309</v>
      </c>
      <c r="AZ62" s="21">
        <v>900</v>
      </c>
      <c r="BA62" s="22">
        <f t="shared" si="38"/>
        <v>4.7058823529411764E-2</v>
      </c>
      <c r="BB62" s="22">
        <f t="shared" si="39"/>
        <v>1.8888888888888888</v>
      </c>
      <c r="BC62" s="23">
        <f t="shared" si="40"/>
        <v>8.8888888888888878E-2</v>
      </c>
      <c r="BD62" t="s">
        <v>273</v>
      </c>
      <c r="BE62" s="23">
        <f t="shared" si="41"/>
        <v>0</v>
      </c>
      <c r="BF62" t="s">
        <v>274</v>
      </c>
      <c r="BG62" s="23">
        <f t="shared" si="42"/>
        <v>0.1396217223413001</v>
      </c>
      <c r="BH62" s="24">
        <v>8</v>
      </c>
      <c r="BI62" s="24">
        <v>14</v>
      </c>
      <c r="BJ62" s="25">
        <f ca="1">(BD62*BH62+$AP62-$AQ62)/$H62*100</f>
        <v>222.88745555109779</v>
      </c>
      <c r="BK62" s="25">
        <f ca="1">(BF62*BI62+$AP62-$AQ62)/$H62*100</f>
        <v>952.41524275872939</v>
      </c>
      <c r="BL62" s="23">
        <f t="shared" ca="1" si="43"/>
        <v>-0.19032021138996769</v>
      </c>
      <c r="BM62" s="23">
        <f t="shared" ca="1" si="44"/>
        <v>0.1042738829072658</v>
      </c>
      <c r="BN62" s="93" t="s">
        <v>81</v>
      </c>
      <c r="BO62" s="94" t="s">
        <v>275</v>
      </c>
      <c r="BP62" s="93" t="s">
        <v>276</v>
      </c>
    </row>
    <row r="63" spans="1:68" ht="15" customHeight="1" x14ac:dyDescent="0.25">
      <c r="A63" s="86" t="e" vm="60">
        <v>#VALUE!</v>
      </c>
      <c r="B63" s="10" t="str">
        <f t="array" aca="1" ref="B63" ca="1">_FV(A63,"Símbolo bursátil",TRUE())</f>
        <v>IPCO</v>
      </c>
      <c r="C63" s="88" t="s">
        <v>246</v>
      </c>
      <c r="D63" s="88" t="s">
        <v>247</v>
      </c>
      <c r="E63" s="11" t="str">
        <f t="array" aca="1" ref="E63" ca="1">_FV(A63,"Abreviatura de intercambio",TRUE())</f>
        <v>XTSE</v>
      </c>
      <c r="F63" s="11" t="str">
        <f t="array" aca="1" ref="F63" ca="1">_FV(A63,"Moneda")</f>
        <v>CAD</v>
      </c>
      <c r="G63" s="12">
        <f t="array" aca="1" ref="G63" ca="1">_FV(A63,"Precio")</f>
        <v>39.33</v>
      </c>
      <c r="H63" s="13">
        <f t="array" aca="1" ref="H63" ca="1">_FV(A63,"Acciones en circulación",TRUE())/1000000</f>
        <v>112.82680000000001</v>
      </c>
      <c r="I63" s="14">
        <f ca="1">G63*H63</f>
        <v>4437.4780440000004</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3606.9340335968</v>
      </c>
      <c r="AS63" s="19">
        <v>230</v>
      </c>
      <c r="AT63" s="19">
        <v>170</v>
      </c>
      <c r="AU63" s="19">
        <v>380</v>
      </c>
      <c r="AV63" s="19">
        <v>790</v>
      </c>
      <c r="AW63" s="20">
        <f ca="1">AR63/AS63</f>
        <v>15.682321885203478</v>
      </c>
      <c r="AX63" s="20">
        <f t="shared" ca="1" si="36"/>
        <v>9.4919316673599994</v>
      </c>
      <c r="AY63" s="20">
        <f t="shared" ca="1" si="37"/>
        <v>4.5657392830339241</v>
      </c>
      <c r="AZ63" s="21">
        <v>1800</v>
      </c>
      <c r="BA63" s="22">
        <f t="shared" si="38"/>
        <v>0.21518987341772153</v>
      </c>
      <c r="BB63" s="22">
        <f t="shared" si="39"/>
        <v>0.43888888888888888</v>
      </c>
      <c r="BC63" s="23">
        <f t="shared" si="40"/>
        <v>9.4444444444444442E-2</v>
      </c>
      <c r="BD63" t="s">
        <v>277</v>
      </c>
      <c r="BE63" s="23">
        <f t="shared" si="41"/>
        <v>-4.9967563918014046E-2</v>
      </c>
      <c r="BF63" t="s">
        <v>278</v>
      </c>
      <c r="BG63" s="23">
        <f t="shared" si="42"/>
        <v>0.11981282593120568</v>
      </c>
      <c r="BH63" s="24">
        <v>10</v>
      </c>
      <c r="BI63" s="24">
        <v>15</v>
      </c>
      <c r="BJ63" s="25">
        <f ca="1">(BD63*BH63+$AP63-$AQ63)/$H63</f>
        <v>12.408399422832163</v>
      </c>
      <c r="BK63" s="25">
        <f ca="1">(BF63*BI63+$AP63-$AQ63)/$H63</f>
        <v>50.475596223592262</v>
      </c>
      <c r="BL63" s="23">
        <f t="shared" ca="1" si="43"/>
        <v>-0.20604047417631832</v>
      </c>
      <c r="BM63" s="23">
        <f t="shared" ca="1" si="44"/>
        <v>6.4362041366898382E-2</v>
      </c>
      <c r="BN63" s="93" t="s">
        <v>81</v>
      </c>
      <c r="BO63" s="93" t="s">
        <v>183</v>
      </c>
      <c r="BP63" s="93" t="s">
        <v>180</v>
      </c>
    </row>
    <row r="64" spans="1:68" ht="15" customHeight="1" x14ac:dyDescent="0.25">
      <c r="A64" s="86" t="e" vm="61">
        <v>#VALUE!</v>
      </c>
      <c r="B64" s="10" t="str">
        <f t="array" aca="1" ref="B64" ca="1">_FV(A64,"Símbolo bursátil",TRUE())</f>
        <v>OTLY</v>
      </c>
      <c r="C64" s="88" t="s">
        <v>131</v>
      </c>
      <c r="D64" s="88" t="s">
        <v>239</v>
      </c>
      <c r="E64" s="11" t="str">
        <f t="array" aca="1" ref="E64" ca="1">_FV(A64,"Abreviatura de intercambio",TRUE())</f>
        <v>XNAS</v>
      </c>
      <c r="F64" s="11" t="str">
        <f t="array" aca="1" ref="F64" ca="1">_FV(A64,"Moneda")</f>
        <v>USD</v>
      </c>
      <c r="G64" s="12">
        <f t="array" aca="1" ref="G64" ca="1">_FV(A64,"Precio")</f>
        <v>9.8789999999999996</v>
      </c>
      <c r="H64" s="13">
        <f t="array" aca="1" ref="H64" ca="1">_FV(A64,"Acciones en circulación",TRUE())/1000000</f>
        <v>31.225000000000001</v>
      </c>
      <c r="I64" s="14">
        <f ca="1">G64*H64</f>
        <v>308.47177499999998</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408.47177499999998</v>
      </c>
      <c r="AS64" s="19">
        <v>-50</v>
      </c>
      <c r="AT64" s="19">
        <v>-100</v>
      </c>
      <c r="AU64" s="19">
        <v>-10</v>
      </c>
      <c r="AV64" s="19">
        <v>830</v>
      </c>
      <c r="AW64" s="20">
        <f t="shared" ca="1" si="35"/>
        <v>-8.1694354999999987</v>
      </c>
      <c r="AX64" s="20">
        <f t="shared" ca="1" si="36"/>
        <v>-40.847177500000001</v>
      </c>
      <c r="AY64" s="20">
        <f t="shared" ca="1" si="37"/>
        <v>0.49213466867469879</v>
      </c>
      <c r="AZ64" s="21">
        <v>650</v>
      </c>
      <c r="BA64" s="22">
        <f t="shared" si="38"/>
        <v>-0.12048192771084337</v>
      </c>
      <c r="BB64" s="22">
        <f t="shared" si="39"/>
        <v>1.2769230769230768</v>
      </c>
      <c r="BC64" s="23">
        <f t="shared" si="40"/>
        <v>-0.15384615384615383</v>
      </c>
      <c r="BD64" t="s">
        <v>279</v>
      </c>
      <c r="BE64" s="23">
        <f t="shared" si="41"/>
        <v>0</v>
      </c>
      <c r="BF64" t="s">
        <v>280</v>
      </c>
      <c r="BG64" s="23">
        <f t="shared" si="42"/>
        <v>-2.179198639369468</v>
      </c>
      <c r="BH64" s="24">
        <v>12</v>
      </c>
      <c r="BI64" s="24">
        <v>16</v>
      </c>
      <c r="BJ64" s="25">
        <f ca="1">(BD64*BH64+$AP64-$AQ64)/$H64</f>
        <v>-22.417934347477981</v>
      </c>
      <c r="BK64" s="25">
        <f ca="1">(BF64*BI64+$AP64-$AQ64)/$H64</f>
        <v>55.212169735788628</v>
      </c>
      <c r="BL64" s="23">
        <f t="shared" ca="1" si="43"/>
        <v>-2.178084715575773</v>
      </c>
      <c r="BM64" s="23">
        <f t="shared" ca="1" si="44"/>
        <v>0.53755428253237092</v>
      </c>
      <c r="BN64" s="93" t="s">
        <v>81</v>
      </c>
      <c r="BO64" s="93" t="s">
        <v>281</v>
      </c>
      <c r="BP64" s="93" t="s">
        <v>88</v>
      </c>
    </row>
    <row r="65" spans="1:68" x14ac:dyDescent="0.25">
      <c r="A65" s="86" t="e" vm="62">
        <v>#VALUE!</v>
      </c>
      <c r="B65" s="10" t="s">
        <v>282</v>
      </c>
      <c r="C65" s="88" t="s">
        <v>76</v>
      </c>
      <c r="D65" s="88" t="s">
        <v>77</v>
      </c>
      <c r="E65" s="11" t="s">
        <v>283</v>
      </c>
      <c r="F65" s="11" t="s">
        <v>284</v>
      </c>
      <c r="G65" s="12">
        <v>2600</v>
      </c>
      <c r="H65" s="13">
        <v>21.2</v>
      </c>
      <c r="I65" s="14">
        <f>G65*H65</f>
        <v>55120</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I65-AP65+AQ65</f>
        <v>56162</v>
      </c>
      <c r="AS65" s="19">
        <v>2700</v>
      </c>
      <c r="AT65" s="19">
        <v>1400</v>
      </c>
      <c r="AU65" s="19">
        <v>3428</v>
      </c>
      <c r="AV65" s="19">
        <v>12149</v>
      </c>
      <c r="AW65" s="20">
        <f t="shared" si="35"/>
        <v>20.800740740740739</v>
      </c>
      <c r="AX65" s="20">
        <f t="shared" si="36"/>
        <v>16.38331388564761</v>
      </c>
      <c r="AY65" s="20">
        <f t="shared" si="37"/>
        <v>4.6227673059511067</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(BD65*BH65+AP65-AQ65)/H65</f>
        <v>5080.566037735849</v>
      </c>
      <c r="BK65" s="25">
        <f>(BF65*BI65+AP65-AQ65)/H65</f>
        <v>11648.962264150943</v>
      </c>
      <c r="BL65" s="23">
        <f>(BJ65/G65)^(1/5)-1</f>
        <v>0.14337252119652866</v>
      </c>
      <c r="BM65" s="23">
        <f t="shared" si="44"/>
        <v>0.45488435118754245</v>
      </c>
      <c r="BN65" s="93" t="s">
        <v>285</v>
      </c>
      <c r="BO65" s="93" t="s">
        <v>286</v>
      </c>
      <c r="BP65" s="93" t="s">
        <v>287</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0" t="s">
        <v>288</v>
      </c>
      <c r="B1" s="96"/>
      <c r="C1" s="96"/>
      <c r="D1" s="96"/>
      <c r="E1" s="96"/>
      <c r="F1" s="96"/>
    </row>
    <row r="3" spans="1:6" ht="15" customHeight="1" x14ac:dyDescent="0.25">
      <c r="A3" s="27" t="s">
        <v>289</v>
      </c>
    </row>
    <row r="4" spans="1:6" ht="15" customHeight="1" x14ac:dyDescent="0.25">
      <c r="A4" s="28" t="s">
        <v>290</v>
      </c>
      <c r="D4" t="e" vm="63">
        <v>#VALUE!</v>
      </c>
      <c r="E4" s="29">
        <f t="array" aca="1" ref="E4" ca="1">_FV(D4,"Precio")</f>
        <v>184.53</v>
      </c>
    </row>
    <row r="5" spans="1:6" ht="15" customHeight="1" x14ac:dyDescent="0.25">
      <c r="A5" s="28" t="s">
        <v>291</v>
      </c>
      <c r="D5" t="e" vm="64">
        <v>#VALUE!</v>
      </c>
      <c r="E5" s="30">
        <f t="array" aca="1" ref="E5" ca="1">_FV(D5,"Precio")</f>
        <v>1.2665999999999999</v>
      </c>
    </row>
    <row r="6" spans="1:6" ht="15" customHeight="1" x14ac:dyDescent="0.25">
      <c r="A6" s="28" t="s">
        <v>292</v>
      </c>
      <c r="D6" t="e" vm="65">
        <v>#VALUE!</v>
      </c>
      <c r="E6" s="31">
        <f t="array" aca="1" ref="E6" ca="1">_FV(D6,"Precio")</f>
        <v>470.63</v>
      </c>
    </row>
    <row r="7" spans="1:6" ht="15" customHeight="1" x14ac:dyDescent="0.25">
      <c r="D7" t="e" vm="66">
        <v>#VALUE!</v>
      </c>
      <c r="E7" s="30">
        <f t="array" aca="1" ref="E7" ca="1">_FV(D7,"Precio")</f>
        <v>0.72719999999999996</v>
      </c>
    </row>
    <row r="8" spans="1:6" ht="15" customHeight="1" x14ac:dyDescent="0.25">
      <c r="A8" s="27" t="s">
        <v>293</v>
      </c>
      <c r="D8" t="e" vm="67">
        <v>#VALUE!</v>
      </c>
      <c r="E8" s="87">
        <f t="array" aca="1" ref="E8" ca="1">_FV(D8,"Precio")</f>
        <v>0.86180000000000001</v>
      </c>
    </row>
    <row r="9" spans="1:6" ht="15" customHeight="1" x14ac:dyDescent="0.25">
      <c r="A9" s="28" t="s">
        <v>294</v>
      </c>
    </row>
    <row r="10" spans="1:6" ht="15" customHeight="1" x14ac:dyDescent="0.25">
      <c r="A10" s="28" t="s">
        <v>295</v>
      </c>
    </row>
    <row r="11" spans="1:6" ht="15" customHeight="1" x14ac:dyDescent="0.25">
      <c r="A11" s="28" t="s">
        <v>296</v>
      </c>
    </row>
    <row r="12" spans="1:6" ht="15" customHeight="1" x14ac:dyDescent="0.25">
      <c r="A12" s="28" t="s">
        <v>297</v>
      </c>
    </row>
    <row r="13" spans="1:6" ht="15" customHeight="1" x14ac:dyDescent="0.25">
      <c r="A13" s="28" t="s">
        <v>298</v>
      </c>
    </row>
    <row r="14" spans="1:6" ht="15" customHeight="1" x14ac:dyDescent="0.25">
      <c r="A14" s="28" t="s">
        <v>299</v>
      </c>
    </row>
    <row r="15" spans="1:6" ht="15" customHeight="1" x14ac:dyDescent="0.25">
      <c r="A15" s="28" t="s">
        <v>300</v>
      </c>
    </row>
    <row r="16" spans="1:6" ht="15" customHeight="1" x14ac:dyDescent="0.25">
      <c r="A16" s="28" t="s">
        <v>301</v>
      </c>
    </row>
    <row r="18" spans="1:1" ht="15" customHeight="1" x14ac:dyDescent="0.25">
      <c r="A18" s="27" t="s">
        <v>302</v>
      </c>
    </row>
    <row r="19" spans="1:1" ht="15" customHeight="1" x14ac:dyDescent="0.25">
      <c r="A19" s="28" t="s">
        <v>303</v>
      </c>
    </row>
    <row r="20" spans="1:1" ht="15" customHeight="1" x14ac:dyDescent="0.25">
      <c r="A20" s="28" t="s">
        <v>304</v>
      </c>
    </row>
    <row r="21" spans="1:1" ht="15" customHeight="1" x14ac:dyDescent="0.25">
      <c r="A21" s="28" t="s">
        <v>305</v>
      </c>
    </row>
    <row r="22" spans="1:1" ht="15" customHeight="1" x14ac:dyDescent="0.25">
      <c r="A22" s="28" t="s">
        <v>306</v>
      </c>
    </row>
    <row r="23" spans="1:1" ht="15" customHeight="1" x14ac:dyDescent="0.25">
      <c r="A23" s="28" t="s">
        <v>307</v>
      </c>
    </row>
    <row r="24" spans="1:1" ht="15" customHeight="1" x14ac:dyDescent="0.25">
      <c r="A24" s="28" t="s">
        <v>308</v>
      </c>
    </row>
    <row r="25" spans="1:1" ht="15" customHeight="1" x14ac:dyDescent="0.25">
      <c r="A25" s="28" t="s">
        <v>309</v>
      </c>
    </row>
    <row r="26" spans="1:1" ht="15" customHeight="1" x14ac:dyDescent="0.25">
      <c r="A26" s="28" t="s">
        <v>310</v>
      </c>
    </row>
    <row r="28" spans="1:1" ht="15" customHeight="1" x14ac:dyDescent="0.25">
      <c r="A28" s="27" t="s">
        <v>311</v>
      </c>
    </row>
    <row r="29" spans="1:1" ht="15" customHeight="1" x14ac:dyDescent="0.25">
      <c r="A29" s="28" t="s">
        <v>312</v>
      </c>
    </row>
    <row r="30" spans="1:1" ht="15" customHeight="1" x14ac:dyDescent="0.25">
      <c r="A30" s="28" t="s">
        <v>313</v>
      </c>
    </row>
    <row r="31" spans="1:1" ht="15" customHeight="1" x14ac:dyDescent="0.25">
      <c r="A31" s="28" t="s">
        <v>314</v>
      </c>
    </row>
    <row r="32" spans="1:1" ht="15" customHeight="1" x14ac:dyDescent="0.25">
      <c r="A32" s="28" t="s">
        <v>315</v>
      </c>
    </row>
    <row r="33" spans="1:1" ht="15" customHeight="1" x14ac:dyDescent="0.25">
      <c r="A33" s="28" t="s">
        <v>316</v>
      </c>
    </row>
    <row r="34" spans="1:1" ht="15" customHeight="1" x14ac:dyDescent="0.25">
      <c r="A34" s="28" t="s">
        <v>317</v>
      </c>
    </row>
    <row r="35" spans="1:1" ht="15" customHeight="1" x14ac:dyDescent="0.25">
      <c r="A35" s="28" t="s">
        <v>318</v>
      </c>
    </row>
    <row r="36" spans="1:1" ht="15" customHeight="1" x14ac:dyDescent="0.25">
      <c r="A36" s="28" t="s">
        <v>319</v>
      </c>
    </row>
    <row r="38" spans="1:1" ht="15" customHeight="1" x14ac:dyDescent="0.25">
      <c r="A38" s="27" t="s">
        <v>320</v>
      </c>
    </row>
    <row r="39" spans="1:1" ht="15" customHeight="1" x14ac:dyDescent="0.25">
      <c r="A39" s="28" t="s">
        <v>321</v>
      </c>
    </row>
    <row r="40" spans="1:1" ht="15" customHeight="1" x14ac:dyDescent="0.25">
      <c r="A40" s="28" t="s">
        <v>322</v>
      </c>
    </row>
    <row r="42" spans="1:1" ht="15" customHeight="1" x14ac:dyDescent="0.25">
      <c r="A42" s="27" t="s">
        <v>323</v>
      </c>
    </row>
    <row r="43" spans="1:1" ht="15" customHeight="1" x14ac:dyDescent="0.25">
      <c r="A43" s="28" t="s">
        <v>324</v>
      </c>
    </row>
    <row r="44" spans="1:1" ht="15" customHeight="1" x14ac:dyDescent="0.25">
      <c r="A44" s="28" t="s">
        <v>325</v>
      </c>
    </row>
    <row r="45" spans="1:1" ht="15" customHeight="1" x14ac:dyDescent="0.25">
      <c r="A45" s="28" t="s">
        <v>326</v>
      </c>
    </row>
    <row r="46" spans="1:1" ht="15" customHeight="1" x14ac:dyDescent="0.25">
      <c r="A46" s="28" t="s">
        <v>327</v>
      </c>
    </row>
    <row r="47" spans="1:1" ht="15" customHeight="1" x14ac:dyDescent="0.25">
      <c r="A47" s="28" t="s">
        <v>328</v>
      </c>
    </row>
    <row r="49" spans="1:1" ht="15" customHeight="1" x14ac:dyDescent="0.25">
      <c r="A49" s="27" t="s">
        <v>329</v>
      </c>
    </row>
    <row r="50" spans="1:1" ht="15" customHeight="1" x14ac:dyDescent="0.25">
      <c r="A50" s="28" t="s">
        <v>330</v>
      </c>
    </row>
    <row r="51" spans="1:1" ht="15" customHeight="1" x14ac:dyDescent="0.25">
      <c r="A51" s="28" t="s">
        <v>331</v>
      </c>
    </row>
    <row r="52" spans="1:1" ht="15" customHeight="1" x14ac:dyDescent="0.25">
      <c r="A52" s="28" t="s">
        <v>332</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333</v>
      </c>
      <c r="B1" s="96"/>
      <c r="C1" s="96"/>
      <c r="D1" s="96"/>
      <c r="E1" s="96"/>
      <c r="F1" s="96"/>
      <c r="G1" s="96"/>
      <c r="H1" s="96"/>
      <c r="I1" s="96"/>
      <c r="J1" s="96"/>
      <c r="K1" s="96"/>
      <c r="L1" s="96"/>
      <c r="M1" s="32"/>
      <c r="N1" s="32"/>
      <c r="O1" s="32"/>
      <c r="P1" s="32"/>
      <c r="Q1" s="32"/>
      <c r="R1" s="32"/>
    </row>
    <row r="2" spans="1:47" ht="24.75" customHeight="1" x14ac:dyDescent="0.25">
      <c r="A2" s="124" t="s">
        <v>334</v>
      </c>
      <c r="B2" s="125"/>
      <c r="C2" s="125"/>
      <c r="D2" s="125"/>
      <c r="E2" s="125"/>
      <c r="F2" s="125"/>
      <c r="G2" s="125"/>
      <c r="H2" s="125"/>
      <c r="I2" s="125"/>
      <c r="J2" s="125"/>
      <c r="K2" s="125"/>
      <c r="L2" s="125"/>
    </row>
    <row r="3" spans="1:47" ht="24.75" customHeight="1" x14ac:dyDescent="0.25">
      <c r="A3" s="130" t="s">
        <v>335</v>
      </c>
      <c r="B3" s="119"/>
      <c r="C3" s="151" t="s">
        <v>336</v>
      </c>
      <c r="D3" s="119"/>
      <c r="E3" s="152" t="s">
        <v>337</v>
      </c>
      <c r="F3" s="119"/>
      <c r="G3" s="118" t="s">
        <v>338</v>
      </c>
      <c r="H3" s="119"/>
      <c r="I3" s="120" t="s">
        <v>339</v>
      </c>
      <c r="J3" s="119"/>
      <c r="K3" s="156" t="s">
        <v>340</v>
      </c>
      <c r="L3" s="157"/>
    </row>
    <row r="4" spans="1:47" ht="49.5" customHeight="1" x14ac:dyDescent="0.25">
      <c r="A4" s="137">
        <f ca="1">COUNTA('Watchlist Ratings'!B4:B64)</f>
        <v>61</v>
      </c>
      <c r="B4" s="122"/>
      <c r="C4" s="153">
        <f>ROUND(AVERAGE('Watchlist Ratings'!AN4:AN64),2)</f>
        <v>5.94</v>
      </c>
      <c r="D4" s="122"/>
      <c r="E4" s="123" t="str">
        <f>TEXT(AVERAGE('Watchlist Ratings'!BC4:BC64),"0.0%")</f>
        <v>22.3%</v>
      </c>
      <c r="F4" s="122"/>
      <c r="G4" s="123" t="str">
        <f ca="1">TEXT(AVERAGE('Watchlist Ratings'!AW4:AW64),"0.0x")</f>
        <v>36.7x</v>
      </c>
      <c r="H4" s="122"/>
      <c r="I4" s="123">
        <f ca="1">COUNTIF('Watchlist Ratings'!BM4:BM64,"&gt;0")</f>
        <v>51</v>
      </c>
      <c r="J4" s="122"/>
      <c r="K4" s="108">
        <f>COUNTIF('Watchlist Ratings'!AN4:AN64,"&gt;7.5")</f>
        <v>15</v>
      </c>
      <c r="L4" s="109"/>
    </row>
    <row r="5" spans="1:47" ht="19.5" customHeight="1" x14ac:dyDescent="0.25">
      <c r="A5" s="133" t="s">
        <v>341</v>
      </c>
      <c r="B5" s="122"/>
      <c r="C5" s="121" t="s">
        <v>342</v>
      </c>
      <c r="D5" s="122"/>
      <c r="E5" s="121" t="s">
        <v>343</v>
      </c>
      <c r="F5" s="122"/>
      <c r="G5" s="121" t="s">
        <v>344</v>
      </c>
      <c r="H5" s="122"/>
      <c r="I5" s="121" t="s">
        <v>345</v>
      </c>
      <c r="J5" s="122"/>
      <c r="K5" s="158" t="s">
        <v>346</v>
      </c>
      <c r="L5" s="109"/>
    </row>
    <row r="6" spans="1:47" ht="18" customHeight="1" x14ac:dyDescent="0.25">
      <c r="A6" s="114" t="s">
        <v>347</v>
      </c>
      <c r="B6" s="115"/>
      <c r="C6" s="131" t="s">
        <v>348</v>
      </c>
      <c r="D6" s="115"/>
      <c r="E6" s="131" t="s">
        <v>349</v>
      </c>
      <c r="F6" s="115"/>
      <c r="G6" s="117" t="s">
        <v>350</v>
      </c>
      <c r="H6" s="115"/>
      <c r="I6" s="131" t="s">
        <v>351</v>
      </c>
      <c r="J6" s="115"/>
      <c r="K6" s="154" t="s">
        <v>352</v>
      </c>
      <c r="L6" s="155"/>
      <c r="O6" t="s">
        <v>353</v>
      </c>
      <c r="S6" t="s">
        <v>354</v>
      </c>
      <c r="V6" t="s">
        <v>355</v>
      </c>
      <c r="Y6" t="s">
        <v>356</v>
      </c>
      <c r="AA6" t="s">
        <v>357</v>
      </c>
      <c r="AE6" t="s">
        <v>358</v>
      </c>
      <c r="AF6" t="s">
        <v>359</v>
      </c>
      <c r="AH6" t="s">
        <v>358</v>
      </c>
      <c r="AI6" t="s">
        <v>359</v>
      </c>
      <c r="AJ6" t="s">
        <v>358</v>
      </c>
      <c r="AK6" t="s">
        <v>360</v>
      </c>
      <c r="AL6" t="s">
        <v>361</v>
      </c>
      <c r="AM6" t="s">
        <v>358</v>
      </c>
      <c r="AN6" t="s">
        <v>362</v>
      </c>
      <c r="AO6" t="s">
        <v>358</v>
      </c>
      <c r="AP6" t="s">
        <v>363</v>
      </c>
      <c r="AQ6" t="s">
        <v>364</v>
      </c>
      <c r="AS6" t="s">
        <v>358</v>
      </c>
      <c r="AT6" t="s">
        <v>362</v>
      </c>
      <c r="AU6" t="s">
        <v>364</v>
      </c>
    </row>
    <row r="7" spans="1:47" ht="15.75" customHeight="1" x14ac:dyDescent="0.25">
      <c r="A7" s="33" t="s">
        <v>365</v>
      </c>
      <c r="B7" s="34" t="s">
        <v>358</v>
      </c>
      <c r="C7" s="34" t="s">
        <v>366</v>
      </c>
      <c r="D7" s="34" t="s">
        <v>367</v>
      </c>
      <c r="E7" s="34" t="s">
        <v>368</v>
      </c>
      <c r="F7" s="34" t="s">
        <v>369</v>
      </c>
      <c r="G7" s="34" t="s">
        <v>360</v>
      </c>
      <c r="H7" s="34" t="s">
        <v>370</v>
      </c>
      <c r="I7" s="34" t="s">
        <v>62</v>
      </c>
      <c r="J7" s="35" t="s">
        <v>362</v>
      </c>
      <c r="K7" s="36"/>
      <c r="O7" t="s">
        <v>358</v>
      </c>
      <c r="P7" t="s">
        <v>369</v>
      </c>
      <c r="Q7" t="s">
        <v>371</v>
      </c>
      <c r="S7" t="s">
        <v>358</v>
      </c>
      <c r="T7" t="s">
        <v>62</v>
      </c>
      <c r="V7" t="s">
        <v>358</v>
      </c>
      <c r="W7" t="s">
        <v>360</v>
      </c>
      <c r="X7" t="s">
        <v>361</v>
      </c>
      <c r="Y7" t="s">
        <v>358</v>
      </c>
      <c r="Z7" t="s">
        <v>362</v>
      </c>
      <c r="AA7" t="s">
        <v>358</v>
      </c>
      <c r="AB7" t="s">
        <v>372</v>
      </c>
      <c r="AC7" t="s">
        <v>371</v>
      </c>
      <c r="AE7" t="s">
        <v>373</v>
      </c>
      <c r="AF7">
        <v>83.3333333333333</v>
      </c>
      <c r="AH7" t="s">
        <v>373</v>
      </c>
      <c r="AI7">
        <v>83.3</v>
      </c>
      <c r="AJ7" t="s">
        <v>374</v>
      </c>
      <c r="AK7">
        <v>8</v>
      </c>
      <c r="AL7">
        <v>3</v>
      </c>
      <c r="AM7" t="s">
        <v>375</v>
      </c>
      <c r="AN7">
        <v>52.2</v>
      </c>
      <c r="AO7" t="s">
        <v>374</v>
      </c>
      <c r="AP7">
        <v>4.5</v>
      </c>
      <c r="AQ7">
        <v>33.6</v>
      </c>
      <c r="AS7" t="s">
        <v>374</v>
      </c>
      <c r="AT7">
        <v>20.173600073636401</v>
      </c>
      <c r="AU7">
        <v>33.701681153345</v>
      </c>
    </row>
    <row r="8" spans="1:47" ht="30" customHeight="1" x14ac:dyDescent="0.25">
      <c r="A8" s="116" t="s">
        <v>376</v>
      </c>
      <c r="B8" s="96"/>
      <c r="C8" s="96"/>
      <c r="D8" s="96"/>
      <c r="E8" s="96"/>
      <c r="F8" s="96"/>
      <c r="G8" s="96"/>
      <c r="H8" s="96"/>
      <c r="I8" s="96"/>
      <c r="J8" s="96"/>
      <c r="K8" s="96"/>
      <c r="L8" s="96"/>
      <c r="O8" t="str">
        <f ca="1">'Watchlist Ratings'!B4</f>
        <v>VEEV</v>
      </c>
      <c r="P8" s="37">
        <f>'Watchlist Ratings'!AN4</f>
        <v>8.2799999999999994</v>
      </c>
      <c r="Q8" s="23">
        <f ca="1">'Watchlist Ratings'!BM4</f>
        <v>0.34329692568943093</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19.712882403636364</v>
      </c>
      <c r="AA8" t="str">
        <f ca="1">'Watchlist Ratings'!B4</f>
        <v>VEEV</v>
      </c>
      <c r="AB8">
        <f ca="1">'Watchlist Ratings'!BL4</f>
        <v>5.0023692268371889E-2</v>
      </c>
      <c r="AC8">
        <f ca="1">'Watchlist Ratings'!BM4</f>
        <v>0.34329692568943093</v>
      </c>
      <c r="AE8" t="s">
        <v>377</v>
      </c>
      <c r="AF8">
        <v>83.3333333333333</v>
      </c>
      <c r="AH8" t="s">
        <v>377</v>
      </c>
      <c r="AI8">
        <v>83.3</v>
      </c>
      <c r="AJ8" t="s">
        <v>378</v>
      </c>
      <c r="AK8">
        <v>8</v>
      </c>
      <c r="AL8">
        <v>3</v>
      </c>
      <c r="AM8" t="s">
        <v>379</v>
      </c>
      <c r="AN8">
        <v>51.1</v>
      </c>
      <c r="AO8" t="s">
        <v>380</v>
      </c>
      <c r="AP8">
        <v>3.7</v>
      </c>
      <c r="AQ8">
        <v>32.4</v>
      </c>
      <c r="AS8" t="s">
        <v>378</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43.903919708571436</v>
      </c>
      <c r="O9" t="str">
        <f ca="1">'Watchlist Ratings'!B5</f>
        <v>MSFT</v>
      </c>
      <c r="P9" s="37">
        <f>'Watchlist Ratings'!AN5</f>
        <v>8.01</v>
      </c>
      <c r="Q9" s="23">
        <f ca="1">'Watchlist Ratings'!BM5</f>
        <v>0.10535648659769592</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43.903919708571436</v>
      </c>
      <c r="AA9" t="str">
        <f ca="1">'Watchlist Ratings'!B5</f>
        <v>MSFT</v>
      </c>
      <c r="AB9">
        <f ca="1">'Watchlist Ratings'!BL5</f>
        <v>-7.6187598967572323E-2</v>
      </c>
      <c r="AC9">
        <f ca="1">'Watchlist Ratings'!BM5</f>
        <v>0.10535648659769592</v>
      </c>
      <c r="AE9" t="s">
        <v>381</v>
      </c>
      <c r="AF9">
        <v>59.375</v>
      </c>
      <c r="AH9" t="s">
        <v>381</v>
      </c>
      <c r="AI9">
        <v>59.4</v>
      </c>
      <c r="AJ9" t="s">
        <v>379</v>
      </c>
      <c r="AK9">
        <v>8</v>
      </c>
      <c r="AL9">
        <v>1</v>
      </c>
      <c r="AM9" t="s">
        <v>382</v>
      </c>
      <c r="AN9">
        <v>45.6</v>
      </c>
      <c r="AO9" t="s">
        <v>383</v>
      </c>
      <c r="AP9">
        <v>1.1000000000000001</v>
      </c>
      <c r="AQ9">
        <v>28.4</v>
      </c>
      <c r="AS9" t="s">
        <v>383</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27.281417681012659</v>
      </c>
      <c r="O10" t="str">
        <f ca="1">'Watchlist Ratings'!B6</f>
        <v>ADYEN</v>
      </c>
      <c r="P10" s="37">
        <f>'Watchlist Ratings'!AN6</f>
        <v>7.73</v>
      </c>
      <c r="Q10" s="23">
        <f ca="1">'Watchlist Ratings'!BM6</f>
        <v>0.29489453079395211</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27.281417681012659</v>
      </c>
      <c r="AA10" t="str">
        <f ca="1">'Watchlist Ratings'!B6</f>
        <v>ADYEN</v>
      </c>
      <c r="AB10">
        <f ca="1">'Watchlist Ratings'!BL6</f>
        <v>1.8023752328891529E-2</v>
      </c>
      <c r="AC10">
        <f ca="1">'Watchlist Ratings'!BM6</f>
        <v>0.29489453079395211</v>
      </c>
      <c r="AE10" t="s">
        <v>374</v>
      </c>
      <c r="AF10">
        <v>54</v>
      </c>
      <c r="AH10" t="s">
        <v>374</v>
      </c>
      <c r="AI10">
        <v>54</v>
      </c>
      <c r="AJ10" t="s">
        <v>375</v>
      </c>
      <c r="AK10">
        <v>8</v>
      </c>
      <c r="AL10">
        <v>3</v>
      </c>
      <c r="AM10" t="s">
        <v>378</v>
      </c>
      <c r="AN10">
        <v>44.8</v>
      </c>
      <c r="AO10" t="s">
        <v>384</v>
      </c>
      <c r="AP10">
        <v>1.8</v>
      </c>
      <c r="AQ10">
        <v>25</v>
      </c>
      <c r="AS10" t="s">
        <v>385</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23.271675365540002</v>
      </c>
      <c r="O11" t="str">
        <f ca="1">'Watchlist Ratings'!B7</f>
        <v>BN</v>
      </c>
      <c r="P11" s="37">
        <f>'Watchlist Ratings'!AN7</f>
        <v>7.93</v>
      </c>
      <c r="Q11" s="23">
        <f ca="1">'Watchlist Ratings'!BM7</f>
        <v>0.25007229949436627</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23.271675365540002</v>
      </c>
      <c r="AA11" t="str">
        <f ca="1">'Watchlist Ratings'!B7</f>
        <v>BN</v>
      </c>
      <c r="AB11">
        <f ca="1">'Watchlist Ratings'!BL7</f>
        <v>1.7441883555142645E-2</v>
      </c>
      <c r="AC11">
        <f ca="1">'Watchlist Ratings'!BM7</f>
        <v>0.25007229949436627</v>
      </c>
      <c r="AE11" t="s">
        <v>386</v>
      </c>
      <c r="AF11">
        <v>41.6666666666667</v>
      </c>
      <c r="AH11" t="s">
        <v>386</v>
      </c>
      <c r="AI11">
        <v>41.7</v>
      </c>
      <c r="AJ11" t="s">
        <v>387</v>
      </c>
      <c r="AK11">
        <v>8</v>
      </c>
      <c r="AL11">
        <v>2</v>
      </c>
      <c r="AM11" t="s">
        <v>388</v>
      </c>
      <c r="AN11">
        <v>43.6</v>
      </c>
      <c r="AO11" t="s">
        <v>385</v>
      </c>
      <c r="AP11">
        <v>0.6</v>
      </c>
      <c r="AQ11">
        <v>23.3</v>
      </c>
      <c r="AS11" t="s">
        <v>379</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56.453993435294123</v>
      </c>
      <c r="O12" t="str">
        <f ca="1">'Watchlist Ratings'!B8</f>
        <v>COST</v>
      </c>
      <c r="P12" s="37">
        <f>'Watchlist Ratings'!AN8</f>
        <v>8.01</v>
      </c>
      <c r="Q12" s="23">
        <f ca="1">'Watchlist Ratings'!BM8</f>
        <v>-1.6089199691735612E-2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56.453993435294123</v>
      </c>
      <c r="AA12" t="str">
        <f ca="1">'Watchlist Ratings'!B8</f>
        <v>COST</v>
      </c>
      <c r="AB12">
        <f ca="1">'Watchlist Ratings'!BL8</f>
        <v>-0.13670046069207387</v>
      </c>
      <c r="AC12">
        <f ca="1">'Watchlist Ratings'!BM8</f>
        <v>-1.6089199691735612E-2</v>
      </c>
      <c r="AE12" t="s">
        <v>389</v>
      </c>
      <c r="AF12">
        <v>38.3333333333333</v>
      </c>
      <c r="AH12" t="s">
        <v>389</v>
      </c>
      <c r="AI12">
        <v>38.299999999999997</v>
      </c>
      <c r="AJ12" t="s">
        <v>383</v>
      </c>
      <c r="AK12">
        <v>7</v>
      </c>
      <c r="AL12">
        <v>3</v>
      </c>
      <c r="AM12" t="s">
        <v>381</v>
      </c>
      <c r="AN12">
        <v>40.299999999999997</v>
      </c>
      <c r="AO12" t="s">
        <v>390</v>
      </c>
      <c r="AP12">
        <v>-0.1</v>
      </c>
      <c r="AQ12">
        <v>20.8</v>
      </c>
      <c r="AS12" t="s">
        <v>390</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24.06478486666667</v>
      </c>
      <c r="L13" s="36" t="s">
        <v>391</v>
      </c>
      <c r="M13" t="s">
        <v>392</v>
      </c>
      <c r="O13" t="str">
        <f ca="1">'Watchlist Ratings'!B9</f>
        <v>DSGX</v>
      </c>
      <c r="P13" s="37">
        <f>'Watchlist Ratings'!AN9</f>
        <v>7.82</v>
      </c>
      <c r="Q13" s="23">
        <f ca="1">'Watchlist Ratings'!BM9</f>
        <v>0.22845688983290469</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24.06478486666667</v>
      </c>
      <c r="AA13" t="str">
        <f ca="1">'Watchlist Ratings'!B9</f>
        <v>DSGX</v>
      </c>
      <c r="AB13">
        <f ca="1">'Watchlist Ratings'!BL9</f>
        <v>1.2780072095005313E-2</v>
      </c>
      <c r="AC13">
        <f ca="1">'Watchlist Ratings'!BM9</f>
        <v>0.22845688983290469</v>
      </c>
      <c r="AE13" t="s">
        <v>384</v>
      </c>
      <c r="AF13">
        <v>37.5</v>
      </c>
      <c r="AH13" t="s">
        <v>384</v>
      </c>
      <c r="AI13">
        <v>37.5</v>
      </c>
      <c r="AJ13" t="s">
        <v>385</v>
      </c>
      <c r="AK13">
        <v>7</v>
      </c>
      <c r="AL13">
        <v>3</v>
      </c>
      <c r="AM13" t="s">
        <v>393</v>
      </c>
      <c r="AN13">
        <v>38.9</v>
      </c>
      <c r="AO13" t="s">
        <v>394</v>
      </c>
      <c r="AP13">
        <v>4.7</v>
      </c>
      <c r="AQ13">
        <v>32.9</v>
      </c>
      <c r="AS13" t="s">
        <v>389</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27.424999999999997</v>
      </c>
      <c r="L14" t="s">
        <v>395</v>
      </c>
      <c r="M14">
        <f>COUNTIF('Watchlist Ratings'!AN4:AN64,"&gt;=8")</f>
        <v>5</v>
      </c>
      <c r="O14" t="str">
        <f ca="1">'Watchlist Ratings'!B10</f>
        <v>RAA</v>
      </c>
      <c r="P14" s="37">
        <f>'Watchlist Ratings'!AN10</f>
        <v>7.97</v>
      </c>
      <c r="Q14" s="23">
        <f ca="1">'Watchlist Ratings'!BM10</f>
        <v>0.1558924719250312</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27.424999999999997</v>
      </c>
      <c r="AA14" t="str">
        <f ca="1">'Watchlist Ratings'!B10</f>
        <v>RAA</v>
      </c>
      <c r="AB14">
        <f ca="1">'Watchlist Ratings'!BL10</f>
        <v>-6.6463091170055888E-2</v>
      </c>
      <c r="AC14">
        <f ca="1">'Watchlist Ratings'!BM10</f>
        <v>0.1558924719250312</v>
      </c>
      <c r="AE14" t="s">
        <v>396</v>
      </c>
      <c r="AF14">
        <v>37.142857142857103</v>
      </c>
      <c r="AH14" t="s">
        <v>396</v>
      </c>
      <c r="AI14">
        <v>37.1</v>
      </c>
      <c r="AJ14" t="s">
        <v>390</v>
      </c>
      <c r="AK14">
        <v>7</v>
      </c>
      <c r="AL14">
        <v>2</v>
      </c>
      <c r="AM14" t="s">
        <v>387</v>
      </c>
      <c r="AN14">
        <v>38.5</v>
      </c>
      <c r="AO14" t="s">
        <v>397</v>
      </c>
      <c r="AP14">
        <v>-4.2</v>
      </c>
      <c r="AQ14">
        <v>13.7</v>
      </c>
      <c r="AS14" t="s">
        <v>380</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35.414429995890409</v>
      </c>
      <c r="L15" t="s">
        <v>398</v>
      </c>
      <c r="M15">
        <f>COUNTIFS('Watchlist Ratings'!AN4:AN64,"&gt;=7",'Watchlist Ratings'!AN4:AN64,"&lt;8")</f>
        <v>14</v>
      </c>
      <c r="O15" t="str">
        <f ca="1">'Watchlist Ratings'!B11</f>
        <v>ZS</v>
      </c>
      <c r="P15" s="37">
        <f>'Watchlist Ratings'!AN11</f>
        <v>7.45</v>
      </c>
      <c r="Q15" s="23">
        <f ca="1">'Watchlist Ratings'!BM11</f>
        <v>0.23909386335572558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35.414429995890409</v>
      </c>
      <c r="AA15" t="str">
        <f ca="1">'Watchlist Ratings'!B11</f>
        <v>ZS</v>
      </c>
      <c r="AB15">
        <f ca="1">'Watchlist Ratings'!BL11</f>
        <v>-1.7086005469886589E-2</v>
      </c>
      <c r="AC15">
        <f ca="1">'Watchlist Ratings'!BM11</f>
        <v>0.23909386335572558</v>
      </c>
      <c r="AE15" t="s">
        <v>397</v>
      </c>
      <c r="AF15">
        <v>36.1111111111111</v>
      </c>
      <c r="AH15" t="s">
        <v>397</v>
      </c>
      <c r="AI15">
        <v>36.1</v>
      </c>
      <c r="AJ15" t="s">
        <v>389</v>
      </c>
      <c r="AK15">
        <v>7</v>
      </c>
      <c r="AL15">
        <v>2</v>
      </c>
      <c r="AM15" t="s">
        <v>399</v>
      </c>
      <c r="AN15">
        <v>37.700000000000003</v>
      </c>
      <c r="AO15" t="s">
        <v>389</v>
      </c>
      <c r="AP15">
        <v>-8</v>
      </c>
      <c r="AQ15">
        <v>13.5</v>
      </c>
      <c r="AS15" t="s">
        <v>400</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24.020130161396967</v>
      </c>
      <c r="L16" t="s">
        <v>401</v>
      </c>
      <c r="M16">
        <f>COUNTIFS('Watchlist Ratings'!AN4:AN64,"&gt;=6",'Watchlist Ratings'!AN4:AN64,"&lt;7")</f>
        <v>15</v>
      </c>
      <c r="O16" t="str">
        <f ca="1">'Watchlist Ratings'!B12</f>
        <v>NTO</v>
      </c>
      <c r="P16" s="37">
        <f>'Watchlist Ratings'!AN12</f>
        <v>7.92</v>
      </c>
      <c r="Q16" s="23">
        <f ca="1">'Watchlist Ratings'!BM12</f>
        <v>0.1218094535347829</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24.020130161396967</v>
      </c>
      <c r="AA16" t="str">
        <f ca="1">'Watchlist Ratings'!B12</f>
        <v>NTO</v>
      </c>
      <c r="AB16">
        <f ca="1">'Watchlist Ratings'!BL12</f>
        <v>-6.9381069461507461E-2</v>
      </c>
      <c r="AC16">
        <f ca="1">'Watchlist Ratings'!BM12</f>
        <v>0.1218094535347829</v>
      </c>
      <c r="AE16" t="s">
        <v>378</v>
      </c>
      <c r="AF16">
        <v>32.142857142857103</v>
      </c>
      <c r="AH16" t="s">
        <v>378</v>
      </c>
      <c r="AI16">
        <v>32.1</v>
      </c>
      <c r="AJ16" t="s">
        <v>400</v>
      </c>
      <c r="AK16">
        <v>7</v>
      </c>
      <c r="AL16">
        <v>3</v>
      </c>
      <c r="AM16" t="s">
        <v>389</v>
      </c>
      <c r="AN16">
        <v>29.6</v>
      </c>
      <c r="AO16" t="s">
        <v>387</v>
      </c>
      <c r="AP16">
        <v>-7.9</v>
      </c>
      <c r="AQ16">
        <v>12.3</v>
      </c>
      <c r="AS16" t="s">
        <v>375</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53.315045061538463</v>
      </c>
      <c r="L17" t="s">
        <v>402</v>
      </c>
      <c r="M17">
        <f>COUNTIF('Watchlist Ratings'!AN4:AN64,"&lt;6")</f>
        <v>27</v>
      </c>
      <c r="O17" t="str">
        <f ca="1">'Watchlist Ratings'!B13</f>
        <v>AMZN</v>
      </c>
      <c r="P17" s="37">
        <f>'Watchlist Ratings'!AN13</f>
        <v>8.08</v>
      </c>
      <c r="Q17" s="23">
        <f ca="1">'Watchlist Ratings'!BM13</f>
        <v>4.2438993232079225E-2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53.315045061538463</v>
      </c>
      <c r="AA17" t="str">
        <f ca="1">'Watchlist Ratings'!B13</f>
        <v>AMZN</v>
      </c>
      <c r="AB17">
        <f ca="1">'Watchlist Ratings'!BL13</f>
        <v>-9.8901297854279036E-2</v>
      </c>
      <c r="AC17">
        <f ca="1">'Watchlist Ratings'!BM13</f>
        <v>4.2438993232079225E-2</v>
      </c>
      <c r="AS17" t="s">
        <v>399</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34.806207888888885</v>
      </c>
      <c r="O18" t="str">
        <f ca="1">'Watchlist Ratings'!B14</f>
        <v>SU</v>
      </c>
      <c r="P18" s="37">
        <f>'Watchlist Ratings'!AN14</f>
        <v>7.85</v>
      </c>
      <c r="Q18" s="23">
        <f ca="1">'Watchlist Ratings'!BM14</f>
        <v>7.6526817433812955E-2</v>
      </c>
      <c r="V18" t="str">
        <f ca="1">'Watchlist Ratings'!B14</f>
        <v>SU</v>
      </c>
      <c r="W18" s="38">
        <f>'Watchlist Ratings'!K14</f>
        <v>7</v>
      </c>
      <c r="X18" s="38">
        <f>'Watchlist Ratings'!L14</f>
        <v>3</v>
      </c>
      <c r="Y18" t="str">
        <f ca="1">'Watchlist Ratings'!B14</f>
        <v>SU</v>
      </c>
      <c r="Z18">
        <f ca="1">'Watchlist Ratings'!AW14</f>
        <v>34.806207888888885</v>
      </c>
      <c r="AA18" t="str">
        <f ca="1">'Watchlist Ratings'!B14</f>
        <v>SU</v>
      </c>
      <c r="AB18">
        <f ca="1">'Watchlist Ratings'!BL14</f>
        <v>-9.1232299954577156E-2</v>
      </c>
      <c r="AC18">
        <f ca="1">'Watchlist Ratings'!BM14</f>
        <v>7.6526817433812955E-2</v>
      </c>
      <c r="AS18" t="s">
        <v>397</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22.118708098461539</v>
      </c>
      <c r="O19" t="str">
        <f ca="1">'Watchlist Ratings'!B15</f>
        <v>ITX</v>
      </c>
      <c r="P19" s="37">
        <f>'Watchlist Ratings'!AN15</f>
        <v>7.68</v>
      </c>
      <c r="Q19" s="23">
        <f ca="1">'Watchlist Ratings'!BM15</f>
        <v>0.16540754702958971</v>
      </c>
      <c r="V19" t="str">
        <f ca="1">'Watchlist Ratings'!B15</f>
        <v>ITX</v>
      </c>
      <c r="W19" s="38">
        <f>'Watchlist Ratings'!K15</f>
        <v>6.5</v>
      </c>
      <c r="X19" s="38">
        <f>'Watchlist Ratings'!L15</f>
        <v>2</v>
      </c>
      <c r="Y19" t="str">
        <f ca="1">'Watchlist Ratings'!B15</f>
        <v>ITX</v>
      </c>
      <c r="Z19">
        <f ca="1">'Watchlist Ratings'!AW15</f>
        <v>22.118708098461539</v>
      </c>
      <c r="AA19" t="str">
        <f ca="1">'Watchlist Ratings'!B15</f>
        <v>ITX</v>
      </c>
      <c r="AB19">
        <f ca="1">'Watchlist Ratings'!BL15</f>
        <v>-2.3268864808639433E-2</v>
      </c>
      <c r="AC19">
        <f ca="1">'Watchlist Ratings'!BM15</f>
        <v>0.16540754702958971</v>
      </c>
      <c r="AS19" t="s">
        <v>382</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48.790813333333332</v>
      </c>
      <c r="O20" t="str">
        <f ca="1">'Watchlist Ratings'!B16</f>
        <v>LOTB</v>
      </c>
      <c r="P20" s="37">
        <f>'Watchlist Ratings'!AN16</f>
        <v>8</v>
      </c>
      <c r="Q20" s="23">
        <f ca="1">'Watchlist Ratings'!BM16</f>
        <v>1.8693712124910222E-2</v>
      </c>
      <c r="V20" t="str">
        <f ca="1">'Watchlist Ratings'!B16</f>
        <v>LOTB</v>
      </c>
      <c r="W20" s="38">
        <f>'Watchlist Ratings'!K16</f>
        <v>7</v>
      </c>
      <c r="X20" s="38">
        <f>'Watchlist Ratings'!L16</f>
        <v>3</v>
      </c>
      <c r="Y20" t="str">
        <f ca="1">'Watchlist Ratings'!B16</f>
        <v>LOTB</v>
      </c>
      <c r="Z20">
        <f ca="1">'Watchlist Ratings'!AW16</f>
        <v>48.790813333333332</v>
      </c>
      <c r="AA20" t="str">
        <f ca="1">'Watchlist Ratings'!B16</f>
        <v>LOTB</v>
      </c>
      <c r="AB20">
        <f ca="1">'Watchlist Ratings'!BL16</f>
        <v>-0.15774782346553951</v>
      </c>
      <c r="AC20">
        <f ca="1">'Watchlist Ratings'!BM16</f>
        <v>1.8693712124910222E-2</v>
      </c>
      <c r="AS20" t="s">
        <v>388</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42.510983000000003</v>
      </c>
      <c r="O21" t="str">
        <f ca="1">'Watchlist Ratings'!B17</f>
        <v>HLMA</v>
      </c>
      <c r="P21" s="37">
        <f>'Watchlist Ratings'!AN17</f>
        <v>7.88</v>
      </c>
      <c r="Q21" s="23">
        <f ca="1">'Watchlist Ratings'!BM17</f>
        <v>5.0409660501293585E-2</v>
      </c>
      <c r="V21" t="str">
        <f ca="1">'Watchlist Ratings'!B17</f>
        <v>HLMA</v>
      </c>
      <c r="W21" s="38">
        <f>'Watchlist Ratings'!K17</f>
        <v>6</v>
      </c>
      <c r="X21" s="38">
        <f>'Watchlist Ratings'!L17</f>
        <v>3</v>
      </c>
      <c r="Y21" t="str">
        <f ca="1">'Watchlist Ratings'!B17</f>
        <v>HLMA</v>
      </c>
      <c r="Z21">
        <f ca="1">'Watchlist Ratings'!AW17</f>
        <v>42.510983000000003</v>
      </c>
      <c r="AA21" t="str">
        <f ca="1">'Watchlist Ratings'!B17</f>
        <v>HLMA</v>
      </c>
      <c r="AB21">
        <f ca="1">'Watchlist Ratings'!BL17</f>
        <v>-0.11835786122721392</v>
      </c>
      <c r="AC21">
        <f ca="1">'Watchlist Ratings'!BM17</f>
        <v>5.0409660501293585E-2</v>
      </c>
      <c r="AS21" t="s">
        <v>387</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40.860787224589039</v>
      </c>
      <c r="O22" t="str">
        <f ca="1">'Watchlist Ratings'!B18</f>
        <v>FICO</v>
      </c>
      <c r="P22" s="37">
        <f>'Watchlist Ratings'!AN18</f>
        <v>7.16</v>
      </c>
      <c r="Q22" s="23">
        <f ca="1">'Watchlist Ratings'!BM18</f>
        <v>0.10519309436556035</v>
      </c>
      <c r="V22" t="str">
        <f ca="1">'Watchlist Ratings'!B18</f>
        <v>FICO</v>
      </c>
      <c r="W22" s="38">
        <f>'Watchlist Ratings'!K18</f>
        <v>8</v>
      </c>
      <c r="X22" s="38">
        <f>'Watchlist Ratings'!L18</f>
        <v>2</v>
      </c>
      <c r="Y22" t="str">
        <f ca="1">'Watchlist Ratings'!B18</f>
        <v>FICO</v>
      </c>
      <c r="Z22">
        <f ca="1">'Watchlist Ratings'!AW18</f>
        <v>40.860787224589039</v>
      </c>
      <c r="AA22" t="str">
        <f ca="1">'Watchlist Ratings'!B18</f>
        <v>FICO</v>
      </c>
      <c r="AB22">
        <f ca="1">'Watchlist Ratings'!BL18</f>
        <v>-9.134454503960554E-2</v>
      </c>
      <c r="AC22">
        <f ca="1">'Watchlist Ratings'!BM18</f>
        <v>0.10519309436556035</v>
      </c>
    </row>
    <row r="23" spans="1:47" ht="15" customHeight="1" x14ac:dyDescent="0.25">
      <c r="O23" t="str">
        <f ca="1">'Watchlist Ratings'!B19</f>
        <v>LIFCO B</v>
      </c>
      <c r="P23" s="37">
        <f>'Watchlist Ratings'!AN19</f>
        <v>7.9</v>
      </c>
      <c r="Q23" s="23">
        <f ca="1">'Watchlist Ratings'!BM19</f>
        <v>0.1399188881795328</v>
      </c>
    </row>
    <row r="24" spans="1:47" ht="30" customHeight="1" x14ac:dyDescent="0.3">
      <c r="A24" s="106" t="s">
        <v>403</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-4.8243303405886451E-2</v>
      </c>
    </row>
    <row r="26" spans="1:47" ht="19.5" customHeight="1" x14ac:dyDescent="0.25">
      <c r="O26" t="str">
        <f ca="1">'Watchlist Ratings'!B22</f>
        <v>ABNB</v>
      </c>
      <c r="P26" s="37">
        <f>'Watchlist Ratings'!AN22</f>
        <v>7.75</v>
      </c>
      <c r="Q26">
        <f ca="1">'Watchlist Ratings'!BM22</f>
        <v>0.28501255614383658</v>
      </c>
    </row>
    <row r="27" spans="1:47" ht="19.5" customHeight="1" x14ac:dyDescent="0.25">
      <c r="O27" t="str">
        <f ca="1">'Watchlist Ratings'!B23</f>
        <v>DNP</v>
      </c>
      <c r="P27" s="37">
        <f>'Watchlist Ratings'!AN23</f>
        <v>7.44</v>
      </c>
      <c r="Q27">
        <f ca="1">'Watchlist Ratings'!BM23</f>
        <v>6.3700785282530648E-2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9"/>
      <c r="M40" s="96"/>
      <c r="N40" s="96"/>
      <c r="O40" s="96"/>
      <c r="P40" s="96"/>
      <c r="Q40" s="96"/>
      <c r="R40" s="96"/>
    </row>
    <row r="41" spans="2:18" ht="19.5" customHeight="1" x14ac:dyDescent="0.25">
      <c r="L41" s="57"/>
      <c r="M41" s="57"/>
      <c r="N41" s="57"/>
      <c r="O41" s="57"/>
      <c r="P41" s="57"/>
      <c r="Q41" s="57"/>
    </row>
    <row r="42" spans="2:18" ht="19.5" customHeight="1" x14ac:dyDescent="0.25">
      <c r="J42" s="171"/>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1" t="s">
        <v>404</v>
      </c>
      <c r="B62" s="96"/>
      <c r="C62" s="96"/>
      <c r="D62" s="96"/>
      <c r="E62" s="96"/>
      <c r="F62" s="96"/>
      <c r="G62" s="96"/>
      <c r="H62" s="96"/>
      <c r="J62" s="148" t="s">
        <v>405</v>
      </c>
      <c r="K62" s="96"/>
      <c r="L62" s="96"/>
      <c r="M62" s="96"/>
      <c r="N62" s="96"/>
      <c r="O62" s="96"/>
      <c r="P62" s="96"/>
      <c r="Q62" s="96"/>
    </row>
    <row r="63" spans="1:17" ht="4.5" customHeight="1" x14ac:dyDescent="0.25">
      <c r="A63" s="61" t="s">
        <v>358</v>
      </c>
      <c r="B63" s="61" t="s">
        <v>406</v>
      </c>
      <c r="C63" s="61" t="s">
        <v>407</v>
      </c>
      <c r="D63" s="61" t="s">
        <v>408</v>
      </c>
      <c r="E63" s="61" t="s">
        <v>372</v>
      </c>
      <c r="F63" s="61" t="s">
        <v>371</v>
      </c>
      <c r="G63" s="61" t="s">
        <v>409</v>
      </c>
      <c r="H63" s="61" t="s">
        <v>410</v>
      </c>
      <c r="J63" s="62" t="s">
        <v>358</v>
      </c>
      <c r="K63" s="62" t="s">
        <v>411</v>
      </c>
      <c r="L63" s="62" t="s">
        <v>412</v>
      </c>
      <c r="M63" s="62" t="s">
        <v>413</v>
      </c>
      <c r="N63" s="62" t="s">
        <v>414</v>
      </c>
      <c r="O63" s="62" t="s">
        <v>360</v>
      </c>
      <c r="P63" s="62" t="s">
        <v>415</v>
      </c>
      <c r="Q63" s="62" t="s">
        <v>416</v>
      </c>
    </row>
    <row r="64" spans="1:17" ht="4.5" customHeight="1" x14ac:dyDescent="0.25">
      <c r="A64" s="63" t="str">
        <f ca="1">'Watchlist Ratings'!B4</f>
        <v>VEEV</v>
      </c>
      <c r="B64" s="64">
        <f ca="1">'Watchlist Ratings'!G4</f>
        <v>164.12</v>
      </c>
      <c r="C64" s="64">
        <f ca="1">'Watchlist Ratings'!BJ4</f>
        <v>209.48696282507152</v>
      </c>
      <c r="D64" s="64">
        <f ca="1">'Watchlist Ratings'!BK4</f>
        <v>534.37925669751041</v>
      </c>
      <c r="E64" s="65">
        <f ca="1">'Watchlist Ratings'!BL4</f>
        <v>5.0023692268371889E-2</v>
      </c>
      <c r="F64" s="65">
        <f ca="1">'Watchlist Ratings'!BM4</f>
        <v>0.34329692568943093</v>
      </c>
      <c r="G64" s="65">
        <f t="shared" ref="G64:G71" ca="1" si="0">F64-E64</f>
        <v>0.29327323342105904</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418.16</v>
      </c>
      <c r="C65" s="64">
        <f ca="1">'Watchlist Ratings'!BJ5</f>
        <v>281.35939804279099</v>
      </c>
      <c r="D65" s="64">
        <f ca="1">'Watchlist Ratings'!BK5</f>
        <v>624.24050287846626</v>
      </c>
      <c r="E65" s="65">
        <f ca="1">'Watchlist Ratings'!BL5</f>
        <v>-7.6187598967572323E-2</v>
      </c>
      <c r="F65" s="65">
        <f ca="1">'Watchlist Ratings'!BM5</f>
        <v>0.10535648659769592</v>
      </c>
      <c r="G65" s="65">
        <f t="shared" ca="1" si="0"/>
        <v>0.18154408556526824</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952.6</v>
      </c>
      <c r="C66" s="64">
        <f ca="1">'Watchlist Ratings'!BJ6</f>
        <v>1041.5979875540768</v>
      </c>
      <c r="D66" s="64">
        <f ca="1">'Watchlist Ratings'!BK6</f>
        <v>2678.2318065860945</v>
      </c>
      <c r="E66" s="65">
        <f ca="1">'Watchlist Ratings'!BL6</f>
        <v>1.8023752328891529E-2</v>
      </c>
      <c r="F66" s="65">
        <f ca="1">'Watchlist Ratings'!BM6</f>
        <v>0.29489453079395211</v>
      </c>
      <c r="G66" s="65">
        <f t="shared" ca="1" si="0"/>
        <v>0.27687077846506059</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44.620100000000001</v>
      </c>
      <c r="C67" s="64">
        <f ca="1">'Watchlist Ratings'!BJ7</f>
        <v>48.649524231530187</v>
      </c>
      <c r="D67" s="64">
        <f ca="1">'Watchlist Ratings'!BK7</f>
        <v>108.96099641067259</v>
      </c>
      <c r="E67" s="65">
        <f ca="1">'Watchlist Ratings'!BL7</f>
        <v>1.7441883555142645E-2</v>
      </c>
      <c r="F67" s="65">
        <f ca="1">'Watchlist Ratings'!BM7</f>
        <v>0.25007229949436627</v>
      </c>
      <c r="G67" s="65">
        <f t="shared" ca="1" si="0"/>
        <v>0.23263041593922362</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1092.8800000000001</v>
      </c>
      <c r="C68" s="64">
        <f ca="1">'Watchlist Ratings'!BJ8</f>
        <v>524.05880728723503</v>
      </c>
      <c r="D68" s="64">
        <f ca="1">'Watchlist Ratings'!BK8</f>
        <v>1024.2250409949229</v>
      </c>
      <c r="E68" s="65">
        <f ca="1">'Watchlist Ratings'!BL8</f>
        <v>-0.13670046069207387</v>
      </c>
      <c r="F68" s="65">
        <f ca="1">'Watchlist Ratings'!BM8</f>
        <v>-1.6089199691735612E-2</v>
      </c>
      <c r="G68" s="65">
        <f t="shared" ca="1" si="0"/>
        <v>0.12061126100033825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71.28</v>
      </c>
      <c r="C69" s="64">
        <f ca="1">'Watchlist Ratings'!BJ9</f>
        <v>75.952736902555898</v>
      </c>
      <c r="D69" s="64">
        <f ca="1">'Watchlist Ratings'!BK9</f>
        <v>162.33320855702007</v>
      </c>
      <c r="E69" s="65">
        <f ca="1">'Watchlist Ratings'!BL9</f>
        <v>1.2780072095005313E-2</v>
      </c>
      <c r="F69" s="65">
        <f ca="1">'Watchlist Ratings'!BM9</f>
        <v>0.22845688983290469</v>
      </c>
      <c r="G69" s="65">
        <f t="shared" ca="1" si="0"/>
        <v>0.21567681773789937</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650</v>
      </c>
      <c r="C70" s="64">
        <f ca="1">'Watchlist Ratings'!BJ10</f>
        <v>460.86191732629732</v>
      </c>
      <c r="D70" s="64">
        <f ca="1">'Watchlist Ratings'!BK10</f>
        <v>1160.3342128408092</v>
      </c>
      <c r="E70" s="65">
        <f ca="1">'Watchlist Ratings'!BL10</f>
        <v>-6.6463091170055888E-2</v>
      </c>
      <c r="F70" s="65">
        <f ca="1">'Watchlist Ratings'!BM10</f>
        <v>0.1558924719250312</v>
      </c>
      <c r="G70" s="65">
        <f t="shared" ca="1" si="0"/>
        <v>0.22235556309508708</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175.71</v>
      </c>
      <c r="C71" s="64">
        <f ca="1">'Watchlist Ratings'!BJ11</f>
        <v>161.2033531790085</v>
      </c>
      <c r="D71" s="64">
        <f ca="1">'Watchlist Ratings'!BK11</f>
        <v>414.20306025161904</v>
      </c>
      <c r="E71" s="65">
        <f ca="1">'Watchlist Ratings'!BL11</f>
        <v>-1.7086005469886589E-2</v>
      </c>
      <c r="F71" s="65">
        <f ca="1">'Watchlist Ratings'!BM11</f>
        <v>0.23909386335572558</v>
      </c>
      <c r="G71" s="65">
        <f t="shared" ca="1" si="0"/>
        <v>0.25617986882561217</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9" t="str">
        <f ca="1">'Watchlist Ratings'!B12</f>
        <v>NTO</v>
      </c>
      <c r="B72" s="160"/>
      <c r="C72" s="160"/>
      <c r="D72" s="160"/>
      <c r="E72" s="160"/>
      <c r="F72" s="160"/>
      <c r="G72" s="160"/>
      <c r="H72" s="160"/>
      <c r="I72" s="161"/>
      <c r="J72" s="170" t="str">
        <f ca="1">'Watchlist Ratings'!B12</f>
        <v>NTO</v>
      </c>
      <c r="K72" s="160"/>
      <c r="L72" s="160"/>
      <c r="M72" s="160"/>
      <c r="N72" s="160"/>
      <c r="O72" s="160"/>
      <c r="P72" s="160"/>
      <c r="Q72" s="161"/>
    </row>
    <row r="73" spans="1:17" ht="19.5" customHeight="1" x14ac:dyDescent="0.25">
      <c r="A73" s="68" t="str">
        <f ca="1">'Watchlist Ratings'!B13</f>
        <v>AMZN</v>
      </c>
      <c r="B73" s="69">
        <f ca="1">'Watchlist Ratings'!G13</f>
        <v>259.12</v>
      </c>
      <c r="C73" s="69">
        <f ca="1">'Watchlist Ratings'!BJ13</f>
        <v>153.94399611047947</v>
      </c>
      <c r="D73" s="69">
        <f ca="1">'Watchlist Ratings'!BK13</f>
        <v>305.98738880610125</v>
      </c>
      <c r="E73" s="70">
        <f ca="1">'Watchlist Ratings'!BL13</f>
        <v>-9.8901297854279036E-2</v>
      </c>
      <c r="F73" s="70">
        <f ca="1">'Watchlist Ratings'!BM13</f>
        <v>4.2438993232079225E-2</v>
      </c>
      <c r="G73" s="70">
        <f ca="1">F73-E73</f>
        <v>0.14134029108635826</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374</v>
      </c>
      <c r="B74" s="76" t="str">
        <f ca="1">VLOOKUP(A74,'Watchlist Ratings'!$B$4:$BM$64,4,FALSE())</f>
        <v>XNYS</v>
      </c>
      <c r="C74" s="76">
        <f ca="1">VLOOKUP(A74,'Watchlist Ratings'!$B$4:$BM$64,59,FALSE())</f>
        <v>18</v>
      </c>
      <c r="D74" s="76">
        <f ca="1">VLOOKUP(A74,'Watchlist Ratings'!$B$4:$BM$64,60,FALSE())</f>
        <v>30</v>
      </c>
      <c r="E74" s="77">
        <f ca="1">VLOOKUP(A74,'Watchlist Ratings'!$B$4:$BM$64,61,FALSE())</f>
        <v>209.48696282507152</v>
      </c>
      <c r="F74" s="77">
        <f ca="1">VLOOKUP(A74,'Watchlist Ratings'!$B$4:$BM$64,64,FALSE())</f>
        <v>0.34329692568943093</v>
      </c>
      <c r="G74" s="77">
        <f ca="1">F74-E74</f>
        <v>-209.14366589938209</v>
      </c>
      <c r="H74" s="75" t="str">
        <f ca="1">IF(E74&gt;0,"🟢 BUY",IF(E74&gt;-0.05,"🟡 HOLD","🔴 PASS"))</f>
        <v>🟢 BUY</v>
      </c>
      <c r="J74" s="78" t="s">
        <v>374</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26784.170644000002</v>
      </c>
      <c r="P74" s="78">
        <f ca="1">VLOOKUP(J74,'Watchlist Ratings'!$B$4:$BM$64,9,FALSE())</f>
        <v>1.5</v>
      </c>
      <c r="Q74" s="78" t="str">
        <f ca="1">IF(K74&gt;=8.5,"🟢 ALTO",IF(K74&gt;=7.5,"🟡 MEDIO","🔴 BAJO"))</f>
        <v>🔴 BAJO</v>
      </c>
    </row>
    <row r="75" spans="1:17" ht="19.5" customHeight="1" x14ac:dyDescent="0.25">
      <c r="A75" s="79" t="s">
        <v>378</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0.10535648659769592</v>
      </c>
      <c r="G75" s="81">
        <f ca="1">F75-E75</f>
        <v>-281.25404155619327</v>
      </c>
      <c r="H75" s="79" t="str">
        <f ca="1">IF(E75&gt;0,"🟢 BUY",IF(E75&gt;-0.05,"🟡 HOLD","🔴 PASS"))</f>
        <v>🟢 BUY</v>
      </c>
      <c r="J75" s="79" t="s">
        <v>378</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3106274.3796000006</v>
      </c>
      <c r="P75" s="79">
        <f ca="1">VLOOKUP(J75,'Watchlist Ratings'!$B$4:$BM$64,9,FALSE())</f>
        <v>1</v>
      </c>
      <c r="Q75" s="79" t="str">
        <f ca="1">IF(K75&gt;=8.5,"🟢 ALTO",IF(K75&gt;=7.5,"🟡 MEDIO","🔴 BAJO"))</f>
        <v>🔴 BAJO</v>
      </c>
    </row>
    <row r="76" spans="1:17" ht="19.5" customHeight="1" x14ac:dyDescent="0.3">
      <c r="A76" s="134" t="s">
        <v>417</v>
      </c>
      <c r="B76" s="96"/>
      <c r="C76" s="96"/>
      <c r="D76" s="96"/>
      <c r="E76" s="96"/>
      <c r="F76" s="96"/>
      <c r="G76" s="96"/>
      <c r="H76" s="96"/>
      <c r="I76" s="96"/>
      <c r="J76" s="96"/>
      <c r="K76" s="96"/>
      <c r="L76" s="96"/>
      <c r="M76" s="96"/>
      <c r="N76" s="96"/>
      <c r="O76" s="96"/>
      <c r="P76" s="96"/>
      <c r="Q76" s="96"/>
    </row>
    <row r="77" spans="1:17" ht="19.5" customHeight="1" x14ac:dyDescent="0.25">
      <c r="A77" s="79" t="s">
        <v>385</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0.25007229949436627</v>
      </c>
      <c r="G77" s="81">
        <f ca="1">F77-E77</f>
        <v>-48.399451932035824</v>
      </c>
      <c r="H77" s="79" t="str">
        <f ca="1">IF(E77&gt;0,"🟢 BUY",IF(E77&gt;-0.05,"🟡 HOLD","🔴 PASS"))</f>
        <v>🟢 BUY</v>
      </c>
      <c r="J77" s="79" t="s">
        <v>385</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109358.37682770001</v>
      </c>
      <c r="P77" s="79">
        <f ca="1">VLOOKUP(J77,'Watchlist Ratings'!$B$4:$BM$64,9,FALSE())</f>
        <v>1</v>
      </c>
      <c r="Q77" s="79" t="str">
        <f ca="1">IF(K77&gt;=8.5,"🟢 ALTO",IF(K77&gt;=7.5,"🟡 MEDIO","🔴 BAJO"))</f>
        <v>🔴 BAJO</v>
      </c>
    </row>
    <row r="78" spans="1:17" ht="19.5" customHeight="1" x14ac:dyDescent="0.25">
      <c r="A78" s="126" t="s">
        <v>418</v>
      </c>
      <c r="B78" s="111"/>
      <c r="C78" s="110" t="s">
        <v>419</v>
      </c>
      <c r="D78" s="111"/>
      <c r="E78" s="129" t="s">
        <v>420</v>
      </c>
      <c r="F78" s="111"/>
      <c r="G78" s="129" t="s">
        <v>421</v>
      </c>
      <c r="H78" s="111"/>
      <c r="I78" s="162" t="s">
        <v>422</v>
      </c>
      <c r="J78" s="96"/>
      <c r="K78" s="126" t="s">
        <v>423</v>
      </c>
      <c r="L78" s="111"/>
      <c r="M78" s="126" t="s">
        <v>424</v>
      </c>
      <c r="N78" s="111"/>
      <c r="O78" s="126" t="s">
        <v>425</v>
      </c>
      <c r="P78" s="111"/>
      <c r="Q78" s="82" t="str">
        <f>IF(K78&gt;=8.5,"🟢 ALTO",IF(K78&gt;=7.5,"🟡 MEDIO","🔴 BAJO"))</f>
        <v>🟢 ALTO</v>
      </c>
    </row>
    <row r="79" spans="1:17" ht="19.5" customHeight="1" x14ac:dyDescent="0.25">
      <c r="A79" s="135" t="str">
        <f>INDEX('Watchlist Ratings'!B:B,MATCH(MAX('Watchlist Ratings'!AN:AN),'Watchlist Ratings'!AN:AN,0))</f>
        <v>CSU</v>
      </c>
      <c r="B79" s="111"/>
      <c r="C79" s="163" t="str">
        <f ca="1">INDEX('Watchlist Ratings'!B:B,MATCH(MAX('Watchlist Ratings'!BM:BM),'Watchlist Ratings'!BM:BM,0))</f>
        <v>OTLY</v>
      </c>
      <c r="D79" s="111"/>
      <c r="E79" s="136" t="str">
        <f ca="1">INDEX('Watchlist Ratings'!B:B,MATCH(MAX('Watchlist Ratings'!BC:BC),'Watchlist Ratings'!BC:BC,0))</f>
        <v>NVDA</v>
      </c>
      <c r="F79" s="111"/>
      <c r="G79" s="136" t="str">
        <f ca="1">INDEX('Watchlist Ratings'!B:B,MATCH(MAX('Watchlist Ratings'!K:K),'Watchlist Ratings'!K:K,0))</f>
        <v>VEEV</v>
      </c>
      <c r="H79" s="111"/>
      <c r="I79" s="147" t="str">
        <f ca="1">INDEX('Watchlist Ratings'!B:B,MATCH(MAX('Watchlist Ratings'!L:L),'Watchlist Ratings'!L:L,0))</f>
        <v>MSFT</v>
      </c>
      <c r="J79" s="96"/>
      <c r="K79" s="135" t="str">
        <f>INDEX('Watchlist Ratings'!B:B,MATCH(MAX('Watchlist Ratings'!AM:AM),'Watchlist Ratings'!AM:AM,0))</f>
        <v>CSU</v>
      </c>
      <c r="L79" s="111"/>
      <c r="M79" s="135" t="str">
        <f t="array" aca="1" ref="M79" ca="1">INDEX('Watchlist Ratings'!B:B,MATCH(MIN('Watchlist Ratings'!AW4:AW64),'Watchlist Ratings'!AW4:AW64,0)+3)</f>
        <v>OTLY</v>
      </c>
      <c r="N79" s="111"/>
      <c r="O79" s="135" t="str">
        <f t="array" aca="1" ref="O79" ca="1">INDEX('Watchlist Ratings'!B:B,MATCH(MAX('Watchlist Ratings'!BM4:BM64-'Watchlist Ratings'!BL4:BL64),'Watchlist Ratings'!BM4:BM64-'Watchlist Ratings'!BL4:BL64,0)+3)</f>
        <v>OTLY</v>
      </c>
      <c r="P79" s="111"/>
      <c r="Q79" s="79" t="str">
        <f>IF(K79&gt;=8.5,"🟢 ALTO",IF(K79&gt;=7.5,"🟡 MEDIO","🔴 BAJO"))</f>
        <v>🟢 ALTO</v>
      </c>
    </row>
    <row r="80" spans="1:17" ht="19.5" customHeight="1" x14ac:dyDescent="0.25">
      <c r="A80" s="127">
        <f>MAX('Watchlist Ratings'!AN:AN)</f>
        <v>8.5500000000000007</v>
      </c>
      <c r="B80" s="111"/>
      <c r="C80" s="128">
        <f ca="1">MAX('Watchlist Ratings'!BM:BM)</f>
        <v>0.53755428253237092</v>
      </c>
      <c r="D80" s="111"/>
      <c r="E80" s="132">
        <f>MAX('Watchlist Ratings'!BC:BC)</f>
        <v>0.83333333333333326</v>
      </c>
      <c r="F80" s="111"/>
      <c r="G80" s="132" t="str">
        <f>MAX('Watchlist Ratings'!K:K)&amp;"/8"</f>
        <v>8/8</v>
      </c>
      <c r="H80" s="111"/>
      <c r="I80" s="165" t="str">
        <f>MAX('Watchlist Ratings'!L:L)&amp;"/3"</f>
        <v>3/3</v>
      </c>
      <c r="J80" s="96"/>
      <c r="K80" s="166">
        <f>MAX('Watchlist Ratings'!AM:AM)</f>
        <v>8.86</v>
      </c>
      <c r="L80" s="111"/>
      <c r="M80" s="166" t="str">
        <f ca="1">MIN('Watchlist Ratings'!AW4:AW64)&amp;"x"</f>
        <v>-8.1694355x</v>
      </c>
      <c r="N80" s="111"/>
      <c r="O80" s="166" t="str">
        <f t="array" ref="O80" ca="1">TEXT(MAX('Watchlist Ratings'!BM4:BM64-'Watchlist Ratings'!BL4:BL64),"0.0%")</f>
        <v>271.6%</v>
      </c>
      <c r="P80" s="111"/>
      <c r="Q80" s="82" t="str">
        <f>IF(K80&gt;=8.5,"🟢 ALTO",IF(K80&gt;=7.5,"🟡 MEDIO","🔴 BAJO"))</f>
        <v>🟢 ALTO</v>
      </c>
    </row>
    <row r="81" spans="1:17" ht="19.5" customHeight="1" x14ac:dyDescent="0.25">
      <c r="A81" s="79" t="s">
        <v>380</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0.23909386335572558</v>
      </c>
      <c r="G81" s="81">
        <f ca="1">F81-E81</f>
        <v>-160.96425931565278</v>
      </c>
      <c r="H81" s="79" t="str">
        <f ca="1">IF(E81&gt;0,"🟢 BUY",IF(E81&gt;-0.05,"🟡 HOLD","🔴 PASS"))</f>
        <v>🟢 BUY</v>
      </c>
      <c r="J81" s="79" t="s">
        <v>380</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28252.533896999998</v>
      </c>
      <c r="P81" s="79">
        <f ca="1">VLOOKUP(J81,'Watchlist Ratings'!$B$4:$BM$64,9,FALSE())</f>
        <v>2</v>
      </c>
      <c r="Q81" s="79" t="str">
        <f ca="1">IF(K81&gt;=8.5,"🟢 ALTO",IF(K81&gt;=7.5,"🟡 MEDIO","🔴 BAJO"))</f>
        <v>🔴 BAJO</v>
      </c>
    </row>
    <row r="82" spans="1:17" ht="19.5" customHeight="1" x14ac:dyDescent="0.25">
      <c r="A82" s="167" t="s">
        <v>426</v>
      </c>
      <c r="B82" s="96"/>
      <c r="C82" s="96"/>
      <c r="D82" s="96"/>
      <c r="E82" s="96"/>
      <c r="F82" s="96"/>
      <c r="G82" s="96"/>
      <c r="H82" s="96"/>
      <c r="I82" s="96"/>
      <c r="J82" s="96"/>
      <c r="K82" s="96"/>
      <c r="L82" s="96"/>
      <c r="M82" s="96"/>
      <c r="N82" s="96"/>
      <c r="O82" s="96"/>
      <c r="P82" s="96"/>
      <c r="Q82" s="96"/>
    </row>
    <row r="83" spans="1:17" ht="19.5" customHeight="1" x14ac:dyDescent="0.25">
      <c r="A83" s="83" t="s">
        <v>375</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4.2438993232079225E-2</v>
      </c>
      <c r="G83" s="85">
        <f ca="1">F83-E83</f>
        <v>-153.90155711724739</v>
      </c>
      <c r="H83" s="83" t="str">
        <f ca="1">IF(E83&gt;0,"🟢 BUY",IF(E83&gt;-0.05,"🟡 HOLD","🔴 PASS"))</f>
        <v>🟢 BUY</v>
      </c>
      <c r="J83" s="83" t="s">
        <v>375</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2787382.3432</v>
      </c>
      <c r="P83" s="83">
        <f ca="1">VLOOKUP(J83,'Watchlist Ratings'!$B$4:$BM$64,9,FALSE())</f>
        <v>1.5</v>
      </c>
      <c r="Q83" s="83" t="str">
        <f ca="1">IF(K83&gt;=8.5,"🟢 ALTO",IF(K83&gt;=7.5,"🟡 MEDIO","🔴 BAJO"))</f>
        <v>🔴 BAJO</v>
      </c>
    </row>
    <row r="84" spans="1:17" ht="19.5" customHeight="1" x14ac:dyDescent="0.25"/>
    <row r="85" spans="1:17" ht="27.75" customHeight="1" x14ac:dyDescent="0.25">
      <c r="A85" s="146" t="s">
        <v>417</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68" t="s">
        <v>418</v>
      </c>
      <c r="B87" s="96"/>
      <c r="C87" s="113" t="s">
        <v>419</v>
      </c>
      <c r="D87" s="96"/>
      <c r="E87" s="164" t="s">
        <v>420</v>
      </c>
      <c r="F87" s="96"/>
      <c r="G87" s="142" t="s">
        <v>421</v>
      </c>
      <c r="H87" s="96"/>
      <c r="I87" s="143" t="s">
        <v>422</v>
      </c>
      <c r="J87" s="96"/>
      <c r="K87" s="112" t="s">
        <v>423</v>
      </c>
      <c r="L87" s="96"/>
      <c r="M87" s="139" t="s">
        <v>424</v>
      </c>
      <c r="N87" s="96"/>
      <c r="O87" s="149" t="s">
        <v>425</v>
      </c>
      <c r="P87" s="96"/>
    </row>
    <row r="88" spans="1:17" ht="19.5" customHeight="1" x14ac:dyDescent="0.3">
      <c r="A88" s="140" t="str">
        <f ca="1">INDEX('Watchlist Ratings'!B$4:B$64,MATCH(MAX('Watchlist Ratings'!AN$4:AN$64),'Watchlist Ratings'!AN$4:AN$64,0))</f>
        <v>VEEV</v>
      </c>
      <c r="B88" s="96"/>
      <c r="C88" s="150" t="str">
        <f ca="1">INDEX('Watchlist Ratings'!B$4:B$64,MATCH(MAX('Watchlist Ratings'!BM$4:BM$64),'Watchlist Ratings'!BM$4:BM$64,0))</f>
        <v>OTLY</v>
      </c>
      <c r="D88" s="96"/>
      <c r="E88" s="140" t="str">
        <f ca="1">INDEX('Watchlist Ratings'!B$4:B$64,MATCH(MAX('Watchlist Ratings'!BC$4:BC$64),'Watchlist Ratings'!BC$4:BC$64,0))</f>
        <v>NVDA</v>
      </c>
      <c r="F88" s="96"/>
      <c r="G88" s="140" t="str">
        <f ca="1">INDEX('Watchlist Ratings'!B$4:B$64,MATCH(MAX('Watchlist Ratings'!K$4:K$64),'Watchlist Ratings'!K$4:K$64,0))</f>
        <v>VEEV</v>
      </c>
      <c r="H88" s="96"/>
      <c r="I88" s="140" t="str">
        <f ca="1">INDEX('Watchlist Ratings'!B$4:B$64,MATCH(MAX('Watchlist Ratings'!L$4:L$64),'Watchlist Ratings'!L$4:L$64,0))</f>
        <v>MSFT</v>
      </c>
      <c r="J88" s="96"/>
      <c r="K88" s="140" t="str">
        <f ca="1">INDEX('Watchlist Ratings'!B$4:B$64,MATCH(MAX('Watchlist Ratings'!AM$4:AM$64),'Watchlist Ratings'!AM$4:AM$64,0))</f>
        <v>DSGX</v>
      </c>
      <c r="L88" s="96"/>
      <c r="M88" s="140" t="str">
        <f t="array" aca="1" ref="M88" ca="1">INDEX('Watchlist Ratings'!B$4:B$64,MATCH(MIN(IF('Watchlist Ratings'!AW$4:AW$64&gt;0,'Watchlist Ratings'!AW$4:AW$64)),IF('Watchlist Ratings'!AW$4:AW$64&gt;0,'Watchlist Ratings'!AW$4:AW$64),0))</f>
        <v>CHKP</v>
      </c>
      <c r="N88" s="96"/>
      <c r="O88" s="140" t="str">
        <f t="array" aca="1" ref="O88" ca="1">INDEX('Watchlist Ratings'!B$4:B$64,MATCH(MAX('Watchlist Ratings'!BM$4:BM$64-'Watchlist Ratings'!BL$4:BL$64),'Watchlist Ratings'!BM$4:BM$64-'Watchlist Ratings'!BL$4:BL$64,0))</f>
        <v>OTLY</v>
      </c>
      <c r="P88" s="96"/>
    </row>
    <row r="89" spans="1:17" ht="19.5" customHeight="1" x14ac:dyDescent="0.25">
      <c r="A89" s="138">
        <f>MAX('Watchlist Ratings'!AN$4:AN$64)</f>
        <v>8.2799999999999994</v>
      </c>
      <c r="B89" s="96"/>
      <c r="C89" s="145">
        <f ca="1">MAX('Watchlist Ratings'!BM$4:BM$64)</f>
        <v>0.53755428253237092</v>
      </c>
      <c r="D89" s="96"/>
      <c r="E89" s="145">
        <f>MAX('Watchlist Ratings'!BC$4:BC$64)</f>
        <v>0.83333333333333326</v>
      </c>
      <c r="F89" s="96"/>
      <c r="G89" s="144" t="str">
        <f>MAX('Watchlist Ratings'!K$4:K$64)&amp;"/8"</f>
        <v>8/8</v>
      </c>
      <c r="H89" s="96"/>
      <c r="I89" s="144" t="str">
        <f>MAX('Watchlist Ratings'!L$4:L$64)&amp;"/3"</f>
        <v>3/3</v>
      </c>
      <c r="J89" s="96"/>
      <c r="K89" s="144">
        <f>MAX('Watchlist Ratings'!AM$4:AM$64)</f>
        <v>8.7100000000000009</v>
      </c>
      <c r="L89" s="96"/>
      <c r="M89" s="144" t="str">
        <f t="array" aca="1" ref="M89" ca="1">MIN(IF('Watchlist Ratings'!AW$4:AW$64&gt;0,'Watchlist Ratings'!AW$4:AW$64))&amp;"x"</f>
        <v>7.84061968923077x</v>
      </c>
      <c r="N89" s="96"/>
      <c r="O89" s="144">
        <f t="array" ref="O89" ca="1">MAX('Watchlist Ratings'!BM$4:BM$64-'Watchlist Ratings'!BL$4:BL$64)</f>
        <v>2.7156389981081439</v>
      </c>
      <c r="P89" s="96"/>
    </row>
    <row r="90" spans="1:17" ht="19.5" customHeight="1" x14ac:dyDescent="0.25"/>
    <row r="91" spans="1:17" ht="19.5" customHeight="1" x14ac:dyDescent="0.25">
      <c r="A91" s="105" t="s">
        <v>426</v>
      </c>
      <c r="B91" s="96"/>
      <c r="C91" s="96"/>
      <c r="D91" s="96"/>
      <c r="E91" s="96"/>
      <c r="F91" s="96"/>
      <c r="G91" s="96"/>
      <c r="H91" s="96"/>
      <c r="I91" s="96"/>
      <c r="J91" s="96"/>
      <c r="K91" s="96"/>
      <c r="L91" s="96"/>
      <c r="M91" s="96"/>
      <c r="N91" s="96"/>
      <c r="O91" s="96"/>
      <c r="P91" s="96"/>
      <c r="Q91" s="96"/>
    </row>
  </sheetData>
  <mergeCells count="86">
    <mergeCell ref="O78:P78"/>
    <mergeCell ref="C6:D6"/>
    <mergeCell ref="L40:R40"/>
    <mergeCell ref="J72:Q72"/>
    <mergeCell ref="I89:J89"/>
    <mergeCell ref="K89:L89"/>
    <mergeCell ref="C89:D89"/>
    <mergeCell ref="O88:P88"/>
    <mergeCell ref="J42:Q42"/>
    <mergeCell ref="O89:P89"/>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I78:J78"/>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358</v>
      </c>
      <c r="B1" t="s">
        <v>427</v>
      </c>
      <c r="C1" t="s">
        <v>428</v>
      </c>
      <c r="D1" t="s">
        <v>429</v>
      </c>
      <c r="E1" t="s">
        <v>430</v>
      </c>
    </row>
    <row r="2" spans="1:5" x14ac:dyDescent="0.25">
      <c r="A2" t="s">
        <v>431</v>
      </c>
      <c r="B2" t="s">
        <v>81</v>
      </c>
      <c r="C2" t="s">
        <v>432</v>
      </c>
      <c r="D2" t="s">
        <v>433</v>
      </c>
      <c r="E2" t="s">
        <v>434</v>
      </c>
    </row>
    <row r="3" spans="1:5" x14ac:dyDescent="0.25">
      <c r="A3" t="s">
        <v>396</v>
      </c>
      <c r="B3" t="s">
        <v>81</v>
      </c>
      <c r="C3" t="s">
        <v>435</v>
      </c>
      <c r="D3" t="s">
        <v>436</v>
      </c>
      <c r="E3" t="s">
        <v>437</v>
      </c>
    </row>
    <row r="4" spans="1:5" x14ac:dyDescent="0.25">
      <c r="A4" t="s">
        <v>438</v>
      </c>
      <c r="B4" t="s">
        <v>81</v>
      </c>
      <c r="C4" t="s">
        <v>439</v>
      </c>
      <c r="D4" t="s">
        <v>440</v>
      </c>
      <c r="E4" t="s">
        <v>441</v>
      </c>
    </row>
    <row r="5" spans="1:5" x14ac:dyDescent="0.25">
      <c r="A5" t="s">
        <v>442</v>
      </c>
      <c r="B5" t="s">
        <v>81</v>
      </c>
      <c r="C5" t="s">
        <v>443</v>
      </c>
      <c r="D5" t="s">
        <v>444</v>
      </c>
      <c r="E5" t="s">
        <v>445</v>
      </c>
    </row>
    <row r="6" spans="1:5" x14ac:dyDescent="0.25">
      <c r="A6" t="s">
        <v>282</v>
      </c>
      <c r="B6" t="s">
        <v>285</v>
      </c>
      <c r="C6" t="s">
        <v>446</v>
      </c>
      <c r="D6" t="s">
        <v>447</v>
      </c>
      <c r="E6" t="s">
        <v>448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2026-05-19T19:08:45Z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