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oger\Downloads\watchlist-dashboard\watchlist-dashboard\data\raw\"/>
    </mc:Choice>
  </mc:AlternateContent>
  <xr:revisionPtr revIDLastSave="0" documentId="13_ncr:1_{EBA6F561-EC56-4EC9-90E2-AB4D4CC45E18}" xr6:coauthVersionLast="47" xr6:coauthVersionMax="47" xr10:uidLastSave="{00000000-0000-0000-0000-000000000000}"/>
  <bookViews>
    <workbookView xWindow="-110" yWindow="-110" windowWidth="19420" windowHeight="10300" tabRatio="500" activeTab="1"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9" i="3" l="1"/>
  <c r="G89" i="3"/>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AR49" i="1" s="1"/>
  <c r="E6" i="2" a="1"/>
  <c r="E6" i="2" s="1"/>
  <c r="E5" i="2" a="1"/>
  <c r="E5" i="2" s="1"/>
  <c r="E4" i="2" a="1"/>
  <c r="E4" i="2" s="1"/>
  <c r="BG64" i="1"/>
  <c r="BE64" i="1"/>
  <c r="BB64" i="1"/>
  <c r="BA64" i="1"/>
  <c r="BC64" i="1" s="1"/>
  <c r="AL64" i="1"/>
  <c r="AM64" i="1" s="1"/>
  <c r="AB64" i="1"/>
  <c r="AC64" i="1" s="1"/>
  <c r="R64" i="1"/>
  <c r="S64" i="1" s="1"/>
  <c r="AN64" i="1" s="1"/>
  <c r="I64" i="1"/>
  <c r="AR64" i="1" s="1"/>
  <c r="H64" i="1" a="1"/>
  <c r="H64" i="1"/>
  <c r="G64" i="1" a="1"/>
  <c r="G64" i="1"/>
  <c r="F64" i="1" a="1"/>
  <c r="F64" i="1"/>
  <c r="E64" i="1" a="1"/>
  <c r="E64" i="1"/>
  <c r="B64" i="1" a="1"/>
  <c r="B64" i="1"/>
  <c r="BG63" i="1"/>
  <c r="BE63" i="1"/>
  <c r="BB63" i="1"/>
  <c r="BA63" i="1"/>
  <c r="BC63" i="1" s="1"/>
  <c r="AL63" i="1"/>
  <c r="AM63" i="1" s="1"/>
  <c r="AB63" i="1"/>
  <c r="AC63" i="1" s="1"/>
  <c r="R63" i="1"/>
  <c r="S63" i="1" s="1"/>
  <c r="AN63" i="1" s="1"/>
  <c r="H63" i="1" a="1"/>
  <c r="H63" i="1"/>
  <c r="G63" i="1" a="1"/>
  <c r="G63" i="1"/>
  <c r="I63" i="1" s="1"/>
  <c r="F63" i="1" a="1"/>
  <c r="F63" i="1"/>
  <c r="E63" i="1" a="1"/>
  <c r="E63" i="1"/>
  <c r="B63" i="1" a="1"/>
  <c r="B63" i="1"/>
  <c r="BG62" i="1"/>
  <c r="BE62" i="1"/>
  <c r="BB62" i="1"/>
  <c r="BA62" i="1"/>
  <c r="BC62" i="1" s="1"/>
  <c r="AL62" i="1"/>
  <c r="AM62" i="1" s="1"/>
  <c r="AB62" i="1"/>
  <c r="AC62" i="1" s="1"/>
  <c r="R62" i="1"/>
  <c r="S62" i="1" s="1"/>
  <c r="AN62" i="1" s="1"/>
  <c r="H62" i="1" a="1"/>
  <c r="H62" i="1" s="1"/>
  <c r="G62" i="1" a="1"/>
  <c r="G62" i="1" s="1"/>
  <c r="I62" i="1" s="1"/>
  <c r="AR62" i="1" s="1"/>
  <c r="F62" i="1" a="1"/>
  <c r="F62" i="1" s="1"/>
  <c r="E62" i="1" a="1"/>
  <c r="E62" i="1" s="1"/>
  <c r="B62" i="1" a="1"/>
  <c r="B62" i="1" s="1"/>
  <c r="BG61" i="1"/>
  <c r="BE61" i="1"/>
  <c r="BB61" i="1"/>
  <c r="AT61" i="1"/>
  <c r="BA61" i="1" s="1"/>
  <c r="BC61" i="1" s="1"/>
  <c r="AQ61" i="1"/>
  <c r="AL61" i="1"/>
  <c r="AM61" i="1" s="1"/>
  <c r="AB61" i="1"/>
  <c r="AC61" i="1" s="1"/>
  <c r="R61" i="1"/>
  <c r="S61" i="1" s="1"/>
  <c r="AN61" i="1" s="1"/>
  <c r="H61" i="1" a="1"/>
  <c r="H61" i="1" s="1"/>
  <c r="G61" i="1" a="1"/>
  <c r="G61" i="1" s="1"/>
  <c r="I61" i="1" s="1"/>
  <c r="AR61" i="1" s="1"/>
  <c r="F61" i="1" a="1"/>
  <c r="F61" i="1" s="1"/>
  <c r="E61" i="1" a="1"/>
  <c r="E61" i="1" s="1"/>
  <c r="B61" i="1" a="1"/>
  <c r="B61" i="1" s="1"/>
  <c r="BG60" i="1"/>
  <c r="BE60" i="1"/>
  <c r="BB60" i="1"/>
  <c r="BA60" i="1"/>
  <c r="BC60" i="1" s="1"/>
  <c r="AL60" i="1"/>
  <c r="AM60" i="1" s="1"/>
  <c r="AB60" i="1"/>
  <c r="AC60" i="1" s="1"/>
  <c r="R60" i="1"/>
  <c r="S60" i="1" s="1"/>
  <c r="AN60" i="1" s="1"/>
  <c r="H60" i="1" a="1"/>
  <c r="H60" i="1" s="1"/>
  <c r="G60" i="1" a="1"/>
  <c r="G60" i="1"/>
  <c r="I60" i="1" s="1"/>
  <c r="AR60" i="1" s="1"/>
  <c r="F60" i="1" a="1"/>
  <c r="F60" i="1" s="1"/>
  <c r="E60" i="1" a="1"/>
  <c r="E60" i="1" s="1"/>
  <c r="B60" i="1" a="1"/>
  <c r="B60" i="1" s="1"/>
  <c r="BG59" i="1"/>
  <c r="BE59" i="1"/>
  <c r="BB59" i="1"/>
  <c r="BA59" i="1"/>
  <c r="BC59" i="1" s="1"/>
  <c r="AL59" i="1"/>
  <c r="AM59" i="1" s="1"/>
  <c r="AB59" i="1"/>
  <c r="AC59" i="1" s="1"/>
  <c r="R59" i="1"/>
  <c r="S59" i="1" s="1"/>
  <c r="AN59" i="1" s="1"/>
  <c r="H59" i="1" a="1"/>
  <c r="H59" i="1" s="1"/>
  <c r="G59" i="1" a="1"/>
  <c r="G59" i="1"/>
  <c r="I59" i="1" s="1"/>
  <c r="AR59" i="1" s="1"/>
  <c r="F59" i="1" a="1"/>
  <c r="F59" i="1" s="1"/>
  <c r="E59" i="1" a="1"/>
  <c r="E59" i="1" s="1"/>
  <c r="B59" i="1" a="1"/>
  <c r="B59" i="1" s="1"/>
  <c r="BG58" i="1"/>
  <c r="BE58" i="1"/>
  <c r="BB58" i="1"/>
  <c r="BA58" i="1"/>
  <c r="BC58" i="1" s="1"/>
  <c r="AL58" i="1"/>
  <c r="AM58" i="1" s="1"/>
  <c r="AB58" i="1"/>
  <c r="AC58" i="1" s="1"/>
  <c r="R58" i="1"/>
  <c r="S58" i="1" s="1"/>
  <c r="AN58" i="1" s="1"/>
  <c r="H58" i="1" a="1"/>
  <c r="H58" i="1" s="1"/>
  <c r="G58" i="1" a="1"/>
  <c r="G58" i="1" s="1"/>
  <c r="I58" i="1" s="1"/>
  <c r="AR58" i="1" s="1"/>
  <c r="F58" i="1" a="1"/>
  <c r="F58" i="1" s="1"/>
  <c r="E58" i="1" a="1"/>
  <c r="E58" i="1" s="1"/>
  <c r="B58" i="1" a="1"/>
  <c r="B58" i="1" s="1"/>
  <c r="BG57" i="1"/>
  <c r="BE57" i="1"/>
  <c r="BB57" i="1"/>
  <c r="BA57" i="1"/>
  <c r="BC57" i="1" s="1"/>
  <c r="AL57" i="1"/>
  <c r="AM57" i="1" s="1"/>
  <c r="AB57" i="1"/>
  <c r="AC57" i="1" s="1"/>
  <c r="R57" i="1"/>
  <c r="S57" i="1" s="1"/>
  <c r="AN57" i="1" s="1"/>
  <c r="H57" i="1" a="1"/>
  <c r="H57" i="1" s="1"/>
  <c r="G57" i="1" a="1"/>
  <c r="G57" i="1" s="1"/>
  <c r="I57" i="1" s="1"/>
  <c r="AR57" i="1" s="1"/>
  <c r="F57" i="1" a="1"/>
  <c r="F57" i="1" s="1"/>
  <c r="E57" i="1" a="1"/>
  <c r="E57" i="1" s="1"/>
  <c r="B57" i="1" a="1"/>
  <c r="B57" i="1" s="1"/>
  <c r="BG56" i="1"/>
  <c r="BE56" i="1"/>
  <c r="BB56" i="1"/>
  <c r="BA56" i="1"/>
  <c r="BC56" i="1" s="1"/>
  <c r="AL56" i="1"/>
  <c r="AM56" i="1" s="1"/>
  <c r="AB56" i="1"/>
  <c r="AC56" i="1" s="1"/>
  <c r="R56" i="1"/>
  <c r="S56" i="1" s="1"/>
  <c r="AN56" i="1" s="1"/>
  <c r="H56" i="1" a="1"/>
  <c r="H56" i="1" s="1"/>
  <c r="G56" i="1" a="1"/>
  <c r="G56" i="1" s="1"/>
  <c r="I56" i="1" s="1"/>
  <c r="AR56" i="1" s="1"/>
  <c r="F56" i="1" a="1"/>
  <c r="F56" i="1" s="1"/>
  <c r="E56" i="1" a="1"/>
  <c r="E56" i="1" s="1"/>
  <c r="B56" i="1" a="1"/>
  <c r="B56" i="1" s="1"/>
  <c r="BG55" i="1"/>
  <c r="BE55" i="1"/>
  <c r="BB55" i="1"/>
  <c r="BA55" i="1"/>
  <c r="BC55" i="1" s="1"/>
  <c r="AL55" i="1"/>
  <c r="AM55" i="1" s="1"/>
  <c r="AB55" i="1"/>
  <c r="AC55" i="1" s="1"/>
  <c r="R55" i="1"/>
  <c r="S55" i="1" s="1"/>
  <c r="AN55" i="1" s="1"/>
  <c r="H55" i="1" a="1"/>
  <c r="H55" i="1" s="1"/>
  <c r="G55" i="1" a="1"/>
  <c r="G55" i="1" s="1"/>
  <c r="I55" i="1" s="1"/>
  <c r="AR55" i="1" s="1"/>
  <c r="F55" i="1" a="1"/>
  <c r="F55" i="1"/>
  <c r="E55" i="1" a="1"/>
  <c r="E55" i="1" s="1"/>
  <c r="B55" i="1" a="1"/>
  <c r="B55" i="1" s="1"/>
  <c r="BG54" i="1"/>
  <c r="BE54" i="1"/>
  <c r="BB54" i="1"/>
  <c r="BA54" i="1"/>
  <c r="BC54" i="1" s="1"/>
  <c r="AL54" i="1"/>
  <c r="AM54" i="1" s="1"/>
  <c r="AB54" i="1"/>
  <c r="AC54" i="1" s="1"/>
  <c r="R54" i="1"/>
  <c r="S54" i="1" s="1"/>
  <c r="AN54" i="1" s="1"/>
  <c r="H54" i="1" a="1"/>
  <c r="H54" i="1" s="1"/>
  <c r="G54" i="1" a="1"/>
  <c r="G54" i="1"/>
  <c r="F54" i="1" a="1"/>
  <c r="F54" i="1"/>
  <c r="E54" i="1" a="1"/>
  <c r="E54" i="1"/>
  <c r="B54" i="1" a="1"/>
  <c r="B54" i="1"/>
  <c r="BG53" i="1"/>
  <c r="BE53" i="1"/>
  <c r="BB53" i="1"/>
  <c r="BA53" i="1"/>
  <c r="BC53" i="1" s="1"/>
  <c r="AL53" i="1"/>
  <c r="AM53" i="1" s="1"/>
  <c r="AB53" i="1"/>
  <c r="AC53" i="1" s="1"/>
  <c r="R53" i="1"/>
  <c r="S53" i="1" s="1"/>
  <c r="AN53" i="1" s="1"/>
  <c r="H53" i="1" a="1"/>
  <c r="H53" i="1"/>
  <c r="G53" i="1" a="1"/>
  <c r="G53" i="1"/>
  <c r="I53" i="1" s="1"/>
  <c r="AR53" i="1" s="1"/>
  <c r="F53" i="1" a="1"/>
  <c r="F53" i="1"/>
  <c r="E53" i="1" a="1"/>
  <c r="E53" i="1"/>
  <c r="B53" i="1" a="1"/>
  <c r="B53" i="1"/>
  <c r="BG52" i="1"/>
  <c r="BE52" i="1"/>
  <c r="BB52" i="1"/>
  <c r="BA52" i="1"/>
  <c r="BC52" i="1" s="1"/>
  <c r="AL52" i="1"/>
  <c r="AM52" i="1" s="1"/>
  <c r="AB52" i="1"/>
  <c r="AC52" i="1" s="1"/>
  <c r="R52" i="1"/>
  <c r="S52" i="1" s="1"/>
  <c r="AN52" i="1" s="1"/>
  <c r="H52" i="1" a="1"/>
  <c r="H52" i="1"/>
  <c r="G52" i="1" a="1"/>
  <c r="G52" i="1"/>
  <c r="I52" i="1" s="1"/>
  <c r="AR52" i="1" s="1"/>
  <c r="F52" i="1" a="1"/>
  <c r="F52" i="1"/>
  <c r="E52" i="1" a="1"/>
  <c r="E52" i="1"/>
  <c r="B52" i="1" a="1"/>
  <c r="B52" i="1"/>
  <c r="BG51" i="1"/>
  <c r="BE51" i="1"/>
  <c r="BB51" i="1"/>
  <c r="BA51" i="1"/>
  <c r="BC51" i="1" s="1"/>
  <c r="AL51" i="1"/>
  <c r="AM51" i="1" s="1"/>
  <c r="AB51" i="1"/>
  <c r="AC51" i="1" s="1"/>
  <c r="R51" i="1"/>
  <c r="S51" i="1" s="1"/>
  <c r="AN51" i="1" s="1"/>
  <c r="H51" i="1" a="1"/>
  <c r="H51" i="1"/>
  <c r="G51" i="1" a="1"/>
  <c r="G51" i="1"/>
  <c r="I51" i="1" s="1"/>
  <c r="AR51" i="1" s="1"/>
  <c r="F51" i="1" a="1"/>
  <c r="F51" i="1"/>
  <c r="E51" i="1" a="1"/>
  <c r="E51" i="1"/>
  <c r="B51" i="1" a="1"/>
  <c r="B51" i="1"/>
  <c r="BG50" i="1"/>
  <c r="BE50" i="1"/>
  <c r="BB50" i="1"/>
  <c r="BA50" i="1"/>
  <c r="BC50" i="1" s="1"/>
  <c r="AQ50" i="1"/>
  <c r="AL50" i="1"/>
  <c r="AM50" i="1" s="1"/>
  <c r="AB50" i="1"/>
  <c r="AC50" i="1" s="1"/>
  <c r="O50" i="1"/>
  <c r="R50" i="1" s="1"/>
  <c r="S50" i="1" s="1"/>
  <c r="AN50" i="1" s="1"/>
  <c r="H50" i="1" a="1"/>
  <c r="H50" i="1"/>
  <c r="G50" i="1" a="1"/>
  <c r="G50" i="1"/>
  <c r="I50" i="1" s="1"/>
  <c r="AR50" i="1" s="1"/>
  <c r="F50" i="1" a="1"/>
  <c r="F50" i="1"/>
  <c r="E50" i="1" a="1"/>
  <c r="E50" i="1"/>
  <c r="B50" i="1" a="1"/>
  <c r="B50" i="1"/>
  <c r="BG49" i="1"/>
  <c r="BE49" i="1"/>
  <c r="BB49" i="1"/>
  <c r="BA49" i="1"/>
  <c r="BC49" i="1" s="1"/>
  <c r="AL49" i="1"/>
  <c r="AM49" i="1" s="1"/>
  <c r="AB49" i="1"/>
  <c r="AC49" i="1" s="1"/>
  <c r="R49" i="1"/>
  <c r="S49" i="1" s="1"/>
  <c r="AN49" i="1" s="1"/>
  <c r="H49" i="1" a="1"/>
  <c r="H49" i="1"/>
  <c r="G49" i="1" a="1"/>
  <c r="G49" i="1"/>
  <c r="I49" i="1" s="1"/>
  <c r="F49" i="1" a="1"/>
  <c r="F49" i="1"/>
  <c r="E49" i="1" a="1"/>
  <c r="E49" i="1"/>
  <c r="B49" i="1" a="1"/>
  <c r="B49" i="1" s="1"/>
  <c r="BG48" i="1"/>
  <c r="BE48" i="1"/>
  <c r="BB48" i="1"/>
  <c r="BA48" i="1"/>
  <c r="BC48" i="1" s="1"/>
  <c r="AL48" i="1"/>
  <c r="AM48" i="1" s="1"/>
  <c r="AB48" i="1"/>
  <c r="AC48" i="1" s="1"/>
  <c r="R48" i="1"/>
  <c r="S48" i="1" s="1"/>
  <c r="AN48" i="1" s="1"/>
  <c r="H48" i="1" a="1"/>
  <c r="H48" i="1" s="1"/>
  <c r="G48" i="1" a="1"/>
  <c r="G48" i="1" s="1"/>
  <c r="I48" i="1" s="1"/>
  <c r="AR48" i="1" s="1"/>
  <c r="F48" i="1" a="1"/>
  <c r="F48" i="1" s="1"/>
  <c r="E48" i="1" a="1"/>
  <c r="E48" i="1" s="1"/>
  <c r="B48" i="1" a="1"/>
  <c r="B48" i="1" s="1"/>
  <c r="BG47" i="1"/>
  <c r="BE47" i="1"/>
  <c r="BB47" i="1"/>
  <c r="BA47" i="1"/>
  <c r="BC47" i="1" s="1"/>
  <c r="AL47" i="1"/>
  <c r="AM47" i="1" s="1"/>
  <c r="AB47" i="1"/>
  <c r="AC47" i="1" s="1"/>
  <c r="R47" i="1"/>
  <c r="S47" i="1" s="1"/>
  <c r="AN47" i="1" s="1"/>
  <c r="H47" i="1" a="1"/>
  <c r="H47" i="1" s="1"/>
  <c r="G47" i="1" a="1"/>
  <c r="G47" i="1" s="1"/>
  <c r="I47" i="1" s="1"/>
  <c r="AR47" i="1" s="1"/>
  <c r="F47" i="1" a="1"/>
  <c r="F47" i="1" s="1"/>
  <c r="E47" i="1" a="1"/>
  <c r="E47" i="1"/>
  <c r="B47" i="1" a="1"/>
  <c r="B47" i="1" s="1"/>
  <c r="BG46" i="1"/>
  <c r="BE46" i="1"/>
  <c r="BB46" i="1"/>
  <c r="BA46" i="1"/>
  <c r="BC46" i="1" s="1"/>
  <c r="AL46" i="1"/>
  <c r="AM46" i="1" s="1"/>
  <c r="AB46" i="1"/>
  <c r="AC46" i="1" s="1"/>
  <c r="R46" i="1"/>
  <c r="S46" i="1" s="1"/>
  <c r="AN46" i="1" s="1"/>
  <c r="H46" i="1" a="1"/>
  <c r="H46" i="1" s="1"/>
  <c r="G46" i="1" a="1"/>
  <c r="G46" i="1" s="1"/>
  <c r="I46" i="1" s="1"/>
  <c r="AR46" i="1" s="1"/>
  <c r="F46" i="1" a="1"/>
  <c r="F46" i="1" s="1"/>
  <c r="E46" i="1" a="1"/>
  <c r="E46" i="1" s="1"/>
  <c r="B46" i="1" a="1"/>
  <c r="B46" i="1" s="1"/>
  <c r="BG45" i="1"/>
  <c r="BE45" i="1"/>
  <c r="BB45" i="1"/>
  <c r="BA45" i="1"/>
  <c r="BC45" i="1" s="1"/>
  <c r="AM45" i="1"/>
  <c r="AL45" i="1"/>
  <c r="AB45" i="1"/>
  <c r="AC45" i="1" s="1"/>
  <c r="R45" i="1"/>
  <c r="S45" i="1" s="1"/>
  <c r="AN45" i="1" s="1"/>
  <c r="H45" i="1" a="1"/>
  <c r="H45" i="1" s="1"/>
  <c r="G45" i="1" a="1"/>
  <c r="G45" i="1" s="1"/>
  <c r="I45" i="1" s="1"/>
  <c r="AR45" i="1" s="1"/>
  <c r="F45" i="1" a="1"/>
  <c r="F45" i="1" s="1"/>
  <c r="E45" i="1" a="1"/>
  <c r="E45" i="1" s="1"/>
  <c r="B45" i="1" a="1"/>
  <c r="B45" i="1" s="1"/>
  <c r="BG44" i="1"/>
  <c r="BE44" i="1"/>
  <c r="BB44" i="1"/>
  <c r="BA44" i="1"/>
  <c r="BC44" i="1" s="1"/>
  <c r="AL44" i="1"/>
  <c r="AM44" i="1" s="1"/>
  <c r="AB44" i="1"/>
  <c r="AC44" i="1" s="1"/>
  <c r="R44" i="1"/>
  <c r="S44" i="1" s="1"/>
  <c r="AN44" i="1" s="1"/>
  <c r="H44" i="1" a="1"/>
  <c r="H44" i="1" s="1"/>
  <c r="G44" i="1" a="1"/>
  <c r="G44" i="1"/>
  <c r="F44" i="1" a="1"/>
  <c r="F44" i="1"/>
  <c r="E44" i="1" a="1"/>
  <c r="E44" i="1"/>
  <c r="B44" i="1" a="1"/>
  <c r="B44" i="1"/>
  <c r="BG43" i="1"/>
  <c r="BE43" i="1"/>
  <c r="BB43" i="1"/>
  <c r="BA43" i="1"/>
  <c r="BC43" i="1" s="1"/>
  <c r="AL43" i="1"/>
  <c r="AM43" i="1" s="1"/>
  <c r="AB43" i="1"/>
  <c r="AC43" i="1" s="1"/>
  <c r="R43" i="1"/>
  <c r="S43" i="1" s="1"/>
  <c r="AN43" i="1" s="1"/>
  <c r="H43" i="1" a="1"/>
  <c r="H43" i="1" s="1"/>
  <c r="G43" i="1" a="1"/>
  <c r="G43" i="1"/>
  <c r="I43" i="1" s="1"/>
  <c r="AR43" i="1" s="1"/>
  <c r="F43" i="1" a="1"/>
  <c r="F43" i="1" s="1"/>
  <c r="E43" i="1" a="1"/>
  <c r="E43" i="1" s="1"/>
  <c r="B43" i="1" a="1"/>
  <c r="B43" i="1" s="1"/>
  <c r="BG42" i="1"/>
  <c r="BE42" i="1"/>
  <c r="BB42" i="1"/>
  <c r="BA42" i="1"/>
  <c r="BC42" i="1" s="1"/>
  <c r="AL42" i="1"/>
  <c r="AM42" i="1" s="1"/>
  <c r="AB42" i="1"/>
  <c r="AC42" i="1" s="1"/>
  <c r="R42" i="1"/>
  <c r="S42" i="1" s="1"/>
  <c r="AN42" i="1" s="1"/>
  <c r="H42" i="1" a="1"/>
  <c r="H42" i="1" s="1"/>
  <c r="G42" i="1" a="1"/>
  <c r="G42" i="1" s="1"/>
  <c r="I42" i="1" s="1"/>
  <c r="AR42" i="1" s="1"/>
  <c r="F42" i="1" a="1"/>
  <c r="F42" i="1" s="1"/>
  <c r="E42" i="1" a="1"/>
  <c r="E42" i="1" s="1"/>
  <c r="B42" i="1" a="1"/>
  <c r="B42" i="1" s="1"/>
  <c r="BG41" i="1"/>
  <c r="BE41" i="1"/>
  <c r="BB41" i="1"/>
  <c r="BA41" i="1"/>
  <c r="BC41" i="1" s="1"/>
  <c r="AL41" i="1"/>
  <c r="AM41" i="1" s="1"/>
  <c r="AB41" i="1"/>
  <c r="AC41" i="1" s="1"/>
  <c r="R41" i="1"/>
  <c r="S41" i="1" s="1"/>
  <c r="AN41" i="1" s="1"/>
  <c r="H41" i="1" a="1"/>
  <c r="H41" i="1" s="1"/>
  <c r="G41" i="1" a="1"/>
  <c r="G41" i="1" s="1"/>
  <c r="I41" i="1" s="1"/>
  <c r="F41" i="1" a="1"/>
  <c r="F41" i="1" s="1"/>
  <c r="E41" i="1" a="1"/>
  <c r="E41" i="1" s="1"/>
  <c r="B41" i="1" a="1"/>
  <c r="B41" i="1" s="1"/>
  <c r="BG40" i="1"/>
  <c r="BE40" i="1"/>
  <c r="BB40" i="1"/>
  <c r="BA40" i="1"/>
  <c r="BC40" i="1" s="1"/>
  <c r="AL40" i="1"/>
  <c r="AM40" i="1" s="1"/>
  <c r="AB40" i="1"/>
  <c r="AC40" i="1" s="1"/>
  <c r="R40" i="1"/>
  <c r="S40" i="1" s="1"/>
  <c r="AN40" i="1" s="1"/>
  <c r="H40" i="1" a="1"/>
  <c r="H40" i="1" s="1"/>
  <c r="G40" i="1" a="1"/>
  <c r="G40" i="1" s="1"/>
  <c r="I40" i="1" s="1"/>
  <c r="AR40" i="1" s="1"/>
  <c r="F40" i="1" a="1"/>
  <c r="F40" i="1" s="1"/>
  <c r="E40" i="1" a="1"/>
  <c r="E40" i="1" s="1"/>
  <c r="B40" i="1" a="1"/>
  <c r="B40" i="1" s="1"/>
  <c r="BG39" i="1"/>
  <c r="BE39" i="1"/>
  <c r="BB39" i="1"/>
  <c r="BA39" i="1"/>
  <c r="BC39" i="1" s="1"/>
  <c r="AL39" i="1"/>
  <c r="AM39" i="1" s="1"/>
  <c r="AB39" i="1"/>
  <c r="AC39" i="1" s="1"/>
  <c r="R39" i="1"/>
  <c r="S39" i="1" s="1"/>
  <c r="AN39" i="1" s="1"/>
  <c r="H39" i="1" a="1"/>
  <c r="H39" i="1" s="1"/>
  <c r="G39" i="1" a="1"/>
  <c r="G39" i="1" s="1"/>
  <c r="I39" i="1" s="1"/>
  <c r="AR39" i="1" s="1"/>
  <c r="F39" i="1" a="1"/>
  <c r="F39" i="1" s="1"/>
  <c r="E39" i="1" a="1"/>
  <c r="E39" i="1" s="1"/>
  <c r="B39" i="1" a="1"/>
  <c r="B39" i="1" s="1"/>
  <c r="BG38" i="1"/>
  <c r="BE38" i="1"/>
  <c r="BB38" i="1"/>
  <c r="BA38" i="1"/>
  <c r="BC38" i="1" s="1"/>
  <c r="AL38" i="1"/>
  <c r="AM38" i="1" s="1"/>
  <c r="AB38" i="1"/>
  <c r="AC38" i="1" s="1"/>
  <c r="R38" i="1"/>
  <c r="S38" i="1" s="1"/>
  <c r="AN38" i="1" s="1"/>
  <c r="H38" i="1" a="1"/>
  <c r="H38" i="1" s="1"/>
  <c r="G38" i="1" a="1"/>
  <c r="G38" i="1" s="1"/>
  <c r="I38" i="1" s="1"/>
  <c r="AR38" i="1" s="1"/>
  <c r="F38" i="1" a="1"/>
  <c r="F38" i="1" s="1"/>
  <c r="E38" i="1" a="1"/>
  <c r="E38" i="1" s="1"/>
  <c r="B38" i="1" a="1"/>
  <c r="B38" i="1" s="1"/>
  <c r="BG37" i="1"/>
  <c r="BE37" i="1"/>
  <c r="BB37" i="1"/>
  <c r="BA37" i="1"/>
  <c r="BC37" i="1" s="1"/>
  <c r="AL37" i="1"/>
  <c r="AM37" i="1" s="1"/>
  <c r="AB37" i="1"/>
  <c r="AC37" i="1" s="1"/>
  <c r="R37" i="1"/>
  <c r="S37" i="1" s="1"/>
  <c r="AN37" i="1" s="1"/>
  <c r="H37" i="1" a="1"/>
  <c r="H37" i="1" s="1"/>
  <c r="G37" i="1" a="1"/>
  <c r="G37" i="1" s="1"/>
  <c r="I37" i="1" s="1"/>
  <c r="AR37" i="1" s="1"/>
  <c r="F37" i="1" a="1"/>
  <c r="F37" i="1" s="1"/>
  <c r="E37" i="1" a="1"/>
  <c r="E37" i="1" s="1"/>
  <c r="B37" i="1" a="1"/>
  <c r="B37" i="1" s="1"/>
  <c r="BG36" i="1"/>
  <c r="BE36" i="1"/>
  <c r="BB36" i="1"/>
  <c r="BA36" i="1"/>
  <c r="BC36" i="1" s="1"/>
  <c r="AL36" i="1"/>
  <c r="AM36" i="1" s="1"/>
  <c r="AB36" i="1"/>
  <c r="AC36" i="1" s="1"/>
  <c r="R36" i="1"/>
  <c r="S36" i="1" s="1"/>
  <c r="AN36" i="1" s="1"/>
  <c r="H36" i="1" a="1"/>
  <c r="H36" i="1" s="1"/>
  <c r="G36" i="1" a="1"/>
  <c r="G36" i="1" s="1"/>
  <c r="I36" i="1" s="1"/>
  <c r="F36" i="1" a="1"/>
  <c r="F36" i="1" s="1"/>
  <c r="E36" i="1" a="1"/>
  <c r="E36" i="1" s="1"/>
  <c r="B36" i="1" a="1"/>
  <c r="B36" i="1" s="1"/>
  <c r="BG35" i="1"/>
  <c r="BE35" i="1"/>
  <c r="BB35" i="1"/>
  <c r="BA35" i="1"/>
  <c r="BC35" i="1" s="1"/>
  <c r="AL35" i="1"/>
  <c r="AM35" i="1" s="1"/>
  <c r="AB35" i="1"/>
  <c r="AC35" i="1" s="1"/>
  <c r="R35" i="1"/>
  <c r="S35" i="1" s="1"/>
  <c r="AN35" i="1" s="1"/>
  <c r="H35" i="1" a="1"/>
  <c r="H35" i="1" s="1"/>
  <c r="G35" i="1" a="1"/>
  <c r="G35" i="1" s="1"/>
  <c r="I35" i="1" s="1"/>
  <c r="AR35" i="1" s="1"/>
  <c r="F35" i="1" a="1"/>
  <c r="F35" i="1" s="1"/>
  <c r="E35" i="1" a="1"/>
  <c r="E35" i="1" s="1"/>
  <c r="B35" i="1" a="1"/>
  <c r="B35" i="1" s="1"/>
  <c r="BG34" i="1"/>
  <c r="BE34" i="1"/>
  <c r="BB34" i="1"/>
  <c r="BA34" i="1"/>
  <c r="BC34" i="1" s="1"/>
  <c r="AL34" i="1"/>
  <c r="AM34" i="1" s="1"/>
  <c r="AB34" i="1"/>
  <c r="AC34" i="1" s="1"/>
  <c r="R34" i="1"/>
  <c r="S34" i="1" s="1"/>
  <c r="AN34" i="1" s="1"/>
  <c r="H34" i="1" a="1"/>
  <c r="H34" i="1" s="1"/>
  <c r="G34" i="1" a="1"/>
  <c r="G34" i="1" s="1"/>
  <c r="I34" i="1" s="1"/>
  <c r="AR34" i="1" s="1"/>
  <c r="F34" i="1" a="1"/>
  <c r="F34" i="1" s="1"/>
  <c r="E34" i="1" a="1"/>
  <c r="E34" i="1" s="1"/>
  <c r="B34" i="1" a="1"/>
  <c r="B34" i="1" s="1"/>
  <c r="BG33" i="1"/>
  <c r="BE33" i="1"/>
  <c r="BB33" i="1"/>
  <c r="BA33" i="1"/>
  <c r="BC33" i="1" s="1"/>
  <c r="AL33" i="1"/>
  <c r="AM33" i="1" s="1"/>
  <c r="AB33" i="1"/>
  <c r="AC33" i="1" s="1"/>
  <c r="R33" i="1"/>
  <c r="S33" i="1" s="1"/>
  <c r="AN33" i="1" s="1"/>
  <c r="H33" i="1" a="1"/>
  <c r="H33" i="1" s="1"/>
  <c r="G33" i="1" a="1"/>
  <c r="G33" i="1" s="1"/>
  <c r="I33" i="1" s="1"/>
  <c r="F33" i="1" a="1"/>
  <c r="F33" i="1" s="1"/>
  <c r="E33" i="1" a="1"/>
  <c r="E33" i="1" s="1"/>
  <c r="B33" i="1" a="1"/>
  <c r="B33" i="1" s="1"/>
  <c r="BG32" i="1"/>
  <c r="BE32" i="1"/>
  <c r="BB32" i="1"/>
  <c r="BA32" i="1"/>
  <c r="BC32" i="1" s="1"/>
  <c r="AL32" i="1"/>
  <c r="AM32" i="1" s="1"/>
  <c r="AB32" i="1"/>
  <c r="AC32" i="1" s="1"/>
  <c r="R32" i="1"/>
  <c r="S32" i="1" s="1"/>
  <c r="AN32" i="1" s="1"/>
  <c r="H32" i="1" a="1"/>
  <c r="H32" i="1" s="1"/>
  <c r="G32" i="1" a="1"/>
  <c r="G32" i="1" s="1"/>
  <c r="F32" i="1" a="1"/>
  <c r="F32" i="1" s="1"/>
  <c r="E32" i="1" a="1"/>
  <c r="E32" i="1" s="1"/>
  <c r="B32" i="1" a="1"/>
  <c r="B32" i="1" s="1"/>
  <c r="BG31" i="1"/>
  <c r="BE31" i="1"/>
  <c r="BB31" i="1"/>
  <c r="BA31" i="1"/>
  <c r="BC31" i="1" s="1"/>
  <c r="AL31" i="1"/>
  <c r="AM31" i="1" s="1"/>
  <c r="AC31" i="1"/>
  <c r="AB31" i="1"/>
  <c r="R31" i="1"/>
  <c r="S31" i="1" s="1"/>
  <c r="AN31" i="1" s="1"/>
  <c r="H31" i="1" a="1"/>
  <c r="H31" i="1" s="1"/>
  <c r="G31" i="1" a="1"/>
  <c r="G31" i="1" s="1"/>
  <c r="I31" i="1" s="1"/>
  <c r="AR31" i="1" s="1"/>
  <c r="F31" i="1" a="1"/>
  <c r="F31" i="1" s="1"/>
  <c r="E31" i="1" a="1"/>
  <c r="E31" i="1" s="1"/>
  <c r="B31" i="1" a="1"/>
  <c r="B31" i="1" s="1"/>
  <c r="BG30" i="1"/>
  <c r="BE30" i="1"/>
  <c r="BB30" i="1"/>
  <c r="BA30" i="1"/>
  <c r="BC30" i="1" s="1"/>
  <c r="AL30" i="1"/>
  <c r="AM30" i="1" s="1"/>
  <c r="AB30" i="1"/>
  <c r="AC30" i="1" s="1"/>
  <c r="R30" i="1"/>
  <c r="S30" i="1" s="1"/>
  <c r="AN30" i="1" s="1"/>
  <c r="H30" i="1" a="1"/>
  <c r="H30" i="1" s="1"/>
  <c r="G30" i="1" a="1"/>
  <c r="G30" i="1" s="1"/>
  <c r="F30" i="1" a="1"/>
  <c r="F30" i="1" s="1"/>
  <c r="E30" i="1" a="1"/>
  <c r="E30" i="1" s="1"/>
  <c r="B30" i="1" a="1"/>
  <c r="B30" i="1" s="1"/>
  <c r="BG29" i="1"/>
  <c r="BE29" i="1"/>
  <c r="BB29" i="1"/>
  <c r="BA29" i="1"/>
  <c r="BC29" i="1" s="1"/>
  <c r="AL29" i="1"/>
  <c r="AM29" i="1" s="1"/>
  <c r="AB29" i="1"/>
  <c r="AC29" i="1" s="1"/>
  <c r="R29" i="1"/>
  <c r="S29" i="1" s="1"/>
  <c r="AN29" i="1" s="1"/>
  <c r="H29" i="1" a="1"/>
  <c r="H29" i="1" s="1"/>
  <c r="G29" i="1" a="1"/>
  <c r="G29" i="1" s="1"/>
  <c r="I29" i="1" s="1"/>
  <c r="AR29" i="1" s="1"/>
  <c r="F29" i="1" a="1"/>
  <c r="F29" i="1" s="1"/>
  <c r="E29" i="1" a="1"/>
  <c r="E29" i="1" s="1"/>
  <c r="B29" i="1" a="1"/>
  <c r="B29" i="1" s="1"/>
  <c r="BG28" i="1"/>
  <c r="BE28" i="1"/>
  <c r="BB28" i="1"/>
  <c r="BA28" i="1"/>
  <c r="BC28" i="1" s="1"/>
  <c r="AL28" i="1"/>
  <c r="AM28" i="1" s="1"/>
  <c r="AB28" i="1"/>
  <c r="AC28" i="1" s="1"/>
  <c r="R28" i="1"/>
  <c r="S28" i="1" s="1"/>
  <c r="H28" i="1" a="1"/>
  <c r="H28" i="1" s="1"/>
  <c r="G28" i="1" a="1"/>
  <c r="G28" i="1" s="1"/>
  <c r="I28" i="1" s="1"/>
  <c r="AR28" i="1" s="1"/>
  <c r="F28" i="1" a="1"/>
  <c r="F28" i="1" s="1"/>
  <c r="E28" i="1" a="1"/>
  <c r="E28" i="1" s="1"/>
  <c r="B28" i="1" a="1"/>
  <c r="B28" i="1" s="1"/>
  <c r="BG27" i="1"/>
  <c r="BE27" i="1"/>
  <c r="BB27" i="1"/>
  <c r="BA27" i="1"/>
  <c r="BC27" i="1" s="1"/>
  <c r="AL27" i="1"/>
  <c r="AM27" i="1" s="1"/>
  <c r="AB27" i="1"/>
  <c r="AC27" i="1" s="1"/>
  <c r="R27" i="1"/>
  <c r="S27" i="1" s="1"/>
  <c r="AN27" i="1" s="1"/>
  <c r="H27" i="1" a="1"/>
  <c r="H27" i="1" s="1"/>
  <c r="G27" i="1" a="1"/>
  <c r="G27" i="1" s="1"/>
  <c r="I27" i="1" s="1"/>
  <c r="AR27" i="1" s="1"/>
  <c r="F27" i="1" a="1"/>
  <c r="F27" i="1" s="1"/>
  <c r="E27" i="1" a="1"/>
  <c r="E27" i="1" s="1"/>
  <c r="B27" i="1" a="1"/>
  <c r="B27" i="1" s="1"/>
  <c r="BG26" i="1"/>
  <c r="BE26" i="1"/>
  <c r="BB26" i="1"/>
  <c r="BA26" i="1"/>
  <c r="BC26" i="1" s="1"/>
  <c r="AL26" i="1"/>
  <c r="AM26" i="1" s="1"/>
  <c r="AB26" i="1"/>
  <c r="AC26" i="1" s="1"/>
  <c r="R26" i="1"/>
  <c r="S26" i="1" s="1"/>
  <c r="AN26" i="1" s="1"/>
  <c r="H26" i="1" a="1"/>
  <c r="H26" i="1" s="1"/>
  <c r="G26" i="1" a="1"/>
  <c r="G26" i="1" s="1"/>
  <c r="I26" i="1" s="1"/>
  <c r="AR26" i="1" s="1"/>
  <c r="F26" i="1" a="1"/>
  <c r="F26" i="1" s="1"/>
  <c r="E26" i="1" a="1"/>
  <c r="E26" i="1" s="1"/>
  <c r="B26" i="1" a="1"/>
  <c r="B26" i="1" s="1"/>
  <c r="BG25" i="1"/>
  <c r="BE25" i="1"/>
  <c r="BB25" i="1"/>
  <c r="BA25" i="1"/>
  <c r="BC25" i="1" s="1"/>
  <c r="AL25" i="1"/>
  <c r="AM25" i="1" s="1"/>
  <c r="AB25" i="1"/>
  <c r="AC25" i="1" s="1"/>
  <c r="R25" i="1"/>
  <c r="S25" i="1" s="1"/>
  <c r="AN25" i="1" s="1"/>
  <c r="H25" i="1" a="1"/>
  <c r="H25" i="1" s="1"/>
  <c r="G25" i="1" a="1"/>
  <c r="G25" i="1" s="1"/>
  <c r="I25" i="1" s="1"/>
  <c r="AR25" i="1" s="1"/>
  <c r="F25" i="1" a="1"/>
  <c r="F25" i="1" s="1"/>
  <c r="E25" i="1" a="1"/>
  <c r="E25" i="1" s="1"/>
  <c r="B25" i="1" a="1"/>
  <c r="B25" i="1" s="1"/>
  <c r="BG24" i="1"/>
  <c r="BE24" i="1"/>
  <c r="BB24" i="1"/>
  <c r="BA24" i="1"/>
  <c r="BC24" i="1" s="1"/>
  <c r="AL24" i="1"/>
  <c r="AM24" i="1" s="1"/>
  <c r="AB24" i="1"/>
  <c r="AC24" i="1" s="1"/>
  <c r="R24" i="1"/>
  <c r="S24" i="1" s="1"/>
  <c r="AN24" i="1" s="1"/>
  <c r="H24" i="1" a="1"/>
  <c r="H24" i="1" s="1"/>
  <c r="G24" i="1" a="1"/>
  <c r="G24" i="1" s="1"/>
  <c r="F24" i="1" a="1"/>
  <c r="F24" i="1" s="1"/>
  <c r="E24" i="1" a="1"/>
  <c r="E24" i="1" s="1"/>
  <c r="B24" i="1" a="1"/>
  <c r="B24" i="1" s="1"/>
  <c r="BG23" i="1"/>
  <c r="BE23" i="1"/>
  <c r="BB23" i="1"/>
  <c r="BA23" i="1"/>
  <c r="BC23" i="1" s="1"/>
  <c r="AL23" i="1"/>
  <c r="AM23" i="1" s="1"/>
  <c r="AB23" i="1"/>
  <c r="AC23" i="1" s="1"/>
  <c r="R23" i="1"/>
  <c r="S23" i="1" s="1"/>
  <c r="AN23" i="1" s="1"/>
  <c r="P27" i="3" s="1"/>
  <c r="H23" i="1" a="1"/>
  <c r="H23" i="1" s="1"/>
  <c r="G23" i="1" a="1"/>
  <c r="G23" i="1" s="1"/>
  <c r="I23" i="1" s="1"/>
  <c r="AR23" i="1" s="1"/>
  <c r="F23" i="1" a="1"/>
  <c r="F23" i="1" s="1"/>
  <c r="E23" i="1" a="1"/>
  <c r="E23" i="1" s="1"/>
  <c r="B23" i="1" a="1"/>
  <c r="B23" i="1" s="1"/>
  <c r="O27" i="3" s="1"/>
  <c r="BG22" i="1"/>
  <c r="BE22" i="1"/>
  <c r="BB22" i="1"/>
  <c r="BA22" i="1"/>
  <c r="BC22" i="1" s="1"/>
  <c r="AL22" i="1"/>
  <c r="AM22" i="1" s="1"/>
  <c r="AB22" i="1"/>
  <c r="AC22" i="1" s="1"/>
  <c r="R22" i="1"/>
  <c r="S22" i="1" s="1"/>
  <c r="AN22" i="1" s="1"/>
  <c r="P26" i="3" s="1"/>
  <c r="H22" i="1" a="1"/>
  <c r="H22" i="1" s="1"/>
  <c r="G22" i="1" a="1"/>
  <c r="G22" i="1" s="1"/>
  <c r="I22" i="1" s="1"/>
  <c r="AR22" i="1" s="1"/>
  <c r="F22" i="1" a="1"/>
  <c r="F22" i="1" s="1"/>
  <c r="E22" i="1" a="1"/>
  <c r="E22" i="1" s="1"/>
  <c r="B22" i="1" a="1"/>
  <c r="B22" i="1" s="1"/>
  <c r="O26" i="3" s="1"/>
  <c r="BG21" i="1"/>
  <c r="BE21" i="1"/>
  <c r="BB21" i="1"/>
  <c r="BA21" i="1"/>
  <c r="BC21" i="1" s="1"/>
  <c r="AL21" i="1"/>
  <c r="AM21" i="1" s="1"/>
  <c r="AB21" i="1"/>
  <c r="AC21" i="1" s="1"/>
  <c r="R21" i="1"/>
  <c r="S21" i="1" s="1"/>
  <c r="AN21" i="1" s="1"/>
  <c r="P25" i="3" s="1"/>
  <c r="H21" i="1" a="1"/>
  <c r="H21" i="1" s="1"/>
  <c r="G21" i="1" a="1"/>
  <c r="G21" i="1" s="1"/>
  <c r="I21" i="1" s="1"/>
  <c r="AR21" i="1" s="1"/>
  <c r="F21" i="1" a="1"/>
  <c r="F21" i="1" s="1"/>
  <c r="E21" i="1" a="1"/>
  <c r="E21" i="1" s="1"/>
  <c r="B21" i="1" a="1"/>
  <c r="B21" i="1" s="1"/>
  <c r="O25" i="3" s="1"/>
  <c r="BG20" i="1"/>
  <c r="BE20" i="1"/>
  <c r="BB20" i="1"/>
  <c r="BA20" i="1"/>
  <c r="BC20" i="1" s="1"/>
  <c r="AL20" i="1"/>
  <c r="AM20" i="1" s="1"/>
  <c r="AB20" i="1"/>
  <c r="AC20" i="1" s="1"/>
  <c r="R20" i="1"/>
  <c r="S20" i="1" s="1"/>
  <c r="H20" i="1" a="1"/>
  <c r="H20" i="1" s="1"/>
  <c r="G20" i="1" a="1"/>
  <c r="G20" i="1" s="1"/>
  <c r="F20" i="1" a="1"/>
  <c r="F20" i="1" s="1"/>
  <c r="E20" i="1" a="1"/>
  <c r="E20" i="1" s="1"/>
  <c r="B20" i="1" a="1"/>
  <c r="B20" i="1" s="1"/>
  <c r="BG19" i="1"/>
  <c r="BE19" i="1"/>
  <c r="BB19" i="1"/>
  <c r="BA19" i="1"/>
  <c r="BC19" i="1" s="1"/>
  <c r="AL19" i="1"/>
  <c r="AM19" i="1" s="1"/>
  <c r="AB19" i="1"/>
  <c r="AC19" i="1" s="1"/>
  <c r="R19" i="1"/>
  <c r="S19" i="1" s="1"/>
  <c r="AN19" i="1" s="1"/>
  <c r="P23" i="3" s="1"/>
  <c r="H19" i="1" a="1"/>
  <c r="H19" i="1" s="1"/>
  <c r="G19" i="1" a="1"/>
  <c r="G19" i="1" s="1"/>
  <c r="I19" i="1" s="1"/>
  <c r="AR19" i="1" s="1"/>
  <c r="F19" i="1" a="1"/>
  <c r="F19" i="1" s="1"/>
  <c r="E19" i="1" a="1"/>
  <c r="E19" i="1" s="1"/>
  <c r="B19" i="1" a="1"/>
  <c r="B19" i="1" s="1"/>
  <c r="O23" i="3" s="1"/>
  <c r="BG18" i="1"/>
  <c r="BE18" i="1"/>
  <c r="BB18" i="1"/>
  <c r="BA18" i="1"/>
  <c r="BC18" i="1" s="1"/>
  <c r="I22" i="3" s="1"/>
  <c r="AL18" i="1"/>
  <c r="AM18" i="1" s="1"/>
  <c r="E22" i="3" s="1"/>
  <c r="AB18" i="1"/>
  <c r="AC18" i="1" s="1"/>
  <c r="D22" i="3" s="1"/>
  <c r="R18" i="1"/>
  <c r="S18" i="1" s="1"/>
  <c r="H18" i="1" a="1"/>
  <c r="H18" i="1" s="1"/>
  <c r="G18" i="1" a="1"/>
  <c r="G18" i="1" s="1"/>
  <c r="F18" i="1" a="1"/>
  <c r="F18" i="1" s="1"/>
  <c r="E18" i="1" a="1"/>
  <c r="E18" i="1" s="1"/>
  <c r="B18" i="1" a="1"/>
  <c r="B18" i="1" s="1"/>
  <c r="BG17" i="1"/>
  <c r="BE17" i="1"/>
  <c r="BB17" i="1"/>
  <c r="BA17" i="1"/>
  <c r="BC17" i="1" s="1"/>
  <c r="I21" i="3" s="1"/>
  <c r="AL17" i="1"/>
  <c r="AM17" i="1" s="1"/>
  <c r="E21" i="3" s="1"/>
  <c r="AB17" i="1"/>
  <c r="AC17" i="1" s="1"/>
  <c r="D21" i="3" s="1"/>
  <c r="R17" i="1"/>
  <c r="S17" i="1" s="1"/>
  <c r="H17" i="1" a="1"/>
  <c r="H17" i="1" s="1"/>
  <c r="G17" i="1" a="1"/>
  <c r="G17" i="1" s="1"/>
  <c r="F17" i="1" a="1"/>
  <c r="F17" i="1" s="1"/>
  <c r="E17" i="1" a="1"/>
  <c r="E17" i="1" s="1"/>
  <c r="B17" i="1" a="1"/>
  <c r="B17" i="1" s="1"/>
  <c r="BG16" i="1"/>
  <c r="BE16" i="1"/>
  <c r="BB16" i="1"/>
  <c r="BA16" i="1"/>
  <c r="BC16" i="1" s="1"/>
  <c r="I20" i="3" s="1"/>
  <c r="AL16" i="1"/>
  <c r="AM16" i="1" s="1"/>
  <c r="E20" i="3" s="1"/>
  <c r="AB16" i="1"/>
  <c r="AC16" i="1" s="1"/>
  <c r="D20" i="3" s="1"/>
  <c r="R16" i="1"/>
  <c r="S16" i="1" s="1"/>
  <c r="H16" i="1" a="1"/>
  <c r="H16" i="1" s="1"/>
  <c r="G16" i="1" a="1"/>
  <c r="G16" i="1" s="1"/>
  <c r="I16" i="1" s="1"/>
  <c r="AR16" i="1" s="1"/>
  <c r="F16" i="1" a="1"/>
  <c r="F16" i="1" s="1"/>
  <c r="E16" i="1" a="1"/>
  <c r="E16" i="1" s="1"/>
  <c r="B16" i="1" a="1"/>
  <c r="B16" i="1" s="1"/>
  <c r="BG15" i="1"/>
  <c r="BE15" i="1"/>
  <c r="BB15" i="1"/>
  <c r="BA15" i="1"/>
  <c r="BC15" i="1" s="1"/>
  <c r="I19" i="3" s="1"/>
  <c r="AL15" i="1"/>
  <c r="AM15" i="1" s="1"/>
  <c r="E19" i="3" s="1"/>
  <c r="AB15" i="1"/>
  <c r="AC15" i="1" s="1"/>
  <c r="D19" i="3" s="1"/>
  <c r="R15" i="1"/>
  <c r="S15" i="1" s="1"/>
  <c r="H15" i="1" a="1"/>
  <c r="H15" i="1" s="1"/>
  <c r="G15" i="1" a="1"/>
  <c r="G15" i="1" s="1"/>
  <c r="I15" i="1" s="1"/>
  <c r="AR15" i="1" s="1"/>
  <c r="F15" i="1" a="1"/>
  <c r="F15" i="1" s="1"/>
  <c r="E15" i="1" a="1"/>
  <c r="E15" i="1" s="1"/>
  <c r="B15" i="1" a="1"/>
  <c r="B15" i="1" s="1"/>
  <c r="BG14" i="1"/>
  <c r="BE14" i="1"/>
  <c r="BB14" i="1"/>
  <c r="BA14" i="1"/>
  <c r="BC14" i="1" s="1"/>
  <c r="I18" i="3" s="1"/>
  <c r="AL14" i="1"/>
  <c r="AM14" i="1" s="1"/>
  <c r="E18" i="3" s="1"/>
  <c r="AB14" i="1"/>
  <c r="AC14" i="1" s="1"/>
  <c r="D18" i="3" s="1"/>
  <c r="R14" i="1"/>
  <c r="S14" i="1" s="1"/>
  <c r="H14" i="1" a="1"/>
  <c r="H14" i="1" s="1"/>
  <c r="G14" i="1" a="1"/>
  <c r="G14" i="1" s="1"/>
  <c r="F14" i="1" a="1"/>
  <c r="F14" i="1" s="1"/>
  <c r="E14" i="1" a="1"/>
  <c r="E14" i="1" s="1"/>
  <c r="B14" i="1" a="1"/>
  <c r="B14" i="1" s="1"/>
  <c r="BG13" i="1"/>
  <c r="BE13" i="1"/>
  <c r="BB13" i="1"/>
  <c r="BA13" i="1"/>
  <c r="BC13" i="1" s="1"/>
  <c r="AL13" i="1"/>
  <c r="AM13" i="1" s="1"/>
  <c r="AB13" i="1"/>
  <c r="AC13" i="1" s="1"/>
  <c r="D17" i="3" s="1"/>
  <c r="R13" i="1"/>
  <c r="S13" i="1" s="1"/>
  <c r="H13" i="1" a="1"/>
  <c r="H13" i="1" s="1"/>
  <c r="G13" i="1" a="1"/>
  <c r="G13" i="1" s="1"/>
  <c r="F13" i="1" a="1"/>
  <c r="F13" i="1" s="1"/>
  <c r="E13" i="1" a="1"/>
  <c r="E13" i="1" s="1"/>
  <c r="B13" i="1" a="1"/>
  <c r="B13" i="1" s="1"/>
  <c r="BG12" i="1"/>
  <c r="BE12" i="1"/>
  <c r="BB12" i="1"/>
  <c r="BA12" i="1"/>
  <c r="BC12" i="1" s="1"/>
  <c r="AL12" i="1"/>
  <c r="AM12" i="1" s="1"/>
  <c r="E16" i="3" s="1"/>
  <c r="AB12" i="1"/>
  <c r="AC12" i="1" s="1"/>
  <c r="D16" i="3" s="1"/>
  <c r="R12" i="1"/>
  <c r="S12" i="1" s="1"/>
  <c r="H12" i="1" a="1"/>
  <c r="H12" i="1" s="1"/>
  <c r="G12" i="1" a="1"/>
  <c r="G12" i="1" s="1"/>
  <c r="I12" i="1" s="1"/>
  <c r="F12" i="1" a="1"/>
  <c r="F12" i="1" s="1"/>
  <c r="E12" i="1" a="1"/>
  <c r="E12" i="1" s="1"/>
  <c r="B12" i="1" a="1"/>
  <c r="B12" i="1" s="1"/>
  <c r="BG11" i="1"/>
  <c r="BE11" i="1"/>
  <c r="BB11" i="1"/>
  <c r="BA11" i="1"/>
  <c r="BC11" i="1" s="1"/>
  <c r="AL11" i="1"/>
  <c r="AM11" i="1" s="1"/>
  <c r="AB11" i="1"/>
  <c r="AC11" i="1" s="1"/>
  <c r="D15" i="3" s="1"/>
  <c r="R11" i="1"/>
  <c r="S11" i="1" s="1"/>
  <c r="H11" i="1" a="1"/>
  <c r="H11" i="1" s="1"/>
  <c r="G11" i="1" a="1"/>
  <c r="G11" i="1" s="1"/>
  <c r="F11" i="1" a="1"/>
  <c r="F11" i="1" s="1"/>
  <c r="E11" i="1" a="1"/>
  <c r="E11" i="1" s="1"/>
  <c r="B11" i="1" a="1"/>
  <c r="B11" i="1" s="1"/>
  <c r="BG10" i="1"/>
  <c r="BE10" i="1"/>
  <c r="BB10" i="1"/>
  <c r="BA10" i="1"/>
  <c r="BC10" i="1" s="1"/>
  <c r="AL10" i="1"/>
  <c r="AM10" i="1" s="1"/>
  <c r="AB10" i="1"/>
  <c r="AC10" i="1" s="1"/>
  <c r="D14" i="3" s="1"/>
  <c r="R10" i="1"/>
  <c r="S10" i="1" s="1"/>
  <c r="H10" i="1" a="1"/>
  <c r="H10" i="1" s="1"/>
  <c r="G10" i="1" a="1"/>
  <c r="G10" i="1" s="1"/>
  <c r="F10" i="1" a="1"/>
  <c r="F10" i="1" s="1"/>
  <c r="E10" i="1" a="1"/>
  <c r="E10" i="1" s="1"/>
  <c r="B10" i="1" a="1"/>
  <c r="B10" i="1" s="1"/>
  <c r="BG9" i="1"/>
  <c r="BE9" i="1"/>
  <c r="BB9" i="1"/>
  <c r="BA9" i="1"/>
  <c r="BC9" i="1" s="1"/>
  <c r="AL9" i="1"/>
  <c r="AM9" i="1" s="1"/>
  <c r="AB9" i="1"/>
  <c r="AC9" i="1" s="1"/>
  <c r="D13" i="3" s="1"/>
  <c r="R9" i="1"/>
  <c r="S9" i="1" s="1"/>
  <c r="H9" i="1" a="1"/>
  <c r="H9" i="1" s="1"/>
  <c r="G9" i="1" a="1"/>
  <c r="G9" i="1" s="1"/>
  <c r="F9" i="1" a="1"/>
  <c r="F9" i="1" s="1"/>
  <c r="E9" i="1" a="1"/>
  <c r="E9" i="1" s="1"/>
  <c r="B9" i="1" a="1"/>
  <c r="B9" i="1" s="1"/>
  <c r="BG8" i="1"/>
  <c r="BE8" i="1"/>
  <c r="BB8" i="1"/>
  <c r="BA8" i="1"/>
  <c r="BC8" i="1" s="1"/>
  <c r="AL8" i="1"/>
  <c r="AM8" i="1" s="1"/>
  <c r="AB8" i="1"/>
  <c r="AC8" i="1" s="1"/>
  <c r="D12" i="3" s="1"/>
  <c r="R8" i="1"/>
  <c r="S8" i="1" s="1"/>
  <c r="H8" i="1" a="1"/>
  <c r="H8" i="1" s="1"/>
  <c r="G8" i="1" a="1"/>
  <c r="G8" i="1" s="1"/>
  <c r="F8" i="1" a="1"/>
  <c r="F8" i="1" s="1"/>
  <c r="E8" i="1" a="1"/>
  <c r="E8" i="1" s="1"/>
  <c r="B8" i="1" a="1"/>
  <c r="B8" i="1" s="1"/>
  <c r="BG7" i="1"/>
  <c r="BE7" i="1"/>
  <c r="BB7" i="1"/>
  <c r="BA7" i="1"/>
  <c r="BC7" i="1" s="1"/>
  <c r="AL7" i="1"/>
  <c r="AM7" i="1" s="1"/>
  <c r="AB7" i="1"/>
  <c r="AC7" i="1" s="1"/>
  <c r="D11" i="3" s="1"/>
  <c r="R7" i="1"/>
  <c r="S7" i="1" s="1"/>
  <c r="H7" i="1" a="1"/>
  <c r="H7" i="1" s="1"/>
  <c r="G7" i="1" a="1"/>
  <c r="G7" i="1" s="1"/>
  <c r="F7" i="1" a="1"/>
  <c r="F7" i="1" s="1"/>
  <c r="E7" i="1" a="1"/>
  <c r="E7" i="1" s="1"/>
  <c r="B7" i="1" a="1"/>
  <c r="B7" i="1" s="1"/>
  <c r="BG6" i="1"/>
  <c r="BE6" i="1"/>
  <c r="BB6" i="1"/>
  <c r="BA6" i="1"/>
  <c r="BC6" i="1" s="1"/>
  <c r="AL6" i="1"/>
  <c r="AM6" i="1" s="1"/>
  <c r="AB6" i="1"/>
  <c r="AC6" i="1" s="1"/>
  <c r="D10" i="3" s="1"/>
  <c r="R6" i="1"/>
  <c r="S6" i="1" s="1"/>
  <c r="H6" i="1" a="1"/>
  <c r="H6" i="1" s="1"/>
  <c r="G6" i="1" a="1"/>
  <c r="G6" i="1" s="1"/>
  <c r="F6" i="1" a="1"/>
  <c r="F6" i="1" s="1"/>
  <c r="E6" i="1" a="1"/>
  <c r="E6" i="1" s="1"/>
  <c r="B6" i="1" a="1"/>
  <c r="B6" i="1" s="1"/>
  <c r="BG5" i="1"/>
  <c r="BE5" i="1"/>
  <c r="BB5" i="1"/>
  <c r="BA5" i="1"/>
  <c r="BC5" i="1" s="1"/>
  <c r="AL5" i="1"/>
  <c r="AM5" i="1" s="1"/>
  <c r="AB5" i="1"/>
  <c r="AC5" i="1" s="1"/>
  <c r="D9" i="3" s="1"/>
  <c r="R5" i="1"/>
  <c r="S5" i="1" s="1"/>
  <c r="H5" i="1" a="1"/>
  <c r="H5" i="1" s="1"/>
  <c r="G5" i="1" a="1"/>
  <c r="G5" i="1" s="1"/>
  <c r="F5" i="1" a="1"/>
  <c r="F5" i="1" s="1"/>
  <c r="E5" i="1" a="1"/>
  <c r="E5" i="1" s="1"/>
  <c r="B5" i="1" a="1"/>
  <c r="B5" i="1" s="1"/>
  <c r="BG4" i="1"/>
  <c r="BE4" i="1"/>
  <c r="BB4" i="1"/>
  <c r="BA4" i="1"/>
  <c r="BC4" i="1" s="1"/>
  <c r="AL4" i="1"/>
  <c r="AM4" i="1" s="1"/>
  <c r="AB4" i="1"/>
  <c r="AC4" i="1" s="1"/>
  <c r="R4" i="1"/>
  <c r="S4" i="1" s="1"/>
  <c r="AN4" i="1" s="1"/>
  <c r="H4" i="1" a="1"/>
  <c r="H4" i="1" s="1"/>
  <c r="G4" i="1" a="1"/>
  <c r="G4" i="1" s="1"/>
  <c r="F4" i="1" a="1"/>
  <c r="F4" i="1" s="1"/>
  <c r="E4" i="1" a="1"/>
  <c r="E4" i="1" s="1"/>
  <c r="B4" i="1" a="1"/>
  <c r="B4" i="1" s="1"/>
  <c r="AR12" i="1" l="1"/>
  <c r="I20" i="1"/>
  <c r="AR20" i="1" s="1"/>
  <c r="I18" i="1"/>
  <c r="AR18" i="1" s="1"/>
  <c r="I14" i="1"/>
  <c r="AR14" i="1" s="1"/>
  <c r="AR63" i="1"/>
  <c r="AR41" i="1"/>
  <c r="AR36" i="1"/>
  <c r="AR33" i="1"/>
  <c r="I30" i="1"/>
  <c r="AR30" i="1" s="1"/>
  <c r="I24" i="1"/>
  <c r="AR24" i="1" s="1"/>
  <c r="I17" i="1"/>
  <c r="AR17" i="1" s="1"/>
  <c r="I32" i="1"/>
  <c r="AR32" i="1" s="1"/>
  <c r="AW64" i="1"/>
  <c r="AX64" i="1"/>
  <c r="AY64" i="1"/>
  <c r="BJ64" i="1"/>
  <c r="BL64" i="1" s="1"/>
  <c r="BK64" i="1"/>
  <c r="BM64" i="1" s="1"/>
  <c r="BK63" i="1"/>
  <c r="BM63" i="1" s="1"/>
  <c r="BJ63" i="1"/>
  <c r="BL63" i="1" s="1"/>
  <c r="BJ62" i="1"/>
  <c r="BL62" i="1" s="1"/>
  <c r="BK62" i="1"/>
  <c r="BM62" i="1" s="1"/>
  <c r="AW62" i="1"/>
  <c r="AX62" i="1"/>
  <c r="AY62" i="1"/>
  <c r="BK61" i="1"/>
  <c r="BM61" i="1" s="1"/>
  <c r="BJ61" i="1"/>
  <c r="BL61" i="1" s="1"/>
  <c r="AW61" i="1"/>
  <c r="AY61" i="1"/>
  <c r="AX61" i="1"/>
  <c r="BJ60" i="1"/>
  <c r="BL60" i="1" s="1"/>
  <c r="BK60" i="1"/>
  <c r="BM60" i="1" s="1"/>
  <c r="AX60" i="1"/>
  <c r="AW60" i="1"/>
  <c r="AY60" i="1"/>
  <c r="BJ59" i="1"/>
  <c r="BL59" i="1" s="1"/>
  <c r="BK59" i="1"/>
  <c r="BM59" i="1" s="1"/>
  <c r="AW59" i="1"/>
  <c r="AY59" i="1"/>
  <c r="AX59" i="1"/>
  <c r="BJ58" i="1"/>
  <c r="BL58" i="1" s="1"/>
  <c r="BK58" i="1"/>
  <c r="BM58" i="1" s="1"/>
  <c r="AW58" i="1"/>
  <c r="AX58" i="1"/>
  <c r="AY58" i="1"/>
  <c r="BJ57" i="1"/>
  <c r="BL57" i="1" s="1"/>
  <c r="BK57" i="1"/>
  <c r="BM57" i="1" s="1"/>
  <c r="AX57" i="1"/>
  <c r="AW57" i="1"/>
  <c r="AY57" i="1"/>
  <c r="BJ56" i="1"/>
  <c r="BL56" i="1" s="1"/>
  <c r="BK56" i="1"/>
  <c r="BM56" i="1" s="1"/>
  <c r="AX56" i="1"/>
  <c r="AY56" i="1"/>
  <c r="AW56" i="1"/>
  <c r="BJ55" i="1"/>
  <c r="BL55" i="1" s="1"/>
  <c r="BK55" i="1"/>
  <c r="BM55" i="1" s="1"/>
  <c r="AX55" i="1"/>
  <c r="AW55" i="1"/>
  <c r="AY55" i="1"/>
  <c r="I54" i="1"/>
  <c r="AR54" i="1" s="1"/>
  <c r="BJ54" i="1"/>
  <c r="BL54" i="1" s="1"/>
  <c r="BK54" i="1"/>
  <c r="BM54" i="1" s="1"/>
  <c r="BK53" i="1"/>
  <c r="BM53" i="1" s="1"/>
  <c r="BJ53" i="1"/>
  <c r="BL53" i="1" s="1"/>
  <c r="AW53" i="1"/>
  <c r="AX53" i="1"/>
  <c r="AY53" i="1"/>
  <c r="BJ52" i="1"/>
  <c r="BL52" i="1" s="1"/>
  <c r="BK52" i="1"/>
  <c r="BM52" i="1" s="1"/>
  <c r="AW52" i="1"/>
  <c r="AX52" i="1"/>
  <c r="AY52" i="1"/>
  <c r="BJ51" i="1"/>
  <c r="BL51" i="1" s="1"/>
  <c r="BK51" i="1"/>
  <c r="BM51" i="1" s="1"/>
  <c r="AW51" i="1"/>
  <c r="AX51" i="1"/>
  <c r="AY51" i="1"/>
  <c r="BK50" i="1"/>
  <c r="BM50" i="1" s="1"/>
  <c r="BJ50" i="1"/>
  <c r="BL50" i="1" s="1"/>
  <c r="AW50" i="1"/>
  <c r="AX50" i="1"/>
  <c r="AY50" i="1"/>
  <c r="BK49" i="1"/>
  <c r="BM49" i="1" s="1"/>
  <c r="BJ49" i="1"/>
  <c r="BL49" i="1" s="1"/>
  <c r="AW49" i="1"/>
  <c r="AX49" i="1"/>
  <c r="AY49" i="1"/>
  <c r="BJ48" i="1"/>
  <c r="BL48" i="1" s="1"/>
  <c r="BK48" i="1"/>
  <c r="BM48" i="1" s="1"/>
  <c r="AX48" i="1"/>
  <c r="AW48" i="1"/>
  <c r="AY48" i="1"/>
  <c r="BK47" i="1"/>
  <c r="BM47" i="1" s="1"/>
  <c r="BJ47" i="1"/>
  <c r="BL47" i="1" s="1"/>
  <c r="AX47" i="1"/>
  <c r="AW47" i="1"/>
  <c r="AY47" i="1"/>
  <c r="BK46" i="1"/>
  <c r="BM46" i="1" s="1"/>
  <c r="BJ46" i="1"/>
  <c r="BL46" i="1" s="1"/>
  <c r="AW46" i="1"/>
  <c r="AX46" i="1"/>
  <c r="AY46" i="1"/>
  <c r="BK45" i="1"/>
  <c r="BM45" i="1" s="1"/>
  <c r="BJ45" i="1"/>
  <c r="BL45" i="1" s="1"/>
  <c r="AY45" i="1"/>
  <c r="AW45" i="1"/>
  <c r="AX45" i="1"/>
  <c r="BJ44" i="1"/>
  <c r="BL44" i="1" s="1"/>
  <c r="BK44" i="1"/>
  <c r="BM44" i="1" s="1"/>
  <c r="I44" i="1"/>
  <c r="AR44" i="1" s="1"/>
  <c r="BJ43" i="1"/>
  <c r="BL43" i="1" s="1"/>
  <c r="BK43" i="1"/>
  <c r="BM43" i="1" s="1"/>
  <c r="AW43" i="1"/>
  <c r="AX43" i="1"/>
  <c r="AY43" i="1"/>
  <c r="BK42" i="1"/>
  <c r="BM42" i="1" s="1"/>
  <c r="BJ42" i="1"/>
  <c r="BL42" i="1" s="1"/>
  <c r="AW42" i="1"/>
  <c r="AX42" i="1"/>
  <c r="AY42" i="1"/>
  <c r="BK41" i="1"/>
  <c r="BM41" i="1" s="1"/>
  <c r="BJ41" i="1"/>
  <c r="BL41" i="1" s="1"/>
  <c r="BJ40" i="1"/>
  <c r="BL40" i="1" s="1"/>
  <c r="BK40" i="1"/>
  <c r="BM40" i="1" s="1"/>
  <c r="AX40" i="1"/>
  <c r="AY40" i="1"/>
  <c r="AW40" i="1"/>
  <c r="BJ39" i="1"/>
  <c r="BL39" i="1" s="1"/>
  <c r="BK39" i="1"/>
  <c r="BM39" i="1" s="1"/>
  <c r="AW39" i="1"/>
  <c r="AY39" i="1"/>
  <c r="AX39" i="1"/>
  <c r="BK38" i="1"/>
  <c r="BM38" i="1" s="1"/>
  <c r="BJ38" i="1"/>
  <c r="BL38" i="1" s="1"/>
  <c r="AW38" i="1"/>
  <c r="AY38" i="1"/>
  <c r="AX38" i="1"/>
  <c r="BK37" i="1"/>
  <c r="BM37" i="1" s="1"/>
  <c r="BJ37" i="1"/>
  <c r="BL37" i="1" s="1"/>
  <c r="AX37" i="1"/>
  <c r="AY37" i="1"/>
  <c r="AW37" i="1"/>
  <c r="BJ36" i="1"/>
  <c r="BL36" i="1" s="1"/>
  <c r="BK36" i="1"/>
  <c r="BM36" i="1" s="1"/>
  <c r="BJ35" i="1"/>
  <c r="BL35" i="1" s="1"/>
  <c r="BK35" i="1"/>
  <c r="BM35" i="1" s="1"/>
  <c r="AX35" i="1"/>
  <c r="AW35" i="1"/>
  <c r="AY35" i="1"/>
  <c r="BJ34" i="1"/>
  <c r="BL34" i="1" s="1"/>
  <c r="BK34" i="1"/>
  <c r="BM34" i="1" s="1"/>
  <c r="AW34" i="1"/>
  <c r="AY34" i="1"/>
  <c r="AX34" i="1"/>
  <c r="BJ33" i="1"/>
  <c r="BL33" i="1" s="1"/>
  <c r="BK33" i="1"/>
  <c r="BM33" i="1" s="1"/>
  <c r="BJ32" i="1"/>
  <c r="BL32" i="1" s="1"/>
  <c r="BK32" i="1"/>
  <c r="BM32" i="1" s="1"/>
  <c r="BJ31" i="1"/>
  <c r="BL31" i="1" s="1"/>
  <c r="BK31" i="1"/>
  <c r="BM31" i="1" s="1"/>
  <c r="AX31" i="1"/>
  <c r="AW31" i="1"/>
  <c r="AY31" i="1"/>
  <c r="BJ30" i="1"/>
  <c r="BL30" i="1" s="1"/>
  <c r="BK30" i="1"/>
  <c r="BM30" i="1" s="1"/>
  <c r="BJ29" i="1"/>
  <c r="BL29" i="1" s="1"/>
  <c r="BK29" i="1"/>
  <c r="BM29" i="1" s="1"/>
  <c r="AW29" i="1"/>
  <c r="AX29" i="1"/>
  <c r="AY29" i="1"/>
  <c r="BJ28" i="1"/>
  <c r="BL28" i="1" s="1"/>
  <c r="BK28" i="1"/>
  <c r="BM28" i="1" s="1"/>
  <c r="AW28" i="1"/>
  <c r="AX28" i="1"/>
  <c r="AY28" i="1"/>
  <c r="BJ27" i="1"/>
  <c r="BL27" i="1" s="1"/>
  <c r="BK27" i="1"/>
  <c r="BM27" i="1" s="1"/>
  <c r="AW27" i="1"/>
  <c r="AX27" i="1"/>
  <c r="AY27" i="1"/>
  <c r="BJ26" i="1"/>
  <c r="BL26" i="1" s="1"/>
  <c r="BK26" i="1"/>
  <c r="BM26" i="1" s="1"/>
  <c r="AW26" i="1"/>
  <c r="AX26" i="1"/>
  <c r="AY26" i="1"/>
  <c r="BJ25" i="1"/>
  <c r="BL25" i="1" s="1"/>
  <c r="BK25" i="1"/>
  <c r="BM25" i="1" s="1"/>
  <c r="AW25" i="1"/>
  <c r="AX25" i="1"/>
  <c r="AY25" i="1"/>
  <c r="BJ24" i="1"/>
  <c r="BL24" i="1" s="1"/>
  <c r="BK24" i="1"/>
  <c r="BM24" i="1" s="1"/>
  <c r="BJ23" i="1"/>
  <c r="BL23" i="1" s="1"/>
  <c r="BK23" i="1"/>
  <c r="BM23" i="1" s="1"/>
  <c r="Q27" i="3" s="1"/>
  <c r="AW23" i="1"/>
  <c r="AX23" i="1"/>
  <c r="AY23" i="1"/>
  <c r="BK22" i="1"/>
  <c r="BM22" i="1" s="1"/>
  <c r="Q26" i="3" s="1"/>
  <c r="BJ22" i="1"/>
  <c r="BL22" i="1" s="1"/>
  <c r="AW22" i="1"/>
  <c r="AX22" i="1"/>
  <c r="AY22" i="1"/>
  <c r="BK21" i="1"/>
  <c r="BM21" i="1" s="1"/>
  <c r="Q25" i="3" s="1"/>
  <c r="BJ21" i="1"/>
  <c r="BL21" i="1" s="1"/>
  <c r="AW21" i="1"/>
  <c r="AX21" i="1"/>
  <c r="AY21" i="1"/>
  <c r="BJ20" i="1"/>
  <c r="BL20" i="1" s="1"/>
  <c r="BK20" i="1"/>
  <c r="BM20" i="1" s="1"/>
  <c r="AW20" i="1"/>
  <c r="AX20" i="1"/>
  <c r="AY20" i="1"/>
  <c r="BJ19" i="1"/>
  <c r="BL19" i="1" s="1"/>
  <c r="BK19" i="1"/>
  <c r="BM19" i="1" s="1"/>
  <c r="Q23" i="3" s="1"/>
  <c r="AX19" i="1"/>
  <c r="AW19" i="1"/>
  <c r="AY19" i="1"/>
  <c r="AN18" i="1"/>
  <c r="C22" i="3"/>
  <c r="BJ18" i="1"/>
  <c r="BL18" i="1" s="1"/>
  <c r="AB22" i="3" s="1"/>
  <c r="BK18" i="1"/>
  <c r="BM18" i="1" s="1"/>
  <c r="AX18" i="1"/>
  <c r="AW18" i="1"/>
  <c r="AY18" i="1"/>
  <c r="B22" i="3"/>
  <c r="O22" i="3"/>
  <c r="V22" i="3"/>
  <c r="Y22" i="3"/>
  <c r="AA22" i="3"/>
  <c r="AN17" i="1"/>
  <c r="C21" i="3"/>
  <c r="BK17" i="1"/>
  <c r="BM17" i="1" s="1"/>
  <c r="BJ17" i="1"/>
  <c r="BL17" i="1" s="1"/>
  <c r="AB21" i="3" s="1"/>
  <c r="B21" i="3"/>
  <c r="O21" i="3"/>
  <c r="V21" i="3"/>
  <c r="Y21" i="3"/>
  <c r="AA21" i="3"/>
  <c r="AN16" i="1"/>
  <c r="C20" i="3"/>
  <c r="BJ16" i="1"/>
  <c r="BL16" i="1" s="1"/>
  <c r="AB20" i="3" s="1"/>
  <c r="BK16" i="1"/>
  <c r="BM16" i="1" s="1"/>
  <c r="AX16" i="1"/>
  <c r="AW16" i="1"/>
  <c r="AY16" i="1"/>
  <c r="B20" i="3"/>
  <c r="O20" i="3"/>
  <c r="V20" i="3"/>
  <c r="Y20" i="3"/>
  <c r="AA20" i="3"/>
  <c r="AN15" i="1"/>
  <c r="C19" i="3"/>
  <c r="BJ15" i="1"/>
  <c r="BL15" i="1" s="1"/>
  <c r="AB19" i="3" s="1"/>
  <c r="BK15" i="1"/>
  <c r="BM15" i="1" s="1"/>
  <c r="AX15" i="1"/>
  <c r="AY15" i="1"/>
  <c r="AW15" i="1"/>
  <c r="B19" i="3"/>
  <c r="O19" i="3"/>
  <c r="V19" i="3"/>
  <c r="Y19" i="3"/>
  <c r="AA19" i="3"/>
  <c r="AN14" i="1"/>
  <c r="C18" i="3"/>
  <c r="BK14" i="1"/>
  <c r="BM14" i="1" s="1"/>
  <c r="BJ14" i="1"/>
  <c r="BL14" i="1" s="1"/>
  <c r="AB18" i="3" s="1"/>
  <c r="AY14" i="1"/>
  <c r="AW14" i="1"/>
  <c r="AX14" i="1"/>
  <c r="B18" i="3"/>
  <c r="O18" i="3"/>
  <c r="V18" i="3"/>
  <c r="Y18" i="3"/>
  <c r="AA18" i="3"/>
  <c r="I17" i="3"/>
  <c r="T17" i="3"/>
  <c r="E17" i="3"/>
  <c r="K73" i="3"/>
  <c r="Q73" i="3" s="1"/>
  <c r="AN13" i="1"/>
  <c r="C17" i="3"/>
  <c r="BK13" i="1"/>
  <c r="BJ13" i="1"/>
  <c r="B73" i="3"/>
  <c r="I13" i="1"/>
  <c r="AR13" i="1" s="1"/>
  <c r="S17" i="3"/>
  <c r="Y17" i="3"/>
  <c r="V17" i="3"/>
  <c r="A73" i="3"/>
  <c r="J73" i="3"/>
  <c r="AA17" i="3"/>
  <c r="O17" i="3"/>
  <c r="B17" i="3"/>
  <c r="I16" i="3"/>
  <c r="T16" i="3"/>
  <c r="AN12" i="1"/>
  <c r="C16" i="3"/>
  <c r="BJ12" i="1"/>
  <c r="BL12" i="1" s="1"/>
  <c r="AB16" i="3" s="1"/>
  <c r="BK12" i="1"/>
  <c r="BM12" i="1" s="1"/>
  <c r="AW12" i="1"/>
  <c r="AX12" i="1"/>
  <c r="AY12" i="1"/>
  <c r="J72" i="3"/>
  <c r="O16" i="3"/>
  <c r="B16" i="3"/>
  <c r="A72" i="3"/>
  <c r="AA16" i="3"/>
  <c r="Y16" i="3"/>
  <c r="V16" i="3"/>
  <c r="S16" i="3"/>
  <c r="I15" i="3"/>
  <c r="T15" i="3"/>
  <c r="E15" i="3"/>
  <c r="K71" i="3"/>
  <c r="Q71" i="3" s="1"/>
  <c r="AN11" i="1"/>
  <c r="C15" i="3"/>
  <c r="BJ11" i="1"/>
  <c r="BK11" i="1"/>
  <c r="I11" i="1"/>
  <c r="AR11" i="1" s="1"/>
  <c r="B71" i="3"/>
  <c r="V15" i="3"/>
  <c r="Y15" i="3"/>
  <c r="A71" i="3"/>
  <c r="AA15" i="3"/>
  <c r="J71" i="3"/>
  <c r="B15" i="3"/>
  <c r="O15" i="3"/>
  <c r="S15" i="3"/>
  <c r="I14" i="3"/>
  <c r="T14" i="3"/>
  <c r="E14" i="3"/>
  <c r="K70" i="3"/>
  <c r="Q70" i="3" s="1"/>
  <c r="AN10" i="1"/>
  <c r="C14" i="3"/>
  <c r="BJ10" i="1"/>
  <c r="BK10" i="1"/>
  <c r="B70" i="3"/>
  <c r="I10" i="1"/>
  <c r="AR10" i="1" s="1"/>
  <c r="S14" i="3"/>
  <c r="O14" i="3"/>
  <c r="A70" i="3"/>
  <c r="J70" i="3"/>
  <c r="B14" i="3"/>
  <c r="AA14" i="3"/>
  <c r="Y14" i="3"/>
  <c r="V14" i="3"/>
  <c r="I13" i="3"/>
  <c r="T13" i="3"/>
  <c r="E13" i="3"/>
  <c r="K69" i="3"/>
  <c r="Q69" i="3" s="1"/>
  <c r="AN9" i="1"/>
  <c r="C13" i="3"/>
  <c r="BK9" i="1"/>
  <c r="BJ9" i="1"/>
  <c r="I9" i="1"/>
  <c r="AR9" i="1" s="1"/>
  <c r="B69" i="3"/>
  <c r="J69" i="3"/>
  <c r="AA13" i="3"/>
  <c r="Y13" i="3"/>
  <c r="V13" i="3"/>
  <c r="S13" i="3"/>
  <c r="O13" i="3"/>
  <c r="B13" i="3"/>
  <c r="A69" i="3"/>
  <c r="I12" i="3"/>
  <c r="T12" i="3"/>
  <c r="E12" i="3"/>
  <c r="K68" i="3"/>
  <c r="Q68" i="3" s="1"/>
  <c r="AN8" i="1"/>
  <c r="C12" i="3"/>
  <c r="BJ8" i="1"/>
  <c r="BK8" i="1"/>
  <c r="I8" i="1"/>
  <c r="AR8" i="1" s="1"/>
  <c r="B68" i="3"/>
  <c r="Y12" i="3"/>
  <c r="V12" i="3"/>
  <c r="S12" i="3"/>
  <c r="O12" i="3"/>
  <c r="B12" i="3"/>
  <c r="A68" i="3"/>
  <c r="J68" i="3"/>
  <c r="AA12" i="3"/>
  <c r="I11" i="3"/>
  <c r="T11" i="3"/>
  <c r="E11" i="3"/>
  <c r="K67" i="3"/>
  <c r="Q67" i="3" s="1"/>
  <c r="AN7" i="1"/>
  <c r="C11" i="3"/>
  <c r="BK7" i="1"/>
  <c r="BJ7" i="1"/>
  <c r="B67" i="3"/>
  <c r="I7" i="1"/>
  <c r="AR7" i="1" s="1"/>
  <c r="J67" i="3"/>
  <c r="V11" i="3"/>
  <c r="S11" i="3"/>
  <c r="O11" i="3"/>
  <c r="B11" i="3"/>
  <c r="A67" i="3"/>
  <c r="AA11" i="3"/>
  <c r="Y11" i="3"/>
  <c r="I10" i="3"/>
  <c r="T10" i="3"/>
  <c r="E10" i="3"/>
  <c r="K66" i="3"/>
  <c r="Q66" i="3" s="1"/>
  <c r="AN6" i="1"/>
  <c r="C10" i="3"/>
  <c r="BJ6" i="1"/>
  <c r="BK6" i="1"/>
  <c r="I6" i="1"/>
  <c r="AR6" i="1" s="1"/>
  <c r="B66" i="3"/>
  <c r="V10" i="3"/>
  <c r="B10" i="3"/>
  <c r="O10" i="3"/>
  <c r="J66" i="3"/>
  <c r="AA10" i="3"/>
  <c r="S10" i="3"/>
  <c r="A66" i="3"/>
  <c r="Y10" i="3"/>
  <c r="I9" i="3"/>
  <c r="T9" i="3"/>
  <c r="E9" i="3"/>
  <c r="K65" i="3"/>
  <c r="Q65" i="3" s="1"/>
  <c r="AN5" i="1"/>
  <c r="C9" i="3"/>
  <c r="BJ5" i="1"/>
  <c r="BK5" i="1"/>
  <c r="I5" i="1"/>
  <c r="AR5" i="1" s="1"/>
  <c r="B65" i="3"/>
  <c r="J65" i="3"/>
  <c r="I88" i="3"/>
  <c r="A65" i="3"/>
  <c r="B9" i="3"/>
  <c r="I79" i="3"/>
  <c r="O9" i="3"/>
  <c r="S9" i="3"/>
  <c r="V9" i="3"/>
  <c r="Y9" i="3"/>
  <c r="AA9" i="3"/>
  <c r="E4" i="3"/>
  <c r="T8" i="3"/>
  <c r="E79" i="3"/>
  <c r="E80" i="3"/>
  <c r="E88" i="3"/>
  <c r="E89" i="3"/>
  <c r="K64" i="3"/>
  <c r="Q64" i="3" s="1"/>
  <c r="K79" i="3"/>
  <c r="Q79" i="3" s="1"/>
  <c r="K80" i="3"/>
  <c r="Q80" i="3" s="1"/>
  <c r="K88" i="3"/>
  <c r="K89" i="3"/>
  <c r="P8" i="3"/>
  <c r="BK4" i="1"/>
  <c r="BJ4" i="1"/>
  <c r="I4" i="1"/>
  <c r="AR4" i="1" s="1"/>
  <c r="B64" i="3"/>
  <c r="E81" i="3"/>
  <c r="H81" i="3" s="1"/>
  <c r="D81" i="3"/>
  <c r="C81" i="3"/>
  <c r="B81" i="3"/>
  <c r="C74" i="3"/>
  <c r="G79" i="3"/>
  <c r="P77" i="3"/>
  <c r="D74" i="3"/>
  <c r="O77" i="3"/>
  <c r="N77" i="3"/>
  <c r="M77" i="3"/>
  <c r="L77" i="3"/>
  <c r="E74" i="3"/>
  <c r="H74" i="3" s="1"/>
  <c r="F74" i="3"/>
  <c r="K81" i="3"/>
  <c r="Q81" i="3" s="1"/>
  <c r="K74" i="3"/>
  <c r="Q74" i="3" s="1"/>
  <c r="L74" i="3"/>
  <c r="M74" i="3"/>
  <c r="N74" i="3"/>
  <c r="O74" i="3"/>
  <c r="P74" i="3"/>
  <c r="B75" i="3"/>
  <c r="C75" i="3"/>
  <c r="D75" i="3"/>
  <c r="E75" i="3"/>
  <c r="H75" i="3" s="1"/>
  <c r="F75" i="3"/>
  <c r="G75" i="3" s="1"/>
  <c r="L75" i="3"/>
  <c r="M75" i="3"/>
  <c r="K75" i="3"/>
  <c r="Q75" i="3" s="1"/>
  <c r="AA8" i="3"/>
  <c r="Y8" i="3"/>
  <c r="V8" i="3"/>
  <c r="S8" i="3"/>
  <c r="O8" i="3"/>
  <c r="A4" i="3"/>
  <c r="C77" i="3"/>
  <c r="G88" i="3"/>
  <c r="P83" i="3"/>
  <c r="N83" i="3"/>
  <c r="M83" i="3"/>
  <c r="L83" i="3"/>
  <c r="K83" i="3"/>
  <c r="Q83" i="3" s="1"/>
  <c r="A64" i="3"/>
  <c r="F83" i="3"/>
  <c r="J64" i="3"/>
  <c r="E83" i="3"/>
  <c r="H83" i="3" s="1"/>
  <c r="D83" i="3"/>
  <c r="C83" i="3"/>
  <c r="O83" i="3"/>
  <c r="B83" i="3"/>
  <c r="P81" i="3"/>
  <c r="O81" i="3"/>
  <c r="N81" i="3"/>
  <c r="M81" i="3"/>
  <c r="L81" i="3"/>
  <c r="B74" i="3"/>
  <c r="K77" i="3"/>
  <c r="Q77" i="3" s="1"/>
  <c r="F77" i="3"/>
  <c r="E77" i="3"/>
  <c r="H77" i="3" s="1"/>
  <c r="D77" i="3"/>
  <c r="B77" i="3"/>
  <c r="P75" i="3"/>
  <c r="O75" i="3"/>
  <c r="N75" i="3"/>
  <c r="F81" i="3"/>
  <c r="G81" i="3" s="1"/>
  <c r="AN28" i="1"/>
  <c r="AN20" i="1"/>
  <c r="G74" i="3" l="1"/>
  <c r="AW63" i="1"/>
  <c r="AX63" i="1"/>
  <c r="AY63" i="1"/>
  <c r="AX41" i="1"/>
  <c r="AY41" i="1"/>
  <c r="AW41" i="1"/>
  <c r="AX36" i="1"/>
  <c r="AY36" i="1"/>
  <c r="AW36" i="1"/>
  <c r="AX33" i="1"/>
  <c r="AY33" i="1"/>
  <c r="AW33" i="1"/>
  <c r="AW30" i="1"/>
  <c r="AX30" i="1"/>
  <c r="AY30" i="1"/>
  <c r="AX24" i="1"/>
  <c r="AW24" i="1"/>
  <c r="AY24" i="1"/>
  <c r="AX17" i="1"/>
  <c r="AW17" i="1"/>
  <c r="AY17" i="1"/>
  <c r="AX32" i="1"/>
  <c r="AW32" i="1"/>
  <c r="AY32" i="1"/>
  <c r="AW54" i="1"/>
  <c r="AX54" i="1"/>
  <c r="AY54" i="1"/>
  <c r="AX44" i="1"/>
  <c r="AY44" i="1"/>
  <c r="AW44" i="1"/>
  <c r="F22" i="3"/>
  <c r="P22" i="3"/>
  <c r="Q22" i="3"/>
  <c r="AC22" i="3"/>
  <c r="J22" i="3"/>
  <c r="Z22" i="3"/>
  <c r="F21" i="3"/>
  <c r="P21" i="3"/>
  <c r="Q21" i="3"/>
  <c r="AC21" i="3"/>
  <c r="F20" i="3"/>
  <c r="P20" i="3"/>
  <c r="Q20" i="3"/>
  <c r="AC20" i="3"/>
  <c r="J20" i="3"/>
  <c r="Z20" i="3"/>
  <c r="F19" i="3"/>
  <c r="P19" i="3"/>
  <c r="Q19" i="3"/>
  <c r="AC19" i="3"/>
  <c r="J19" i="3"/>
  <c r="Z19" i="3"/>
  <c r="F18" i="3"/>
  <c r="P18" i="3"/>
  <c r="Q18" i="3"/>
  <c r="AC18" i="3"/>
  <c r="J18" i="3"/>
  <c r="Z18" i="3"/>
  <c r="F17" i="3"/>
  <c r="P17" i="3"/>
  <c r="BM13" i="1"/>
  <c r="D73" i="3"/>
  <c r="BL13" i="1"/>
  <c r="C73" i="3"/>
  <c r="AW13" i="1"/>
  <c r="AX13" i="1"/>
  <c r="AY13" i="1"/>
  <c r="F16" i="3"/>
  <c r="P16" i="3"/>
  <c r="Q16" i="3"/>
  <c r="AC16" i="3"/>
  <c r="J16" i="3"/>
  <c r="Z16" i="3"/>
  <c r="F15" i="3"/>
  <c r="P15" i="3"/>
  <c r="BL11" i="1"/>
  <c r="C71" i="3"/>
  <c r="BM11" i="1"/>
  <c r="D71" i="3"/>
  <c r="AW11" i="1"/>
  <c r="AX11" i="1"/>
  <c r="AY11" i="1"/>
  <c r="F14" i="3"/>
  <c r="P14" i="3"/>
  <c r="BL10" i="1"/>
  <c r="C70" i="3"/>
  <c r="BM10" i="1"/>
  <c r="D70" i="3"/>
  <c r="AW10" i="1"/>
  <c r="AX10" i="1"/>
  <c r="AY10" i="1"/>
  <c r="F13" i="3"/>
  <c r="P13" i="3"/>
  <c r="BM9" i="1"/>
  <c r="D69" i="3"/>
  <c r="BL9" i="1"/>
  <c r="C69" i="3"/>
  <c r="AW9" i="1"/>
  <c r="AX9" i="1"/>
  <c r="AY9" i="1"/>
  <c r="F12" i="3"/>
  <c r="P12" i="3"/>
  <c r="BL8" i="1"/>
  <c r="C68" i="3"/>
  <c r="BM8" i="1"/>
  <c r="D68" i="3"/>
  <c r="AW8" i="1"/>
  <c r="AX8" i="1"/>
  <c r="AY8" i="1"/>
  <c r="F11" i="3"/>
  <c r="P11" i="3"/>
  <c r="BM7" i="1"/>
  <c r="D67" i="3"/>
  <c r="BL7" i="1"/>
  <c r="C67" i="3"/>
  <c r="AW7" i="1"/>
  <c r="AX7" i="1"/>
  <c r="AY7" i="1"/>
  <c r="F10" i="3"/>
  <c r="P10" i="3"/>
  <c r="BL6" i="1"/>
  <c r="C66" i="3"/>
  <c r="BM6" i="1"/>
  <c r="D66" i="3"/>
  <c r="AW6" i="1"/>
  <c r="AX6" i="1"/>
  <c r="AY6" i="1"/>
  <c r="F9" i="3"/>
  <c r="P9" i="3"/>
  <c r="BL5" i="1"/>
  <c r="C65" i="3"/>
  <c r="BM5" i="1"/>
  <c r="D65" i="3"/>
  <c r="AW5" i="1"/>
  <c r="AX5" i="1"/>
  <c r="AY5" i="1"/>
  <c r="BM4" i="1"/>
  <c r="D64" i="3"/>
  <c r="BL4" i="1"/>
  <c r="C64" i="3"/>
  <c r="AW4" i="1"/>
  <c r="AX4" i="1"/>
  <c r="AY4" i="1"/>
  <c r="G83" i="3"/>
  <c r="G77" i="3"/>
  <c r="M17" i="3"/>
  <c r="A79" i="3"/>
  <c r="C4" i="3"/>
  <c r="K4" i="3"/>
  <c r="M14" i="3"/>
  <c r="M15" i="3"/>
  <c r="M16" i="3"/>
  <c r="A80" i="3"/>
  <c r="A88" i="3"/>
  <c r="A89" i="3"/>
  <c r="J21" i="3" l="1"/>
  <c r="Z21" i="3"/>
  <c r="Q17" i="3"/>
  <c r="AC17" i="3"/>
  <c r="F73" i="3"/>
  <c r="AB17" i="3"/>
  <c r="E73" i="3"/>
  <c r="H73" i="3" s="1"/>
  <c r="J17" i="3"/>
  <c r="Z17" i="3"/>
  <c r="AB15" i="3"/>
  <c r="E71" i="3"/>
  <c r="H71" i="3" s="1"/>
  <c r="Q15" i="3"/>
  <c r="AC15" i="3"/>
  <c r="F71" i="3"/>
  <c r="J15" i="3"/>
  <c r="Z15" i="3"/>
  <c r="AB14" i="3"/>
  <c r="E70" i="3"/>
  <c r="H70" i="3" s="1"/>
  <c r="Q14" i="3"/>
  <c r="AC14" i="3"/>
  <c r="F70" i="3"/>
  <c r="G70" i="3" s="1"/>
  <c r="J14" i="3"/>
  <c r="Z14" i="3"/>
  <c r="Q13" i="3"/>
  <c r="AC13" i="3"/>
  <c r="F69" i="3"/>
  <c r="AB13" i="3"/>
  <c r="E69" i="3"/>
  <c r="H69" i="3" s="1"/>
  <c r="J13" i="3"/>
  <c r="Z13" i="3"/>
  <c r="AB12" i="3"/>
  <c r="E68" i="3"/>
  <c r="H68" i="3" s="1"/>
  <c r="Q12" i="3"/>
  <c r="AC12" i="3"/>
  <c r="F68" i="3"/>
  <c r="G68" i="3" s="1"/>
  <c r="J12" i="3"/>
  <c r="Z12" i="3"/>
  <c r="Q11" i="3"/>
  <c r="AC11" i="3"/>
  <c r="F67" i="3"/>
  <c r="AB11" i="3"/>
  <c r="E67" i="3"/>
  <c r="H67" i="3" s="1"/>
  <c r="J11" i="3"/>
  <c r="Z11" i="3"/>
  <c r="AB10" i="3"/>
  <c r="E66" i="3"/>
  <c r="H66" i="3" s="1"/>
  <c r="Q10" i="3"/>
  <c r="AC10" i="3"/>
  <c r="F66" i="3"/>
  <c r="G66" i="3" s="1"/>
  <c r="J10" i="3"/>
  <c r="Z10" i="3"/>
  <c r="AB9" i="3"/>
  <c r="E65" i="3"/>
  <c r="H65" i="3" s="1"/>
  <c r="Q9" i="3"/>
  <c r="AC9" i="3"/>
  <c r="F65" i="3"/>
  <c r="G65" i="3" s="1"/>
  <c r="J9" i="3"/>
  <c r="Z9" i="3"/>
  <c r="I4" i="3"/>
  <c r="Q8" i="3"/>
  <c r="AC8" i="3"/>
  <c r="F64" i="3"/>
  <c r="C79" i="3"/>
  <c r="O79" i="3" a="1"/>
  <c r="O79" i="3" s="1"/>
  <c r="C80" i="3"/>
  <c r="O80" i="3" a="1"/>
  <c r="O80" i="3" s="1"/>
  <c r="C88" i="3"/>
  <c r="O88" i="3" a="1"/>
  <c r="O88" i="3" s="1"/>
  <c r="C89" i="3"/>
  <c r="O89" i="3" a="1"/>
  <c r="O89" i="3" s="1"/>
  <c r="AB8" i="3"/>
  <c r="E64" i="3"/>
  <c r="H64" i="3" s="1"/>
  <c r="G4" i="3"/>
  <c r="Z8" i="3"/>
  <c r="M79" i="3" a="1"/>
  <c r="M79" i="3" s="1"/>
  <c r="M80" i="3"/>
  <c r="M88" i="3" a="1"/>
  <c r="M88" i="3" s="1"/>
  <c r="M89" i="3" a="1"/>
  <c r="M89" i="3" s="1"/>
  <c r="G73" i="3" l="1"/>
  <c r="G71" i="3"/>
  <c r="G69" i="3"/>
  <c r="G67" i="3"/>
  <c r="G6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9"/>
        </ext>
      </extLst>
    </bk>
    <bk>
      <extLst>
        <ext uri="{3e2802c4-a4d2-4d8b-9148-e3be6c30e623}">
          <xlrd:rvb i="101"/>
        </ext>
      </extLst>
    </bk>
    <bk>
      <extLst>
        <ext uri="{3e2802c4-a4d2-4d8b-9148-e3be6c30e623}">
          <xlrd:rvb i="103"/>
        </ext>
      </extLst>
    </bk>
    <bk>
      <extLst>
        <ext uri="{3e2802c4-a4d2-4d8b-9148-e3be6c30e623}">
          <xlrd:rvb i="105"/>
        </ext>
      </extLst>
    </bk>
    <bk>
      <extLst>
        <ext uri="{3e2802c4-a4d2-4d8b-9148-e3be6c30e623}">
          <xlrd:rvb i="107"/>
        </ext>
      </extLst>
    </bk>
  </futureMetadata>
  <valueMetadata count="42">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valueMetadata>
</metadata>
</file>

<file path=xl/sharedStrings.xml><?xml version="1.0" encoding="utf-8"?>
<sst xmlns="http://schemas.openxmlformats.org/spreadsheetml/2006/main" count="962" uniqueCount="556">
  <si>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</si>
  <si>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</si>
  <si>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</si>
  <si>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</si>
  <si>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</si>
  <si>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</si>
  <si>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</si>
  <si>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</si>
  <si>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</si>
  <si>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</si>
  <si>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</si>
  <si>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</si>
  <si>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</si>
  <si>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</si>
  <si>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</si>
  <si>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</si>
  <si>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</si>
  <si>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</si>
  <si>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</si>
  <si>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</si>
  <si>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</si>
  <si>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</si>
  <si>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</si>
  <si>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</si>
  <si>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</si>
  <si>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</si>
  <si>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</si>
  <si>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</si>
  <si>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</si>
  <si>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</si>
  <si>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</si>
  <si>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</si>
  <si>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</si>
  <si>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</si>
  <si>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</si>
  <si>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</si>
  <si>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</si>
  <si>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</si>
  <si>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</si>
  <si>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</si>
  <si>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</si>
  <si>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</si>
  <si>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</si>
  <si>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</si>
  <si>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</si>
  <si>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</si>
  <si>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</si>
  <si>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</si>
  <si>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</si>
  <si>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</si>
  <si>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</si>
  <si>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</si>
  <si>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</si>
  <si>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</si>
  <si>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</si>
  <si>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</si>
  <si>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</si>
  <si>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</si>
  <si>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</si>
  <si>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</si>
  <si>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</si>
  <si>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</si>
  <si>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</si>
  <si>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</si>
  <si>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</si>
  <si>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</si>
  <si>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</si>
  <si>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</si>
  <si>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</si>
  <si>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</si>
  <si>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</si>
  <si>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</si>
  <si>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</si>
  <si>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</si>
  <si>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</si>
  <si>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</si>
  <si>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</si>
  <si>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</si>
  <si>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</si>
  <si>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1,616</t>
  </si>
  <si>
    <t>2,737</t>
  </si>
  <si>
    <t>2026-04-26</t>
  </si>
  <si>
    <t>04/03/2026</t>
  </si>
  <si>
    <t>27/05/2026</t>
  </si>
  <si>
    <t>Mag 7</t>
  </si>
  <si>
    <t>102,853</t>
  </si>
  <si>
    <t>153,471</t>
  </si>
  <si>
    <t>2026-04-30</t>
  </si>
  <si>
    <t>Q3 FY2026: Rev $82.9B (+18%), Op.Inc $38.4B (+20%), Azure +40%, AI ann. $37B+. Capex guidance $190B en 2026 (+61%).</t>
  </si>
  <si>
    <t>Q4 FY2026 (julio 2026)</t>
  </si>
  <si>
    <t>Fintech</t>
  </si>
  <si>
    <t>EUR</t>
  </si>
  <si>
    <t>1,392</t>
  </si>
  <si>
    <t>2,714</t>
  </si>
  <si>
    <t>12/02/2026</t>
  </si>
  <si>
    <t>12/08/2026</t>
  </si>
  <si>
    <t>Real Assets</t>
  </si>
  <si>
    <t>7,013</t>
  </si>
  <si>
    <t>10,962</t>
  </si>
  <si>
    <t>2026-05-15</t>
  </si>
  <si>
    <t>Q1 2026: DE $1.4B (+3%), fee-bearing capital $614B (+12%), buybacks &gt;$1B YTD. Beat estimados ($0.66 vs $0.646 consenso)</t>
  </si>
  <si>
    <t>Q2 2026 (agosto 2026)</t>
  </si>
  <si>
    <t>Defensive</t>
  </si>
  <si>
    <t>11,375</t>
  </si>
  <si>
    <t>14,980</t>
  </si>
  <si>
    <t>05/03/2026</t>
  </si>
  <si>
    <t>28/05/2026</t>
  </si>
  <si>
    <t>353</t>
  </si>
  <si>
    <t>504</t>
  </si>
  <si>
    <t>11/03/2026</t>
  </si>
  <si>
    <t>03/06/2026</t>
  </si>
  <si>
    <t>Hardware</t>
  </si>
  <si>
    <t>332</t>
  </si>
  <si>
    <t>479</t>
  </si>
  <si>
    <t>2026-05-07</t>
  </si>
  <si>
    <t>Q1 2026: Rev $1,230M (+11.4%), Adj EBITDA $362.7M (29.4% margen, beat +5.1%), EPS $1.01 vs est $0.95 (+6.3%). Guidance EBITDA 2026: $1,520M midpoint (vs est $1,470M).</t>
  </si>
  <si>
    <t>Cyber</t>
  </si>
  <si>
    <t>Growth</t>
  </si>
  <si>
    <t>1,176</t>
  </si>
  <si>
    <t>2,140</t>
  </si>
  <si>
    <t>26/02/2026</t>
  </si>
  <si>
    <t>IP owner</t>
  </si>
  <si>
    <t>JPY</t>
  </si>
  <si>
    <t>330,000</t>
  </si>
  <si>
    <t>608,004</t>
  </si>
  <si>
    <t>FY2026 (año fiscal mar 2026): Rev ¥2,313B (+99%), OP ¥360B (+28%). Switch 2 lanzado jun-2025: 6M unidades en 7 semanas. Ventas digitales +25% (55% de software). Guidance FY2027 por debajo de consenso</t>
  </si>
  <si>
    <t>Q1 FY2027 (julio 2026)</t>
  </si>
  <si>
    <t>72,933</t>
  </si>
  <si>
    <t>109,218</t>
  </si>
  <si>
    <t>Q1 2026: Rev $181.5B (+17%), Op.Inc $23.9B (13.1% margen récord), AWS $37.6B (+28%), Ad $17.2B (+24%). Guidance Q2: $194-199B.</t>
  </si>
  <si>
    <t>Q2 2026 (julio 2026)</t>
  </si>
  <si>
    <t>Electrify</t>
  </si>
  <si>
    <t>5,743</t>
  </si>
  <si>
    <t>8,291</t>
  </si>
  <si>
    <t>30/07/2026</t>
  </si>
  <si>
    <t>Consumo</t>
  </si>
  <si>
    <t>7,908</t>
  </si>
  <si>
    <t>11,455</t>
  </si>
  <si>
    <t>10/03/2026</t>
  </si>
  <si>
    <t>252</t>
  </si>
  <si>
    <t>378</t>
  </si>
  <si>
    <t>06/02/2026</t>
  </si>
  <si>
    <t>07/08/2026</t>
  </si>
  <si>
    <t>Healthcare</t>
  </si>
  <si>
    <t>GBP</t>
  </si>
  <si>
    <t>511</t>
  </si>
  <si>
    <t>737</t>
  </si>
  <si>
    <t>05/06/2025</t>
  </si>
  <si>
    <t>11/06/2026</t>
  </si>
  <si>
    <t>1,073</t>
  </si>
  <si>
    <t>1,670</t>
  </si>
  <si>
    <t>Q2 FY2026: Rev $691.7M (+39%), Scores +60% (B2B hipotecas +72%), EPS Non-GAAP $12.50 vs est $7.81. FCF $214M (prev $65.5M). FY2026 guidance alzada: Rev $2.45B, EPS $40.45.</t>
  </si>
  <si>
    <t>Q3 FY2026 (julio 2026)</t>
  </si>
  <si>
    <t>Industrial</t>
  </si>
  <si>
    <t>SEK</t>
  </si>
  <si>
    <t>5,330</t>
  </si>
  <si>
    <t>8,331</t>
  </si>
  <si>
    <t>24/04/2026</t>
  </si>
  <si>
    <t>14/07/2026</t>
  </si>
  <si>
    <t>547</t>
  </si>
  <si>
    <t>866</t>
  </si>
  <si>
    <t>25/03/2026</t>
  </si>
  <si>
    <t>2,190</t>
  </si>
  <si>
    <t>3,033</t>
  </si>
  <si>
    <t>Q1 2026: Rev $2.35B (+27%, récord), EPS $0.58 (beat $0.53). Int'l +44.9% (45% ventas). Margen bruto 55% (ligera compresión vs 56.5%). Stock +12% post-resultados</t>
  </si>
  <si>
    <t>5,360</t>
  </si>
  <si>
    <t>8,448</t>
  </si>
  <si>
    <t>Q1 2026: Rev $2.68B (+18%, beat), GBV $29.2B (+19%), Adj EBITDA $519M (beat). EPS $0.26 (miss vs $0.29). Noches 156M (+9%). Guidance Q2 $3.54-3.60B (+14-16%). Guidance anual alzado</t>
  </si>
  <si>
    <t>PLN</t>
  </si>
  <si>
    <t>1,234</t>
  </si>
  <si>
    <t>2,052</t>
  </si>
  <si>
    <t>Q1 2026: Rev PLN 8,896M (+14.8%), LFL +4.4% (&gt;consenso 3.8%). EBITDA PLN 565M (+6.1%), margen 6.7% (vs 7.2% prev). 62 tiendas nuevas, total 3,094. Stock +14%</t>
  </si>
  <si>
    <t>1,338</t>
  </si>
  <si>
    <t>1,939</t>
  </si>
  <si>
    <t>Q1 2026: Rev $1,422M (+6.7%), Adj EPS $1.07, Op Cash $182M. YTD capital: $1B (adq In-Situ+GlobalVision $620M + recompras $300M). FY2026 EPS guidance alzada: $4.20-4.28.</t>
  </si>
  <si>
    <t>1,740</t>
  </si>
  <si>
    <t>2,615</t>
  </si>
  <si>
    <t>Q1 2026: Rev €2,537.6M (+11.4%, +9.3% orgánico, +8.2% adq). Net Inc €334.9M (+14.2%). Margen op ajustado 20.7%. Data centers clave. Guidance FY2026: crecimiento 10-15% ex-FX, margen 20.5-21.0%.</t>
  </si>
  <si>
    <t>H1 2026 (julio 2026)</t>
  </si>
  <si>
    <t>27</t>
  </si>
  <si>
    <t>46</t>
  </si>
  <si>
    <t>N/D</t>
  </si>
  <si>
    <t>CHF</t>
  </si>
  <si>
    <t>468</t>
  </si>
  <si>
    <t>735</t>
  </si>
  <si>
    <t>Q1 2026: Rev CHF 673M (+7.1% org, -1.2% CHF). Supera consensus 5.6%. China estabilizando. LATAM +19.5%. Outlook 2026 confirmado.</t>
  </si>
  <si>
    <t>H1 2026 (agosto 2026)</t>
  </si>
  <si>
    <t>63,814</t>
  </si>
  <si>
    <t>105,017</t>
  </si>
  <si>
    <t>Q1 2026: Rev $56.3B (+33%), Net Inc $26.8B (+61%, incl. $8B tax benefit), EPS $10.44, DAP 3.56B (+4%). Capex guidance $125-145B.</t>
  </si>
  <si>
    <t>5,891</t>
  </si>
  <si>
    <t>10,451</t>
  </si>
  <si>
    <t>Q1 2026: AUM récord $758B (+~20% YoY), FRE $1.02B, ANI $1.25B ($1.39/sh, +20% YoY). Div alzado $0.195/sh. Adq Arctos Partners ($16B AUM). Aviso: ANI puede quedar bajo $7/sh si monetizaciones difíciles.</t>
  </si>
  <si>
    <t>539</t>
  </si>
  <si>
    <t>962</t>
  </si>
  <si>
    <t>Q1 2026: Rev $639.8M (+34%), FCF $84M (13% margen). EVENTO CLAVE: recorte 20% plantilla + pivote 'agentic AI-first'. Cargos reestructuración $140-150M en Q2. Grandes clientes (&gt;$100K): 4,416; deals &gt;$1M: +73% YoY</t>
  </si>
  <si>
    <t>2,115</t>
  </si>
  <si>
    <t>3,811</t>
  </si>
  <si>
    <t>03/03/2026</t>
  </si>
  <si>
    <t>09/06/2026</t>
  </si>
  <si>
    <t>95,721</t>
  </si>
  <si>
    <t>150,852</t>
  </si>
  <si>
    <t>Q1 2026: Rev $109.9B (+22%), Cloud $20B (+63%, backlog $462B), Net Inc $62.6B (+81%), EPS $5.11 (+82%). Capex hasta $190B.</t>
  </si>
  <si>
    <t>5,110</t>
  </si>
  <si>
    <t>7,402</t>
  </si>
  <si>
    <t>22/04/2026</t>
  </si>
  <si>
    <t>16/07/2026</t>
  </si>
  <si>
    <t>Sports</t>
  </si>
  <si>
    <t>1,582</t>
  </si>
  <si>
    <t>2,395</t>
  </si>
  <si>
    <t>Q1 2026: Rev $1.75B (+14% récord), Op.Inc $432M (+30%, margen 24.6%), EPS $2.08 vs est $1.86. Fitness +42%. Guidance 2026: $7.9B / EPS $9.35.</t>
  </si>
  <si>
    <t>construction</t>
  </si>
  <si>
    <t>730</t>
  </si>
  <si>
    <t>1,207</t>
  </si>
  <si>
    <t>20/02/2026</t>
  </si>
  <si>
    <t>KZT</t>
  </si>
  <si>
    <t>575,046</t>
  </si>
  <si>
    <t>1,020,211</t>
  </si>
  <si>
    <t>Q1 2026: Rev KZT 1.1T (+31%). Marketplace +34%, Fintech +18%, Payments +24%. BN neto KZT 252B (estable). e-Commerce GMV +41%, frecuencia +44%. Dividendo KZT 850/ADS. Stock cayó por BN plano</t>
  </si>
  <si>
    <t>56</t>
  </si>
  <si>
    <t>92</t>
  </si>
  <si>
    <t>IA</t>
  </si>
  <si>
    <t>88,160</t>
  </si>
  <si>
    <t>240,448</t>
  </si>
  <si>
    <t>25/02/2026</t>
  </si>
  <si>
    <t>20/05/2026</t>
  </si>
  <si>
    <t>Alcohol</t>
  </si>
  <si>
    <t>80</t>
  </si>
  <si>
    <t>123</t>
  </si>
  <si>
    <t>Q2 FY2026: Rev $78.4B (+3.8%, miss). Op Inc US $998M (+6%). Adj EPS $4.75 (+7.5%, miss vs est $4.82). Guidance FY2026: EPS $17.65-17.90 (alzado), Rev growth 4-6% (rebajado). Recompras $1B hasta fin 2026.</t>
  </si>
  <si>
    <t>Q3 FY2026 (agosto 2026)</t>
  </si>
  <si>
    <t>51,426</t>
  </si>
  <si>
    <t>94,595</t>
  </si>
  <si>
    <t>15/04/2026</t>
  </si>
  <si>
    <t>4,637</t>
  </si>
  <si>
    <t>6,442</t>
  </si>
  <si>
    <t>Q1 2026: Rev €4.53B (+8%, +15% cc), GM 33% (near-record), Op.Inc €715M (+40%), FCF €824M (+54%), Subs 293M, MAU 761M (+12%). Guidance Q2: €4.8B.</t>
  </si>
  <si>
    <t>1,204</t>
  </si>
  <si>
    <t>2,059</t>
  </si>
  <si>
    <t>Q1 2026: Rev €5,218M (+9.4%, +5% orgánico). Adj EBITDA €601M (ligero miss vs €612M consenso). Digital Sols margen +740bps. Transmission 20.1%. Guidance FY2026 confirmado: EBITDA €2,625-2,775M.</t>
  </si>
  <si>
    <t>55</t>
  </si>
  <si>
    <t>77</t>
  </si>
  <si>
    <t>31/03/2026</t>
  </si>
  <si>
    <t>28/08/2026</t>
  </si>
  <si>
    <t>348</t>
  </si>
  <si>
    <t>506</t>
  </si>
  <si>
    <t>Q1 2026: Rev €643M (orgánico +2.9%, miss consenso €651M). Reported -3.4% por FX. Europa +1.9%, Norte América +2.2%, Emergentes +12.7%. MAT orgánico +3.9%. Guidance 2026 ~3% orgánico confirmado</t>
  </si>
  <si>
    <t>1,275</t>
  </si>
  <si>
    <t>1,854</t>
  </si>
  <si>
    <t>23/02/2026</t>
  </si>
  <si>
    <t>27/07/2026</t>
  </si>
  <si>
    <t>Special situation</t>
  </si>
  <si>
    <t>1,435</t>
  </si>
  <si>
    <t>2,094</t>
  </si>
  <si>
    <t>Q1 2026: Rev $668M (+5%), Subs +11%, Non-GAAP EPS $2.50 (+13%), FCF $457M (+11%). CTEM ARR +96%. Guidance Rev 2026 rebajada $2.77-2.85B (prev $2.83-2.95B) por caída appliances. EPS sin cambios $10.05-10.85.</t>
  </si>
  <si>
    <t>116</t>
  </si>
  <si>
    <t>183</t>
  </si>
  <si>
    <t>19/03/2026</t>
  </si>
  <si>
    <t>210</t>
  </si>
  <si>
    <t>308</t>
  </si>
  <si>
    <t>Q1 2026: Rev €367.5M (-1.3%), EBITDA €104M (28.3% margen), BN €53.7M (+13%), Deuda neta €273M. Sudamérica &gt;20% ventas. Guidance: EBITDA €450M, FCF ~€200M.</t>
  </si>
  <si>
    <t>Materials</t>
  </si>
  <si>
    <t>Raw materials</t>
  </si>
  <si>
    <t>242</t>
  </si>
  <si>
    <t>473</t>
  </si>
  <si>
    <t>Q1 2026: Rev récord $147M (prev $82.2M, +79%), Net Inc $116.9M ($0.56/sh), OCF $113.3M. GEOs récord 30,166. Au $4,873/oz, Ag $84.33/oz. Guidance 2026: 95,000-105,000 GEOs. Div $0.0575/sh.</t>
  </si>
  <si>
    <t>16/04/2026</t>
  </si>
  <si>
    <t>5,000</t>
  </si>
  <si>
    <t>7,693</t>
  </si>
  <si>
    <t>25/06/2026</t>
  </si>
  <si>
    <t>121</t>
  </si>
  <si>
    <t>23/04/2026</t>
  </si>
  <si>
    <t>2,522</t>
  </si>
  <si>
    <t>4,044</t>
  </si>
  <si>
    <t>Q1 CY2026: Rev $7,472M (+3.6%, miss vs $7,650M est), Adj EPS $2.28 (+9.1%, en línea). US no-residencial +8%, residencial -1%. Margen bruto 31%. Nueva recompra $2B. Guidance CY2026 confirmado: low-mid single digit crecimiento, Op margen 9.4-9.8%.</t>
  </si>
  <si>
    <t>Q2 CY2026 (agosto 2026)</t>
  </si>
  <si>
    <t>73</t>
  </si>
  <si>
    <t>186</t>
  </si>
  <si>
    <t>12/03/2026</t>
  </si>
  <si>
    <t>190</t>
  </si>
  <si>
    <t>366</t>
  </si>
  <si>
    <t>Q1 2026: Rev $343.4M (+1%, beat), Adj EPS $0.59 (beat +16.1%), Adj EBITDA $103.1M (margen 30%, beat +12.4%). Guidance FY2026 confirmado: Rev $1,210M midpoint, EBITDA $327.5M midpoint.</t>
  </si>
  <si>
    <t>3,693</t>
  </si>
  <si>
    <t>25</t>
  </si>
  <si>
    <t>44</t>
  </si>
  <si>
    <t>323</t>
  </si>
  <si>
    <t>817</t>
  </si>
  <si>
    <t>Q1 2026: Rev récord $783M (+138%), Adj EBITDA $195M, EPS $0.41 (beat +41%). Alani Nu aportó $368M, CELSIUS orgánico +6%. Share 20.9% mercado EEUU. Stock -12% por desaceleración orgánica y riesgo integración</t>
  </si>
  <si>
    <t>88</t>
  </si>
  <si>
    <t>168</t>
  </si>
  <si>
    <t>28/07/2026</t>
  </si>
  <si>
    <t>90</t>
  </si>
  <si>
    <t>173</t>
  </si>
  <si>
    <t>04/12/2025</t>
  </si>
  <si>
    <t>02/07/2026</t>
  </si>
  <si>
    <t>178</t>
  </si>
  <si>
    <t>405</t>
  </si>
  <si>
    <t>Q1 2026: Prod 43,000 boepd (high-end guidance), Rev $173M, Net Inc $12.8M, Op Cash $68M (ahead of guidance), FCF -$17M por capex Blackrod. Brent $81/bbl. First oil Blackrod Q3 2026. Capex 2026 alzado +$41M.</t>
  </si>
  <si>
    <t>-50</t>
  </si>
  <si>
    <t>114</t>
  </si>
  <si>
    <t>Q1 2026: Rev $228.3M (+15.6%), Adj EBITDA +$5M (positivo por 1ª vez), GM 33.4%. Europa +27.1%. NA vuelve a crecer. China -6.4%. Guidance cc growth 3-5%.</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</si>
  <si>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</si>
  <si>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</si>
  <si>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</si>
  <si>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</si>
  <si>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</si>
  <si>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RATING 1 — Structural Quality (max 17, normalized to 10)</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</si>
  <si>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</si>
  <si>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</si>
  <si>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</si>
  <si>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</si>
  <si>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</si>
  <si>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Glassdoor (-1 to 1): Corporate culture proxy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</si>
  <si>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</si>
  <si>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</si>
  <si>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</si>
  <si>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</si>
  <si>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</si>
  <si>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</si>
  <si>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</si>
  <si>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</si>
  <si>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</si>
  <si>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</si>
  <si>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</si>
  <si>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</si>
  <si>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</si>
  <si>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</si>
  <si>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</si>
  <si>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</si>
  <si>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</si>
  <si>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</si>
  <si>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</si>
  <si>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</si>
  <si>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</si>
  <si>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Simple arithmetic average of R1, R2, R3 (each normalized to 0–10).</t>
  </si>
  <si>
    <t>Not a buy signal in itself — valuation is separate and not captured here.</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</si>
  <si>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</si>
  <si>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</si>
  <si>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</si>
  <si>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</si>
  <si>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</si>
  <si>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</si>
  <si>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</si>
  <si>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</si>
  <si>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</si>
  <si>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</si>
  <si>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</si>
  <si>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</si>
  <si>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</si>
  <si>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</si>
  <si>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</si>
  <si>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</si>
  <si>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</si>
  <si>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</si>
  <si>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</si>
  <si>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</si>
  <si>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</si>
  <si>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</si>
  <si>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</si>
  <si>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</si>
  <si>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</si>
  <si>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</si>
  <si>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</si>
  <si>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</si>
  <si>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</si>
  <si>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</si>
  <si>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</si>
  <si>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</si>
  <si>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</si>
  <si>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</si>
  <si>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</si>
  <si>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</si>
  <si>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</si>
  <si>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</si>
  <si>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</si>
  <si>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</si>
  <si>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</si>
  <si>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</si>
  <si>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</si>
  <si>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</si>
  <si>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</si>
  <si>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</si>
  <si>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</si>
  <si>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</si>
  <si>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</si>
  <si>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</si>
  <si>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</si>
  <si>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</si>
  <si>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</si>
  <si>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</si>
  <si>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</si>
  <si>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</si>
  <si>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</si>
  <si>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</si>
  <si>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</si>
  <si>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</si>
  <si>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</si>
  <si>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</si>
  <si>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</si>
  <si>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</si>
  <si>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</si>
  <si>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</si>
  <si>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</si>
  <si>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</si>
  <si>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</si>
  <si>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</si>
  <si>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</si>
  <si>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</si>
  <si>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</si>
  <si>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</si>
  <si>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</si>
  <si>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</si>
  <si>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</si>
  <si>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</si>
  <si>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</si>
  <si>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</si>
  <si>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</si>
  <si>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</si>
  <si>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</si>
  <si>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</si>
  <si>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</si>
  <si>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</si>
  <si>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</si>
  <si>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</si>
  <si>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</si>
  <si>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</si>
  <si>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</si>
  <si>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</si>
  <si>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</si>
  <si>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</si>
  <si>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</si>
  <si>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</si>
  <si>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</si>
  <si>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</si>
  <si>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</si>
  <si>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</si>
  <si>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</si>
  <si>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</si>
  <si>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</si>
  <si>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</si>
  <si>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</si>
  <si>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</si>
  <si>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</si>
  <si>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</si>
  <si>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</si>
  <si>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</si>
  <si>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</si>
  <si>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</si>
  <si>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</si>
  <si>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</si>
  <si>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</si>
  <si>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</si>
  <si>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</si>
  <si>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</si>
  <si>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</si>
  <si>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</si>
  <si>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</si>
  <si>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</si>
  <si>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</si>
  <si>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BN; BO; BP</t>
  </si>
  <si>
    <t>Microsoft Q3 FY2026 Earnings (30/04/2026)</t>
  </si>
  <si>
    <t>Azure +40%, AI $37B ann. Capex récord $190B FY2026.</t>
  </si>
  <si>
    <t>Amazon Q1 2026 Earnings (30/04/2026)</t>
  </si>
  <si>
    <t>Rev +17%, margen op 13.1% récord, AWS +28%, Ads +24%.</t>
  </si>
  <si>
    <t>STMN</t>
  </si>
  <si>
    <t>Straumann Q1 2026 Results (30/04/2026)</t>
  </si>
  <si>
    <t>Rev +7.1% org, China estabiliza, LATAM +19.5%. Guidance confirmado.</t>
  </si>
  <si>
    <t>META</t>
  </si>
  <si>
    <t>Meta Q1 2026 Earnings (30/04/2026)</t>
  </si>
  <si>
    <t>Rev +33%, Net Inc +61%. Capex $125-145B. DAP 3.56B.</t>
  </si>
  <si>
    <t>GOOG</t>
  </si>
  <si>
    <t>Alphabet Q1 2026 Earnings (30/04/2026)</t>
  </si>
  <si>
    <t>Cloud +63%, Net Inc +81%, backlog $462B. Capex $190B.</t>
  </si>
  <si>
    <t>GRMN</t>
  </si>
  <si>
    <t>Garmin Q1 2026 Earnings (30/04/2026)</t>
  </si>
  <si>
    <t>Rev récord +14%, EPS $2.08 vs $1.86 est. Fitness +42%.</t>
  </si>
  <si>
    <t>SPOT</t>
  </si>
  <si>
    <t>M; T; AH; BN; BO; BP</t>
  </si>
  <si>
    <t>Spotify Q1 2026 Earnings (22/04/2026)</t>
  </si>
  <si>
    <t>GM 33% near-record, FCF +54%. Autosuficiencia confirmada. RATING: M↑ T↑ AH↑</t>
  </si>
  <si>
    <t>VID</t>
  </si>
  <si>
    <t>Vidrala Q1 2026 Results (30/04/2026)</t>
  </si>
  <si>
    <t>Rev -1.3%, EBITDA 28.3%, BN +13%. Guidance EBITDA €450M.</t>
  </si>
  <si>
    <t>OTLY</t>
  </si>
  <si>
    <t>AV; M; T; AE; AH; BN; BO; BP</t>
  </si>
  <si>
    <t>Oatly Q1 2026 Earnings (07/05/2026)</t>
  </si>
  <si>
    <t>1er EBITDA positivo ($5M). Rev +15.6%. RATING: AV↑ M↑ T↑ AE↑ AH↑</t>
  </si>
  <si>
    <t>AV; AU; AS; AT; BN; BO; BP</t>
  </si>
  <si>
    <t>RB Global Q1 2026 Earnings (05/05/2026)</t>
  </si>
  <si>
    <t>Rev +11.4%, EBITDA $363M (beat +5.1%). Guidance $1.52B.</t>
  </si>
  <si>
    <t>AV; AU; AS; AT; T; AG; BN; BO; BP</t>
  </si>
  <si>
    <t>Fair Isaac Q2 FY2026 Earnings (28/04/2026)</t>
  </si>
  <si>
    <t>Rev +39%, FCF triplica, EPS $12.50. RATING: T↑17 AG↑15 (capital allocation récord)</t>
  </si>
  <si>
    <t>VLTO</t>
  </si>
  <si>
    <t>Veralto Q1 2026 Earnings (28/04/2026)</t>
  </si>
  <si>
    <t>Rev +6.7%, adq $620M, EPS guidance alzada $4.20-4.28.</t>
  </si>
  <si>
    <t>LR</t>
  </si>
  <si>
    <t>AV; AU; AS; AT; V; BN; BO; BP</t>
  </si>
  <si>
    <t>Legrand Q1 2026 Results (07/05/2026)</t>
  </si>
  <si>
    <t>Rev +9.3% org, data centers. Guidance +10-15%. RATING: V↑14 (data centers estructural)</t>
  </si>
  <si>
    <t>KKR</t>
  </si>
  <si>
    <t>KKR Q1 2026 Earnings (05/05/2026)</t>
  </si>
  <si>
    <t>AUM $758B récord, ANI +20%. Aviso ANI &lt; $7/sh si monetización difícil.</t>
  </si>
  <si>
    <t>COR</t>
  </si>
  <si>
    <t>Cencora Q2 FY2026 Earnings (06/05/2026)</t>
  </si>
  <si>
    <t>Rev miss, EPS miss pero guidance EPS alzado. Biosimilares aceleran.</t>
  </si>
  <si>
    <t>PRY</t>
  </si>
  <si>
    <t>Prysmian Q1 2026 Earnings (30/04/2026)</t>
  </si>
  <si>
    <t>Digital Sols +740bps margen, AI infra demanda cables. RATING: V↑14</t>
  </si>
  <si>
    <t>AV; AU; AS; AT; U; AA; AK; BN; BO; BP</t>
  </si>
  <si>
    <t>Check Point Q1 2026 Earnings (30/04/2026)</t>
  </si>
  <si>
    <t>Rev guidance rebajada, appliances decline estructural. RATING: U↓10 AA↓-14 AK↓-9</t>
  </si>
  <si>
    <t>TFPM</t>
  </si>
  <si>
    <t>Triple Flag Q1 2026 Earnings (05/05/2026)</t>
  </si>
  <si>
    <t>Rev récord $147M (+79%), GEOs récord 30,166. Metal prices driver.</t>
  </si>
  <si>
    <t>FERG</t>
  </si>
  <si>
    <t>Ferguson Q1 CY2026 Earnings (05/05/2026)</t>
  </si>
  <si>
    <t>Rev miss, EPS en línea. Non-res +8%. Guidance confirmado.</t>
  </si>
  <si>
    <t>TREX</t>
  </si>
  <si>
    <t>AV; AU; AS; AT; M; T; BN; BO; BP</t>
  </si>
  <si>
    <t>Trex Q1 2026 Earnings (07/05/2026)</t>
  </si>
  <si>
    <t>EBITDA 30% en revenue flat (+1%). RATING: M↑1 T↑11 (calidad financiera demostrada)</t>
  </si>
  <si>
    <t>IPCO</t>
  </si>
  <si>
    <t>Int'l Petroleum Q1 2026 Results (05/05/2026)</t>
  </si>
  <si>
    <t>FCF -$17M por Blackrod capex. First oil Q3 2026. Brent $81/bbl.</t>
  </si>
  <si>
    <t>Financials_R1 (M); FCF_LTM (AS); Últimos resultados (BO); Próximos resultados (BP); Última actualización (BN)</t>
  </si>
  <si>
    <t>Q1 2026 Earnings Release (14 mayo 2026) + Alphastreet/TipRanks</t>
  </si>
  <si>
    <t>Q1 2026 beat: DE $1.4B, fee-bearing capital $614B (+12%), buybacks &gt;$1B YTD. Financials_R1 mejorado a 0.75 por solidez de distributable earnings y recompras agresivas.</t>
  </si>
  <si>
    <t>Potential (V); Revenue_LTM (AV); EBITDA_LTM (AU); Últimos resultados (BO); Próximos resultados (BP); Última actualización (BN)</t>
  </si>
  <si>
    <t>Nintendo FY2026 Annual Results (mayo 2026) + TechBooky/InvestGame</t>
  </si>
  <si>
    <t>FY2026: Rev ¥2,313B (+99%) por Switch 2 (6M unidades en 7 sem). OP ¥360B (+28%). Potential subido a 15 por éxito Switch 2 y digital +25%. Guidance FY2027 por debajo del consenso de Wall Street.</t>
  </si>
  <si>
    <t>Potential (V); Revenue_LTM (AV); EBITDA_LTM (AU); NOPAT_LTM (AT); FCF_LTM (AS); Últimos resultados (BO); Próximos resultados (BP); Última actualización (BN)</t>
  </si>
  <si>
    <t>Q1 2026 Earnings (7 mayo 2026) + Yahoo Finance/Insider Monkey</t>
  </si>
  <si>
    <t>Record Q1: Rev $2.35B (+27%), EPS $0.58 (beat). Internacional +44.9% (45% ventas). Potential subido a 11. Financials siguen en máximo. Leve compresión de margen bruto 55% vs 56.5%.</t>
  </si>
  <si>
    <t>Q1 2026 Earnings (7 mayo 2026) + CNBC/Motley Fool</t>
  </si>
  <si>
    <t>Rev $2.68B (+18%, beat), GBV $29.2B (+19%). EPS miss ($0.26 vs $0.29). Guidance anual alzado. Potential subido a 15 por FIFA World Cup y aceleración de crecimiento.</t>
  </si>
  <si>
    <t>DNP</t>
  </si>
  <si>
    <t>Financials_R1 (M); Revenue_LTM (AV); Últimos resultados (BO); Próximos resultados (BP); Última actualización (BN)</t>
  </si>
  <si>
    <t>Q1 2026 Report (14 mayo 2026) + TradingView/ESM Magazine</t>
  </si>
  <si>
    <t>Rev PLN 8,896M (+14.8%), LFL +4.4% (beat). EBITDA margen comprimido 6.7% vs 7.2%. 62 tiendas nuevas. Financials_R1 bajado a 0.75 por compresión de márgenes. Stock +14% por superar estimados.</t>
  </si>
  <si>
    <t>NET</t>
  </si>
  <si>
    <t>Financials_R1 (M); Mgmt_Culture (Y); Capital_Allocation (AG); Risks (AA); Revenue_LTM (AV); FCF_LTM (AS); EBITDA_LTM (AU); NOPAT_LTM (AT); Últimos resultados (BO); Próximos resultados (BP); Última actualización (BN)</t>
  </si>
  <si>
    <t>Q1 2026 Earnings (7 mayo 2026) + Cloudflare IR / Seeking Alpha</t>
  </si>
  <si>
    <t>EVENTO CLAVE: recorte 20% plantilla + pivote "agentic AI-first". Rev $639.8M (+34%), FCF $84M mejorando. Mgmt_Culture -2 pts por layoffs masivos; Capital_Allocation -2 pts por $140-150M reestructuración; Risks más negativos. Financials_R1 +0.5 por mejora FCF.</t>
  </si>
  <si>
    <t>KSPI</t>
  </si>
  <si>
    <t>Financials_R1 (M); Últimos resultados (BO); Próximos resultados (BP); Última actualización (BN)</t>
  </si>
  <si>
    <t>Q1 2026 Earnings (11 mayo 2026) + Kaspi IR / Grafa</t>
  </si>
  <si>
    <t>Rev KZT 1.1T (+31%), e-Commerce GMV +41%. Beneficio neto plano (KZT 252B). Stock cayó por presión de costes. Financials_R1 bajado a 0.75 por BN estancado pese al fuerte crecimiento de ingresos.</t>
  </si>
  <si>
    <t>CPR</t>
  </si>
  <si>
    <t>Financials_R1 (M); Financials_R2 (T); Potential (V); Últimos resultados (BO); Próximos resultados (BP); Última actualización (BN)</t>
  </si>
  <si>
    <t>Q1 2026 Net Sales (6 mayo 2026) + Campari IR / GlobalBankingFinance</t>
  </si>
  <si>
    <t>Rev €643M, orgánico +2.9% (miss €651M). Emergentes +12.7%. Recuperación en curso pero lenta. Financials_R1 mejorado -1→-0.5, Financials_R2 y Potential +1 cada uno por momentum emergentes.</t>
  </si>
  <si>
    <t>CELH</t>
  </si>
  <si>
    <t>MOAT (K); Financials_R1 (M); Concentration (N); Revenue_Quality (X); Risks (AA); Revenue_LTM (AV); EBITDA_LTM (AU); FCF_LTM (AS); NOPAT_LTM (AT); Capital_Employed (AZ); Últimos resultados (BO); Próximos resultados (BP); Última actualización (BN)</t>
  </si>
  <si>
    <t>Q1 2026 Earnings (11 mayo 2026) + BusinessWire / TIKR</t>
  </si>
  <si>
    <t>Rev récord $783M (+138% por Alani Nu + Rockstar), CELH orgánico solo +6%. EPS $0.41 (beat +41%). MOAT +1 (portfolio más amplio), Concentration -1 (más diversificado), Revenue_Quality -1 (crecimiento inorgánico), Risks -2 (integración), Capital_Employed 600→3,500 (capex adquisiciones).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</si>
</sst>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2">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0" fontId="1" fillId="2" borderId="0" xfId="0" applyFont="1" applyFill="1" applyAlignment="1">
      <alignment horizontal="center" vertical="center" wrapText="1"/>
    </xf>
    <xf numFmtId="0" fontId="0" fillId="0" borderId="0" xfId="0"/>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7" fillId="2" borderId="0" xfId="0" applyFont="1" applyFill="1" applyAlignment="1">
      <alignment horizontal="center" vertical="top"/>
    </xf>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28" fillId="40" borderId="24" xfId="0" applyFont="1" applyFill="1" applyBorder="1" applyAlignment="1">
      <alignment horizontal="center"/>
    </xf>
    <xf numFmtId="0" fontId="0" fillId="0" borderId="24" xfId="0" applyBorder="1"/>
    <xf numFmtId="0" fontId="19" fillId="24" borderId="10" xfId="0" applyFont="1" applyFill="1" applyBorder="1" applyAlignment="1">
      <alignment horizontal="center" vertical="center"/>
    </xf>
    <xf numFmtId="0" fontId="0" fillId="0" borderId="10" xfId="0" applyBorder="1"/>
    <xf numFmtId="0" fontId="22" fillId="27" borderId="0" xfId="0" applyFont="1" applyFill="1"/>
    <xf numFmtId="0" fontId="25" fillId="34" borderId="21" xfId="0" applyFont="1" applyFill="1" applyBorder="1" applyAlignment="1">
      <alignment horizontal="center"/>
    </xf>
    <xf numFmtId="0" fontId="0" fillId="0" borderId="26" xfId="0" applyBorder="1"/>
    <xf numFmtId="0" fontId="0" fillId="0" borderId="27" xfId="0" applyBorder="1"/>
    <xf numFmtId="0" fontId="0" fillId="9" borderId="0" xfId="0" applyFill="1" applyAlignment="1">
      <alignment horizontal="center"/>
    </xf>
    <xf numFmtId="10" fontId="0" fillId="9" borderId="0" xfId="0" applyNumberFormat="1" applyFill="1" applyAlignment="1">
      <alignment horizontal="center"/>
    </xf>
    <xf numFmtId="0" fontId="32" fillId="10" borderId="0" xfId="0" applyFont="1" applyFill="1" applyAlignment="1">
      <alignment horizontal="center"/>
    </xf>
    <xf numFmtId="4" fontId="29" fillId="25" borderId="24" xfId="0" applyNumberFormat="1" applyFont="1" applyFill="1" applyBorder="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25" fillId="27" borderId="0" xfId="0" applyFont="1" applyFill="1"/>
    <xf numFmtId="0" fontId="15" fillId="18" borderId="4" xfId="0" applyFont="1" applyFill="1" applyBorder="1" applyAlignment="1">
      <alignment horizontal="center" vertical="center"/>
    </xf>
    <xf numFmtId="0" fontId="0" fillId="0" borderId="4" xfId="0" applyBorder="1"/>
    <xf numFmtId="0" fontId="15" fillId="19"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2" fontId="16" fillId="23" borderId="7" xfId="0" applyNumberFormat="1" applyFont="1" applyFill="1" applyBorder="1" applyAlignment="1">
      <alignment horizontal="center" vertical="center"/>
    </xf>
    <xf numFmtId="0" fontId="15" fillId="41" borderId="0" xfId="0" applyFont="1" applyFill="1" applyAlignment="1">
      <alignment horizontal="center"/>
    </xf>
    <xf numFmtId="0" fontId="16" fillId="23" borderId="7" xfId="0" applyFont="1" applyFill="1" applyBorder="1" applyAlignment="1">
      <alignment horizontal="center" vertical="center"/>
    </xf>
    <xf numFmtId="0" fontId="33" fillId="9" borderId="0" xfId="0" applyFont="1" applyFill="1" applyAlignment="1">
      <alignment horizontal="center"/>
    </xf>
    <xf numFmtId="0" fontId="15" fillId="42" borderId="0" xfId="0" applyFont="1" applyFill="1" applyAlignment="1">
      <alignment horizontal="center"/>
    </xf>
    <xf numFmtId="0" fontId="22" fillId="30" borderId="0" xfId="0" applyFont="1" applyFill="1"/>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5" fillId="27" borderId="0" xfId="0" applyFont="1" applyFill="1" applyAlignment="1">
      <alignment horizontal="center"/>
    </xf>
    <xf numFmtId="0" fontId="15" fillId="5" borderId="0" xfId="0" applyFont="1" applyFill="1" applyAlignment="1">
      <alignment horizont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5" fillId="27" borderId="0" xfId="0" applyFont="1" applyFill="1" applyAlignment="1">
      <alignment horizontal="center"/>
    </xf>
    <xf numFmtId="0" fontId="16" fillId="23" borderId="6" xfId="0" applyFont="1" applyFill="1" applyBorder="1" applyAlignment="1">
      <alignment horizontal="center" vertic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8" fillId="24" borderId="9"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25" fillId="6" borderId="21" xfId="0" applyFont="1" applyFill="1" applyBorder="1" applyAlignment="1">
      <alignment horizontal="center"/>
    </xf>
    <xf numFmtId="0" fontId="15" fillId="21" borderId="4" xfId="0" applyFont="1" applyFill="1" applyBorder="1" applyAlignment="1">
      <alignment horizontal="center" vertical="center"/>
    </xf>
    <xf numFmtId="0" fontId="28" fillId="40" borderId="0" xfId="0" applyFont="1" applyFill="1"/>
    <xf numFmtId="0" fontId="34" fillId="44" borderId="0" xfId="0" applyFont="1" applyFill="1" applyAlignment="1">
      <alignment horizontal="center"/>
    </xf>
    <xf numFmtId="0" fontId="23" fillId="27" borderId="0" xfId="0" applyFont="1" applyFill="1" applyAlignment="1">
      <alignment horizontal="center"/>
    </xf>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6" borderId="0" xfId="0" applyFont="1" applyFill="1" applyAlignment="1">
      <alignment horizont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1737-4810-879B-7FD7215F91D6}"/>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1737-4810-879B-7FD7215F91D6}"/>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1737-4810-879B-7FD7215F91D6}"/>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1737-4810-879B-7FD7215F91D6}"/>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1737-4810-879B-7FD7215F91D6}"/>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1737-4810-879B-7FD7215F91D6}"/>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1737-4810-879B-7FD7215F91D6}"/>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1737-4810-879B-7FD7215F91D6}"/>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5</c:v>
                </c:pt>
                <c:pt idx="1">
                  <c:v>14</c:v>
                </c:pt>
                <c:pt idx="2">
                  <c:v>14</c:v>
                </c:pt>
                <c:pt idx="3">
                  <c:v>28</c:v>
                </c:pt>
              </c:numCache>
            </c:numRef>
          </c:val>
          <c:extLst>
            <c:ext xmlns:c16="http://schemas.microsoft.com/office/drawing/2014/chart" uri="{C3380CC4-5D6E-409C-BE32-E72D297353CC}">
              <c16:uniqueId val="{00000008-1737-4810-879B-7FD7215F91D6}"/>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8.2799999999999994</c:v>
                </c:pt>
                <c:pt idx="1">
                  <c:v>8.01</c:v>
                </c:pt>
                <c:pt idx="2">
                  <c:v>7.73</c:v>
                </c:pt>
                <c:pt idx="3">
                  <c:v>7.98</c:v>
                </c:pt>
                <c:pt idx="4">
                  <c:v>8.01</c:v>
                </c:pt>
                <c:pt idx="5">
                  <c:v>7.82</c:v>
                </c:pt>
                <c:pt idx="6">
                  <c:v>7.97</c:v>
                </c:pt>
                <c:pt idx="7">
                  <c:v>7.45</c:v>
                </c:pt>
                <c:pt idx="8">
                  <c:v>7.96</c:v>
                </c:pt>
                <c:pt idx="9">
                  <c:v>8.08</c:v>
                </c:pt>
                <c:pt idx="10">
                  <c:v>7.85</c:v>
                </c:pt>
                <c:pt idx="11">
                  <c:v>7.68</c:v>
                </c:pt>
                <c:pt idx="12">
                  <c:v>8</c:v>
                </c:pt>
                <c:pt idx="13">
                  <c:v>7.88</c:v>
                </c:pt>
                <c:pt idx="14">
                  <c:v>7.24</c:v>
                </c:pt>
              </c:numCache>
            </c:numRef>
          </c:xVal>
          <c:yVal>
            <c:numRef>
              <c:f>Dashboard!$Q$8:$Q$22</c:f>
              <c:numCache>
                <c:formatCode>0.00%</c:formatCode>
                <c:ptCount val="15"/>
                <c:pt idx="0">
                  <c:v>0.18966923429368165</c:v>
                </c:pt>
                <c:pt idx="1">
                  <c:v>3.3292440932777216</c:v>
                </c:pt>
                <c:pt idx="2">
                  <c:v>0.50273572382128195</c:v>
                </c:pt>
                <c:pt idx="3">
                  <c:v>3.1389694076464876</c:v>
                </c:pt>
                <c:pt idx="4">
                  <c:v>-0.46282754555526617</c:v>
                </c:pt>
                <c:pt idx="5">
                  <c:v>0.96936263684968993</c:v>
                </c:pt>
                <c:pt idx="6">
                  <c:v>-0.7183707046686364</c:v>
                </c:pt>
                <c:pt idx="7">
                  <c:v>-7.6701526927437924E-2</c:v>
                </c:pt>
                <c:pt idx="8">
                  <c:v>0.16489292359509067</c:v>
                </c:pt>
                <c:pt idx="9">
                  <c:v>5.881847932794261</c:v>
                </c:pt>
                <c:pt idx="10">
                  <c:v>1.3366313355983874</c:v>
                </c:pt>
                <c:pt idx="11">
                  <c:v>0.89467025225495012</c:v>
                </c:pt>
                <c:pt idx="12">
                  <c:v>-7.7356634295413174E-2</c:v>
                </c:pt>
                <c:pt idx="13">
                  <c:v>3.6665476770227192</c:v>
                </c:pt>
                <c:pt idx="14">
                  <c:v>0.98706484367068303</c:v>
                </c:pt>
              </c:numCache>
            </c:numRef>
          </c:yVal>
          <c:smooth val="0"/>
          <c:extLst>
            <c:ext xmlns:c16="http://schemas.microsoft.com/office/drawing/2014/chart" uri="{C3380CC4-5D6E-409C-BE32-E72D297353CC}">
              <c16:uniqueId val="{00000000-5A40-4A64-A584-26DFBDAD5893}"/>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6B91-4004-924F-B9E8B3253BF9}"/>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6B91-4004-924F-B9E8B3253BF9}"/>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77D3-4E16-B82D-AF02DF01ADCE}"/>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77D3-4E16-B82D-AF02DF01ADCE}"/>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7131-4AF1-B9C7-A16A3FAE37CE}"/>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8">
  <rv s="0">
    <v>https://www.bing.com/financeapi/forcetrigger?t=a1u6sm&amp;q=XNYS%3aGRMN&amp;form=skydnc</v>
    <v>Learn more on Bing</v>
  </rv>
  <rv s="1">
    <v>es-ES</v>
    <v>a1u6sm</v>
    <v>268435456</v>
    <v>1</v>
    <v>Con tecnología de Refinitiv</v>
    <v>0</v>
    <v>1</v>
    <v>Garmin Ltd (XNYS:GRMN)</v>
    <v>3</v>
    <v>4</v>
    <v>Finance</v>
    <v>5</v>
    <v>XNYS</v>
    <v>192856200</v>
    <v>2010</v>
    <v>229.82</v>
    <v>0.93100000000000005</v>
    <v>-8.68</v>
    <v>1.8201000000000002E-2</v>
    <v>-3.7025999999999996E-2</v>
    <v>4.1087999999999996</v>
    <v>43537287150</v>
    <v>234.43</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46157.968166885934</v>
    <v>New York Stock Exchange</v>
    <v>0</v>
    <v>231.88</v>
    <v>273.32</v>
    <v>225.68</v>
    <v>186.67</v>
    <v>USD</v>
    <v>Garmin Ltd</v>
    <v>Garmin Ltd</v>
    <v>26.140599999999999</v>
    <v>225.75</v>
    <v>229.8588</v>
    <v>Communications &amp; Networking</v>
    <v>Muehlentalstrasse 2, SCHAFFHAUSEN, SCHAFFHAUSEN, 8200 CH</v>
    <v>GRMN</v>
    <v>Acciones</v>
    <v>Garmin Ltd (XNYS:GRMN)</v>
    <v>791726</v>
    <v>786846</v>
  </rv>
  <rv s="2">
    <v>1</v>
  </rv>
  <rv s="0">
    <v>https://www.bing.com/financeapi/forcetrigger?t=azfd2w&amp;q=XFRA%3aKRX&amp;form=skydnc</v>
    <v>Learn more on Bing</v>
  </rv>
  <rv s="3">
    <v>es-ES</v>
    <v>azfd2w</v>
    <v>268435456</v>
    <v>1</v>
    <v>Con tecnología de Refinitiv</v>
    <v>6</v>
    <v>7</v>
    <v>KINGSPAN GROUP PUBLIC LIMITED COMPANY (XFRA:KRX)</v>
    <v>3</v>
    <v>8</v>
    <v>Finance</v>
    <v>9</v>
    <v>XFRA</v>
    <v>180339100</v>
    <v>1979</v>
    <v>72.95</v>
    <v>1.2370000000000001</v>
    <v>-4.2</v>
    <v>-5.4264E-2</v>
    <v>12847890000</v>
    <v>77.400000000000006</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46157.836805555555</v>
    <v>Deutsche Boerse AG</v>
    <v>3</v>
    <v>73.2</v>
    <v>108.4</v>
    <v>72.95</v>
    <v>32.01</v>
    <v>EUR</v>
    <v>KINGSPAN GROUP PUBLIC LIMITED COMPANY</v>
    <v>KINGSPAN GROUP PUBLIC LIMITED COMPANY</v>
    <v>19.783799999999999</v>
    <v>73.2</v>
    <v>Homebuilding &amp; Construction Supplies</v>
    <v>Dublin Road,, KINGSCOURT, CAVAN, A82 XY31 IE</v>
    <v>KRX</v>
    <v>Acciones</v>
    <v>KINGSPAN GROUP PUBLIC LIMITED COMPANY (XFRA:KRX)</v>
    <v>180</v>
    <v>448460</v>
  </rv>
  <rv s="2">
    <v>4</v>
  </rv>
  <rv s="0">
    <v>https://www.bing.com/financeapi/forcetrigger?t=bpiour&amp;q=OTCM%3aKAKZF&amp;form=skydnc</v>
    <v>Learn more on Bing</v>
  </rv>
  <rv s="1">
    <v>es-ES</v>
    <v>bpiour</v>
    <v>268435456</v>
    <v>1</v>
    <v>Con tecnología de Refinitiv</v>
    <v>0</v>
    <v>1</v>
    <v>Kaspi.kz AO (XNAS:KSPI)</v>
    <v>3</v>
    <v>4</v>
    <v>Finance</v>
    <v>5</v>
    <v>XNAS</v>
    <v>189333500</v>
    <v>2008</v>
    <v>88.58</v>
    <v>0.1895</v>
    <v>-1.07</v>
    <v>2.6279999999999997E-3</v>
    <v>-1.2078999999999999E-2</v>
    <v>0.23</v>
    <v>16568574585</v>
    <v>88.58</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46157.932707673441</v>
    <v>Nasdaq Stock Market</v>
    <v>6</v>
    <v>89.17</v>
    <v>99.2</v>
    <v>86.61</v>
    <v>68.59</v>
    <v>USD</v>
    <v>Kaspi.kz AO</v>
    <v>Kaspi.kz AO</v>
    <v>7.5540000000000003</v>
    <v>87.51</v>
    <v>87.74</v>
    <v>Financial Technology (Fintech) &amp; Infrastructure</v>
    <v>Bostandykskiy Rayon, Ul. Nauryzbay Batyra, 154A, ALMATY, 050013 KZ</v>
    <v>KSPI</v>
    <v>Acciones</v>
    <v>Kaspi.kz AO (XNAS:KSPI)</v>
    <v>803818</v>
    <v>550805</v>
  </rv>
  <rv s="2">
    <v>7</v>
  </rv>
  <rv s="0">
    <v>https://www.bing.com/financeapi/forcetrigger?t=amft3m&amp;q=BMEX%3aCBAV&amp;form=skydnc</v>
    <v>Learn more on Bing</v>
  </rv>
  <rv s="4">
    <v>es-ES</v>
    <v>amft3m</v>
    <v>268435456</v>
    <v>1</v>
    <v>Con tecnología de Refinitiv</v>
    <v>10</v>
    <v>11</v>
    <v>CLINICA BAVIERA S.A (BMEX:CBAV)</v>
    <v>3</v>
    <v>12</v>
    <v>Finance</v>
    <v>9</v>
    <v>BMEX</v>
    <v>16307580</v>
    <v>56</v>
    <v>0.77010000000000001</v>
    <v>0.4</v>
    <v>7.2199999999999999E-3</v>
    <v>844732700</v>
    <v>55.4</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1910</v>
    <v>BMEX</v>
    <v>46157.666666666664</v>
    <v>Bolsas y Mercados Espanoles</v>
    <v>9</v>
    <v>56</v>
    <v>58</v>
    <v>55.2</v>
    <v>36.9</v>
    <v>EUR</v>
    <v>CLINICA BAVIERA S.A</v>
    <v>CLINICA BAVIERA S.A</v>
    <v>21.260400000000001</v>
    <v>55.8</v>
    <v>Healthcare Providers &amp; Services</v>
    <v>Paseo de la Castellana 20, MADRID, MADRID, 28046 ES</v>
    <v>CBAV</v>
    <v>Acciones</v>
    <v>CLINICA BAVIERA S.A (BMEX:CBAV)</v>
    <v>1515</v>
    <v>2840</v>
  </rv>
  <rv s="2">
    <v>10</v>
  </rv>
  <rv s="0">
    <v>https://www.bing.com/financeapi/forcetrigger?t=a1yv52&amp;q=XNAS%3aNVDA&amp;form=skydnc</v>
    <v>Learn more on Bing</v>
  </rv>
  <rv s="1">
    <v>es-ES</v>
    <v>a1yv52</v>
    <v>268435456</v>
    <v>1</v>
    <v>Con tecnología de Refinitiv</v>
    <v>0</v>
    <v>1</v>
    <v>NVIDIA CORPORATION (XNAS:NVDA)</v>
    <v>3</v>
    <v>4</v>
    <v>Finance</v>
    <v>5</v>
    <v>XNAS</v>
    <v>24220530000</v>
    <v>1998</v>
    <v>229.76</v>
    <v>2.2591999999999999</v>
    <v>-10.42</v>
    <v>-4.0390000000000001E-3</v>
    <v>-4.4200999999999997E-2</v>
    <v>-0.91</v>
    <v>5457369819600</v>
    <v>235.74</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46157.999984050781</v>
    <v>Nasdaq Stock Market</v>
    <v>12</v>
    <v>231.5</v>
    <v>236.54</v>
    <v>224.24</v>
    <v>129.16</v>
    <v>USD</v>
    <v>NVIDIA CORPORATION</v>
    <v>NVIDIA CORPORATION</v>
    <v>48.093000000000004</v>
    <v>225.32</v>
    <v>224.41</v>
    <v>Semiconductors &amp; Semiconductor Equipment</v>
    <v>2788 San Tomas Expressway, SANTA CLARA, CA, 95051 US</v>
    <v>NVDA</v>
    <v>Acciones</v>
    <v>NVIDIA CORPORATION (XNAS:NVDA)</v>
    <v>180977639</v>
    <v>153023101</v>
  </rv>
  <rv s="2">
    <v>13</v>
  </rv>
  <rv s="0">
    <v>https://www.bing.com/financeapi/forcetrigger?t=alwkk2&amp;q=XLIS%3aCOR&amp;form=skydnc</v>
    <v>Learn more on Bing</v>
  </rv>
  <rv s="3">
    <v>es-ES</v>
    <v>alwkk2</v>
    <v>268435456</v>
    <v>1</v>
    <v>Con tecnología de Refinitiv</v>
    <v>6</v>
    <v>7</v>
    <v>Corticeira Amori (XLIS:COR)</v>
    <v>3</v>
    <v>8</v>
    <v>Finance</v>
    <v>9</v>
    <v>XLIS</v>
    <v>133000000</v>
    <v>1963</v>
    <v>7.06</v>
    <v>0.44590000000000002</v>
    <v>-0.08</v>
    <v>-1.1331000000000001E-2</v>
    <v>911050000</v>
    <v>7.06</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46157.666666666664</v>
    <v>Euronext Lisbon</v>
    <v>15</v>
    <v>7.1</v>
    <v>8.52</v>
    <v>6.98</v>
    <v>6.04</v>
    <v>EUR</v>
    <v>Corticeira Amori</v>
    <v>Corticeira Amori</v>
    <v>16.706600000000002</v>
    <v>6.98</v>
    <v>Paper &amp; Forest Products</v>
    <v>Rua Comendador Americo Ferreira Amorim, N 380, Apartado 20, Mozelos, AVEIRO, 4536-902 PT</v>
    <v>COR</v>
    <v>Acciones</v>
    <v>Corticeira Amori (XLIS:COR)</v>
    <v>238940</v>
    <v>218920</v>
  </rv>
  <rv s="2">
    <v>16</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5186505000</v>
    <v>1987</v>
    <v>406.5</v>
    <v>1.3975</v>
    <v>-13.37</v>
    <v>-3.5970000000000004E-3</v>
    <v>-3.2007000000000001E-2</v>
    <v>-1.4542999999999999</v>
    <v>2097163296750</v>
    <v>417.72</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46157.999902407035</v>
    <v>New York Stock Exchange</v>
    <v>18</v>
    <v>409.87</v>
    <v>421.97</v>
    <v>398.83</v>
    <v>188.8107</v>
    <v>USD</v>
    <v>Taiwan Semiconductor Manufacturing Company Limited</v>
    <v>Taiwan Semiconductor Manufacturing Company Limited</v>
    <v>34.723700000000001</v>
    <v>404.35</v>
    <v>402.89569999999998</v>
    <v>Semiconductors &amp; Semiconductor Equipment</v>
    <v>No.8, Li-Hsin 6th Road, Hsinchu Science Park, HSINCHU, HSINCHU, 300 TW</v>
    <v>TSM</v>
    <v>Acciones</v>
    <v>Taiwan Semiconductor Manufacturing Company Limited (XNYS:TSM)</v>
    <v>11868600</v>
    <v>14801450</v>
  </rv>
  <rv s="2">
    <v>19</v>
  </rv>
  <rv s="0">
    <v>https://www.bing.com/financeapi/forcetrigger?t=azgv7w&amp;q=XNYS%3aSPOT&amp;form=skydnc</v>
    <v>Learn more on Bing</v>
  </rv>
  <rv s="1">
    <v>es-ES</v>
    <v>azgv7w</v>
    <v>268435456</v>
    <v>1</v>
    <v>Con tecnología de Refinitiv</v>
    <v>0</v>
    <v>1</v>
    <v>Spotify Technology SA (XNYS:SPOT)</v>
    <v>3</v>
    <v>4</v>
    <v>Finance</v>
    <v>5</v>
    <v>XNYS</v>
    <v>209741300</v>
    <v>2007</v>
    <v>439.03</v>
    <v>1.528</v>
    <v>4.4000000000000004</v>
    <v>-2.1510000000000001E-3</v>
    <v>1.0172E-2</v>
    <v>-0.94</v>
    <v>91644363622</v>
    <v>432.54</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46157.998974548434</v>
    <v>New York Stock Exchange</v>
    <v>21</v>
    <v>446.71</v>
    <v>785</v>
    <v>432.32</v>
    <v>405</v>
    <v>USD</v>
    <v>Spotify Technology SA</v>
    <v>Spotify Technology SA</v>
    <v>29.506799999999998</v>
    <v>436.94</v>
    <v>436</v>
    <v>Software &amp; IT Services</v>
    <v>33, Boulevard Prince Henri, LUXEMBOURG, 1724 LU</v>
    <v>SPOT</v>
    <v>Acciones</v>
    <v>Spotify Technology SA (XNYS:SPOT)</v>
    <v>2063564</v>
    <v>2245218</v>
  </rv>
  <rv s="2">
    <v>22</v>
  </rv>
  <rv s="0">
    <v>https://www.bing.com/financeapi/forcetrigger?t=ajg6ec&amp;q=XMIL%3aPRY&amp;form=skydnc</v>
    <v>Learn more on Bing</v>
  </rv>
  <rv s="4">
    <v>es-ES</v>
    <v>ajg6ec</v>
    <v>268435456</v>
    <v>1</v>
    <v>Con tecnología de Refinitiv</v>
    <v>10</v>
    <v>11</v>
    <v>Prysmian SpA (XMIL:PRY)</v>
    <v>3</v>
    <v>12</v>
    <v>Finance</v>
    <v>13</v>
    <v>XMIL</v>
    <v>296403800</v>
    <v>152.15</v>
    <v>0.99550000000000005</v>
    <v>-3.2</v>
    <v>-2.0466999999999999E-2</v>
    <v>25573720000</v>
    <v>156.35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46157.666666666664</v>
    <v>Borsa Italiana</v>
    <v>24</v>
    <v>154</v>
    <v>157.25</v>
    <v>147.85</v>
    <v>53.04</v>
    <v>EUR</v>
    <v>Prysmian SpA</v>
    <v>Prysmian SpA</v>
    <v>32.261800000000001</v>
    <v>153.15</v>
    <v>Machinery, Equipment &amp; Components</v>
    <v>Via Chiese 6, MILANO, MILANO, 20126 IT</v>
    <v>PRY</v>
    <v>Acciones</v>
    <v>Prysmian SpA (XMIL:PRY)</v>
    <v>1148052</v>
    <v>1402960</v>
  </rv>
  <rv s="2">
    <v>25</v>
  </rv>
  <rv s="0">
    <v>https://www.bing.com/financeapi/forcetrigger?t=an2bf2&amp;q=XSWX%3aJFN&amp;form=skydnc</v>
    <v>Learn more on Bing</v>
  </rv>
  <rv s="3">
    <v>es-ES</v>
    <v>an2bf2</v>
    <v>268435456</v>
    <v>1</v>
    <v>Con tecnología de Refinitiv</v>
    <v>6</v>
    <v>7</v>
    <v>Jungfraubahn (XSWX:JFN)</v>
    <v>3</v>
    <v>14</v>
    <v>Finance</v>
    <v>9</v>
    <v>XSWX</v>
    <v>5835000</v>
    <v>1952</v>
    <v>256.5</v>
    <v>0.61560000000000004</v>
    <v>-3</v>
    <v>-1.1788E-2</v>
    <v>1639635000</v>
    <v>254.5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46157.773796296293</v>
    <v>SIX Swiss Exchange</v>
    <v>27</v>
    <v>259</v>
    <v>327</v>
    <v>251.5</v>
    <v>187</v>
    <v>CHF</v>
    <v>Jungfraubahn</v>
    <v>Jungfraubahn</v>
    <v>18.713200000000001</v>
    <v>251.5</v>
    <v>Hotels &amp; Entertainment Services</v>
    <v>Harderstrasse 14, BERN, 3800 CH</v>
    <v>JFN</v>
    <v>Acciones</v>
    <v>Jungfraubahn (XSWX:JFN)</v>
    <v>5349</v>
    <v>6410</v>
  </rv>
  <rv s="2">
    <v>28</v>
  </rv>
  <rv s="0">
    <v>https://www.bing.com/financeapi/forcetrigger?t=ajejhw&amp;q=XMIL%3aCPR&amp;form=skydnc</v>
    <v>Learn more on Bing</v>
  </rv>
  <rv s="3">
    <v>es-ES</v>
    <v>ajejhw</v>
    <v>268435456</v>
    <v>1</v>
    <v>Con tecnología de Refinitiv</v>
    <v>6</v>
    <v>7</v>
    <v>Davide Campari Milano NV (XMIL:CPR)</v>
    <v>3</v>
    <v>8</v>
    <v>Finance</v>
    <v>13</v>
    <v>XMIL</v>
    <v>1231268000</v>
    <v>2020</v>
    <v>5.4</v>
    <v>0.3206</v>
    <v>-2.1999999999999999E-2</v>
    <v>-4.0560000000000006E-3</v>
    <v>6927112000</v>
    <v>5.4240000000000004</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4837</v>
    <v>XMIL</v>
    <v>46157.666666666664</v>
    <v>Borsa Italiana</v>
    <v>30</v>
    <v>5.4340000000000002</v>
    <v>6.83</v>
    <v>5.3360000000000003</v>
    <v>5.29</v>
    <v>EUR</v>
    <v>Davide Campari Milano NV</v>
    <v>Davide Campari Milano NV</v>
    <v>18.8399</v>
    <v>5.4020000000000001</v>
    <v>Beverages</v>
    <v>Via Sacchetti, 20, SESTO SAN GIOVANNI, MILANO, 20099 IT</v>
    <v>CPR</v>
    <v>Acciones</v>
    <v>Davide Campari Milano NV (XMIL:CPR)</v>
    <v>7520252</v>
    <v>13819370</v>
  </rv>
  <rv s="2">
    <v>31</v>
  </rv>
  <rv s="0">
    <v>https://www.bing.com/financeapi/forcetrigger?t=b1lbp2&amp;q=XSWX%3aSIKA&amp;form=skydnc</v>
    <v>Learn more on Bing</v>
  </rv>
  <rv s="3">
    <v>es-ES</v>
    <v>b1lbp2</v>
    <v>268435456</v>
    <v>1</v>
    <v>Con tecnología de Refinitiv</v>
    <v>6</v>
    <v>7</v>
    <v>Sika Ltd (XSWX:SIKA)</v>
    <v>3</v>
    <v>14</v>
    <v>Finance</v>
    <v>9</v>
    <v>XSWX</v>
    <v>160479300</v>
    <v>1971</v>
    <v>141</v>
    <v>1.5992999999999999</v>
    <v>-2.4500000000000002</v>
    <v>-1.7381999999999998E-2</v>
    <v>23927460000</v>
    <v>140.94999999999999</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33707</v>
    <v>XSWX</v>
    <v>46157.82</v>
    <v>SIX Swiss Exchange</v>
    <v>33</v>
    <v>141.6</v>
    <v>226.8</v>
    <v>136.94999999999999</v>
    <v>120.35</v>
    <v>CHF</v>
    <v>Sika Ltd</v>
    <v>Sika Ltd</v>
    <v>21.6846</v>
    <v>138.5</v>
    <v>Chemicals</v>
    <v>Zugerstrasse 50, BAAR, ZUG, 6340 CH</v>
    <v>SIKA</v>
    <v>Acciones</v>
    <v>Sika Ltd (XSWX:SIKA)</v>
    <v>596854</v>
    <v>380650</v>
  </rv>
  <rv s="2">
    <v>34</v>
  </rv>
  <rv s="0">
    <v>https://www.bing.com/financeapi/forcetrigger?t=a1pmur&amp;q=XNAS%3aCHKP&amp;form=skydnc</v>
    <v>Learn more on Bing</v>
  </rv>
  <rv s="1">
    <v>es-ES</v>
    <v>a1pmur</v>
    <v>268435456</v>
    <v>1</v>
    <v>Con tecnología de Refinitiv</v>
    <v>0</v>
    <v>1</v>
    <v>CHECK POINT SOFTWARE TECHNOLOGIES LTD. (XNAS:CHKP)</v>
    <v>3</v>
    <v>4</v>
    <v>Finance</v>
    <v>5</v>
    <v>XNAS</v>
    <v>104027800</v>
    <v>1993</v>
    <v>121.74</v>
    <v>0.441</v>
    <v>3.78</v>
    <v>-2.3380000000000002E-3</v>
    <v>3.1434999999999998E-2</v>
    <v>-0.28999999999999998</v>
    <v>12902568034</v>
    <v>120.25</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46157.992802557812</v>
    <v>Nasdaq Stock Market</v>
    <v>36</v>
    <v>124.32</v>
    <v>233.78</v>
    <v>119.875</v>
    <v>112.23</v>
    <v>USD</v>
    <v>CHECK POINT SOFTWARE TECHNOLOGIES LTD.</v>
    <v>CHECK POINT SOFTWARE TECHNOLOGIES LTD.</v>
    <v>12.7522</v>
    <v>124.03</v>
    <v>123.74</v>
    <v>Software &amp; IT Services</v>
    <v>5 Shlomo Kaplan Street, 6789159 IL</v>
    <v>CHKP</v>
    <v>Acciones</v>
    <v>CHECK POINT SOFTWARE TECHNOLOGIES LTD. (XNAS:CHKP)</v>
    <v>1983665</v>
    <v>1929870</v>
  </rv>
  <rv s="2">
    <v>37</v>
  </rv>
  <rv s="0">
    <v>https://www.bing.com/financeapi/forcetrigger?t=ajgoa2&amp;q=XMIL%3aTGYM&amp;form=skydnc</v>
    <v>Learn more on Bing</v>
  </rv>
  <rv s="4">
    <v>es-ES</v>
    <v>ajgoa2</v>
    <v>268435456</v>
    <v>1</v>
    <v>Con tecnología de Refinitiv</v>
    <v>10</v>
    <v>11</v>
    <v>Technogym SpA (XMIL:TGYM)</v>
    <v>3</v>
    <v>12</v>
    <v>Finance</v>
    <v>13</v>
    <v>XMIL</v>
    <v>201327500</v>
    <v>21.4</v>
    <v>0.89459999999999995</v>
    <v>-0.48</v>
    <v>-2.2039E-2</v>
    <v>3480952000</v>
    <v>21.78</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2639</v>
    <v>XMIL</v>
    <v>46157.666666666664</v>
    <v>Borsa Italiana</v>
    <v>39</v>
    <v>21.52</v>
    <v>21.82</v>
    <v>20.94</v>
    <v>11.24</v>
    <v>EUR</v>
    <v>Technogym SpA</v>
    <v>Technogym SpA</v>
    <v>37.950899999999997</v>
    <v>21.3</v>
    <v>Leisure Products</v>
    <v>Via Calcinaro, 2861, CESENA, FORLI-CESENA, 47521 IT</v>
    <v>TGYM</v>
    <v>Acciones</v>
    <v>Technogym SpA (XMIL:TGYM)</v>
    <v>141959</v>
    <v>250020</v>
  </rv>
  <rv s="2">
    <v>40</v>
  </rv>
  <rv s="0">
    <v>https://www.bing.com/financeapi/forcetrigger?t=amg4gh&amp;q=BMEX%3aVID&amp;form=skydnc</v>
    <v>Learn more on Bing</v>
  </rv>
  <rv s="4">
    <v>es-ES</v>
    <v>amg4gh</v>
    <v>268435456</v>
    <v>1</v>
    <v>Con tecnología de Refinitiv</v>
    <v>10</v>
    <v>11</v>
    <v>VIDRALA, S.A. (BMEX:VID)</v>
    <v>3</v>
    <v>12</v>
    <v>Finance</v>
    <v>9</v>
    <v>BMEX</v>
    <v>35206260</v>
    <v>75.400000000000006</v>
    <v>0.96020000000000005</v>
    <v>-0.6</v>
    <v>-7.925999999999999E-3</v>
    <v>3207290000</v>
    <v>75.7</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46157.666666666664</v>
    <v>Bolsas y Mercados Espanoles</v>
    <v>42</v>
    <v>76.2</v>
    <v>95.81</v>
    <v>74.8</v>
    <v>70.400000000000006</v>
    <v>EUR</v>
    <v>VIDRALA, S.A.</v>
    <v>VIDRALA, S.A.</v>
    <v>12.2636</v>
    <v>75.099999999999994</v>
    <v>Containers &amp; Packaging</v>
    <v>Barrio Munegazo, 22, LLODIO, ALAVA, 01400 ES</v>
    <v>VID</v>
    <v>Acciones</v>
    <v>VIDRALA, S.A. (BMEX:VID)</v>
    <v>37845</v>
    <v>38940</v>
  </rv>
  <rv s="2">
    <v>43</v>
  </rv>
  <rv s="0">
    <v>https://www.bing.com/financeapi/forcetrigger?t=c276a2&amp;q=XTSE%3aTFPM&amp;form=skydnc</v>
    <v>Learn more on Bing</v>
  </rv>
  <rv s="1">
    <v>es-ES</v>
    <v>c276a2</v>
    <v>268435456</v>
    <v>1</v>
    <v>Con tecnología de Refinitiv</v>
    <v>0</v>
    <v>1</v>
    <v>Triple Flag Prec (XTSE:TFPM)</v>
    <v>3</v>
    <v>15</v>
    <v>Finance</v>
    <v>16</v>
    <v>XTSE</v>
    <v>206603900</v>
    <v>2019</v>
    <v>45.56</v>
    <v>0.29020000000000001</v>
    <v>-2.99</v>
    <v>0</v>
    <v>-6.3658000000000006E-2</v>
    <v>0</v>
    <v>9086439522</v>
    <v>46.97</v>
    <v>Triple Flag Precious Metals Corp. is a precious metal streaming and royalty company. It offers investors exposure to gold and silver from a total of 237 assets, consisting of 17 streams and 220 royalties, primarily from the Americas and Australia. These streams and royalties are tied to mining assets at various stages of the mine life cycle, including about 30 producing mines and 207 development and exploration stage projects. It has a diversified portfolio of properties in Australia, Canada, Colombia, Cote d’Ivoire, Mexico, Mongolia, Peru, South Africa and the United States. Its diversified portfolio of streams and royalties provides exposure to production from a suite of long-life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46157.833333333336</v>
    <v>Toronto Stock Exchange</v>
    <v>45</v>
    <v>45.56</v>
    <v>57.26</v>
    <v>43.53</v>
    <v>27.1</v>
    <v>CAD</v>
    <v>Triple Flag Prec</v>
    <v>Triple Flag Prec</v>
    <v>20.8993</v>
    <v>43.98</v>
    <v>43.98</v>
    <v>Metals &amp; Mining</v>
    <v>TD Canada Trust Tower, 161 Bay Street, Suite 4535, Toronto, ON, M5J 2S1 CA</v>
    <v>TFPM</v>
    <v>Acciones</v>
    <v>Triple Flag Prec (XTSE:TFPM)</v>
    <v>355635</v>
    <v>234850</v>
  </rv>
  <rv s="2">
    <v>46</v>
  </rv>
  <rv s="0">
    <v>https://www.bing.com/financeapi/forcetrigger?t=a1ygoc&amp;q=XNAS%3aNFLX&amp;form=skydnc</v>
    <v>Learn more on Bing</v>
  </rv>
  <rv s="1">
    <v>es-ES</v>
    <v>a1ygoc</v>
    <v>268435456</v>
    <v>1</v>
    <v>Con tecnología de Refinitiv</v>
    <v>0</v>
    <v>1</v>
    <v>NETFLIX, INC. (XNAS:NFLX)</v>
    <v>3</v>
    <v>4</v>
    <v>Finance</v>
    <v>5</v>
    <v>XNAS</v>
    <v>4210798000</v>
    <v>1997</v>
    <v>87.69</v>
    <v>1.5130999999999999</v>
    <v>0.08</v>
    <v>-1.833E-3</v>
    <v>9.2020000000000003E-4</v>
    <v>-0.1595</v>
    <v>366423641960</v>
    <v>86.94</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46157.999932753904</v>
    <v>Nasdaq Stock Market</v>
    <v>48</v>
    <v>89.49</v>
    <v>134.11500000000001</v>
    <v>86.685000000000002</v>
    <v>75.010000000000005</v>
    <v>USD</v>
    <v>NETFLIX, INC.</v>
    <v>NETFLIX, INC.</v>
    <v>28.0931</v>
    <v>87.02</v>
    <v>86.860500000000002</v>
    <v>Software &amp; IT Services</v>
    <v>121 Albright Way, LOS GATOS, CA, 95032 US</v>
    <v>NFLX</v>
    <v>Acciones</v>
    <v>NETFLIX, INC. (XNAS:NFLX)</v>
    <v>32335655</v>
    <v>41648227</v>
  </rv>
  <rv s="2">
    <v>49</v>
  </rv>
  <rv s="0">
    <v>https://www.bing.com/financeapi/forcetrigger?t=a1yjxm&amp;q=XNYS%3aNKE&amp;form=skydnc</v>
    <v>Learn more on Bing</v>
  </rv>
  <rv s="1">
    <v>es-ES</v>
    <v>a1yjxm</v>
    <v>268435456</v>
    <v>1</v>
    <v>Con tecnología de Refinitiv</v>
    <v>0</v>
    <v>1</v>
    <v>NIKE, INC. (XNYS:NKE)</v>
    <v>3</v>
    <v>4</v>
    <v>Finance</v>
    <v>5</v>
    <v>XNYS</v>
    <v>1480887000</v>
    <v>1969</v>
    <v>42</v>
    <v>1.1073</v>
    <v>-0.14000000000000001</v>
    <v>1.433E-3</v>
    <v>-3.3319999999999999E-3</v>
    <v>0.06</v>
    <v>62019547560</v>
    <v>42.02</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77800</v>
    <v>XNYS</v>
    <v>46157.999957337503</v>
    <v>New York Stock Exchange</v>
    <v>51</v>
    <v>42.774999999999999</v>
    <v>80.165000000000006</v>
    <v>41.835000000000001</v>
    <v>41.7</v>
    <v>USD</v>
    <v>NIKE, INC.</v>
    <v>NIKE, INC.</v>
    <v>27.550799999999999</v>
    <v>41.88</v>
    <v>41.94</v>
    <v>Textiles &amp; Apparel</v>
    <v>One Bowerman Dr, BEAVERTON, OR, 97005-6453 US</v>
    <v>NKE</v>
    <v>Acciones</v>
    <v>NIKE, INC. (XNYS:NKE)</v>
    <v>26172643</v>
    <v>20519290</v>
  </rv>
  <rv s="2">
    <v>52</v>
  </rv>
  <rv s="0">
    <v>https://www.bing.com/financeapi/forcetrigger?t=amwwgh&amp;q=XSTO%3aMIPS&amp;form=skydnc</v>
    <v>Learn more on Bing</v>
  </rv>
  <rv s="5">
    <v>es-ES</v>
    <v>amwwgh</v>
    <v>268435456</v>
    <v>1</v>
    <v>Con tecnología de Refinitiv</v>
    <v>17</v>
    <v>18</v>
    <v>MIPS (XSTO:MIPS)</v>
    <v>3</v>
    <v>19</v>
    <v>Finance</v>
    <v>20</v>
    <v>XSTO</v>
    <v>26491120</v>
    <v>2001</v>
    <v>265</v>
    <v>2.0272000000000001</v>
    <v>-8.6</v>
    <v>-3.2452999999999996E-2</v>
    <v>8599019000</v>
    <v>265</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125</v>
    <v>XSTO</v>
    <v>46157.666666666664</v>
    <v>NASDAQ Stockholm</v>
    <v>54</v>
    <v>266</v>
    <v>253.8</v>
    <v>SEK</v>
    <v>MIPS</v>
    <v>MIPS</v>
    <v>54.07</v>
    <v>256.39999999999998</v>
    <v>Leisure Products</v>
    <v>Kemistvagen 1B, STOCKHOLM, 183 79 SE</v>
    <v>MIPS</v>
    <v>Acciones</v>
    <v>MIPS (XSTO:MIPS)</v>
    <v>134325</v>
    <v>112770</v>
  </rv>
  <rv s="2">
    <v>55</v>
  </rv>
  <rv s="0">
    <v>https://www.bing.com/financeapi/forcetrigger?t=a325ur&amp;q=XNYS%3aFERG&amp;form=skydnc</v>
    <v>Learn more on Bing</v>
  </rv>
  <rv s="1">
    <v>es-ES</v>
    <v>a325ur</v>
    <v>268435456</v>
    <v>1</v>
    <v>Con tecnología de Refinitiv</v>
    <v>0</v>
    <v>1</v>
    <v>FERGUSON ENTERPRISES INC. (XNYS:FERG)</v>
    <v>3</v>
    <v>4</v>
    <v>Finance</v>
    <v>5</v>
    <v>XNYS</v>
    <v>193937800</v>
    <v>2024</v>
    <v>227.51</v>
    <v>1.1558999999999999</v>
    <v>-7.29</v>
    <v>1.9971000000000003E-2</v>
    <v>-3.1543000000000002E-2</v>
    <v>4.47</v>
    <v>43407158396</v>
    <v>231.11</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46157.986833495313</v>
    <v>New York Stock Exchange</v>
    <v>57</v>
    <v>227.53280000000001</v>
    <v>271.64</v>
    <v>223.39</v>
    <v>175.57</v>
    <v>USD</v>
    <v>FERGUSON ENTERPRISES INC.</v>
    <v>FERGUSON ENTERPRISES INC.</v>
    <v>22.024999999999999</v>
    <v>223.82</v>
    <v>228.29</v>
    <v>Homebuilding &amp; Construction Supplies</v>
    <v>751 Lakefront Commons, NEWPORT NEWS, VA, 23606 US</v>
    <v>FERG</v>
    <v>Acciones</v>
    <v>FERGUSON ENTERPRISES INC. (XNYS:FERG)</v>
    <v>1605885</v>
    <v>1343720</v>
  </rv>
  <rv s="2">
    <v>58</v>
  </rv>
  <rv s="0">
    <v>https://www.bing.com/financeapi/forcetrigger?t=c2kadm&amp;q=XNYS%3aS&amp;form=skydnc</v>
    <v>Learn more on Bing</v>
  </rv>
  <rv s="6">
    <v>es-ES</v>
    <v>c2kadm</v>
    <v>268435456</v>
    <v>1</v>
    <v>Con tecnología de Refinitiv</v>
    <v>21</v>
    <v>22</v>
    <v>SENTINELONE, INC. (XNYS:S)</v>
    <v>3</v>
    <v>23</v>
    <v>Finance</v>
    <v>5</v>
    <v>XNYS</v>
    <v>341482100</v>
    <v>2013</v>
    <v>16.440000000000001</v>
    <v>0.82179999999999997</v>
    <v>0.35</v>
    <v>-6.5239999999999994E-3</v>
    <v>2.1198999999999999E-2</v>
    <v>-0.11</v>
    <v>5757388206</v>
    <v>16.510000000000002</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2900</v>
    <v>XNYS</v>
    <v>46157.999995185157</v>
    <v>New York Stock Exchange</v>
    <v>60</v>
    <v>17.375</v>
    <v>21.4</v>
    <v>16.254999999999999</v>
    <v>11.81</v>
    <v>USD</v>
    <v>SENTINELONE, INC.</v>
    <v>SENTINELONE, INC.</v>
    <v>16.86</v>
    <v>16.75</v>
    <v>Software &amp; IT Services</v>
    <v>444 Castro Street, Suite 400, MOUNTAIN VIEW, CA, 94041 US</v>
    <v>S</v>
    <v>Acciones</v>
    <v>SENTINELONE, INC. (XNYS:S)</v>
    <v>7980486</v>
    <v>7264263</v>
  </rv>
  <rv s="2">
    <v>61</v>
  </rv>
  <rv s="0">
    <v>https://www.bing.com/financeapi/forcetrigger?t=a24grw&amp;q=XNYS%3aTREX&amp;form=skydnc</v>
    <v>Learn more on Bing</v>
  </rv>
  <rv s="1">
    <v>es-ES</v>
    <v>a24grw</v>
    <v>268435456</v>
    <v>1</v>
    <v>Con tecnología de Refinitiv</v>
    <v>0</v>
    <v>1</v>
    <v>TREX COMPANY, INC. (XNYS:TREX)</v>
    <v>3</v>
    <v>4</v>
    <v>Finance</v>
    <v>5</v>
    <v>XNYS</v>
    <v>103898700</v>
    <v>1998</v>
    <v>38.03</v>
    <v>1.4970000000000001</v>
    <v>-1.1499999999999999</v>
    <v>1.2019E-2</v>
    <v>-2.98E-2</v>
    <v>0.45</v>
    <v>3889967328</v>
    <v>38.590000000000003</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46157.959311435159</v>
    <v>New York Stock Exchange</v>
    <v>63</v>
    <v>38.47</v>
    <v>68.78</v>
    <v>36.96</v>
    <v>29.77</v>
    <v>USD</v>
    <v>TREX COMPANY, INC.</v>
    <v>TREX COMPANY, INC.</v>
    <v>20.828900000000001</v>
    <v>37.44</v>
    <v>37.89</v>
    <v>Homebuilding &amp; Construction Supplies</v>
    <v>2500 TREX WAY, WINCHESTER, VA, 22601 US</v>
    <v>TREX</v>
    <v>Acciones</v>
    <v>TREX COMPANY, INC. (XNYS:TREX)</v>
    <v>1897619</v>
    <v>2034417</v>
  </rv>
  <rv s="2">
    <v>64</v>
  </rv>
  <rv s="0">
    <v>https://www.bing.com/financeapi/forcetrigger?t=aea12w&amp;q=XPAR%3aSGO&amp;form=skydnc</v>
    <v>Learn more on Bing</v>
  </rv>
  <rv s="3">
    <v>es-ES</v>
    <v>aea12w</v>
    <v>268435456</v>
    <v>1</v>
    <v>Con tecnología de Refinitiv</v>
    <v>6</v>
    <v>7</v>
    <v>Compagnie de Saint Gobain SA (XPAR:SGO)</v>
    <v>3</v>
    <v>8</v>
    <v>Finance</v>
    <v>9</v>
    <v>XPAR</v>
    <v>494825300</v>
    <v>1981</v>
    <v>75.2</v>
    <v>1.4155</v>
    <v>-2.1800000000000002</v>
    <v>-2.8459999999999999E-2</v>
    <v>41397000000</v>
    <v>76.599999999999994</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46157.666666666664</v>
    <v>Euronext Paris</v>
    <v>66</v>
    <v>75.760000000000005</v>
    <v>104.65</v>
    <v>74.260000000000005</v>
    <v>65.88</v>
    <v>EUR</v>
    <v>Compagnie de Saint Gobain SA</v>
    <v>Compagnie de Saint Gobain SA</v>
    <v>12.7608</v>
    <v>74.42</v>
    <v>Homebuilding &amp; Construction Supplies</v>
    <v>Tour Saint-Gobain, 12 place de l'Iris, La Defense Cedex, 92096 FR</v>
    <v>SGO</v>
    <v>Acciones</v>
    <v>Compagnie de Saint Gobain SA (XPAR:SGO)</v>
    <v>1521572</v>
    <v>1168020</v>
  </rv>
  <rv s="2">
    <v>67</v>
  </rv>
  <rv s="0">
    <v>https://www.bing.com/financeapi/forcetrigger?t=aea7cw&amp;q=XPAR%3aTFF&amp;form=skydnc</v>
    <v>Learn more on Bing</v>
  </rv>
  <rv s="3">
    <v>es-ES</v>
    <v>aea7cw</v>
    <v>268435456</v>
    <v>1</v>
    <v>Con tecnología de Refinitiv</v>
    <v>6</v>
    <v>7</v>
    <v>Tonnellerie FF (XPAR:TFF)</v>
    <v>3</v>
    <v>8</v>
    <v>Finance</v>
    <v>9</v>
    <v>XPAR</v>
    <v>21680000</v>
    <v>1956</v>
    <v>16.96</v>
    <v>0.57609999999999995</v>
    <v>0.06</v>
    <v>3.5379999999999999E-3</v>
    <v>379400000</v>
    <v>16.96</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46157.666666666664</v>
    <v>Euronext Paris</v>
    <v>69</v>
    <v>17.02</v>
    <v>25.3</v>
    <v>16.899999999999999</v>
    <v>14.65</v>
    <v>EUR</v>
    <v>Tonnellerie FF</v>
    <v>Tonnellerie FF</v>
    <v>15.753399999999999</v>
    <v>17.02</v>
    <v>Containers &amp; Packaging</v>
    <v>Route departementale 17, Saint-Romain, SAINT-ROMAIN-AU-MONT-D OR, AUVERGNE-RHONE-ALPES, 21190 FR</v>
    <v>TFF</v>
    <v>Acciones</v>
    <v>Tonnellerie FF (XPAR:TFF)</v>
    <v>1081</v>
    <v>3000</v>
  </rv>
  <rv s="2">
    <v>70</v>
  </rv>
  <rv s="0">
    <v>https://www.bing.com/financeapi/forcetrigger?t=a1pghw&amp;q=XNAS%3aCELH&amp;form=skydnc</v>
    <v>Learn more on Bing</v>
  </rv>
  <rv s="1">
    <v>es-ES</v>
    <v>a1pghw</v>
    <v>268435456</v>
    <v>1</v>
    <v>Con tecnología de Refinitiv</v>
    <v>0</v>
    <v>1</v>
    <v>CELSIUS HOLDINGS, INC. (XNAS:CELH)</v>
    <v>3</v>
    <v>4</v>
    <v>Finance</v>
    <v>5</v>
    <v>XNAS</v>
    <v>255640400</v>
    <v>2005</v>
    <v>29.01</v>
    <v>0.89349999999999996</v>
    <v>1.1499999999999999</v>
    <v>2.3210000000000001E-3</v>
    <v>3.9641999999999997E-2</v>
    <v>7.0000000000000007E-2</v>
    <v>7710114464</v>
    <v>29.01</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46157.999854628906</v>
    <v>Nasdaq Stock Market</v>
    <v>72</v>
    <v>30.426200000000001</v>
    <v>66.739999999999995</v>
    <v>28.934999999999999</v>
    <v>27.66</v>
    <v>USD</v>
    <v>CELSIUS HOLDINGS, INC.</v>
    <v>CELSIUS HOLDINGS, INC.</v>
    <v>69.048400000000001</v>
    <v>30.16</v>
    <v>30.23</v>
    <v>Beverages</v>
    <v>2424 N. Federal Hwy, Suite 208, BOCA RATON, FL, 33431 US</v>
    <v>CELH</v>
    <v>Acciones</v>
    <v>CELSIUS HOLDINGS, INC. (XNAS:CELH)</v>
    <v>9162583</v>
    <v>9263196</v>
  </rv>
  <rv s="2">
    <v>73</v>
  </rv>
  <rv s="0">
    <v>https://www.bing.com/financeapi/forcetrigger?t=alo1ar&amp;q=XAMS%3aBFIT&amp;form=skydnc</v>
    <v>Learn more on Bing</v>
  </rv>
  <rv s="3">
    <v>es-ES</v>
    <v>alo1ar</v>
    <v>268435456</v>
    <v>1</v>
    <v>Con tecnología de Refinitiv</v>
    <v>6</v>
    <v>7</v>
    <v>Basic-Fit NV (XAMS:BFIT)</v>
    <v>3</v>
    <v>8</v>
    <v>Finance</v>
    <v>9</v>
    <v>XAMS</v>
    <v>66000000</v>
    <v>2016</v>
    <v>29.38</v>
    <v>0.8155</v>
    <v>-0.1</v>
    <v>-3.3760000000000001E-3</v>
    <v>1974720000</v>
    <v>29.62</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46157.666666666664</v>
    <v>Euronext Amsterdam</v>
    <v>75</v>
    <v>29.54</v>
    <v>34.76</v>
    <v>29.06</v>
    <v>19.920000000000002</v>
    <v>EUR</v>
    <v>Basic-Fit NV</v>
    <v>Basic-Fit NV</v>
    <v>131.19999999999999</v>
    <v>29.52</v>
    <v>Hotels &amp; Entertainment Services</v>
    <v>Wegalaan 60, HOOFDDORP, NOORD-HOLLAND, 2132JC NL</v>
    <v>BFIT</v>
    <v>Acciones</v>
    <v>Basic-Fit NV (XAMS:BFIT)</v>
    <v>81901</v>
    <v>148970</v>
  </rv>
  <rv s="2">
    <v>76</v>
  </rv>
  <rv s="0">
    <v>https://www.bing.com/financeapi/forcetrigger?t=bscvur&amp;q=XWBO%3aVRLA&amp;form=skydnc</v>
    <v>Learn more on Bing</v>
  </rv>
  <rv s="5">
    <v>es-ES</v>
    <v>bscvur</v>
    <v>268435456</v>
    <v>1</v>
    <v>Con tecnología de Refinitiv</v>
    <v>17</v>
    <v>18</v>
    <v>Verallia SA (XWBO:VRLA)</v>
    <v>3</v>
    <v>24</v>
    <v>Finance</v>
    <v>9</v>
    <v>XWBO</v>
    <v>120805100</v>
    <v>2015</v>
    <v>19.68</v>
    <v>1.1356999999999999</v>
    <v>-0.41</v>
    <v>-2.0357E-2</v>
    <v>2800262000</v>
    <v>20.14</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46150</v>
    <v>Wiener Boerse</v>
    <v>78</v>
    <v>19.78</v>
    <v>19.68</v>
    <v>EUR</v>
    <v>Verallia SA</v>
    <v>Verallia SA</v>
    <v>25.98</v>
    <v>19.73</v>
    <v>Containers &amp; Packaging</v>
    <v>TOUR CARPE DIEM - ESPLANADE NORD, 31 PLACE DES COROLLES, COURBEVOIE, ILE-DE-FRANCE, 92400 FR</v>
    <v>VRLA</v>
    <v>Acciones</v>
    <v>Verallia SA (XWBO:VRLA)</v>
    <v>213</v>
    <v>28520</v>
  </rv>
  <rv s="2">
    <v>79</v>
  </rv>
  <rv s="7">
    <v>es-ES</v>
    <v>c8f4a2</v>
    <v>268435456</v>
    <v>1</v>
    <v>Con tecnología de Refinitiv</v>
    <v>25</v>
    <v>26</v>
    <v>Kistos Holdings (XLON:KIST)</v>
    <v>27</v>
    <v>28</v>
    <v>Finance</v>
    <v>29</v>
    <v>XLON</v>
    <v>83117650</v>
    <v>2022</v>
    <v>295</v>
    <v>1.1446000000000001</v>
    <v>4</v>
    <v>1.3698999999999999E-2</v>
    <v>170389700</v>
    <v>292</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Netherlands, it is engaged in the production and sale of gas and other hydrocarbons from the Q10-A field, and the appraisal and development of other Dutch licenses. In Norway, it is engaged in the production of oil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 The facilities are located two kilometers to the north of Crewe in Cheshire.</v>
    <v>52</v>
    <v>XLON</v>
    <v>46157.64932883047</v>
    <v>London Stock Exchange</v>
    <v>299</v>
    <v>335</v>
    <v>296</v>
    <v>135</v>
    <v>GBp</v>
    <v>Kistos Holdings</v>
    <v>Kistos Holdings</v>
    <v>0</v>
    <v>296</v>
    <v>Oil &amp; Gas</v>
    <v>2nd Floor, 3 St James Square, NaN, LONDON, SW1Y 4JU GB</v>
    <v>KIST</v>
    <v>Acciones</v>
    <v>Kistos Holdings (XLON:KIST)</v>
    <v>65992</v>
    <v>214570</v>
  </rv>
  <rv s="2">
    <v>81</v>
  </rv>
  <rv s="0">
    <v>https://www.bing.com/financeapi/forcetrigger?t=bq9y7w&amp;q=XLON%3aWOSG&amp;form=skydnc</v>
    <v>Learn more on Bing</v>
  </rv>
  <rv s="3">
    <v>es-ES</v>
    <v>bq9y7w</v>
    <v>268435456</v>
    <v>1</v>
    <v>Con tecnología de Refinitiv</v>
    <v>6</v>
    <v>7</v>
    <v>Watches of CH (XLON:WOSG)</v>
    <v>3</v>
    <v>28</v>
    <v>Finance</v>
    <v>29</v>
    <v>XLON</v>
    <v>233301600</v>
    <v>2019</v>
    <v>621</v>
    <v>2.3858999999999999</v>
    <v>12.5</v>
    <v>1.9747000000000001E-2</v>
    <v>1100250000</v>
    <v>633</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2907</v>
    <v>XLON</v>
    <v>46157.695879629631</v>
    <v>London Stock Exchange</v>
    <v>83</v>
    <v>645.5</v>
    <v>645.5</v>
    <v>603.5</v>
    <v>316.2</v>
    <v>GBp</v>
    <v>Watches of CH</v>
    <v>Watches of CH</v>
    <v>20.988499999999998</v>
    <v>645.5</v>
    <v>Specialty Retailers</v>
    <v>CARLTON PARK KING EDWARD AVENUE, Narborough, LE19 0AL GB</v>
    <v>WOSG</v>
    <v>Acciones</v>
    <v>Watches of CH (XLON:WOSG)</v>
    <v>1094438</v>
    <v>663460</v>
  </rv>
  <rv s="2">
    <v>84</v>
  </rv>
  <rv s="0">
    <v>https://www.bing.com/financeapi/forcetrigger?t=aayx5r&amp;q=XTSE%3aIPCO&amp;form=skydnc</v>
    <v>Learn more on Bing</v>
  </rv>
  <rv s="1">
    <v>es-ES</v>
    <v>aayx5r</v>
    <v>268435456</v>
    <v>1</v>
    <v>Con tecnología de Refinitiv</v>
    <v>0</v>
    <v>1</v>
    <v>INTERNATIONAL PETROLEUM CORPORATION (XTSE:IPCO)</v>
    <v>3</v>
    <v>30</v>
    <v>Finance</v>
    <v>16</v>
    <v>XTSE</v>
    <v>112826800</v>
    <v>2017</v>
    <v>38.25</v>
    <v>0.36059999999999998</v>
    <v>0.68</v>
    <v>0</v>
    <v>1.7834000000000003E-2</v>
    <v>0</v>
    <v>19431310000</v>
    <v>38.130000000000003</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46157.833333333336</v>
    <v>Toronto Stock Exchange</v>
    <v>86</v>
    <v>38.950000000000003</v>
    <v>39.08</v>
    <v>37.840000000000003</v>
    <v>18.8</v>
    <v>CAD</v>
    <v>INTERNATIONAL PETROLEUM CORPORATION</v>
    <v>INTERNATIONAL PETROLEUM CORPORATION</v>
    <v>130.20429999999999</v>
    <v>38.81</v>
    <v>38.81</v>
    <v>Oil &amp; Gas</v>
    <v>Suite 2800, 1055 Dunsmuir Street, VANCOUVER, BC, V7X 1L2 CA</v>
    <v>IPCO</v>
    <v>Acciones</v>
    <v>INTERNATIONAL PETROLEUM CORPORATION (XTSE:IPCO)</v>
    <v>151482</v>
    <v>229670</v>
  </rv>
  <rv s="2">
    <v>87</v>
  </rv>
  <rv s="0">
    <v>https://www.bing.com/financeapi/forcetrigger?t=c1w41h&amp;q=XNAS%3aOTLY&amp;form=skydnc</v>
    <v>Learn more on Bing</v>
  </rv>
  <rv s="1">
    <v>es-ES</v>
    <v>c1w41h</v>
    <v>268435456</v>
    <v>1</v>
    <v>Con tecnología de Refinitiv</v>
    <v>0</v>
    <v>1</v>
    <v>Oatly Group (XNAS:OTLY)</v>
    <v>3</v>
    <v>4</v>
    <v>Finance</v>
    <v>5</v>
    <v>XNAS</v>
    <v>31225000</v>
    <v>2016</v>
    <v>9.91</v>
    <v>1.8686</v>
    <v>0.06</v>
    <v>8.9020000000000002E-3</v>
    <v>5.9699999999999996E-3</v>
    <v>0.09</v>
    <v>315684750</v>
    <v>10.050000000000001</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1379</v>
    <v>XNAS</v>
    <v>46157.998692071094</v>
    <v>Nasdaq Stock Market</v>
    <v>89</v>
    <v>10.18</v>
    <v>18.84</v>
    <v>9.82</v>
    <v>9.26</v>
    <v>USD</v>
    <v>Oatly Group</v>
    <v>Oatly Group</v>
    <v>0</v>
    <v>10.11</v>
    <v>10.199999999999999</v>
    <v>Food &amp; Tobacco</v>
    <v>Angfarjekajen 8, MALMO, SKANE, 211 36 SE</v>
    <v>OTLY</v>
    <v>Acciones</v>
    <v>Oatly Group (XNAS:OTLY)</v>
    <v>61112</v>
    <v>74637</v>
  </rv>
  <rv s="2">
    <v>90</v>
  </rv>
  <rv s="8">
    <v>12</v>
    <v>Símbolo bursátil</v>
    <v>0</v>
  </rv>
  <rv s="8">
    <v>12</v>
    <v>Abreviatura de intercambio</v>
    <v>0</v>
  </rv>
  <rv s="8">
    <v>12</v>
    <v>Moneda</v>
    <v>0</v>
  </rv>
  <rv s="8">
    <v>12</v>
    <v>Precio</v>
    <v>0</v>
  </rv>
  <rv s="8">
    <v>12</v>
    <v>Acciones en circulación</v>
    <v>0</v>
  </rv>
  <rv s="9">
    <v>12</v>
    <v>1</v>
  </rv>
  <rv s="10">
    <v>es-ES</v>
    <v>av8wim</v>
    <v>268435456</v>
    <v>1</v>
    <v>Con tecnología de Refinitiv</v>
    <v>31</v>
    <v>32</v>
    <v>EUR/JPY</v>
    <v>33</v>
    <v>34</v>
    <v>Finance</v>
    <v>35</v>
    <v>0.16</v>
    <v>8.5750000000000008E-4</v>
    <v>186.59</v>
    <v>EUR</v>
    <v>46136.907847222225</v>
    <v>187.93</v>
    <v>160.91999999999999</v>
    <v>JPY</v>
    <v>Euro/Japanese Yen FX Cross Rate</v>
    <v>186.75</v>
    <v>EURJPY</v>
    <v>Par de divisa</v>
    <v>EUR/JPY</v>
  </rv>
  <rv s="2">
    <v>98</v>
  </rv>
  <rv s="10">
    <v>es-ES</v>
    <v>avv7r7</v>
    <v>268435456</v>
    <v>1</v>
    <v>Con tecnología de Refinitiv</v>
    <v>31</v>
    <v>32</v>
    <v>CHF/USD</v>
    <v>33</v>
    <v>36</v>
    <v>Finance</v>
    <v>35</v>
    <v>1.9E-3</v>
    <v>1.4940000000000001E-3</v>
    <v>1.2715000000000001</v>
    <v>CHF</v>
    <v>46136.891284722224</v>
    <v>1.3149</v>
    <v>1.1795</v>
    <v>USD</v>
    <v>Swiss Franc/US Dollar FX Cross Rate</v>
    <v>1.2734000000000001</v>
    <v>CHFUSD</v>
    <v>Par de divisa</v>
    <v>CHF/USD</v>
  </rv>
  <rv s="2">
    <v>100</v>
  </rv>
  <rv s="10">
    <v>es-ES</v>
    <v>avyosm</v>
    <v>268435456</v>
    <v>1</v>
    <v>Con tecnología de Refinitiv</v>
    <v>31</v>
    <v>32</v>
    <v>USD/KZT</v>
    <v>33</v>
    <v>37</v>
    <v>Finance</v>
    <v>35</v>
    <v>0.27</v>
    <v>5.8200000000000005E-4</v>
    <v>463.91</v>
    <v>USD</v>
    <v>46136.583773148152</v>
    <v>549.66</v>
    <v>458.61</v>
    <v>KZT</v>
    <v>US Dollar/Kazakhstan Tenge FX Spot Rate</v>
    <v>464.18</v>
    <v>USDKZT</v>
    <v>Par de divisa</v>
    <v>USD/KZT</v>
  </rv>
  <rv s="2">
    <v>102</v>
  </rv>
  <rv s="10">
    <v>es-ES</v>
    <v>av3wnm</v>
    <v>268435456</v>
    <v>1</v>
    <v>Con tecnología de Refinitiv</v>
    <v>31</v>
    <v>32</v>
    <v>CAD/USD</v>
    <v>33</v>
    <v>36</v>
    <v>Finance</v>
    <v>35</v>
    <v>1.8E-3</v>
    <v>2.4660000000000003E-3</v>
    <v>0.7298</v>
    <v>CAD</v>
    <v>46136.874988425923</v>
    <v>0.74170000000000003</v>
    <v>0.70709999999999995</v>
    <v>USD</v>
    <v>Canadian Dollar/US Dollar FX Cross Rate</v>
    <v>0.73160000000000003</v>
    <v>CADUSD</v>
    <v>Par de divisa</v>
    <v>CAD/USD</v>
  </rv>
  <rv s="2">
    <v>104</v>
  </rv>
  <rv s="10">
    <v>es-ES</v>
    <v>avyn9c</v>
    <v>268435456</v>
    <v>1</v>
    <v>Con tecnología de Refinitiv</v>
    <v>31</v>
    <v>32</v>
    <v>USD/EUR</v>
    <v>33</v>
    <v>38</v>
    <v>Finance</v>
    <v>35</v>
    <v>-2.7000000000000001E-3</v>
    <v>-3.1549999999999998E-3</v>
    <v>0.85589999999999999</v>
    <v>USD</v>
    <v>46136.907847222225</v>
    <v>0.90369999999999995</v>
    <v>0.82779999999999998</v>
    <v>EUR</v>
    <v>US Dollar/Euro FX Cross Rate</v>
    <v>0.85319999999999996</v>
    <v>USDEUR</v>
    <v>Par de divisa</v>
    <v>USD/EUR</v>
  </rv>
  <rv s="2">
    <v>106</v>
  </rv>
</rvData>
</file>

<file path=xl/richData/rdrichvaluestructure.xml><?xml version="1.0" encoding="utf-8"?>
<rvStructures xmlns="http://schemas.microsoft.com/office/spreadsheetml/2017/richdata" count="11">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
    <k n="%cvi" t="r"/>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error">
    <k n="errorType" t="i"/>
    <k n="field" t="s"/>
    <k n="subType" t="i"/>
  </s>
  <s t="_error">
    <k n="errorType" t="i"/>
    <k n="propagated" t="b"/>
  </s>
  <s t="_linkedentitycore">
    <k n="%EntityCulture" t="s"/>
    <k n="%EntityId" t="s"/>
    <k n="%EntityServiceId"/>
    <k n="%IsRefreshable" t="b"/>
    <k n="%ProviderInfo" t="s"/>
    <k n="_CanonicalPropertyNames" t="spb"/>
    <k n="_Display" t="spb"/>
    <k n="_DisplayString" t="s"/>
    <k n="_Flags" t="spb"/>
    <k n="_Format" t="spb"/>
    <k n="_Icon" t="s"/>
    <k n="_SubLabel" t="spb"/>
    <k n="Cambio"/>
    <k n="Cambio (%)"/>
    <k n="Cierre anterior"/>
    <k n="De la moneda" t="s"/>
    <k n="Hora de la última operación"/>
    <k n="Máximo en 52 semanas"/>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7">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5">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Máximo en 52 semanas</v>
      <v t="s">Mínimo en 52 semanas</v>
      <v t="s">Tipo de instrumento</v>
      <v t="s">_Flags</v>
      <v t="s">UniqueName</v>
      <v t="s">_DisplayString</v>
      <v t="s">%ProviderInfo</v>
    </a>
  </spbArrays>
  <spbData count="39">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0</v>
      <v>Name</v>
      <v>LearnMoreOnLink</v>
    </spb>
    <spb s="2">
      <v>0</v>
      <v>0</v>
      <v>0</v>
    </spb>
    <spb s="3">
      <v>2</v>
      <v>2</v>
      <v>2</v>
      <v>2</v>
    </spb>
    <spb s="4">
      <v>1</v>
      <v>1</v>
      <v>2</v>
      <v>2</v>
      <v>2</v>
      <v>3</v>
      <v>2</v>
      <v>4</v>
      <v>2</v>
      <v>4</v>
      <v>5</v>
      <v>2</v>
      <v>4</v>
      <v>6</v>
      <v>7</v>
      <v>2</v>
      <v>2</v>
      <v>4</v>
      <v>2</v>
      <v>8</v>
      <v>2</v>
      <v>5</v>
      <v>9</v>
    </spb>
    <spb s="5">
      <v xml:space="preserve">desde el cierre anterior </v>
      <v xml:space="preserve">al cierre </v>
      <v xml:space="preserve">desde el cierre anterior </v>
      <v>Origen: Nasdaq</v>
      <v xml:space="preserve">desde el cierre </v>
      <v>Retrasado 15 minutos</v>
      <v xml:space="preserve">desde el cierre </v>
      <v>GMT</v>
    </spb>
    <spb s="6">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1</v>
      <v>1</v>
      <v>10</v>
      <v>10</v>
      <v>10</v>
      <v>3</v>
      <v>10</v>
      <v>4</v>
      <v>10</v>
      <v>4</v>
      <v>5</v>
      <v>10</v>
      <v>4</v>
      <v>6</v>
      <v>7</v>
      <v>10</v>
      <v>10</v>
      <v>4</v>
      <v>11</v>
      <v>9</v>
    </spb>
    <spb s="8">
      <v xml:space="preserve">desde el cierre anterior </v>
      <v>Retrasado 15 minutos</v>
      <v xml:space="preserve">desde el cierre anterior </v>
      <v>GMT</v>
    </spb>
    <spb s="9">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2</v>
      <v>Name</v>
      <v>LearnMoreOnLink</v>
    </spb>
    <spb s="10">
      <v>1</v>
      <v>1</v>
      <v>10</v>
      <v>10</v>
      <v>10</v>
      <v>3</v>
      <v>10</v>
      <v>4</v>
      <v>10</v>
      <v>4</v>
      <v>5</v>
      <v>10</v>
      <v>4</v>
      <v>6</v>
      <v>10</v>
      <v>10</v>
      <v>4</v>
      <v>11</v>
      <v>9</v>
    </spb>
    <spb s="11">
      <v xml:space="preserve">desde el cierre anterior </v>
      <v>Retrasado 15 minutos</v>
      <v xml:space="preserve">desde el cierre anterior </v>
      <v>Borsa Italia</v>
      <v>GMT</v>
    </spb>
    <spb s="7">
      <v>1</v>
      <v>1</v>
      <v>12</v>
      <v>12</v>
      <v>12</v>
      <v>3</v>
      <v>12</v>
      <v>4</v>
      <v>12</v>
      <v>4</v>
      <v>5</v>
      <v>12</v>
      <v>4</v>
      <v>6</v>
      <v>7</v>
      <v>12</v>
      <v>12</v>
      <v>4</v>
      <v>13</v>
      <v>9</v>
    </spb>
    <spb s="4">
      <v>1</v>
      <v>1</v>
      <v>14</v>
      <v>14</v>
      <v>14</v>
      <v>3</v>
      <v>14</v>
      <v>4</v>
      <v>14</v>
      <v>4</v>
      <v>5</v>
      <v>14</v>
      <v>4</v>
      <v>6</v>
      <v>7</v>
      <v>14</v>
      <v>14</v>
      <v>4</v>
      <v>14</v>
      <v>15</v>
      <v>14</v>
      <v>5</v>
      <v>9</v>
    </spb>
    <spb s="12">
      <v xml:space="preserve">desde el cierre anterior </v>
      <v xml:space="preserve">al cierre </v>
      <v xml:space="preserve">desde el cierre anterior </v>
      <v xml:space="preserve">desde el cierre </v>
      <v>Retrasado 20 minutos</v>
      <v xml:space="preserve">desde el cierre </v>
      <v>GMT</v>
    </spb>
    <spb s="13">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3</v>
      <v>Name</v>
      <v>LearnMoreOnLink</v>
    </spb>
    <spb s="14">
      <v>1</v>
      <v>1</v>
      <v>16</v>
      <v>16</v>
      <v>16</v>
      <v>3</v>
      <v>16</v>
      <v>4</v>
      <v>16</v>
      <v>4</v>
      <v>5</v>
      <v>16</v>
      <v>4</v>
      <v>6</v>
      <v>7</v>
      <v>4</v>
      <v>17</v>
      <v>9</v>
    </spb>
    <spb s="11">
      <v xml:space="preserve">desde el cierre anterior </v>
      <v>Retrasado 15 minutos</v>
      <v xml:space="preserve">desde el cierre anterior </v>
      <v>Origen: Nasdaq Nordic</v>
      <v>GMT</v>
    </spb>
    <spb s="15">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4</v>
      <v>Name</v>
      <v>LearnMoreOnLink</v>
    </spb>
    <spb s="16">
      <v>1</v>
      <v>2</v>
      <v>2</v>
      <v>2</v>
      <v>3</v>
      <v>2</v>
      <v>4</v>
      <v>2</v>
      <v>4</v>
      <v>5</v>
      <v>2</v>
      <v>4</v>
      <v>6</v>
      <v>7</v>
      <v>2</v>
      <v>2</v>
      <v>4</v>
      <v>2</v>
      <v>8</v>
      <v>2</v>
      <v>5</v>
      <v>9</v>
    </spb>
    <spb s="14">
      <v>1</v>
      <v>1</v>
      <v>10</v>
      <v>10</v>
      <v>10</v>
      <v>3</v>
      <v>10</v>
      <v>4</v>
      <v>10</v>
      <v>4</v>
      <v>5</v>
      <v>10</v>
      <v>4</v>
      <v>6</v>
      <v>7</v>
      <v>4</v>
      <v>11</v>
      <v>18</v>
    </spb>
    <spb s="17">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8">
      <v>5</v>
      <v>Name</v>
    </spb>
    <spb s="19">
      <v>2</v>
      <v>2</v>
      <v>2</v>
    </spb>
    <spb s="7">
      <v>1</v>
      <v>1</v>
      <v>19</v>
      <v>19</v>
      <v>19</v>
      <v>3</v>
      <v>19</v>
      <v>4</v>
      <v>19</v>
      <v>4</v>
      <v>5</v>
      <v>19</v>
      <v>4</v>
      <v>6</v>
      <v>7</v>
      <v>19</v>
      <v>19</v>
      <v>4</v>
      <v>20</v>
      <v>9</v>
    </spb>
    <spb s="11">
      <v xml:space="preserve">desde el cierre anterior </v>
      <v>Retrasado 15 minutos</v>
      <v xml:space="preserve">desde el cierre anterior </v>
      <v>LSE</v>
      <v>GMT</v>
    </spb>
    <spb s="4">
      <v>1</v>
      <v>1</v>
      <v>14</v>
      <v>14</v>
      <v>14</v>
      <v>3</v>
      <v>14</v>
      <v>4</v>
      <v>14</v>
      <v>4</v>
      <v>5</v>
      <v>14</v>
      <v>4</v>
      <v>6</v>
      <v>7</v>
      <v>14</v>
      <v>14</v>
      <v>4</v>
      <v>14</v>
      <v>17</v>
      <v>14</v>
      <v>5</v>
      <v>9</v>
    </spb>
    <spb s="20">
      <v>Change</v>
      <v>Currency</v>
      <v>Name</v>
      <v>Price</v>
      <v>Change (%)</v>
      <v>UniqueName</v>
      <v>From currency</v>
      <v>%ProviderInfo</v>
      <v>Previous close</v>
      <v>Ticker symbol</v>
      <v>Instrument type</v>
      <v>52 week high</v>
      <v>52 week low</v>
      <v>Last trade time</v>
    </spb>
    <spb s="18">
      <v>6</v>
      <v>Name</v>
    </spb>
    <spb s="21">
      <v>2</v>
      <v>2</v>
    </spb>
    <spb s="22">
      <v>21</v>
      <v>3</v>
      <v>21</v>
      <v>5</v>
      <v>21</v>
      <v>6</v>
      <v>21</v>
      <v>21</v>
      <v>9</v>
    </spb>
    <spb s="23">
      <v>GMT</v>
    </spb>
    <spb s="22">
      <v>2</v>
      <v>3</v>
      <v>2</v>
      <v>5</v>
      <v>2</v>
      <v>6</v>
      <v>2</v>
      <v>2</v>
      <v>9</v>
    </spb>
    <spb s="22">
      <v>22</v>
      <v>3</v>
      <v>22</v>
      <v>5</v>
      <v>22</v>
      <v>6</v>
      <v>22</v>
      <v>22</v>
      <v>9</v>
    </spb>
    <spb s="22">
      <v>10</v>
      <v>3</v>
      <v>10</v>
      <v>5</v>
      <v>10</v>
      <v>6</v>
      <v>10</v>
      <v>10</v>
      <v>9</v>
    </spb>
  </spbData>
</supportingPropertyBags>
</file>

<file path=xl/richData/rdsupportingpropertybagstructure.xml><?xml version="1.0" encoding="utf-8"?>
<spbStructures xmlns="http://schemas.microsoft.com/office/spreadsheetml/2017/richdata2" count="24">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Cambio" t="s"/>
    <k n="Precio" t="s"/>
    <k n="Cambio (%)" t="s"/>
    <k n="ExchangeID" t="s"/>
    <k n="Hora de la última operación" t="s"/>
  </s>
  <s>
    <k n="Cambio" t="s"/>
    <k n="Precio" t="s"/>
    <k n="Cambio (%)"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Cambio" t="s"/>
    <k n="Moneda" t="s"/>
    <k n="Nombre" t="s"/>
    <k n="Precio"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Nombre" t="i"/>
    <k n="Precio"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19" formatCode="dd/mm/yyyy"/>
    </x:dxf>
    <x:dxf>
      <x:numFmt numFmtId="35" formatCode="_-* #,##0.00_-;\-* #,##0.00_-;_-* &quot;-&quot;??_-;_-@_-"/>
    </x:dxf>
  </dxfs>
  <richProperties>
    <rPr n="NumberFormat" t="s"/>
    <rPr n="IsTitle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dxfid="1">
      <rpv i="0">_([$€-x-euro2] * #,##0.00_);_([$€-x-euro2] * (#,##0.00);_([$€-x-euro2] * "-"??_);_(@_)</rpv>
    </rSty>
    <rSty dxfid="1">
      <rpv i="0">_([$€-x-euro2] * #,##0_);_([$€-x-euro2] * (#,##0);_([$€-x-euro2] * "-"_);_(@_)</rpv>
    </rSty>
    <rSty dxfid="1">
      <rpv i="0">_-* #,##0.00 [$CHF-fr-CH]_-;-* #,##0.00 [$CHF-fr-CH]_-;_-* "-"?? [$CHF-fr-CH]_-;_-@_-</rpv>
    </rSty>
    <rSty dxfid="1">
      <rpv i="0">_-* #,##0 [$CHF-fr-CH]_-;-* #,##0 [$CHF-fr-CH]_-;_-* "-" [$CHF-fr-CH]_-;_-@_-</rpv>
    </rSty>
    <rSty dxfid="1">
      <rpv i="0">_-[$$-en-CA]* #,##0.00_-;-[$$-en-CA]* #,##0.00_-;_-[$$-en-CA]* "-"??_-;_-@_-</rpv>
    </rSty>
    <rSty dxfid="1">
      <rpv i="0">_-[$$-en-CA]* #,##0_-;-[$$-en-CA]* #,##0_-;_-[$$-en-CA]* "-"_-;_-@_-</rpv>
    </rSty>
    <rSty dxfid="1">
      <rpv i="0">_-* #,##0.00 [$kr-smj-SE]_-;-* #,##0.00 [$kr-smj-SE]_-;_-* "-"?? [$kr-smj-SE]_-;_-@_-</rpv>
    </rSty>
    <rSty dxfid="1">
      <rpv i="0">_-* #,##0 [$kr-smj-SE]_-;-* #,##0 [$kr-smj-SE]_-;_-* "-" [$kr-smj-SE]_-;_-@_-</rpv>
    </rSty>
    <rSty dxfid="7"/>
    <rSty dxfid="8">
      <rpv i="0">_(* #,##0.00_);_(* (#,##0.00);_(* "-"??_);_(@_)</rpv>
    </rSty>
    <rSty dxfid="1">
      <rpv i="0">_-[$£-en-GB]* #,##0_-;-[$£-en-GB]* #,##0_-;_-[$£-en-GB]* "-"_-;_-@_-</rpv>
    </rSty>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64"/>
  <sheetViews>
    <sheetView zoomScaleNormal="100" workbookViewId="0">
      <pane xSplit="2" ySplit="3" topLeftCell="I4" activePane="bottomRight" state="frozen"/>
      <selection pane="topRight" activeCell="C1" sqref="C1"/>
      <selection pane="bottomLeft" activeCell="A4" sqref="A4"/>
      <selection pane="bottomRight" activeCell="A4" sqref="A4:A34"/>
    </sheetView>
  </sheetViews>
  <sheetFormatPr baseColWidth="10" defaultColWidth="8.54296875" defaultRowHeight="14.5" x14ac:dyDescent="0.35"/>
  <cols>
    <col min="1" max="1" width="27" customWidth="1"/>
    <col min="2" max="2" width="10" customWidth="1"/>
    <col min="3" max="3" width="12.1796875" bestFit="1" customWidth="1"/>
    <col min="4" max="4" width="14.7265625" bestFit="1" customWidth="1"/>
    <col min="5" max="5" width="22" customWidth="1"/>
    <col min="6" max="6" width="9"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1640625" customWidth="1"/>
    <col min="42" max="42" width="9.1796875" customWidth="1"/>
    <col min="43" max="43" width="7.54296875" customWidth="1"/>
    <col min="44" max="44" width="10.26953125" customWidth="1"/>
    <col min="46" max="47" width="7.54296875" customWidth="1"/>
    <col min="48" max="48" width="9.1796875" customWidth="1"/>
    <col min="49" max="49" width="10.1796875" bestFit="1" customWidth="1"/>
    <col min="50" max="50" width="11.81640625" customWidth="1"/>
    <col min="52" max="52" width="9.1796875" customWidth="1"/>
    <col min="56" max="56" width="10" customWidth="1"/>
    <col min="57" max="57" width="7.81640625" customWidth="1"/>
    <col min="58" max="58" width="9.1796875" customWidth="1"/>
    <col min="59" max="59" width="8.81640625" bestFit="1" customWidth="1"/>
    <col min="60" max="61" width="11.26953125" customWidth="1"/>
    <col min="62" max="62" width="9.54296875" customWidth="1"/>
    <col min="63" max="63" width="10.54296875" customWidth="1"/>
    <col min="64" max="65" width="10.1796875" bestFit="1" customWidth="1"/>
    <col min="66" max="66" width="9.54296875" customWidth="1"/>
    <col min="67" max="67" width="11.81640625" customWidth="1"/>
  </cols>
  <sheetData>
    <row r="1" spans="1:68" ht="27.75" customHeight="1" x14ac:dyDescent="0.35">
      <c r="A1" s="95" t="s">
        <v>0</v>
      </c>
      <c r="B1" s="96"/>
      <c r="C1" s="96"/>
      <c r="D1" s="96"/>
      <c r="E1" s="96"/>
      <c r="F1" s="96"/>
      <c r="G1" s="96"/>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row>
    <row r="2" spans="1:68" ht="21.75" customHeight="1" x14ac:dyDescent="0.35">
      <c r="A2" s="99" t="s">
        <v>1</v>
      </c>
      <c r="B2" s="96"/>
      <c r="C2" s="96"/>
      <c r="D2" s="96"/>
      <c r="E2" s="96"/>
      <c r="F2" s="96"/>
      <c r="G2" s="96"/>
      <c r="H2" s="96"/>
      <c r="I2" s="96"/>
      <c r="J2" s="103" t="s">
        <v>2</v>
      </c>
      <c r="K2" s="96"/>
      <c r="L2" s="96"/>
      <c r="M2" s="96"/>
      <c r="N2" s="96"/>
      <c r="O2" s="96"/>
      <c r="P2" s="96"/>
      <c r="Q2" s="96"/>
      <c r="R2" s="96"/>
      <c r="S2" s="96"/>
      <c r="T2" s="102" t="s">
        <v>3</v>
      </c>
      <c r="U2" s="96"/>
      <c r="V2" s="96"/>
      <c r="W2" s="96"/>
      <c r="X2" s="96"/>
      <c r="Y2" s="96"/>
      <c r="Z2" s="96"/>
      <c r="AA2" s="96"/>
      <c r="AB2" s="96"/>
      <c r="AC2" s="96"/>
      <c r="AD2" s="97" t="s">
        <v>4</v>
      </c>
      <c r="AE2" s="96"/>
      <c r="AF2" s="96"/>
      <c r="AG2" s="96"/>
      <c r="AH2" s="96"/>
      <c r="AI2" s="96"/>
      <c r="AJ2" s="96"/>
      <c r="AK2" s="96"/>
      <c r="AL2" s="96"/>
      <c r="AM2" s="96"/>
      <c r="AN2" s="104" t="s">
        <v>5</v>
      </c>
      <c r="AO2" s="100" t="s">
        <v>6</v>
      </c>
      <c r="AP2" s="96"/>
      <c r="AQ2" s="96"/>
      <c r="AR2" s="96"/>
      <c r="AS2" s="96"/>
      <c r="AT2" s="96"/>
      <c r="AU2" s="96"/>
      <c r="AV2" s="96"/>
      <c r="AW2" s="96"/>
      <c r="AX2" s="96"/>
      <c r="AY2" s="96"/>
      <c r="AZ2" s="96"/>
      <c r="BA2" s="96"/>
      <c r="BB2" s="96"/>
      <c r="BC2" s="96"/>
      <c r="BD2" s="96"/>
      <c r="BE2" s="96"/>
      <c r="BF2" s="96"/>
      <c r="BG2" s="1"/>
      <c r="BH2" s="1"/>
      <c r="BI2" s="1"/>
      <c r="BJ2" s="98" t="s">
        <v>7</v>
      </c>
      <c r="BK2" s="96"/>
      <c r="BL2" s="96"/>
      <c r="BM2" s="96"/>
      <c r="BN2" s="101" t="s">
        <v>8</v>
      </c>
      <c r="BO2" s="96"/>
      <c r="BP2" s="96"/>
    </row>
    <row r="3" spans="1:68" ht="45" customHeight="1" x14ac:dyDescent="0.3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96"/>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35">
      <c r="A4" s="86" t="e" vm="1">
        <v>#VALUE!</v>
      </c>
      <c r="B4" s="10" t="str">
        <f t="array" aca="1" ref="B4" ca="1">_FV(A4,"Símbolo bursátil",TRUE())</f>
        <v>GRMN</v>
      </c>
      <c r="C4" s="88" t="s">
        <v>76</v>
      </c>
      <c r="D4" s="88" t="s">
        <v>77</v>
      </c>
      <c r="E4" s="11" t="str">
        <f t="array" aca="1" ref="E4" ca="1">_FV(A4,"Abreviatura de intercambio",TRUE())</f>
        <v>XNYS</v>
      </c>
      <c r="F4" s="11" t="str">
        <f t="array" aca="1" ref="F4" ca="1">_FV(A4,"Moneda")</f>
        <v>USD</v>
      </c>
      <c r="G4" s="12">
        <f t="array" aca="1" ref="G4" ca="1">_FV(A4,"Precio")</f>
        <v>225.75</v>
      </c>
      <c r="H4" s="13">
        <f t="array" aca="1" ref="H4" ca="1">_FV(A4,"Acciones en circulación",TRUE())/1000000</f>
        <v>192.8562</v>
      </c>
      <c r="I4" s="14">
        <f t="shared" ref="I4:I16" ca="1" si="0">G4*H4</f>
        <v>43537.287150000004</v>
      </c>
      <c r="J4" s="90">
        <v>1.5</v>
      </c>
      <c r="K4" s="90">
        <v>8</v>
      </c>
      <c r="L4" s="90">
        <v>2</v>
      </c>
      <c r="M4" s="90">
        <v>1</v>
      </c>
      <c r="N4" s="90">
        <v>-1.5</v>
      </c>
      <c r="O4" s="90">
        <v>0.72</v>
      </c>
      <c r="P4" s="90">
        <v>1</v>
      </c>
      <c r="Q4" s="90">
        <v>1</v>
      </c>
      <c r="R4" s="15">
        <f t="shared" ref="R4:R35" si="1">SUM(J4:Q4)</f>
        <v>13.72</v>
      </c>
      <c r="S4" s="16">
        <f t="shared" ref="S4:S35" si="2">ROUND(R4/17*10,2)</f>
        <v>8.07</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ROUND((S4+AC4+AM4)/3,2)</f>
        <v>8.2799999999999994</v>
      </c>
      <c r="AO4" s="18" t="s">
        <v>78</v>
      </c>
      <c r="AP4" s="19">
        <v>5100</v>
      </c>
      <c r="AQ4" s="19">
        <v>0</v>
      </c>
      <c r="AR4" s="19">
        <f t="shared" ref="AR4:AR11" ca="1" si="8">I4-AP4+AQ4</f>
        <v>38437.287150000004</v>
      </c>
      <c r="AS4" s="19">
        <v>1100</v>
      </c>
      <c r="AT4" s="19">
        <v>810</v>
      </c>
      <c r="AU4" s="19">
        <v>1050</v>
      </c>
      <c r="AV4" s="19">
        <v>3200</v>
      </c>
      <c r="AW4" s="20">
        <f t="shared" ref="AW4:AW35" ca="1" si="9">AR4/AS4</f>
        <v>34.942988318181818</v>
      </c>
      <c r="AX4" s="20">
        <f t="shared" ref="AX4:AX35" ca="1" si="10">AR4/AU4</f>
        <v>36.606940142857148</v>
      </c>
      <c r="AY4" s="20">
        <f t="shared" ref="AY4:AY35" ca="1" si="11">AR4/AV4</f>
        <v>12.011652234375001</v>
      </c>
      <c r="AZ4" s="21">
        <v>1500</v>
      </c>
      <c r="BA4" s="22">
        <f t="shared" ref="BA4:BA35" si="12">AT4/AV4</f>
        <v>0.25312499999999999</v>
      </c>
      <c r="BB4" s="22">
        <f t="shared" ref="BB4:BB35" si="13">AV4/AZ4</f>
        <v>2.1333333333333333</v>
      </c>
      <c r="BC4" s="23">
        <f t="shared" ref="BC4:BC35" si="14">BA4*BB4</f>
        <v>0.53999999999999992</v>
      </c>
      <c r="BD4" t="s">
        <v>79</v>
      </c>
      <c r="BE4" s="23">
        <f t="shared" ref="BE4:BE35" si="15">(BD4/AS4)^(1/5)-1</f>
        <v>7.9965132679460593E-2</v>
      </c>
      <c r="BF4" t="s">
        <v>80</v>
      </c>
      <c r="BG4" s="23">
        <f t="shared" ref="BG4:BG35" si="16">(BF4/AS4)^(1/5)-1</f>
        <v>0.19998667198228226</v>
      </c>
      <c r="BH4" s="24">
        <v>18</v>
      </c>
      <c r="BI4" s="24">
        <v>30</v>
      </c>
      <c r="BJ4" s="25">
        <f t="shared" ref="BJ4:BJ11" ca="1" si="17">(BD4*BH4+$AP4-$AQ4)/$H4</f>
        <v>177.27197777411357</v>
      </c>
      <c r="BK4" s="25">
        <f t="shared" ref="BK4:BK11" ca="1" si="18">(BF4*BI4+$AP4-$AQ4)/$H4</f>
        <v>452.20221076636375</v>
      </c>
      <c r="BL4" s="23">
        <f t="shared" ref="BL4:BL35" ca="1" si="19">($BJ4/G4)^(1/5)-1</f>
        <v>-4.719842535992913E-2</v>
      </c>
      <c r="BM4" s="23">
        <f t="shared" ref="BM4:BM35" ca="1" si="20">(BK4/G4)^(1/4)-1</f>
        <v>0.18966923429368165</v>
      </c>
      <c r="BN4" s="93" t="s">
        <v>81</v>
      </c>
      <c r="BO4" s="93" t="s">
        <v>82</v>
      </c>
      <c r="BP4" s="93" t="s">
        <v>83</v>
      </c>
    </row>
    <row r="5" spans="1:68" ht="15" customHeight="1" x14ac:dyDescent="0.35">
      <c r="A5" s="86" t="e" vm="2">
        <v>#VALUE!</v>
      </c>
      <c r="B5" s="10" t="str">
        <f t="array" aca="1" ref="B5" ca="1">_FV(A5,"Símbolo bursátil",TRUE())</f>
        <v>KRX</v>
      </c>
      <c r="C5" s="88" t="s">
        <v>84</v>
      </c>
      <c r="D5" s="88" t="s">
        <v>77</v>
      </c>
      <c r="E5" s="11" t="str">
        <f t="array" aca="1" ref="E5" ca="1">_FV(A5,"Abreviatura de intercambio",TRUE())</f>
        <v>XFRA</v>
      </c>
      <c r="F5" s="11" t="str">
        <f t="array" aca="1" ref="F5" ca="1">_FV(A5,"Moneda")</f>
        <v>EUR</v>
      </c>
      <c r="G5" s="12">
        <f t="array" aca="1" ref="G5" ca="1">_FV(A5,"Precio")</f>
        <v>73.2</v>
      </c>
      <c r="H5" s="13">
        <f t="array" aca="1" ref="H5" ca="1">_FV(A5,"Acciones en circulación",TRUE())/1000000</f>
        <v>180.3391</v>
      </c>
      <c r="I5" s="14">
        <f t="shared" ca="1" si="0"/>
        <v>13200.822120000001</v>
      </c>
      <c r="J5" s="91">
        <v>1</v>
      </c>
      <c r="K5" s="91">
        <v>8</v>
      </c>
      <c r="L5" s="91">
        <v>3</v>
      </c>
      <c r="M5" s="91">
        <v>1</v>
      </c>
      <c r="N5" s="91">
        <v>0</v>
      </c>
      <c r="O5" s="91">
        <v>0.8</v>
      </c>
      <c r="P5" s="91">
        <v>1</v>
      </c>
      <c r="Q5" s="91">
        <v>0</v>
      </c>
      <c r="R5" s="26">
        <f t="shared" si="1"/>
        <v>14.8</v>
      </c>
      <c r="S5" s="16">
        <f t="shared" si="2"/>
        <v>8.7100000000000009</v>
      </c>
      <c r="T5" s="91">
        <v>16</v>
      </c>
      <c r="U5" s="91">
        <v>19</v>
      </c>
      <c r="V5" s="91">
        <v>14</v>
      </c>
      <c r="W5" s="91">
        <v>10</v>
      </c>
      <c r="X5" s="91">
        <v>9</v>
      </c>
      <c r="Y5" s="91">
        <v>13</v>
      </c>
      <c r="Z5" s="91">
        <v>7</v>
      </c>
      <c r="AA5" s="91">
        <v>-12</v>
      </c>
      <c r="AB5" s="26">
        <f t="shared" si="3"/>
        <v>76</v>
      </c>
      <c r="AC5" s="16">
        <f t="shared" si="4"/>
        <v>7.6</v>
      </c>
      <c r="AD5" s="91">
        <v>14</v>
      </c>
      <c r="AE5" s="91">
        <v>0</v>
      </c>
      <c r="AF5" s="91">
        <v>5</v>
      </c>
      <c r="AG5" s="91">
        <v>14</v>
      </c>
      <c r="AH5" s="91">
        <v>5</v>
      </c>
      <c r="AI5" s="91">
        <v>9</v>
      </c>
      <c r="AJ5" s="91">
        <v>13</v>
      </c>
      <c r="AK5" s="91">
        <v>-6</v>
      </c>
      <c r="AL5" s="26">
        <f t="shared" si="5"/>
        <v>54</v>
      </c>
      <c r="AM5" s="16">
        <f t="shared" si="6"/>
        <v>7.71</v>
      </c>
      <c r="AN5" s="17">
        <f t="shared" si="7"/>
        <v>8.01</v>
      </c>
      <c r="AO5" s="18" t="s">
        <v>78</v>
      </c>
      <c r="AP5" s="19">
        <v>78000</v>
      </c>
      <c r="AQ5" s="19">
        <v>45000</v>
      </c>
      <c r="AR5" s="19">
        <f t="shared" ca="1" si="8"/>
        <v>-19799.177880000003</v>
      </c>
      <c r="AS5" s="19">
        <v>70000</v>
      </c>
      <c r="AT5" s="19">
        <v>90000</v>
      </c>
      <c r="AU5" s="19">
        <v>144000</v>
      </c>
      <c r="AV5" s="19">
        <v>270000</v>
      </c>
      <c r="AW5" s="20">
        <f t="shared" ca="1" si="9"/>
        <v>-0.28284539828571431</v>
      </c>
      <c r="AX5" s="20">
        <f t="shared" ca="1" si="10"/>
        <v>-0.13749429083333337</v>
      </c>
      <c r="AY5" s="20">
        <f t="shared" ca="1" si="11"/>
        <v>-7.3330288444444461E-2</v>
      </c>
      <c r="AZ5" s="21">
        <v>280000</v>
      </c>
      <c r="BA5" s="22">
        <f t="shared" si="12"/>
        <v>0.33333333333333331</v>
      </c>
      <c r="BB5" s="22">
        <f t="shared" si="13"/>
        <v>0.9642857142857143</v>
      </c>
      <c r="BC5" s="23">
        <f t="shared" si="14"/>
        <v>0.3214285714285714</v>
      </c>
      <c r="BD5" t="s">
        <v>85</v>
      </c>
      <c r="BE5" s="23">
        <f t="shared" si="15"/>
        <v>8.0000072713343418E-2</v>
      </c>
      <c r="BF5" t="s">
        <v>86</v>
      </c>
      <c r="BG5" s="23">
        <f t="shared" si="16"/>
        <v>0.1699994472920241</v>
      </c>
      <c r="BH5" s="24">
        <v>20</v>
      </c>
      <c r="BI5" s="24">
        <v>30</v>
      </c>
      <c r="BJ5" s="25">
        <f t="shared" ca="1" si="17"/>
        <v>11589.610905233529</v>
      </c>
      <c r="BK5" s="25">
        <f t="shared" ca="1" si="18"/>
        <v>25713.392159548319</v>
      </c>
      <c r="BL5" s="23">
        <f t="shared" ca="1" si="19"/>
        <v>1.7536678555065466</v>
      </c>
      <c r="BM5" s="23">
        <f t="shared" ca="1" si="20"/>
        <v>3.3292440932777216</v>
      </c>
      <c r="BN5" s="93" t="s">
        <v>87</v>
      </c>
      <c r="BO5" s="93" t="s">
        <v>88</v>
      </c>
      <c r="BP5" s="93" t="s">
        <v>89</v>
      </c>
    </row>
    <row r="6" spans="1:68" ht="15" customHeight="1" x14ac:dyDescent="0.35">
      <c r="A6" s="86" t="e" vm="3">
        <v>#VALUE!</v>
      </c>
      <c r="B6" s="10" t="str">
        <f t="array" aca="1" ref="B6" ca="1">_FV(A6,"Símbolo bursátil",TRUE())</f>
        <v>KSPI</v>
      </c>
      <c r="C6" s="88" t="s">
        <v>90</v>
      </c>
      <c r="D6" s="88" t="s">
        <v>77</v>
      </c>
      <c r="E6" s="11" t="str">
        <f t="array" aca="1" ref="E6" ca="1">_FV(A6,"Abreviatura de intercambio",TRUE())</f>
        <v>XNAS</v>
      </c>
      <c r="F6" s="11" t="str">
        <f t="array" aca="1" ref="F6" ca="1">_FV(A6,"Moneda")</f>
        <v>USD</v>
      </c>
      <c r="G6" s="12">
        <f t="array" aca="1" ref="G6" ca="1">_FV(A6,"Precio")</f>
        <v>87.51</v>
      </c>
      <c r="H6" s="13">
        <f t="array" aca="1" ref="H6" ca="1">_FV(A6,"Acciones en circulación",TRUE())/1000000</f>
        <v>189.33349999999999</v>
      </c>
      <c r="I6" s="14">
        <f t="shared" ca="1" si="0"/>
        <v>16568.574584999998</v>
      </c>
      <c r="J6" s="90">
        <v>1</v>
      </c>
      <c r="K6" s="90">
        <v>7</v>
      </c>
      <c r="L6" s="90">
        <v>2</v>
      </c>
      <c r="M6" s="90">
        <v>1</v>
      </c>
      <c r="N6" s="90">
        <v>-1</v>
      </c>
      <c r="O6" s="90">
        <v>0.74</v>
      </c>
      <c r="P6" s="90">
        <v>1</v>
      </c>
      <c r="Q6" s="90">
        <v>1</v>
      </c>
      <c r="R6" s="15">
        <f t="shared" si="1"/>
        <v>12.74</v>
      </c>
      <c r="S6" s="16">
        <f t="shared" si="2"/>
        <v>7.49</v>
      </c>
      <c r="T6" s="90">
        <v>15.5</v>
      </c>
      <c r="U6" s="90">
        <v>18</v>
      </c>
      <c r="V6" s="90">
        <v>13</v>
      </c>
      <c r="W6" s="90">
        <v>8</v>
      </c>
      <c r="X6" s="90">
        <v>7.5</v>
      </c>
      <c r="Y6" s="90">
        <v>12</v>
      </c>
      <c r="Z6" s="90">
        <v>10</v>
      </c>
      <c r="AA6" s="90">
        <v>-10</v>
      </c>
      <c r="AB6" s="15">
        <f t="shared" si="3"/>
        <v>74</v>
      </c>
      <c r="AC6" s="16">
        <f t="shared" si="4"/>
        <v>7.4</v>
      </c>
      <c r="AD6" s="90">
        <v>13</v>
      </c>
      <c r="AE6" s="90">
        <v>-1</v>
      </c>
      <c r="AF6" s="90">
        <v>9</v>
      </c>
      <c r="AG6" s="90">
        <v>14</v>
      </c>
      <c r="AH6" s="90">
        <v>5</v>
      </c>
      <c r="AI6" s="90">
        <v>10</v>
      </c>
      <c r="AJ6" s="90">
        <v>14</v>
      </c>
      <c r="AK6" s="90">
        <v>-6</v>
      </c>
      <c r="AL6" s="15">
        <f t="shared" si="5"/>
        <v>58</v>
      </c>
      <c r="AM6" s="16">
        <f t="shared" si="6"/>
        <v>8.2899999999999991</v>
      </c>
      <c r="AN6" s="17">
        <f t="shared" si="7"/>
        <v>7.73</v>
      </c>
      <c r="AO6" s="18" t="s">
        <v>91</v>
      </c>
      <c r="AP6" s="19">
        <v>9000</v>
      </c>
      <c r="AQ6" s="19">
        <v>500</v>
      </c>
      <c r="AR6" s="19">
        <f t="shared" ca="1" si="8"/>
        <v>8068.5745849999985</v>
      </c>
      <c r="AS6" s="19">
        <v>790</v>
      </c>
      <c r="AT6" s="19">
        <v>600</v>
      </c>
      <c r="AU6" s="19">
        <v>1050</v>
      </c>
      <c r="AV6" s="19">
        <v>2050</v>
      </c>
      <c r="AW6" s="20">
        <f t="shared" ca="1" si="9"/>
        <v>10.213385550632909</v>
      </c>
      <c r="AX6" s="20">
        <f t="shared" ca="1" si="10"/>
        <v>7.684356747619046</v>
      </c>
      <c r="AY6" s="20">
        <f t="shared" ca="1" si="11"/>
        <v>3.9358900414634137</v>
      </c>
      <c r="AZ6" s="21">
        <v>2500</v>
      </c>
      <c r="BA6" s="22">
        <f t="shared" si="12"/>
        <v>0.29268292682926828</v>
      </c>
      <c r="BB6" s="22">
        <f t="shared" si="13"/>
        <v>0.82</v>
      </c>
      <c r="BC6" s="23">
        <f t="shared" si="14"/>
        <v>0.23999999999999996</v>
      </c>
      <c r="BD6" t="s">
        <v>92</v>
      </c>
      <c r="BE6" s="23">
        <f t="shared" si="15"/>
        <v>0.11995978575519017</v>
      </c>
      <c r="BF6" t="s">
        <v>93</v>
      </c>
      <c r="BG6" s="23">
        <f t="shared" si="16"/>
        <v>0.27996044996171676</v>
      </c>
      <c r="BH6" s="24">
        <v>17.5</v>
      </c>
      <c r="BI6" s="24">
        <v>28</v>
      </c>
      <c r="BJ6" s="25">
        <f t="shared" ca="1" si="17"/>
        <v>173.55618524983694</v>
      </c>
      <c r="BK6" s="25">
        <f t="shared" ca="1" si="18"/>
        <v>446.26017054562453</v>
      </c>
      <c r="BL6" s="23">
        <f t="shared" ca="1" si="19"/>
        <v>0.14677042064195978</v>
      </c>
      <c r="BM6" s="23">
        <f t="shared" ca="1" si="20"/>
        <v>0.50273572382128195</v>
      </c>
      <c r="BN6" s="93" t="s">
        <v>81</v>
      </c>
      <c r="BO6" s="93" t="s">
        <v>94</v>
      </c>
      <c r="BP6" s="93" t="s">
        <v>95</v>
      </c>
    </row>
    <row r="7" spans="1:68" ht="15" customHeight="1" x14ac:dyDescent="0.35">
      <c r="A7" s="86" t="e" vm="4">
        <v>#VALUE!</v>
      </c>
      <c r="B7" s="10" t="str">
        <f t="array" aca="1" ref="B7" ca="1">_FV(A7,"Símbolo bursátil",TRUE())</f>
        <v>CBAV</v>
      </c>
      <c r="C7" s="88" t="s">
        <v>96</v>
      </c>
      <c r="D7" s="88" t="s">
        <v>77</v>
      </c>
      <c r="E7" s="11" t="str">
        <f t="array" aca="1" ref="E7" ca="1">_FV(A7,"Abreviatura de intercambio",TRUE())</f>
        <v>BMEX</v>
      </c>
      <c r="F7" s="11" t="str">
        <f t="array" aca="1" ref="F7" ca="1">_FV(A7,"Moneda")</f>
        <v>EUR</v>
      </c>
      <c r="G7" s="12">
        <f t="array" aca="1" ref="G7" ca="1">_FV(A7,"Precio")</f>
        <v>55.8</v>
      </c>
      <c r="H7" s="13">
        <f t="array" aca="1" ref="H7" ca="1">_FV(A7,"Acciones en circulación",TRUE())/1000000</f>
        <v>16.307580000000002</v>
      </c>
      <c r="I7" s="14">
        <f t="shared" ca="1" si="0"/>
        <v>909.96296400000006</v>
      </c>
      <c r="J7" s="91">
        <v>1</v>
      </c>
      <c r="K7" s="91">
        <v>7</v>
      </c>
      <c r="L7" s="91">
        <v>3</v>
      </c>
      <c r="M7" s="91">
        <v>0.75</v>
      </c>
      <c r="N7" s="91">
        <v>0</v>
      </c>
      <c r="O7" s="91">
        <v>0.66</v>
      </c>
      <c r="P7" s="91">
        <v>1</v>
      </c>
      <c r="Q7" s="91">
        <v>1</v>
      </c>
      <c r="R7" s="26">
        <f t="shared" si="1"/>
        <v>14.41</v>
      </c>
      <c r="S7" s="16">
        <f t="shared" si="2"/>
        <v>8.48</v>
      </c>
      <c r="T7" s="91">
        <v>13</v>
      </c>
      <c r="U7" s="91">
        <v>17</v>
      </c>
      <c r="V7" s="91">
        <v>15</v>
      </c>
      <c r="W7" s="91">
        <v>10</v>
      </c>
      <c r="X7" s="91">
        <v>9</v>
      </c>
      <c r="Y7" s="91">
        <v>13</v>
      </c>
      <c r="Z7" s="91">
        <v>10</v>
      </c>
      <c r="AA7" s="91">
        <v>-8</v>
      </c>
      <c r="AB7" s="26">
        <f t="shared" si="3"/>
        <v>79</v>
      </c>
      <c r="AC7" s="16">
        <f t="shared" si="4"/>
        <v>7.9</v>
      </c>
      <c r="AD7" s="91">
        <v>14</v>
      </c>
      <c r="AE7" s="91">
        <v>-1</v>
      </c>
      <c r="AF7" s="91">
        <v>5</v>
      </c>
      <c r="AG7" s="91">
        <v>15</v>
      </c>
      <c r="AH7" s="91">
        <v>1</v>
      </c>
      <c r="AI7" s="91">
        <v>10</v>
      </c>
      <c r="AJ7" s="91">
        <v>14</v>
      </c>
      <c r="AK7" s="91">
        <v>-5</v>
      </c>
      <c r="AL7" s="26">
        <f t="shared" si="5"/>
        <v>53</v>
      </c>
      <c r="AM7" s="16">
        <f t="shared" si="6"/>
        <v>7.57</v>
      </c>
      <c r="AN7" s="17">
        <f t="shared" si="7"/>
        <v>7.98</v>
      </c>
      <c r="AO7" s="18" t="s">
        <v>78</v>
      </c>
      <c r="AP7" s="19">
        <v>10000</v>
      </c>
      <c r="AQ7" s="19">
        <v>17000</v>
      </c>
      <c r="AR7" s="19">
        <f t="shared" ca="1" si="8"/>
        <v>7909.9629640000003</v>
      </c>
      <c r="AS7" s="19">
        <v>5600</v>
      </c>
      <c r="AT7" s="19">
        <v>5500</v>
      </c>
      <c r="AU7" s="19">
        <v>15000</v>
      </c>
      <c r="AV7" s="19">
        <v>98000</v>
      </c>
      <c r="AW7" s="20">
        <f t="shared" ca="1" si="9"/>
        <v>1.4124933864285716</v>
      </c>
      <c r="AX7" s="20">
        <f t="shared" ca="1" si="10"/>
        <v>0.52733086426666664</v>
      </c>
      <c r="AY7" s="20">
        <f t="shared" ca="1" si="11"/>
        <v>8.0713907795918374E-2</v>
      </c>
      <c r="AZ7" s="21">
        <v>90000</v>
      </c>
      <c r="BA7" s="22">
        <f t="shared" si="12"/>
        <v>5.6122448979591837E-2</v>
      </c>
      <c r="BB7" s="22">
        <f t="shared" si="13"/>
        <v>1.0888888888888888</v>
      </c>
      <c r="BC7" s="23">
        <f t="shared" si="14"/>
        <v>6.1111111111111109E-2</v>
      </c>
      <c r="BD7" t="s">
        <v>97</v>
      </c>
      <c r="BE7" s="23">
        <f t="shared" si="15"/>
        <v>4.6027644806429846E-2</v>
      </c>
      <c r="BF7" t="s">
        <v>98</v>
      </c>
      <c r="BG7" s="23">
        <f t="shared" si="16"/>
        <v>0.14377435317752485</v>
      </c>
      <c r="BH7" s="24">
        <v>18</v>
      </c>
      <c r="BI7" s="24">
        <v>25</v>
      </c>
      <c r="BJ7" s="25">
        <f t="shared" ca="1" si="17"/>
        <v>7311.5692211842588</v>
      </c>
      <c r="BK7" s="25">
        <f t="shared" ca="1" si="18"/>
        <v>16375.820324045626</v>
      </c>
      <c r="BL7" s="23">
        <f t="shared" ca="1" si="19"/>
        <v>1.6514001676460865</v>
      </c>
      <c r="BM7" s="23">
        <f t="shared" ca="1" si="20"/>
        <v>3.1389694076464876</v>
      </c>
      <c r="BN7" s="93" t="s">
        <v>99</v>
      </c>
      <c r="BO7" s="94" t="s">
        <v>100</v>
      </c>
      <c r="BP7" s="93" t="s">
        <v>101</v>
      </c>
    </row>
    <row r="8" spans="1:68" ht="15" customHeight="1" x14ac:dyDescent="0.35">
      <c r="A8" s="86" t="e" vm="5">
        <v>#VALUE!</v>
      </c>
      <c r="B8" s="10" t="str">
        <f t="array" aca="1" ref="B8" ca="1">_FV(A8,"Símbolo bursátil",TRUE())</f>
        <v>NVDA</v>
      </c>
      <c r="C8" s="88" t="s">
        <v>102</v>
      </c>
      <c r="D8" s="88" t="s">
        <v>102</v>
      </c>
      <c r="E8" s="11" t="str">
        <f t="array" aca="1" ref="E8" ca="1">_FV(A8,"Abreviatura de intercambio",TRUE())</f>
        <v>XNAS</v>
      </c>
      <c r="F8" s="11" t="str">
        <f t="array" aca="1" ref="F8" ca="1">_FV(A8,"Moneda")</f>
        <v>USD</v>
      </c>
      <c r="G8" s="12">
        <f t="array" aca="1" ref="G8" ca="1">_FV(A8,"Precio")</f>
        <v>225.32</v>
      </c>
      <c r="H8" s="13">
        <f t="array" aca="1" ref="H8" ca="1">_FV(A8,"Acciones en circulación",TRUE())/1000000</f>
        <v>24220.53</v>
      </c>
      <c r="I8" s="14">
        <f t="shared" ca="1" si="0"/>
        <v>5457369.8195999991</v>
      </c>
      <c r="J8" s="90">
        <v>1.5</v>
      </c>
      <c r="K8" s="90">
        <v>8</v>
      </c>
      <c r="L8" s="90">
        <v>1</v>
      </c>
      <c r="M8" s="90">
        <v>1</v>
      </c>
      <c r="N8" s="90">
        <v>0</v>
      </c>
      <c r="O8" s="90">
        <v>0.78</v>
      </c>
      <c r="P8" s="90">
        <v>1</v>
      </c>
      <c r="Q8" s="90">
        <v>0</v>
      </c>
      <c r="R8" s="15">
        <f t="shared" si="1"/>
        <v>13.28</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8.01</v>
      </c>
      <c r="AO8" s="18" t="s">
        <v>78</v>
      </c>
      <c r="AP8" s="19">
        <v>12500</v>
      </c>
      <c r="AQ8" s="19">
        <v>7500</v>
      </c>
      <c r="AR8" s="19">
        <f t="shared" ca="1" si="8"/>
        <v>5452369.8195999991</v>
      </c>
      <c r="AS8" s="19">
        <v>8500</v>
      </c>
      <c r="AT8" s="19">
        <v>7500</v>
      </c>
      <c r="AU8" s="19">
        <v>11800</v>
      </c>
      <c r="AV8" s="19">
        <v>262000</v>
      </c>
      <c r="AW8" s="20">
        <f t="shared" ca="1" si="9"/>
        <v>641.45527289411757</v>
      </c>
      <c r="AX8" s="20">
        <f t="shared" ca="1" si="10"/>
        <v>462.06523894915244</v>
      </c>
      <c r="AY8" s="20">
        <f t="shared" ca="1" si="11"/>
        <v>20.810571830534347</v>
      </c>
      <c r="AZ8" s="21">
        <v>40000</v>
      </c>
      <c r="BA8" s="22">
        <f t="shared" si="12"/>
        <v>2.8625954198473282E-2</v>
      </c>
      <c r="BB8" s="22">
        <f t="shared" si="13"/>
        <v>6.55</v>
      </c>
      <c r="BC8" s="23">
        <f t="shared" si="14"/>
        <v>0.1875</v>
      </c>
      <c r="BD8" t="s">
        <v>103</v>
      </c>
      <c r="BE8" s="23">
        <f t="shared" si="15"/>
        <v>6.0001539273940807E-2</v>
      </c>
      <c r="BF8" t="s">
        <v>104</v>
      </c>
      <c r="BG8" s="23">
        <f t="shared" si="16"/>
        <v>0.12000143092585835</v>
      </c>
      <c r="BH8" s="24">
        <v>20</v>
      </c>
      <c r="BI8" s="24">
        <v>30</v>
      </c>
      <c r="BJ8" s="25">
        <f t="shared" ca="1" si="17"/>
        <v>9.5992944828209801</v>
      </c>
      <c r="BK8" s="25">
        <f t="shared" ca="1" si="18"/>
        <v>18.760943711801517</v>
      </c>
      <c r="BL8" s="23">
        <f t="shared" ca="1" si="19"/>
        <v>-0.46802905294215036</v>
      </c>
      <c r="BM8" s="23">
        <f t="shared" ca="1" si="20"/>
        <v>-0.46282754555526617</v>
      </c>
      <c r="BN8" s="93" t="s">
        <v>81</v>
      </c>
      <c r="BO8" s="93" t="s">
        <v>105</v>
      </c>
      <c r="BP8" s="93" t="s">
        <v>106</v>
      </c>
    </row>
    <row r="9" spans="1:68" ht="15" customHeight="1" x14ac:dyDescent="0.35">
      <c r="A9" s="86" t="e" vm="6">
        <v>#VALUE!</v>
      </c>
      <c r="B9" s="10" t="str">
        <f t="array" aca="1" ref="B9" ca="1">_FV(A9,"Símbolo bursátil",TRUE())</f>
        <v>COR</v>
      </c>
      <c r="C9" s="88" t="s">
        <v>76</v>
      </c>
      <c r="D9" s="88" t="s">
        <v>77</v>
      </c>
      <c r="E9" s="11" t="str">
        <f t="array" aca="1" ref="E9" ca="1">_FV(A9,"Abreviatura de intercambio",TRUE())</f>
        <v>XLIS</v>
      </c>
      <c r="F9" s="11" t="str">
        <f t="array" aca="1" ref="F9" ca="1">_FV(A9,"Moneda")</f>
        <v>EUR</v>
      </c>
      <c r="G9" s="12">
        <f t="array" aca="1" ref="G9" ca="1">_FV(A9,"Precio")</f>
        <v>6.98</v>
      </c>
      <c r="H9" s="13">
        <f t="array" aca="1" ref="H9" ca="1">_FV(A9,"Acciones en circulación",TRUE())/1000000</f>
        <v>133</v>
      </c>
      <c r="I9" s="14">
        <f t="shared" ca="1" si="0"/>
        <v>928.34</v>
      </c>
      <c r="J9" s="91">
        <v>1</v>
      </c>
      <c r="K9" s="91">
        <v>7</v>
      </c>
      <c r="L9" s="91">
        <v>2</v>
      </c>
      <c r="M9" s="91">
        <v>1</v>
      </c>
      <c r="N9" s="91">
        <v>0</v>
      </c>
      <c r="O9" s="91">
        <v>0.8</v>
      </c>
      <c r="P9" s="91">
        <v>0.5</v>
      </c>
      <c r="Q9" s="91">
        <v>0</v>
      </c>
      <c r="R9" s="26">
        <f t="shared" si="1"/>
        <v>12.3</v>
      </c>
      <c r="S9" s="16">
        <f t="shared" si="2"/>
        <v>7.24</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7.82</v>
      </c>
      <c r="AO9" s="18" t="s">
        <v>78</v>
      </c>
      <c r="AP9" s="19">
        <v>356</v>
      </c>
      <c r="AQ9" s="19">
        <v>0</v>
      </c>
      <c r="AR9" s="19">
        <f t="shared" ca="1" si="8"/>
        <v>572.34</v>
      </c>
      <c r="AS9" s="19">
        <v>240</v>
      </c>
      <c r="AT9" s="19">
        <v>160</v>
      </c>
      <c r="AU9" s="19">
        <v>329</v>
      </c>
      <c r="AV9" s="19">
        <v>729</v>
      </c>
      <c r="AW9" s="20">
        <f t="shared" ca="1" si="9"/>
        <v>2.3847499999999999</v>
      </c>
      <c r="AX9" s="20">
        <f t="shared" ca="1" si="10"/>
        <v>1.7396352583586627</v>
      </c>
      <c r="AY9" s="20">
        <f t="shared" ca="1" si="11"/>
        <v>0.78510288065843625</v>
      </c>
      <c r="AZ9" s="21">
        <v>950</v>
      </c>
      <c r="BA9" s="22">
        <f t="shared" si="12"/>
        <v>0.21947873799725651</v>
      </c>
      <c r="BB9" s="22">
        <f t="shared" si="13"/>
        <v>0.76736842105263159</v>
      </c>
      <c r="BC9" s="23">
        <f t="shared" si="14"/>
        <v>0.16842105263157894</v>
      </c>
      <c r="BD9" t="s">
        <v>107</v>
      </c>
      <c r="BE9" s="23">
        <f t="shared" si="15"/>
        <v>8.022119107630199E-2</v>
      </c>
      <c r="BF9" t="s">
        <v>108</v>
      </c>
      <c r="BG9" s="23">
        <f t="shared" si="16"/>
        <v>0.15996225865400127</v>
      </c>
      <c r="BH9" s="24">
        <v>17.5</v>
      </c>
      <c r="BI9" s="24">
        <v>27</v>
      </c>
      <c r="BJ9" s="25">
        <f t="shared" ca="1" si="17"/>
        <v>49.124060150375939</v>
      </c>
      <c r="BK9" s="25">
        <f t="shared" ca="1" si="18"/>
        <v>104.99248120300751</v>
      </c>
      <c r="BL9" s="23">
        <f t="shared" ca="1" si="19"/>
        <v>0.47736486514825094</v>
      </c>
      <c r="BM9" s="23">
        <f t="shared" ca="1" si="20"/>
        <v>0.96936263684968993</v>
      </c>
      <c r="BN9" s="93" t="s">
        <v>81</v>
      </c>
      <c r="BO9" s="93" t="s">
        <v>109</v>
      </c>
      <c r="BP9" s="93" t="s">
        <v>110</v>
      </c>
    </row>
    <row r="10" spans="1:68" ht="15" customHeight="1" x14ac:dyDescent="0.35">
      <c r="A10" s="86" t="e" vm="7">
        <v>#VALUE!</v>
      </c>
      <c r="B10" s="10" t="str">
        <f t="array" aca="1" ref="B10" ca="1">_FV(A10,"Símbolo bursátil",TRUE())</f>
        <v>TSM</v>
      </c>
      <c r="C10" s="88" t="s">
        <v>111</v>
      </c>
      <c r="D10" s="88" t="s">
        <v>77</v>
      </c>
      <c r="E10" s="11" t="str">
        <f t="array" aca="1" ref="E10" ca="1">_FV(A10,"Abreviatura de intercambio",TRUE())</f>
        <v>XNYS</v>
      </c>
      <c r="F10" s="11" t="str">
        <f t="array" aca="1" ref="F10" ca="1">_FV(A10,"Moneda")</f>
        <v>USD</v>
      </c>
      <c r="G10" s="12">
        <f t="array" aca="1" ref="G10" ca="1">_FV(A10,"Precio")</f>
        <v>404.35</v>
      </c>
      <c r="H10" s="13">
        <f t="array" aca="1" ref="H10" ca="1">_FV(A10,"Acciones en circulación",TRUE())/1000000</f>
        <v>5186.5050000000001</v>
      </c>
      <c r="I10" s="14">
        <f t="shared" ca="1" si="0"/>
        <v>2097163.2967500002</v>
      </c>
      <c r="J10" s="90">
        <v>1</v>
      </c>
      <c r="K10" s="90">
        <v>7</v>
      </c>
      <c r="L10" s="90">
        <v>2</v>
      </c>
      <c r="M10" s="90">
        <v>1</v>
      </c>
      <c r="N10" s="90">
        <v>0</v>
      </c>
      <c r="O10" s="90">
        <v>0.82</v>
      </c>
      <c r="P10" s="90">
        <v>1</v>
      </c>
      <c r="Q10" s="90">
        <v>1</v>
      </c>
      <c r="R10" s="15">
        <f t="shared" si="1"/>
        <v>13.82</v>
      </c>
      <c r="S10" s="16">
        <f t="shared" si="2"/>
        <v>8.1300000000000008</v>
      </c>
      <c r="T10" s="90">
        <v>15</v>
      </c>
      <c r="U10" s="90">
        <v>17</v>
      </c>
      <c r="V10" s="90">
        <v>10</v>
      </c>
      <c r="W10" s="90">
        <v>9</v>
      </c>
      <c r="X10" s="90">
        <v>8</v>
      </c>
      <c r="Y10" s="90">
        <v>13</v>
      </c>
      <c r="Z10" s="90">
        <v>10</v>
      </c>
      <c r="AA10" s="90">
        <v>-7</v>
      </c>
      <c r="AB10" s="15">
        <f t="shared" si="3"/>
        <v>75</v>
      </c>
      <c r="AC10" s="16">
        <f t="shared" si="4"/>
        <v>7.5</v>
      </c>
      <c r="AD10" s="90">
        <v>14</v>
      </c>
      <c r="AE10" s="90">
        <v>-1</v>
      </c>
      <c r="AF10" s="90">
        <v>8</v>
      </c>
      <c r="AG10" s="90">
        <v>13</v>
      </c>
      <c r="AH10" s="90">
        <v>5</v>
      </c>
      <c r="AI10" s="90">
        <v>9</v>
      </c>
      <c r="AJ10" s="90">
        <v>13</v>
      </c>
      <c r="AK10" s="90">
        <v>-3</v>
      </c>
      <c r="AL10" s="15">
        <f t="shared" si="5"/>
        <v>58</v>
      </c>
      <c r="AM10" s="16">
        <f t="shared" si="6"/>
        <v>8.2899999999999991</v>
      </c>
      <c r="AN10" s="17">
        <f t="shared" si="7"/>
        <v>7.97</v>
      </c>
      <c r="AO10" s="18" t="s">
        <v>91</v>
      </c>
      <c r="AP10" s="19">
        <v>280</v>
      </c>
      <c r="AQ10" s="19">
        <v>20</v>
      </c>
      <c r="AR10" s="19">
        <f t="shared" ca="1" si="8"/>
        <v>2096903.2967500002</v>
      </c>
      <c r="AS10" s="19">
        <v>1030</v>
      </c>
      <c r="AT10" s="19">
        <v>960</v>
      </c>
      <c r="AU10" s="19">
        <v>1370</v>
      </c>
      <c r="AV10" s="19">
        <v>4700</v>
      </c>
      <c r="AW10" s="20">
        <f t="shared" ca="1" si="9"/>
        <v>2035.8284434466023</v>
      </c>
      <c r="AX10" s="20">
        <f t="shared" ca="1" si="10"/>
        <v>1530.5863479927009</v>
      </c>
      <c r="AY10" s="20">
        <f t="shared" ca="1" si="11"/>
        <v>446.14963760638301</v>
      </c>
      <c r="AZ10" s="21">
        <v>600</v>
      </c>
      <c r="BA10" s="22">
        <f t="shared" si="12"/>
        <v>0.20425531914893616</v>
      </c>
      <c r="BB10" s="22">
        <f t="shared" si="13"/>
        <v>7.833333333333333</v>
      </c>
      <c r="BC10" s="23">
        <f t="shared" si="14"/>
        <v>1.5999999999999999</v>
      </c>
      <c r="BD10" t="s">
        <v>112</v>
      </c>
      <c r="BE10" s="23">
        <f t="shared" si="15"/>
        <v>-0.20262948605215858</v>
      </c>
      <c r="BF10" t="s">
        <v>113</v>
      </c>
      <c r="BG10" s="23">
        <f t="shared" si="16"/>
        <v>-0.14197556146823231</v>
      </c>
      <c r="BH10" s="24">
        <v>15</v>
      </c>
      <c r="BI10" s="24">
        <v>27</v>
      </c>
      <c r="BJ10" s="25">
        <f t="shared" ca="1" si="17"/>
        <v>1.0103142675076955</v>
      </c>
      <c r="BK10" s="25">
        <f t="shared" ca="1" si="18"/>
        <v>2.5437168189368369</v>
      </c>
      <c r="BL10" s="23">
        <f t="shared" ca="1" si="19"/>
        <v>-0.69832466218577849</v>
      </c>
      <c r="BM10" s="23">
        <f t="shared" ca="1" si="20"/>
        <v>-0.7183707046686364</v>
      </c>
      <c r="BN10" s="93" t="s">
        <v>114</v>
      </c>
      <c r="BO10" s="93" t="s">
        <v>115</v>
      </c>
      <c r="BP10" s="93" t="s">
        <v>101</v>
      </c>
    </row>
    <row r="11" spans="1:68" ht="15" customHeight="1" x14ac:dyDescent="0.35">
      <c r="A11" s="86" t="e" vm="8">
        <v>#VALUE!</v>
      </c>
      <c r="B11" s="10" t="str">
        <f t="array" aca="1" ref="B11" ca="1">_FV(A11,"Símbolo bursátil",TRUE())</f>
        <v>SPOT</v>
      </c>
      <c r="C11" s="88" t="s">
        <v>116</v>
      </c>
      <c r="D11" s="88" t="s">
        <v>117</v>
      </c>
      <c r="E11" s="11" t="str">
        <f t="array" aca="1" ref="E11" ca="1">_FV(A11,"Abreviatura de intercambio",TRUE())</f>
        <v>XNYS</v>
      </c>
      <c r="F11" s="11" t="str">
        <f t="array" aca="1" ref="F11" ca="1">_FV(A11,"Moneda")</f>
        <v>USD</v>
      </c>
      <c r="G11" s="12">
        <f t="array" aca="1" ref="G11" ca="1">_FV(A11,"Precio")</f>
        <v>436.94</v>
      </c>
      <c r="H11" s="13">
        <f t="array" aca="1" ref="H11" ca="1">_FV(A11,"Acciones en circulación",TRUE())/1000000</f>
        <v>209.7413</v>
      </c>
      <c r="I11" s="14">
        <f t="shared" ca="1" si="0"/>
        <v>91644.363622000004</v>
      </c>
      <c r="J11" s="91">
        <v>2</v>
      </c>
      <c r="K11" s="91">
        <v>6</v>
      </c>
      <c r="L11" s="91">
        <v>2</v>
      </c>
      <c r="M11" s="91">
        <v>1</v>
      </c>
      <c r="N11" s="91">
        <v>0</v>
      </c>
      <c r="O11" s="91">
        <v>0.72</v>
      </c>
      <c r="P11" s="91">
        <v>1</v>
      </c>
      <c r="Q11" s="91">
        <v>1</v>
      </c>
      <c r="R11" s="26">
        <f t="shared" si="1"/>
        <v>13.72</v>
      </c>
      <c r="S11" s="16">
        <f t="shared" si="2"/>
        <v>8.07</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7.45</v>
      </c>
      <c r="AO11" s="18" t="s">
        <v>78</v>
      </c>
      <c r="AP11" s="19">
        <v>2400</v>
      </c>
      <c r="AQ11" s="19">
        <v>0</v>
      </c>
      <c r="AR11" s="19">
        <f t="shared" ca="1" si="8"/>
        <v>89244.363622000004</v>
      </c>
      <c r="AS11" s="19">
        <v>730</v>
      </c>
      <c r="AT11" s="19">
        <v>300</v>
      </c>
      <c r="AU11" s="19">
        <v>550</v>
      </c>
      <c r="AV11" s="19">
        <v>2700</v>
      </c>
      <c r="AW11" s="20">
        <f t="shared" ca="1" si="9"/>
        <v>122.25255290684932</v>
      </c>
      <c r="AX11" s="20">
        <f t="shared" ca="1" si="10"/>
        <v>162.26247931272729</v>
      </c>
      <c r="AY11" s="20">
        <f t="shared" ca="1" si="11"/>
        <v>33.053468008148151</v>
      </c>
      <c r="AZ11" s="21">
        <v>2000</v>
      </c>
      <c r="BA11" s="22">
        <f t="shared" si="12"/>
        <v>0.1111111111111111</v>
      </c>
      <c r="BB11" s="22">
        <f t="shared" si="13"/>
        <v>1.35</v>
      </c>
      <c r="BC11" s="23">
        <f t="shared" si="14"/>
        <v>0.15</v>
      </c>
      <c r="BD11" t="s">
        <v>118</v>
      </c>
      <c r="BE11" s="23">
        <f t="shared" si="15"/>
        <v>0.10006131467358759</v>
      </c>
      <c r="BF11" t="s">
        <v>119</v>
      </c>
      <c r="BG11" s="23">
        <f t="shared" si="16"/>
        <v>0.23998999963593159</v>
      </c>
      <c r="BH11" s="24">
        <v>20</v>
      </c>
      <c r="BI11" s="24">
        <v>30</v>
      </c>
      <c r="BJ11" s="25">
        <f t="shared" ca="1" si="17"/>
        <v>123.58081121839142</v>
      </c>
      <c r="BK11" s="25">
        <f t="shared" ca="1" si="18"/>
        <v>317.53402882503349</v>
      </c>
      <c r="BL11" s="23">
        <f t="shared" ca="1" si="19"/>
        <v>-0.22320602669300493</v>
      </c>
      <c r="BM11" s="23">
        <f t="shared" ca="1" si="20"/>
        <v>-7.6701526927437924E-2</v>
      </c>
      <c r="BN11" s="93" t="s">
        <v>81</v>
      </c>
      <c r="BO11" s="93" t="s">
        <v>120</v>
      </c>
      <c r="BP11" s="93" t="s">
        <v>106</v>
      </c>
    </row>
    <row r="12" spans="1:68" ht="15" customHeight="1" x14ac:dyDescent="0.35">
      <c r="A12" s="86" t="e" vm="9">
        <v>#VALUE!</v>
      </c>
      <c r="B12" s="10" t="str">
        <f t="array" aca="1" ref="B12" ca="1">_FV(A12,"Símbolo bursátil",TRUE())</f>
        <v>PRY</v>
      </c>
      <c r="C12" s="88" t="s">
        <v>121</v>
      </c>
      <c r="D12" s="88" t="s">
        <v>77</v>
      </c>
      <c r="E12" s="11" t="str">
        <f t="array" aca="1" ref="E12" ca="1">_FV(A12,"Abreviatura de intercambio",TRUE())</f>
        <v>XMIL</v>
      </c>
      <c r="F12" s="11" t="str">
        <f t="array" aca="1" ref="F12" ca="1">_FV(A12,"Moneda")</f>
        <v>EUR</v>
      </c>
      <c r="G12" s="12">
        <f t="array" aca="1" ref="G12" ca="1">_FV(A12,"Precio")</f>
        <v>153.15</v>
      </c>
      <c r="H12" s="13">
        <f t="array" aca="1" ref="H12" ca="1">_FV(A12,"Acciones en circulación",TRUE())/1000000</f>
        <v>296.40379999999999</v>
      </c>
      <c r="I12" s="14">
        <f t="shared" ca="1" si="0"/>
        <v>45394.241970000003</v>
      </c>
      <c r="J12" s="90">
        <v>1</v>
      </c>
      <c r="K12" s="90">
        <v>7</v>
      </c>
      <c r="L12" s="90">
        <v>3</v>
      </c>
      <c r="M12" s="90">
        <v>1</v>
      </c>
      <c r="N12" s="90">
        <v>0</v>
      </c>
      <c r="O12" s="90">
        <v>0.82</v>
      </c>
      <c r="P12" s="90">
        <v>1</v>
      </c>
      <c r="Q12" s="90">
        <v>0</v>
      </c>
      <c r="R12" s="15">
        <f t="shared" si="1"/>
        <v>13.82</v>
      </c>
      <c r="S12" s="16">
        <f t="shared" si="2"/>
        <v>8.1300000000000008</v>
      </c>
      <c r="T12" s="90">
        <v>16</v>
      </c>
      <c r="U12" s="90">
        <v>17</v>
      </c>
      <c r="V12" s="90">
        <v>15</v>
      </c>
      <c r="W12" s="90">
        <v>10</v>
      </c>
      <c r="X12" s="90">
        <v>8</v>
      </c>
      <c r="Y12" s="90">
        <v>12</v>
      </c>
      <c r="Z12" s="90">
        <v>6</v>
      </c>
      <c r="AA12" s="90">
        <v>-8</v>
      </c>
      <c r="AB12" s="15">
        <f t="shared" si="3"/>
        <v>76</v>
      </c>
      <c r="AC12" s="16">
        <f t="shared" si="4"/>
        <v>7.6</v>
      </c>
      <c r="AD12" s="90">
        <v>14</v>
      </c>
      <c r="AE12" s="90">
        <v>-1</v>
      </c>
      <c r="AF12" s="90">
        <v>9</v>
      </c>
      <c r="AG12" s="90">
        <v>12</v>
      </c>
      <c r="AH12" s="90">
        <v>5</v>
      </c>
      <c r="AI12" s="90">
        <v>7</v>
      </c>
      <c r="AJ12" s="90">
        <v>14</v>
      </c>
      <c r="AK12" s="90">
        <v>-3</v>
      </c>
      <c r="AL12" s="15">
        <f t="shared" si="5"/>
        <v>57</v>
      </c>
      <c r="AM12" s="16">
        <f t="shared" si="6"/>
        <v>8.14</v>
      </c>
      <c r="AN12" s="17">
        <f t="shared" si="7"/>
        <v>7.96</v>
      </c>
      <c r="AO12" s="18" t="s">
        <v>122</v>
      </c>
      <c r="AP12" s="19">
        <v>1950000</v>
      </c>
      <c r="AQ12" s="19">
        <v>20000</v>
      </c>
      <c r="AR12" s="19">
        <f ca="1">I12*'Framework Notes'!E4-AP12+AQ12</f>
        <v>6547374.6878974997</v>
      </c>
      <c r="AS12" s="19">
        <v>330000</v>
      </c>
      <c r="AT12" s="19">
        <v>350000</v>
      </c>
      <c r="AU12" s="19">
        <v>580000</v>
      </c>
      <c r="AV12" s="19">
        <v>2313000</v>
      </c>
      <c r="AW12" s="20">
        <f t="shared" ca="1" si="9"/>
        <v>19.840529357265151</v>
      </c>
      <c r="AX12" s="20">
        <f t="shared" ca="1" si="10"/>
        <v>11.288577048099137</v>
      </c>
      <c r="AY12" s="20">
        <f t="shared" ca="1" si="11"/>
        <v>2.8306851223076088</v>
      </c>
      <c r="AZ12" s="21">
        <v>1600000</v>
      </c>
      <c r="BA12" s="22">
        <f t="shared" si="12"/>
        <v>0.15131863380890617</v>
      </c>
      <c r="BB12" s="22">
        <f t="shared" si="13"/>
        <v>1.4456249999999999</v>
      </c>
      <c r="BC12" s="23">
        <f t="shared" si="14"/>
        <v>0.21874999999999997</v>
      </c>
      <c r="BD12" t="s">
        <v>123</v>
      </c>
      <c r="BE12" s="23">
        <f t="shared" si="15"/>
        <v>0</v>
      </c>
      <c r="BF12" t="s">
        <v>124</v>
      </c>
      <c r="BG12" s="23">
        <f t="shared" si="16"/>
        <v>0.13000014527509696</v>
      </c>
      <c r="BH12" s="24">
        <v>15</v>
      </c>
      <c r="BI12" s="24">
        <v>22.5</v>
      </c>
      <c r="BJ12" s="25">
        <f ca="1">((BD12*BH12+$AP12-$AQ12)/$H12)/'Framework Notes'!E4</f>
        <v>124.29225306087356</v>
      </c>
      <c r="BK12" s="25">
        <f ca="1">((BF12*BI12+$AP12-$AQ12)/$H12)/'Framework Notes'!E4</f>
        <v>282.00774078241449</v>
      </c>
      <c r="BL12" s="23">
        <f t="shared" ca="1" si="19"/>
        <v>-4.08966412246905E-2</v>
      </c>
      <c r="BM12" s="23">
        <f t="shared" ca="1" si="20"/>
        <v>0.16489292359509067</v>
      </c>
      <c r="BN12" s="93" t="s">
        <v>99</v>
      </c>
      <c r="BO12" s="94" t="s">
        <v>125</v>
      </c>
      <c r="BP12" s="93" t="s">
        <v>126</v>
      </c>
    </row>
    <row r="13" spans="1:68" ht="15" customHeight="1" x14ac:dyDescent="0.35">
      <c r="A13" s="86" t="e" vm="10">
        <v>#VALUE!</v>
      </c>
      <c r="B13" s="10" t="str">
        <f t="array" aca="1" ref="B13" ca="1">_FV(A13,"Símbolo bursátil",TRUE())</f>
        <v>JFN</v>
      </c>
      <c r="C13" s="88" t="s">
        <v>84</v>
      </c>
      <c r="D13" s="88" t="s">
        <v>77</v>
      </c>
      <c r="E13" s="11" t="str">
        <f t="array" aca="1" ref="E13" ca="1">_FV(A13,"Abreviatura de intercambio",TRUE())</f>
        <v>XSWX</v>
      </c>
      <c r="F13" s="11" t="str">
        <f t="array" aca="1" ref="F13" ca="1">_FV(A13,"Moneda")</f>
        <v>CHF</v>
      </c>
      <c r="G13" s="12">
        <f t="array" aca="1" ref="G13" ca="1">_FV(A13,"Precio")</f>
        <v>251.5</v>
      </c>
      <c r="H13" s="13">
        <f t="array" aca="1" ref="H13" ca="1">_FV(A13,"Acciones en circulación",TRUE())/1000000</f>
        <v>5.835</v>
      </c>
      <c r="I13" s="14">
        <f t="shared" ca="1" si="0"/>
        <v>1467.5025000000001</v>
      </c>
      <c r="J13" s="91">
        <v>1.5</v>
      </c>
      <c r="K13" s="91">
        <v>8</v>
      </c>
      <c r="L13" s="91">
        <v>3</v>
      </c>
      <c r="M13" s="91">
        <v>1</v>
      </c>
      <c r="N13" s="91">
        <v>0</v>
      </c>
      <c r="O13" s="91">
        <v>0.72</v>
      </c>
      <c r="P13" s="91">
        <v>1</v>
      </c>
      <c r="Q13" s="91">
        <v>0.5</v>
      </c>
      <c r="R13" s="26">
        <f t="shared" si="1"/>
        <v>15.72</v>
      </c>
      <c r="S13" s="16">
        <f t="shared" si="2"/>
        <v>9.25</v>
      </c>
      <c r="T13" s="91">
        <v>14</v>
      </c>
      <c r="U13" s="91">
        <v>19</v>
      </c>
      <c r="V13" s="91">
        <v>15</v>
      </c>
      <c r="W13" s="91">
        <v>10</v>
      </c>
      <c r="X13" s="91">
        <v>9</v>
      </c>
      <c r="Y13" s="91">
        <v>12</v>
      </c>
      <c r="Z13" s="91">
        <v>6</v>
      </c>
      <c r="AA13" s="91">
        <v>-8</v>
      </c>
      <c r="AB13" s="26">
        <f t="shared" si="3"/>
        <v>77</v>
      </c>
      <c r="AC13" s="16">
        <f t="shared" si="4"/>
        <v>7.7</v>
      </c>
      <c r="AD13" s="91">
        <v>14</v>
      </c>
      <c r="AE13" s="91">
        <v>-1</v>
      </c>
      <c r="AF13" s="91">
        <v>4</v>
      </c>
      <c r="AG13" s="91">
        <v>13</v>
      </c>
      <c r="AH13" s="91">
        <v>4</v>
      </c>
      <c r="AI13" s="91">
        <v>8</v>
      </c>
      <c r="AJ13" s="91">
        <v>14</v>
      </c>
      <c r="AK13" s="91">
        <v>-5</v>
      </c>
      <c r="AL13" s="26">
        <f t="shared" si="5"/>
        <v>51</v>
      </c>
      <c r="AM13" s="16">
        <f t="shared" si="6"/>
        <v>7.29</v>
      </c>
      <c r="AN13" s="17">
        <f t="shared" si="7"/>
        <v>8.08</v>
      </c>
      <c r="AO13" s="18" t="s">
        <v>78</v>
      </c>
      <c r="AP13" s="19">
        <v>80000</v>
      </c>
      <c r="AQ13" s="19">
        <v>65000</v>
      </c>
      <c r="AR13" s="19">
        <f t="shared" ref="AR13:AR32" ca="1" si="21">I13-AP13+AQ13</f>
        <v>-13532.497499999998</v>
      </c>
      <c r="AS13" s="19">
        <v>52000</v>
      </c>
      <c r="AT13" s="19">
        <v>55000</v>
      </c>
      <c r="AU13" s="19">
        <v>138000</v>
      </c>
      <c r="AV13" s="19">
        <v>637000</v>
      </c>
      <c r="AW13" s="20">
        <f t="shared" ca="1" si="9"/>
        <v>-0.26024033653846151</v>
      </c>
      <c r="AX13" s="20">
        <f t="shared" ca="1" si="10"/>
        <v>-9.8061576086956509E-2</v>
      </c>
      <c r="AY13" s="20">
        <f t="shared" ca="1" si="11"/>
        <v>-2.1244109105180532E-2</v>
      </c>
      <c r="AZ13" s="21">
        <v>300000</v>
      </c>
      <c r="BA13" s="22">
        <f t="shared" si="12"/>
        <v>8.6342229199372053E-2</v>
      </c>
      <c r="BB13" s="22">
        <f t="shared" si="13"/>
        <v>2.1233333333333335</v>
      </c>
      <c r="BC13" s="23">
        <f t="shared" si="14"/>
        <v>0.18333333333333335</v>
      </c>
      <c r="BD13" t="s">
        <v>127</v>
      </c>
      <c r="BE13" s="23">
        <f t="shared" si="15"/>
        <v>7.0000909614846396E-2</v>
      </c>
      <c r="BF13" t="s">
        <v>128</v>
      </c>
      <c r="BG13" s="23">
        <f t="shared" si="16"/>
        <v>0.16000049664691973</v>
      </c>
      <c r="BH13" s="24">
        <v>22.5</v>
      </c>
      <c r="BI13" s="24">
        <v>30</v>
      </c>
      <c r="BJ13" s="25">
        <f ca="1">(BD13*BH13+$AP13-$AQ13)/$H13</f>
        <v>283803.34190231364</v>
      </c>
      <c r="BK13" s="25">
        <f ca="1">(BF13*BI13+$AP13-$AQ13)/$H13</f>
        <v>564102.8277634962</v>
      </c>
      <c r="BL13" s="23">
        <f t="shared" ca="1" si="19"/>
        <v>3.0784571440492972</v>
      </c>
      <c r="BM13" s="23">
        <f t="shared" ca="1" si="20"/>
        <v>5.881847932794261</v>
      </c>
      <c r="BN13" s="93" t="s">
        <v>87</v>
      </c>
      <c r="BO13" s="93" t="s">
        <v>129</v>
      </c>
      <c r="BP13" s="93" t="s">
        <v>130</v>
      </c>
    </row>
    <row r="14" spans="1:68" ht="15" customHeight="1" x14ac:dyDescent="0.35">
      <c r="A14" s="86" t="e" vm="11">
        <v>#VALUE!</v>
      </c>
      <c r="B14" s="10" t="str">
        <f t="array" aca="1" ref="B14" ca="1">_FV(A14,"Símbolo bursátil",TRUE())</f>
        <v>CPR</v>
      </c>
      <c r="C14" s="88" t="s">
        <v>131</v>
      </c>
      <c r="D14" s="88" t="s">
        <v>77</v>
      </c>
      <c r="E14" s="11" t="str">
        <f t="array" aca="1" ref="E14" ca="1">_FV(A14,"Abreviatura de intercambio",TRUE())</f>
        <v>XMIL</v>
      </c>
      <c r="F14" s="11" t="str">
        <f t="array" aca="1" ref="F14" ca="1">_FV(A14,"Moneda")</f>
        <v>EUR</v>
      </c>
      <c r="G14" s="12">
        <f t="array" aca="1" ref="G14" ca="1">_FV(A14,"Precio")</f>
        <v>5.4020000000000001</v>
      </c>
      <c r="H14" s="13">
        <f t="array" aca="1" ref="H14" ca="1">_FV(A14,"Acciones en circulación",TRUE())/1000000</f>
        <v>1231.268</v>
      </c>
      <c r="I14" s="14">
        <f t="shared" ca="1" si="0"/>
        <v>6651.3097360000002</v>
      </c>
      <c r="J14" s="90">
        <v>1</v>
      </c>
      <c r="K14" s="90">
        <v>7</v>
      </c>
      <c r="L14" s="90">
        <v>3</v>
      </c>
      <c r="M14" s="90">
        <v>1</v>
      </c>
      <c r="N14" s="90">
        <v>0</v>
      </c>
      <c r="O14" s="90">
        <v>0.84</v>
      </c>
      <c r="P14" s="90">
        <v>1</v>
      </c>
      <c r="Q14" s="90">
        <v>0</v>
      </c>
      <c r="R14" s="15">
        <f t="shared" si="1"/>
        <v>13.84</v>
      </c>
      <c r="S14" s="16">
        <f t="shared" si="2"/>
        <v>8.14</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7.85</v>
      </c>
      <c r="AO14" s="18" t="s">
        <v>91</v>
      </c>
      <c r="AP14" s="19">
        <v>3500</v>
      </c>
      <c r="AQ14" s="19">
        <v>12500</v>
      </c>
      <c r="AR14" s="19">
        <f t="shared" ca="1" si="21"/>
        <v>15651.309735999999</v>
      </c>
      <c r="AS14" s="19">
        <v>4500</v>
      </c>
      <c r="AT14" s="19">
        <v>4800</v>
      </c>
      <c r="AU14" s="19">
        <v>8800</v>
      </c>
      <c r="AV14" s="19">
        <v>39500</v>
      </c>
      <c r="AW14" s="20">
        <f t="shared" ca="1" si="9"/>
        <v>3.478068830222222</v>
      </c>
      <c r="AX14" s="20">
        <f t="shared" ca="1" si="10"/>
        <v>1.7785579245454544</v>
      </c>
      <c r="AY14" s="20">
        <f t="shared" ca="1" si="11"/>
        <v>0.3962356895189873</v>
      </c>
      <c r="AZ14" s="21">
        <v>38000</v>
      </c>
      <c r="BA14" s="22">
        <f t="shared" si="12"/>
        <v>0.12151898734177215</v>
      </c>
      <c r="BB14" s="22">
        <f t="shared" si="13"/>
        <v>1.0394736842105263</v>
      </c>
      <c r="BC14" s="23">
        <f t="shared" si="14"/>
        <v>0.12631578947368421</v>
      </c>
      <c r="BD14" t="s">
        <v>132</v>
      </c>
      <c r="BE14" s="23">
        <f t="shared" si="15"/>
        <v>4.9990235939731065E-2</v>
      </c>
      <c r="BF14" t="s">
        <v>133</v>
      </c>
      <c r="BG14" s="23">
        <f t="shared" si="16"/>
        <v>0.13000113649503442</v>
      </c>
      <c r="BH14" s="24">
        <v>17.5</v>
      </c>
      <c r="BI14" s="24">
        <v>25</v>
      </c>
      <c r="BJ14" s="25">
        <f ca="1">(BD14*BH14+$AP14-$AQ14)/$H14</f>
        <v>74.315664826828922</v>
      </c>
      <c r="BK14" s="25">
        <f ca="1">(BF14*BI14+$AP14-$AQ14)/$H14</f>
        <v>161.03317880428955</v>
      </c>
      <c r="BL14" s="23">
        <f t="shared" ca="1" si="19"/>
        <v>0.68929368085501408</v>
      </c>
      <c r="BM14" s="23">
        <f t="shared" ca="1" si="20"/>
        <v>1.3366313355983874</v>
      </c>
      <c r="BN14" s="93" t="s">
        <v>81</v>
      </c>
      <c r="BO14" s="93" t="s">
        <v>120</v>
      </c>
      <c r="BP14" s="93" t="s">
        <v>134</v>
      </c>
    </row>
    <row r="15" spans="1:68" ht="15" customHeight="1" x14ac:dyDescent="0.35">
      <c r="A15" s="86" t="e" vm="12">
        <v>#VALUE!</v>
      </c>
      <c r="B15" s="10" t="str">
        <f t="array" aca="1" ref="B15" ca="1">_FV(A15,"Símbolo bursátil",TRUE())</f>
        <v>SIKA</v>
      </c>
      <c r="C15" s="88" t="s">
        <v>135</v>
      </c>
      <c r="D15" s="88" t="s">
        <v>77</v>
      </c>
      <c r="E15" s="11" t="str">
        <f t="array" aca="1" ref="E15" ca="1">_FV(A15,"Abreviatura de intercambio",TRUE())</f>
        <v>XSWX</v>
      </c>
      <c r="F15" s="11" t="str">
        <f t="array" aca="1" ref="F15" ca="1">_FV(A15,"Moneda")</f>
        <v>CHF</v>
      </c>
      <c r="G15" s="12">
        <f t="array" aca="1" ref="G15" ca="1">_FV(A15,"Precio")</f>
        <v>138.5</v>
      </c>
      <c r="H15" s="13">
        <f t="array" aca="1" ref="H15" ca="1">_FV(A15,"Acciones en circulación",TRUE())/1000000</f>
        <v>160.47929999999999</v>
      </c>
      <c r="I15" s="14">
        <f t="shared" ca="1" si="0"/>
        <v>22226.38305</v>
      </c>
      <c r="J15" s="91">
        <v>0</v>
      </c>
      <c r="K15" s="91">
        <v>6.5</v>
      </c>
      <c r="L15" s="91">
        <v>2</v>
      </c>
      <c r="M15" s="91">
        <v>1</v>
      </c>
      <c r="N15" s="91">
        <v>0</v>
      </c>
      <c r="O15" s="91">
        <v>0.74</v>
      </c>
      <c r="P15" s="91">
        <v>1</v>
      </c>
      <c r="Q15" s="91">
        <v>1</v>
      </c>
      <c r="R15" s="26">
        <f t="shared" si="1"/>
        <v>12.24</v>
      </c>
      <c r="S15" s="16">
        <f t="shared" si="2"/>
        <v>7.2</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7.68</v>
      </c>
      <c r="AO15" s="18" t="s">
        <v>91</v>
      </c>
      <c r="AP15" s="19">
        <v>11500</v>
      </c>
      <c r="AQ15" s="19">
        <v>0</v>
      </c>
      <c r="AR15" s="19">
        <f t="shared" ca="1" si="21"/>
        <v>10726.38305</v>
      </c>
      <c r="AS15" s="19">
        <v>6500</v>
      </c>
      <c r="AT15" s="19">
        <v>6500</v>
      </c>
      <c r="AU15" s="19">
        <v>11000</v>
      </c>
      <c r="AV15" s="19">
        <v>38600</v>
      </c>
      <c r="AW15" s="20">
        <f t="shared" ca="1" si="9"/>
        <v>1.650212776923077</v>
      </c>
      <c r="AX15" s="20">
        <f t="shared" ca="1" si="10"/>
        <v>0.97512573181818185</v>
      </c>
      <c r="AY15" s="20">
        <f t="shared" ca="1" si="11"/>
        <v>0.27788557124352331</v>
      </c>
      <c r="AZ15" s="21">
        <v>18000</v>
      </c>
      <c r="BA15" s="22">
        <f t="shared" si="12"/>
        <v>0.16839378238341968</v>
      </c>
      <c r="BB15" s="22">
        <f t="shared" si="13"/>
        <v>2.1444444444444444</v>
      </c>
      <c r="BC15" s="23">
        <f t="shared" si="14"/>
        <v>0.36111111111111105</v>
      </c>
      <c r="BD15" t="s">
        <v>136</v>
      </c>
      <c r="BE15" s="23">
        <f t="shared" si="15"/>
        <v>3.9993585848977053E-2</v>
      </c>
      <c r="BF15" t="s">
        <v>137</v>
      </c>
      <c r="BG15" s="23">
        <f t="shared" si="16"/>
        <v>0.11999567960135571</v>
      </c>
      <c r="BH15" s="24">
        <v>16</v>
      </c>
      <c r="BI15" s="24">
        <v>24</v>
      </c>
      <c r="BJ15" s="25">
        <f ca="1">(BD15*BH15+$AP15-$AQ15)/$H15</f>
        <v>860.09846752821079</v>
      </c>
      <c r="BK15" s="25">
        <f ca="1">(BF15*BI15+$AP15-$AQ15)/$H15</f>
        <v>1784.7784729868588</v>
      </c>
      <c r="BL15" s="23">
        <f t="shared" ca="1" si="19"/>
        <v>0.44085301659272891</v>
      </c>
      <c r="BM15" s="23">
        <f t="shared" ca="1" si="20"/>
        <v>0.89467025225495012</v>
      </c>
      <c r="BN15" s="93" t="s">
        <v>81</v>
      </c>
      <c r="BO15" s="93" t="s">
        <v>138</v>
      </c>
      <c r="BP15" s="93" t="s">
        <v>110</v>
      </c>
    </row>
    <row r="16" spans="1:68" ht="15" customHeight="1" x14ac:dyDescent="0.35">
      <c r="A16" s="86" t="e" vm="13">
        <v>#VALUE!</v>
      </c>
      <c r="B16" s="10" t="str">
        <f t="array" aca="1" ref="B16" ca="1">_FV(A16,"Símbolo bursátil",TRUE())</f>
        <v>CHKP</v>
      </c>
      <c r="C16" s="88" t="s">
        <v>135</v>
      </c>
      <c r="D16" s="88" t="s">
        <v>77</v>
      </c>
      <c r="E16" s="11" t="str">
        <f t="array" aca="1" ref="E16" ca="1">_FV(A16,"Abreviatura de intercambio",TRUE())</f>
        <v>XNAS</v>
      </c>
      <c r="F16" s="11" t="str">
        <f t="array" aca="1" ref="F16" ca="1">_FV(A16,"Moneda")</f>
        <v>USD</v>
      </c>
      <c r="G16" s="12">
        <f t="array" aca="1" ref="G16" ca="1">_FV(A16,"Precio")</f>
        <v>124.03</v>
      </c>
      <c r="H16" s="13">
        <f t="array" aca="1" ref="H16" ca="1">_FV(A16,"Acciones en circulación",TRUE())/1000000</f>
        <v>104.0278</v>
      </c>
      <c r="I16" s="14">
        <f t="shared" ca="1" si="0"/>
        <v>12902.568034</v>
      </c>
      <c r="J16" s="90">
        <v>0</v>
      </c>
      <c r="K16" s="90">
        <v>7</v>
      </c>
      <c r="L16" s="90">
        <v>3</v>
      </c>
      <c r="M16" s="90">
        <v>1</v>
      </c>
      <c r="N16" s="90">
        <v>0</v>
      </c>
      <c r="O16" s="90">
        <v>0.76</v>
      </c>
      <c r="P16" s="90">
        <v>1</v>
      </c>
      <c r="Q16" s="90">
        <v>1</v>
      </c>
      <c r="R16" s="15">
        <f t="shared" si="1"/>
        <v>13.76</v>
      </c>
      <c r="S16" s="16">
        <f t="shared" si="2"/>
        <v>8.09</v>
      </c>
      <c r="T16" s="90">
        <v>16</v>
      </c>
      <c r="U16" s="90">
        <v>16</v>
      </c>
      <c r="V16" s="90">
        <v>13</v>
      </c>
      <c r="W16" s="90">
        <v>9</v>
      </c>
      <c r="X16" s="90">
        <v>9</v>
      </c>
      <c r="Y16" s="90">
        <v>13</v>
      </c>
      <c r="Z16" s="90">
        <v>10</v>
      </c>
      <c r="AA16" s="90">
        <v>-7</v>
      </c>
      <c r="AB16" s="15">
        <f t="shared" si="3"/>
        <v>79</v>
      </c>
      <c r="AC16" s="16">
        <f t="shared" si="4"/>
        <v>7.9</v>
      </c>
      <c r="AD16" s="90">
        <v>14</v>
      </c>
      <c r="AE16" s="90">
        <v>-1</v>
      </c>
      <c r="AF16" s="90">
        <v>7</v>
      </c>
      <c r="AG16" s="90">
        <v>13</v>
      </c>
      <c r="AH16" s="90">
        <v>4</v>
      </c>
      <c r="AI16" s="90">
        <v>9</v>
      </c>
      <c r="AJ16" s="90">
        <v>13</v>
      </c>
      <c r="AK16" s="90">
        <v>-3</v>
      </c>
      <c r="AL16" s="15">
        <f t="shared" si="5"/>
        <v>56</v>
      </c>
      <c r="AM16" s="16">
        <f t="shared" si="6"/>
        <v>8</v>
      </c>
      <c r="AN16" s="17">
        <f t="shared" si="7"/>
        <v>8</v>
      </c>
      <c r="AO16" s="18" t="s">
        <v>91</v>
      </c>
      <c r="AP16" s="19">
        <v>100</v>
      </c>
      <c r="AQ16" s="19">
        <v>200</v>
      </c>
      <c r="AR16" s="19">
        <f t="shared" ca="1" si="21"/>
        <v>13002.568034</v>
      </c>
      <c r="AS16" s="19">
        <v>180</v>
      </c>
      <c r="AT16" s="19">
        <v>165</v>
      </c>
      <c r="AU16" s="19">
        <v>260</v>
      </c>
      <c r="AV16" s="19">
        <v>1200</v>
      </c>
      <c r="AW16" s="20">
        <f t="shared" ca="1" si="9"/>
        <v>72.236489077777776</v>
      </c>
      <c r="AX16" s="20">
        <f t="shared" ca="1" si="10"/>
        <v>50.009877053846154</v>
      </c>
      <c r="AY16" s="20">
        <f t="shared" ca="1" si="11"/>
        <v>10.835473361666667</v>
      </c>
      <c r="AZ16" s="21">
        <v>800</v>
      </c>
      <c r="BA16" s="22">
        <f t="shared" si="12"/>
        <v>0.13750000000000001</v>
      </c>
      <c r="BB16" s="22">
        <f t="shared" si="13"/>
        <v>1.5</v>
      </c>
      <c r="BC16" s="23">
        <f t="shared" si="14"/>
        <v>0.20625000000000002</v>
      </c>
      <c r="BD16" t="s">
        <v>139</v>
      </c>
      <c r="BE16" s="23">
        <f t="shared" si="15"/>
        <v>6.9610375725068785E-2</v>
      </c>
      <c r="BF16" t="s">
        <v>140</v>
      </c>
      <c r="BG16" s="23">
        <f t="shared" si="16"/>
        <v>0.15996225865400127</v>
      </c>
      <c r="BH16" s="24">
        <v>15</v>
      </c>
      <c r="BI16" s="24">
        <v>25</v>
      </c>
      <c r="BJ16" s="25">
        <f ca="1">(BD16*BH16+$AP16-$AQ16)/$H16</f>
        <v>35.375159332409218</v>
      </c>
      <c r="BK16" s="25">
        <f ca="1">(BF16*BI16+$AP16-$AQ16)/$H16</f>
        <v>89.879820586420166</v>
      </c>
      <c r="BL16" s="23">
        <f t="shared" ca="1" si="19"/>
        <v>-0.22190194057607671</v>
      </c>
      <c r="BM16" s="23">
        <f t="shared" ca="1" si="20"/>
        <v>-7.7356634295413174E-2</v>
      </c>
      <c r="BN16" s="93" t="s">
        <v>81</v>
      </c>
      <c r="BO16" s="93" t="s">
        <v>141</v>
      </c>
      <c r="BP16" s="93" t="s">
        <v>142</v>
      </c>
    </row>
    <row r="17" spans="1:68" ht="15" customHeight="1" x14ac:dyDescent="0.35">
      <c r="A17" s="86" t="e" vm="14">
        <v>#VALUE!</v>
      </c>
      <c r="B17" s="10" t="str">
        <f t="array" aca="1" ref="B17" ca="1">_FV(A17,"Símbolo bursátil",TRUE())</f>
        <v>TGYM</v>
      </c>
      <c r="C17" s="88" t="s">
        <v>143</v>
      </c>
      <c r="D17" s="88" t="s">
        <v>77</v>
      </c>
      <c r="E17" s="11" t="str">
        <f t="array" aca="1" ref="E17" ca="1">_FV(A17,"Abreviatura de intercambio",TRUE())</f>
        <v>XMIL</v>
      </c>
      <c r="F17" s="11" t="str">
        <f t="array" aca="1" ref="F17" ca="1">_FV(A17,"Moneda")</f>
        <v>EUR</v>
      </c>
      <c r="G17" s="12">
        <f t="array" aca="1" ref="G17" ca="1">_FV(A17,"Precio")</f>
        <v>21.3</v>
      </c>
      <c r="H17" s="13">
        <f t="array" aca="1" ref="H17" ca="1">_FV(A17,"Acciones en circulación",TRUE())/1000000</f>
        <v>201.32749999999999</v>
      </c>
      <c r="I17" s="14">
        <f ca="1">G17/100*H17</f>
        <v>42.882757499999997</v>
      </c>
      <c r="J17" s="91">
        <v>2</v>
      </c>
      <c r="K17" s="91">
        <v>6</v>
      </c>
      <c r="L17" s="91">
        <v>3</v>
      </c>
      <c r="M17" s="91">
        <v>1</v>
      </c>
      <c r="N17" s="91">
        <v>0</v>
      </c>
      <c r="O17" s="91">
        <v>0.86</v>
      </c>
      <c r="P17" s="91">
        <v>1</v>
      </c>
      <c r="Q17" s="91">
        <v>0</v>
      </c>
      <c r="R17" s="26">
        <f t="shared" si="1"/>
        <v>13.86</v>
      </c>
      <c r="S17" s="16">
        <f t="shared" si="2"/>
        <v>8.15</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7.88</v>
      </c>
      <c r="AO17" s="18" t="s">
        <v>144</v>
      </c>
      <c r="AP17" s="19">
        <v>100</v>
      </c>
      <c r="AQ17" s="19">
        <v>400</v>
      </c>
      <c r="AR17" s="19">
        <f t="shared" ca="1" si="21"/>
        <v>342.88275750000003</v>
      </c>
      <c r="AS17" s="19">
        <v>400</v>
      </c>
      <c r="AT17" s="19">
        <v>370</v>
      </c>
      <c r="AU17" s="19">
        <v>515</v>
      </c>
      <c r="AV17" s="19">
        <v>2340</v>
      </c>
      <c r="AW17" s="20">
        <f t="shared" ca="1" si="9"/>
        <v>0.85720689375000003</v>
      </c>
      <c r="AX17" s="20">
        <f t="shared" ca="1" si="10"/>
        <v>0.66579176213592239</v>
      </c>
      <c r="AY17" s="20">
        <f t="shared" ca="1" si="11"/>
        <v>0.14653109294871797</v>
      </c>
      <c r="AZ17" s="21">
        <v>2100</v>
      </c>
      <c r="BA17" s="22">
        <f t="shared" si="12"/>
        <v>0.15811965811965811</v>
      </c>
      <c r="BB17" s="22">
        <f t="shared" si="13"/>
        <v>1.1142857142857143</v>
      </c>
      <c r="BC17" s="23">
        <f t="shared" si="14"/>
        <v>0.1761904761904762</v>
      </c>
      <c r="BD17" t="s">
        <v>145</v>
      </c>
      <c r="BE17" s="23">
        <f t="shared" si="15"/>
        <v>5.0200405794756708E-2</v>
      </c>
      <c r="BF17" t="s">
        <v>146</v>
      </c>
      <c r="BG17" s="23">
        <f t="shared" si="16"/>
        <v>0.13000795103795748</v>
      </c>
      <c r="BH17" s="24">
        <v>18</v>
      </c>
      <c r="BI17" s="24">
        <v>28</v>
      </c>
      <c r="BJ17" s="25">
        <f ca="1">(BD17*BH17+$AP17-$AQ17)/$H17*100</f>
        <v>4419.6644770336889</v>
      </c>
      <c r="BK17" s="25">
        <f ca="1">(BF17*BI17+$AP17-$AQ17)/$H17*100</f>
        <v>10100.954911773108</v>
      </c>
      <c r="BL17" s="23">
        <f t="shared" ca="1" si="19"/>
        <v>1.9067115709661464</v>
      </c>
      <c r="BM17" s="23">
        <f t="shared" ca="1" si="20"/>
        <v>3.6665476770227192</v>
      </c>
      <c r="BN17" s="93" t="s">
        <v>81</v>
      </c>
      <c r="BO17" s="94" t="s">
        <v>147</v>
      </c>
      <c r="BP17" s="93" t="s">
        <v>148</v>
      </c>
    </row>
    <row r="18" spans="1:68" ht="15" customHeight="1" x14ac:dyDescent="0.35">
      <c r="A18" s="86" t="e" vm="15">
        <v>#VALUE!</v>
      </c>
      <c r="B18" s="10" t="str">
        <f t="array" aca="1" ref="B18" ca="1">_FV(A18,"Símbolo bursátil",TRUE())</f>
        <v>VID</v>
      </c>
      <c r="C18" s="88" t="s">
        <v>76</v>
      </c>
      <c r="D18" s="88" t="s">
        <v>77</v>
      </c>
      <c r="E18" s="11" t="str">
        <f t="array" aca="1" ref="E18" ca="1">_FV(A18,"Abreviatura de intercambio",TRUE())</f>
        <v>BMEX</v>
      </c>
      <c r="F18" s="11" t="str">
        <f t="array" aca="1" ref="F18" ca="1">_FV(A18,"Moneda")</f>
        <v>EUR</v>
      </c>
      <c r="G18" s="12">
        <f t="array" aca="1" ref="G18" ca="1">_FV(A18,"Precio")</f>
        <v>75.099999999999994</v>
      </c>
      <c r="H18" s="13">
        <f t="array" aca="1" ref="H18" ca="1">_FV(A18,"Acciones en circulación",TRUE())/1000000</f>
        <v>35.20626</v>
      </c>
      <c r="I18" s="14">
        <f t="shared" ref="I18:I25" ca="1" si="22">G18*H18</f>
        <v>2643.9901259999997</v>
      </c>
      <c r="J18" s="90">
        <v>0</v>
      </c>
      <c r="K18" s="90">
        <v>8</v>
      </c>
      <c r="L18" s="90">
        <v>2</v>
      </c>
      <c r="M18" s="90">
        <v>1</v>
      </c>
      <c r="N18" s="90">
        <v>-1</v>
      </c>
      <c r="O18" s="90">
        <v>0.78</v>
      </c>
      <c r="P18" s="90">
        <v>1</v>
      </c>
      <c r="Q18" s="90">
        <v>0</v>
      </c>
      <c r="R18" s="15">
        <f t="shared" si="1"/>
        <v>11.78</v>
      </c>
      <c r="S18" s="16">
        <f t="shared" si="2"/>
        <v>6.93</v>
      </c>
      <c r="T18" s="90">
        <v>17</v>
      </c>
      <c r="U18" s="90">
        <v>19</v>
      </c>
      <c r="V18" s="90">
        <v>10</v>
      </c>
      <c r="W18" s="90">
        <v>7</v>
      </c>
      <c r="X18" s="90">
        <v>10</v>
      </c>
      <c r="Y18" s="90">
        <v>12</v>
      </c>
      <c r="Z18" s="90">
        <v>5</v>
      </c>
      <c r="AA18" s="90">
        <v>-15</v>
      </c>
      <c r="AB18" s="15">
        <f t="shared" si="3"/>
        <v>65</v>
      </c>
      <c r="AC18" s="16">
        <f t="shared" si="4"/>
        <v>6.5</v>
      </c>
      <c r="AD18" s="90">
        <v>14</v>
      </c>
      <c r="AE18" s="90">
        <v>0</v>
      </c>
      <c r="AF18" s="90">
        <v>10</v>
      </c>
      <c r="AG18" s="90">
        <v>15</v>
      </c>
      <c r="AH18" s="90">
        <v>4</v>
      </c>
      <c r="AI18" s="90">
        <v>8</v>
      </c>
      <c r="AJ18" s="90">
        <v>13</v>
      </c>
      <c r="AK18" s="90">
        <v>-6</v>
      </c>
      <c r="AL18" s="15">
        <f t="shared" si="5"/>
        <v>58</v>
      </c>
      <c r="AM18" s="16">
        <f t="shared" si="6"/>
        <v>8.2899999999999991</v>
      </c>
      <c r="AN18" s="17">
        <f t="shared" si="7"/>
        <v>7.24</v>
      </c>
      <c r="AO18" s="18" t="s">
        <v>78</v>
      </c>
      <c r="AP18" s="19">
        <v>200</v>
      </c>
      <c r="AQ18" s="19">
        <v>2400</v>
      </c>
      <c r="AR18" s="19">
        <f t="shared" ca="1" si="21"/>
        <v>4843.9901259999997</v>
      </c>
      <c r="AS18" s="19">
        <v>850</v>
      </c>
      <c r="AT18" s="19">
        <v>850</v>
      </c>
      <c r="AU18" s="19">
        <v>1150</v>
      </c>
      <c r="AV18" s="19">
        <v>2100</v>
      </c>
      <c r="AW18" s="20">
        <f t="shared" ca="1" si="9"/>
        <v>5.6988119129411761</v>
      </c>
      <c r="AX18" s="20">
        <f t="shared" ca="1" si="10"/>
        <v>4.2121653269565211</v>
      </c>
      <c r="AY18" s="20">
        <f t="shared" ca="1" si="11"/>
        <v>2.3066619647619047</v>
      </c>
      <c r="AZ18" s="21">
        <v>2200</v>
      </c>
      <c r="BA18" s="22">
        <f t="shared" si="12"/>
        <v>0.40476190476190477</v>
      </c>
      <c r="BB18" s="22">
        <f t="shared" si="13"/>
        <v>0.95454545454545459</v>
      </c>
      <c r="BC18" s="23">
        <f t="shared" si="14"/>
        <v>0.38636363636363641</v>
      </c>
      <c r="BD18" t="s">
        <v>149</v>
      </c>
      <c r="BE18" s="23">
        <f t="shared" si="15"/>
        <v>4.7698107072338569E-2</v>
      </c>
      <c r="BF18" t="s">
        <v>150</v>
      </c>
      <c r="BG18" s="23">
        <f t="shared" si="16"/>
        <v>0.14461520060918054</v>
      </c>
      <c r="BH18" s="24">
        <v>18</v>
      </c>
      <c r="BI18" s="24">
        <v>26</v>
      </c>
      <c r="BJ18" s="25">
        <f t="shared" ref="BJ18:BJ25" ca="1" si="23">(BD18*BH18+$AP18-$AQ18)/$H18</f>
        <v>486.10673215502015</v>
      </c>
      <c r="BK18" s="25">
        <f t="shared" ref="BK18:BK25" ca="1" si="24">(BF18*BI18+$AP18-$AQ18)/$H18</f>
        <v>1170.8145085561489</v>
      </c>
      <c r="BL18" s="23">
        <f t="shared" ca="1" si="19"/>
        <v>0.45284184420111595</v>
      </c>
      <c r="BM18" s="23">
        <f t="shared" ca="1" si="20"/>
        <v>0.98706484367068303</v>
      </c>
      <c r="BN18" s="93" t="s">
        <v>114</v>
      </c>
      <c r="BO18" s="93" t="s">
        <v>151</v>
      </c>
      <c r="BP18" s="93" t="s">
        <v>152</v>
      </c>
    </row>
    <row r="19" spans="1:68" ht="15" customHeight="1" x14ac:dyDescent="0.35">
      <c r="A19" s="86" t="e" vm="16">
        <v>#VALUE!</v>
      </c>
      <c r="B19" s="10" t="str">
        <f t="array" aca="1" ref="B19" ca="1">_FV(A19,"Símbolo bursátil",TRUE())</f>
        <v>TFPM</v>
      </c>
      <c r="C19" s="88" t="s">
        <v>153</v>
      </c>
      <c r="D19" s="88" t="s">
        <v>77</v>
      </c>
      <c r="E19" s="11" t="str">
        <f t="array" aca="1" ref="E19" ca="1">_FV(A19,"Abreviatura de intercambio",TRUE())</f>
        <v>XTSE</v>
      </c>
      <c r="F19" s="11" t="str">
        <f t="array" aca="1" ref="F19" ca="1">_FV(A19,"Moneda")</f>
        <v>CAD</v>
      </c>
      <c r="G19" s="12">
        <f t="array" aca="1" ref="G19" ca="1">_FV(A19,"Precio")</f>
        <v>43.98</v>
      </c>
      <c r="H19" s="13">
        <f t="array" aca="1" ref="H19" ca="1">_FV(A19,"Acciones en circulación",TRUE())/1000000</f>
        <v>206.60390000000001</v>
      </c>
      <c r="I19" s="14">
        <f t="shared" ca="1" si="22"/>
        <v>9086.4395220000006</v>
      </c>
      <c r="J19" s="91">
        <v>0</v>
      </c>
      <c r="K19" s="91">
        <v>7</v>
      </c>
      <c r="L19" s="91">
        <v>3</v>
      </c>
      <c r="M19" s="91">
        <v>1</v>
      </c>
      <c r="N19" s="91">
        <v>0</v>
      </c>
      <c r="O19" s="91">
        <v>0.7</v>
      </c>
      <c r="P19" s="91">
        <v>0.5</v>
      </c>
      <c r="Q19" s="91">
        <v>1</v>
      </c>
      <c r="R19" s="26">
        <f t="shared" si="1"/>
        <v>13.2</v>
      </c>
      <c r="S19" s="16">
        <f t="shared" si="2"/>
        <v>7.76</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v>
      </c>
      <c r="AO19" s="18" t="s">
        <v>154</v>
      </c>
      <c r="AP19" s="19">
        <v>3000</v>
      </c>
      <c r="AQ19" s="19">
        <v>12500</v>
      </c>
      <c r="AR19" s="19">
        <f t="shared" ca="1" si="21"/>
        <v>18586.439522000001</v>
      </c>
      <c r="AS19" s="19">
        <v>3800</v>
      </c>
      <c r="AT19" s="19">
        <v>3400</v>
      </c>
      <c r="AU19" s="19">
        <v>5800</v>
      </c>
      <c r="AV19" s="19">
        <v>26500</v>
      </c>
      <c r="AW19" s="20">
        <f t="shared" ca="1" si="9"/>
        <v>4.8911682952631583</v>
      </c>
      <c r="AX19" s="20">
        <f t="shared" ca="1" si="10"/>
        <v>3.2045585382758621</v>
      </c>
      <c r="AY19" s="20">
        <f t="shared" ca="1" si="11"/>
        <v>0.70137507630188678</v>
      </c>
      <c r="AZ19" s="21">
        <v>22000</v>
      </c>
      <c r="BA19" s="22">
        <f t="shared" si="12"/>
        <v>0.12830188679245283</v>
      </c>
      <c r="BB19" s="22">
        <f t="shared" si="13"/>
        <v>1.2045454545454546</v>
      </c>
      <c r="BC19" s="23">
        <f t="shared" si="14"/>
        <v>0.15454545454545454</v>
      </c>
      <c r="BD19" t="s">
        <v>155</v>
      </c>
      <c r="BE19" s="23">
        <f t="shared" si="15"/>
        <v>7.001218289169242E-2</v>
      </c>
      <c r="BF19" t="s">
        <v>156</v>
      </c>
      <c r="BG19" s="23">
        <f t="shared" si="16"/>
        <v>0.1699915026044907</v>
      </c>
      <c r="BH19" s="24">
        <v>16</v>
      </c>
      <c r="BI19" s="24">
        <v>26</v>
      </c>
      <c r="BJ19" s="25">
        <f t="shared" ca="1" si="23"/>
        <v>366.78881666802994</v>
      </c>
      <c r="BK19" s="25">
        <f t="shared" ca="1" si="24"/>
        <v>1002.4302542207577</v>
      </c>
      <c r="BL19" s="23">
        <f t="shared" ca="1" si="19"/>
        <v>0.52838290736514693</v>
      </c>
      <c r="BM19" s="23">
        <f t="shared" ca="1" si="20"/>
        <v>1.184991416022608</v>
      </c>
      <c r="BN19" s="93" t="s">
        <v>81</v>
      </c>
      <c r="BO19" s="93" t="s">
        <v>157</v>
      </c>
      <c r="BP19" s="93" t="s">
        <v>158</v>
      </c>
    </row>
    <row r="20" spans="1:68" ht="15" customHeight="1" x14ac:dyDescent="0.35">
      <c r="A20" s="86" t="e" vm="17">
        <v>#VALUE!</v>
      </c>
      <c r="B20" s="10" t="str">
        <f t="array" aca="1" ref="B20" ca="1">_FV(A20,"Símbolo bursátil",TRUE())</f>
        <v>NFLX</v>
      </c>
      <c r="C20" s="88" t="s">
        <v>135</v>
      </c>
      <c r="D20" s="88" t="s">
        <v>77</v>
      </c>
      <c r="E20" s="11" t="str">
        <f t="array" aca="1" ref="E20" ca="1">_FV(A20,"Abreviatura de intercambio",TRUE())</f>
        <v>XNAS</v>
      </c>
      <c r="F20" s="11" t="str">
        <f t="array" aca="1" ref="F20" ca="1">_FV(A20,"Moneda")</f>
        <v>USD</v>
      </c>
      <c r="G20" s="12">
        <f t="array" aca="1" ref="G20" ca="1">_FV(A20,"Precio")</f>
        <v>87.02</v>
      </c>
      <c r="H20" s="13">
        <f t="array" aca="1" ref="H20" ca="1">_FV(A20,"Acciones en circulación",TRUE())/1000000</f>
        <v>4210.7979999999998</v>
      </c>
      <c r="I20" s="14">
        <f t="shared" ca="1" si="22"/>
        <v>366423.64195999998</v>
      </c>
      <c r="J20" s="90">
        <v>0.5</v>
      </c>
      <c r="K20" s="90">
        <v>7</v>
      </c>
      <c r="L20" s="90">
        <v>2</v>
      </c>
      <c r="M20" s="90">
        <v>0.5</v>
      </c>
      <c r="N20" s="90">
        <v>-0.5</v>
      </c>
      <c r="O20" s="90">
        <v>0.5</v>
      </c>
      <c r="P20" s="90">
        <v>0.5</v>
      </c>
      <c r="Q20" s="90">
        <v>0.5</v>
      </c>
      <c r="R20" s="15">
        <f t="shared" si="1"/>
        <v>11</v>
      </c>
      <c r="S20" s="16">
        <f t="shared" si="2"/>
        <v>6.47</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6.64</v>
      </c>
      <c r="AO20" s="18" t="s">
        <v>91</v>
      </c>
      <c r="AP20" s="19">
        <v>1500</v>
      </c>
      <c r="AQ20" s="19">
        <v>800</v>
      </c>
      <c r="AR20" s="19">
        <f t="shared" ca="1" si="21"/>
        <v>365723.64195999998</v>
      </c>
      <c r="AS20" s="19">
        <v>450</v>
      </c>
      <c r="AT20" s="19">
        <v>350</v>
      </c>
      <c r="AU20" s="19">
        <v>630</v>
      </c>
      <c r="AV20" s="19">
        <v>3100</v>
      </c>
      <c r="AW20" s="20">
        <f t="shared" ca="1" si="9"/>
        <v>812.71920435555546</v>
      </c>
      <c r="AX20" s="20">
        <f t="shared" ca="1" si="10"/>
        <v>580.51371739682531</v>
      </c>
      <c r="AY20" s="20">
        <f t="shared" ca="1" si="11"/>
        <v>117.97536837419354</v>
      </c>
      <c r="AZ20" s="21">
        <v>1600</v>
      </c>
      <c r="BA20" s="22">
        <f t="shared" si="12"/>
        <v>0.11290322580645161</v>
      </c>
      <c r="BB20" s="22">
        <f t="shared" si="13"/>
        <v>1.9375</v>
      </c>
      <c r="BC20" s="23">
        <f t="shared" si="14"/>
        <v>0.21875</v>
      </c>
      <c r="BD20" t="s">
        <v>159</v>
      </c>
      <c r="BE20" s="23">
        <f t="shared" si="15"/>
        <v>3.9812328944305531E-2</v>
      </c>
      <c r="BF20" t="s">
        <v>160</v>
      </c>
      <c r="BG20" s="23">
        <f t="shared" si="16"/>
        <v>0.13988509692971296</v>
      </c>
      <c r="BH20" s="24">
        <v>12</v>
      </c>
      <c r="BI20" s="24">
        <v>20</v>
      </c>
      <c r="BJ20" s="25">
        <f t="shared" ca="1" si="23"/>
        <v>1.7250886886523649</v>
      </c>
      <c r="BK20" s="25">
        <f t="shared" ca="1" si="24"/>
        <v>4.2794738669487353</v>
      </c>
      <c r="BL20" s="23">
        <f t="shared" ca="1" si="19"/>
        <v>-0.54350243037065815</v>
      </c>
      <c r="BM20" s="23">
        <f t="shared" ca="1" si="20"/>
        <v>-0.52908467391073333</v>
      </c>
      <c r="BN20" s="93" t="s">
        <v>81</v>
      </c>
      <c r="BO20" s="93" t="s">
        <v>161</v>
      </c>
      <c r="BP20" s="93" t="s">
        <v>106</v>
      </c>
    </row>
    <row r="21" spans="1:68" ht="15" customHeight="1" x14ac:dyDescent="0.35">
      <c r="A21" s="86" t="e" vm="18">
        <v>#VALUE!</v>
      </c>
      <c r="B21" s="10" t="str">
        <f t="array" aca="1" ref="B21" ca="1">_FV(A21,"Símbolo bursátil",TRUE())</f>
        <v>NKE</v>
      </c>
      <c r="C21" s="88" t="s">
        <v>135</v>
      </c>
      <c r="D21" s="88" t="s">
        <v>77</v>
      </c>
      <c r="E21" s="11" t="str">
        <f t="array" aca="1" ref="E21" ca="1">_FV(A21,"Abreviatura de intercambio",TRUE())</f>
        <v>XNYS</v>
      </c>
      <c r="F21" s="11" t="str">
        <f t="array" aca="1" ref="F21" ca="1">_FV(A21,"Moneda")</f>
        <v>USD</v>
      </c>
      <c r="G21" s="12">
        <f t="array" aca="1" ref="G21" ca="1">_FV(A21,"Precio")</f>
        <v>41.88</v>
      </c>
      <c r="H21" s="13">
        <f t="array" aca="1" ref="H21" ca="1">_FV(A21,"Acciones en circulación",TRUE())/1000000</f>
        <v>1480.8869999999999</v>
      </c>
      <c r="I21" s="14">
        <f t="shared" ca="1" si="22"/>
        <v>62019.547559999999</v>
      </c>
      <c r="J21" s="91">
        <v>0</v>
      </c>
      <c r="K21" s="91">
        <v>7</v>
      </c>
      <c r="L21" s="91">
        <v>2</v>
      </c>
      <c r="M21" s="91">
        <v>1</v>
      </c>
      <c r="N21" s="91">
        <v>-1</v>
      </c>
      <c r="O21" s="91">
        <v>0.78</v>
      </c>
      <c r="P21" s="91">
        <v>1</v>
      </c>
      <c r="Q21" s="91">
        <v>1</v>
      </c>
      <c r="R21" s="26">
        <f t="shared" si="1"/>
        <v>11.78</v>
      </c>
      <c r="S21" s="16">
        <f t="shared" si="2"/>
        <v>6.93</v>
      </c>
      <c r="T21" s="91">
        <v>16</v>
      </c>
      <c r="U21" s="91">
        <v>17</v>
      </c>
      <c r="V21" s="91">
        <v>11</v>
      </c>
      <c r="W21" s="91">
        <v>9</v>
      </c>
      <c r="X21" s="91">
        <v>9</v>
      </c>
      <c r="Y21" s="91">
        <v>12</v>
      </c>
      <c r="Z21" s="91">
        <v>9</v>
      </c>
      <c r="AA21" s="91">
        <v>-9</v>
      </c>
      <c r="AB21" s="26">
        <f t="shared" si="3"/>
        <v>74</v>
      </c>
      <c r="AC21" s="16">
        <f t="shared" si="4"/>
        <v>7.4</v>
      </c>
      <c r="AD21" s="91">
        <v>13</v>
      </c>
      <c r="AE21" s="91">
        <v>-1</v>
      </c>
      <c r="AF21" s="91">
        <v>9</v>
      </c>
      <c r="AG21" s="91">
        <v>12</v>
      </c>
      <c r="AH21" s="91">
        <v>5</v>
      </c>
      <c r="AI21" s="91">
        <v>9</v>
      </c>
      <c r="AJ21" s="91">
        <v>13</v>
      </c>
      <c r="AK21" s="91">
        <v>-4</v>
      </c>
      <c r="AL21" s="26">
        <f t="shared" si="5"/>
        <v>56</v>
      </c>
      <c r="AM21" s="16">
        <f t="shared" si="6"/>
        <v>8</v>
      </c>
      <c r="AN21" s="17">
        <f t="shared" si="7"/>
        <v>7.44</v>
      </c>
      <c r="AO21" s="18" t="s">
        <v>78</v>
      </c>
      <c r="AP21" s="19">
        <v>2600</v>
      </c>
      <c r="AQ21" s="19">
        <v>50</v>
      </c>
      <c r="AR21" s="19">
        <f t="shared" ca="1" si="21"/>
        <v>59469.547559999999</v>
      </c>
      <c r="AS21" s="19">
        <v>2100</v>
      </c>
      <c r="AT21" s="19">
        <v>2100</v>
      </c>
      <c r="AU21" s="19">
        <v>2650</v>
      </c>
      <c r="AV21" s="19">
        <v>8000</v>
      </c>
      <c r="AW21" s="20">
        <f t="shared" ca="1" si="9"/>
        <v>28.318832171428571</v>
      </c>
      <c r="AX21" s="20">
        <f t="shared" ca="1" si="10"/>
        <v>22.441338701886792</v>
      </c>
      <c r="AY21" s="20">
        <f t="shared" ca="1" si="11"/>
        <v>7.4336934450000003</v>
      </c>
      <c r="AZ21" s="21">
        <v>3200</v>
      </c>
      <c r="BA21" s="22">
        <f t="shared" si="12"/>
        <v>0.26250000000000001</v>
      </c>
      <c r="BB21" s="22">
        <f t="shared" si="13"/>
        <v>2.5</v>
      </c>
      <c r="BC21" s="23">
        <f t="shared" si="14"/>
        <v>0.65625</v>
      </c>
      <c r="BD21" t="s">
        <v>162</v>
      </c>
      <c r="BE21" s="23">
        <f t="shared" si="15"/>
        <v>8.4281584386185493E-3</v>
      </c>
      <c r="BF21" t="s">
        <v>163</v>
      </c>
      <c r="BG21" s="23">
        <f t="shared" si="16"/>
        <v>7.629326615796983E-2</v>
      </c>
      <c r="BH21" s="24">
        <v>18</v>
      </c>
      <c r="BI21" s="24">
        <v>22</v>
      </c>
      <c r="BJ21" s="25">
        <f t="shared" ca="1" si="23"/>
        <v>28.341122583964882</v>
      </c>
      <c r="BK21" s="25">
        <f t="shared" ca="1" si="24"/>
        <v>46.780071673260693</v>
      </c>
      <c r="BL21" s="23">
        <f t="shared" ca="1" si="19"/>
        <v>-7.5127055542017596E-2</v>
      </c>
      <c r="BM21" s="23">
        <f t="shared" ca="1" si="20"/>
        <v>2.8048378601251089E-2</v>
      </c>
      <c r="BN21" s="93" t="s">
        <v>99</v>
      </c>
      <c r="BO21" s="93" t="s">
        <v>164</v>
      </c>
      <c r="BP21" s="93" t="s">
        <v>101</v>
      </c>
    </row>
    <row r="22" spans="1:68" ht="15" customHeight="1" x14ac:dyDescent="0.35">
      <c r="A22" s="86" t="e" vm="19">
        <v>#VALUE!</v>
      </c>
      <c r="B22" s="10" t="str">
        <f t="array" aca="1" ref="B22" ca="1">_FV(A22,"Símbolo bursátil",TRUE())</f>
        <v>MIPS</v>
      </c>
      <c r="C22" s="88" t="s">
        <v>135</v>
      </c>
      <c r="D22" s="88" t="s">
        <v>117</v>
      </c>
      <c r="E22" s="11" t="str">
        <f t="array" aca="1" ref="E22" ca="1">_FV(A22,"Abreviatura de intercambio",TRUE())</f>
        <v>XSTO</v>
      </c>
      <c r="F22" s="11" t="str">
        <f t="array" aca="1" ref="F22" ca="1">_FV(A22,"Moneda")</f>
        <v>SEK</v>
      </c>
      <c r="G22" s="12">
        <f t="array" aca="1" ref="G22" ca="1">_FV(A22,"Precio")</f>
        <v>256.39999999999998</v>
      </c>
      <c r="H22" s="13">
        <f t="array" aca="1" ref="H22" ca="1">_FV(A22,"Acciones en circulación",TRUE())/1000000</f>
        <v>26.491119999999999</v>
      </c>
      <c r="I22" s="14">
        <f t="shared" ca="1" si="22"/>
        <v>6792.323167999999</v>
      </c>
      <c r="J22" s="90">
        <v>1.5</v>
      </c>
      <c r="K22" s="90">
        <v>7</v>
      </c>
      <c r="L22" s="90">
        <v>3</v>
      </c>
      <c r="M22" s="90">
        <v>1</v>
      </c>
      <c r="N22" s="90">
        <v>0</v>
      </c>
      <c r="O22" s="90">
        <v>0.82</v>
      </c>
      <c r="P22" s="90">
        <v>1</v>
      </c>
      <c r="Q22" s="90">
        <v>1</v>
      </c>
      <c r="R22" s="15">
        <f t="shared" si="1"/>
        <v>15.32</v>
      </c>
      <c r="S22" s="16">
        <f t="shared" si="2"/>
        <v>9.01</v>
      </c>
      <c r="T22" s="90">
        <v>14</v>
      </c>
      <c r="U22" s="90">
        <v>16</v>
      </c>
      <c r="V22" s="90">
        <v>15</v>
      </c>
      <c r="W22" s="90">
        <v>9</v>
      </c>
      <c r="X22" s="90">
        <v>7</v>
      </c>
      <c r="Y22" s="90">
        <v>12</v>
      </c>
      <c r="Z22" s="90">
        <v>9</v>
      </c>
      <c r="AA22" s="90">
        <v>-10</v>
      </c>
      <c r="AB22" s="15">
        <f t="shared" si="3"/>
        <v>72</v>
      </c>
      <c r="AC22" s="16">
        <f t="shared" si="4"/>
        <v>7.2</v>
      </c>
      <c r="AD22" s="90">
        <v>12</v>
      </c>
      <c r="AE22" s="90">
        <v>-2</v>
      </c>
      <c r="AF22" s="90">
        <v>10</v>
      </c>
      <c r="AG22" s="90">
        <v>11</v>
      </c>
      <c r="AH22" s="90">
        <v>4</v>
      </c>
      <c r="AI22" s="90">
        <v>8</v>
      </c>
      <c r="AJ22" s="90">
        <v>12</v>
      </c>
      <c r="AK22" s="90">
        <v>-5</v>
      </c>
      <c r="AL22" s="15">
        <f t="shared" si="5"/>
        <v>50</v>
      </c>
      <c r="AM22" s="16">
        <f t="shared" si="6"/>
        <v>7.14</v>
      </c>
      <c r="AN22" s="17">
        <f t="shared" si="7"/>
        <v>7.78</v>
      </c>
      <c r="AO22" s="18" t="s">
        <v>78</v>
      </c>
      <c r="AP22" s="19">
        <v>11000</v>
      </c>
      <c r="AQ22" s="19">
        <v>2000</v>
      </c>
      <c r="AR22" s="19">
        <f t="shared" ca="1" si="21"/>
        <v>-2207.676832000001</v>
      </c>
      <c r="AS22" s="19">
        <v>4200</v>
      </c>
      <c r="AT22" s="19">
        <v>1500</v>
      </c>
      <c r="AU22" s="19">
        <v>3600</v>
      </c>
      <c r="AV22" s="19">
        <v>11500</v>
      </c>
      <c r="AW22" s="20">
        <f t="shared" ca="1" si="9"/>
        <v>-0.52563734095238124</v>
      </c>
      <c r="AX22" s="20">
        <f t="shared" ca="1" si="10"/>
        <v>-0.61324356444444472</v>
      </c>
      <c r="AY22" s="20">
        <f t="shared" ca="1" si="11"/>
        <v>-0.19197189843478268</v>
      </c>
      <c r="AZ22" s="21">
        <v>4000</v>
      </c>
      <c r="BA22" s="22">
        <f t="shared" si="12"/>
        <v>0.13043478260869565</v>
      </c>
      <c r="BB22" s="22">
        <f t="shared" si="13"/>
        <v>2.875</v>
      </c>
      <c r="BC22" s="23">
        <f t="shared" si="14"/>
        <v>0.375</v>
      </c>
      <c r="BD22" t="s">
        <v>165</v>
      </c>
      <c r="BE22" s="23">
        <f t="shared" si="15"/>
        <v>4.9985012185677746E-2</v>
      </c>
      <c r="BF22" t="s">
        <v>166</v>
      </c>
      <c r="BG22" s="23">
        <f t="shared" si="16"/>
        <v>0.15000816268269079</v>
      </c>
      <c r="BH22" s="24">
        <v>16</v>
      </c>
      <c r="BI22" s="24">
        <v>24</v>
      </c>
      <c r="BJ22" s="25">
        <f t="shared" ca="1" si="23"/>
        <v>3577.0477050422937</v>
      </c>
      <c r="BK22" s="25">
        <f t="shared" ca="1" si="24"/>
        <v>7993.3200257293765</v>
      </c>
      <c r="BL22" s="23">
        <f t="shared" ca="1" si="19"/>
        <v>0.69403095629688627</v>
      </c>
      <c r="BM22" s="23">
        <f t="shared" ca="1" si="20"/>
        <v>1.3629378286388421</v>
      </c>
      <c r="BN22" s="93" t="s">
        <v>99</v>
      </c>
      <c r="BO22" s="93" t="s">
        <v>167</v>
      </c>
      <c r="BP22" s="93" t="s">
        <v>101</v>
      </c>
    </row>
    <row r="23" spans="1:68" ht="15" customHeight="1" x14ac:dyDescent="0.35">
      <c r="A23" s="86" t="e" vm="20">
        <v>#VALUE!</v>
      </c>
      <c r="B23" s="10" t="str">
        <f t="array" aca="1" ref="B23" ca="1">_FV(A23,"Símbolo bursátil",TRUE())</f>
        <v>FERG</v>
      </c>
      <c r="C23" s="88" t="s">
        <v>102</v>
      </c>
      <c r="D23" s="88" t="s">
        <v>102</v>
      </c>
      <c r="E23" s="11" t="str">
        <f t="array" aca="1" ref="E23" ca="1">_FV(A23,"Abreviatura de intercambio",TRUE())</f>
        <v>XNYS</v>
      </c>
      <c r="F23" s="11" t="str">
        <f t="array" aca="1" ref="F23" ca="1">_FV(A23,"Moneda")</f>
        <v>USD</v>
      </c>
      <c r="G23" s="12">
        <f t="array" aca="1" ref="G23" ca="1">_FV(A23,"Precio")</f>
        <v>223.82</v>
      </c>
      <c r="H23" s="13">
        <f t="array" aca="1" ref="H23" ca="1">_FV(A23,"Acciones en circulación",TRUE())/1000000</f>
        <v>193.93780000000001</v>
      </c>
      <c r="I23" s="14">
        <f t="shared" ca="1" si="22"/>
        <v>43407.158395999999</v>
      </c>
      <c r="J23" s="91">
        <v>0.5</v>
      </c>
      <c r="K23" s="91">
        <v>7</v>
      </c>
      <c r="L23" s="91">
        <v>2</v>
      </c>
      <c r="M23" s="91">
        <v>0.75</v>
      </c>
      <c r="N23" s="91">
        <v>0</v>
      </c>
      <c r="O23" s="91">
        <v>0.3</v>
      </c>
      <c r="P23" s="91">
        <v>1</v>
      </c>
      <c r="Q23" s="91">
        <v>1</v>
      </c>
      <c r="R23" s="26">
        <f t="shared" si="1"/>
        <v>12.55</v>
      </c>
      <c r="S23" s="16">
        <f t="shared" si="2"/>
        <v>7.38</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7.39</v>
      </c>
      <c r="AO23" s="18" t="s">
        <v>168</v>
      </c>
      <c r="AP23" s="19">
        <v>500</v>
      </c>
      <c r="AQ23" s="19">
        <v>1000</v>
      </c>
      <c r="AR23" s="19">
        <f t="shared" ca="1" si="21"/>
        <v>43907.158395999999</v>
      </c>
      <c r="AS23" s="19">
        <v>700</v>
      </c>
      <c r="AT23" s="19">
        <v>1700</v>
      </c>
      <c r="AU23" s="19">
        <v>2500</v>
      </c>
      <c r="AV23" s="19">
        <v>37000</v>
      </c>
      <c r="AW23" s="20">
        <f t="shared" ca="1" si="9"/>
        <v>62.724511994285713</v>
      </c>
      <c r="AX23" s="20">
        <f t="shared" ca="1" si="10"/>
        <v>17.562863358399998</v>
      </c>
      <c r="AY23" s="20">
        <f t="shared" ca="1" si="11"/>
        <v>1.1866799566486486</v>
      </c>
      <c r="AZ23" s="21">
        <v>6500</v>
      </c>
      <c r="BA23" s="22">
        <f t="shared" si="12"/>
        <v>4.5945945945945948E-2</v>
      </c>
      <c r="BB23" s="22">
        <f t="shared" si="13"/>
        <v>5.6923076923076925</v>
      </c>
      <c r="BC23" s="23">
        <f t="shared" si="14"/>
        <v>0.26153846153846155</v>
      </c>
      <c r="BD23" t="s">
        <v>169</v>
      </c>
      <c r="BE23" s="23">
        <f t="shared" si="15"/>
        <v>0.12006550912241742</v>
      </c>
      <c r="BF23" t="s">
        <v>170</v>
      </c>
      <c r="BG23" s="23">
        <f t="shared" si="16"/>
        <v>0.23998337745572296</v>
      </c>
      <c r="BH23" s="24">
        <v>15</v>
      </c>
      <c r="BI23" s="24">
        <v>20</v>
      </c>
      <c r="BJ23" s="25">
        <f t="shared" ca="1" si="23"/>
        <v>92.864825732786485</v>
      </c>
      <c r="BK23" s="25">
        <f t="shared" ca="1" si="24"/>
        <v>209.03609301538947</v>
      </c>
      <c r="BL23" s="23">
        <f t="shared" ca="1" si="19"/>
        <v>-0.16133122981510939</v>
      </c>
      <c r="BM23" s="23">
        <f t="shared" ca="1" si="20"/>
        <v>-1.6938705862135084E-2</v>
      </c>
      <c r="BN23" s="93" t="s">
        <v>99</v>
      </c>
      <c r="BO23" s="93" t="s">
        <v>171</v>
      </c>
      <c r="BP23" s="93" t="s">
        <v>101</v>
      </c>
    </row>
    <row r="24" spans="1:68" ht="15" customHeight="1" x14ac:dyDescent="0.35">
      <c r="A24" s="86" t="e" vm="21">
        <v>#VALUE!</v>
      </c>
      <c r="B24" s="10" t="str">
        <f t="array" aca="1" ref="B24" ca="1">_FV(A24,"Símbolo bursátil",TRUE())</f>
        <v>S</v>
      </c>
      <c r="C24" s="88" t="s">
        <v>153</v>
      </c>
      <c r="D24" s="88" t="s">
        <v>77</v>
      </c>
      <c r="E24" s="11" t="str">
        <f t="array" aca="1" ref="E24" ca="1">_FV(A24,"Abreviatura de intercambio",TRUE())</f>
        <v>XNYS</v>
      </c>
      <c r="F24" s="11" t="str">
        <f t="array" aca="1" ref="F24" ca="1">_FV(A24,"Moneda")</f>
        <v>USD</v>
      </c>
      <c r="G24" s="12">
        <f t="array" aca="1" ref="G24" ca="1">_FV(A24,"Precio")</f>
        <v>16.86</v>
      </c>
      <c r="H24" s="13">
        <f t="array" aca="1" ref="H24" ca="1">_FV(A24,"Acciones en circulación",TRUE())/1000000</f>
        <v>341.4821</v>
      </c>
      <c r="I24" s="14">
        <f t="shared" ca="1" si="22"/>
        <v>5757.3882059999996</v>
      </c>
      <c r="J24" s="90">
        <v>2</v>
      </c>
      <c r="K24" s="90">
        <v>6</v>
      </c>
      <c r="L24" s="90">
        <v>1</v>
      </c>
      <c r="M24" s="90">
        <v>1</v>
      </c>
      <c r="N24" s="90">
        <v>0</v>
      </c>
      <c r="O24" s="90">
        <v>0</v>
      </c>
      <c r="P24" s="90">
        <v>0</v>
      </c>
      <c r="Q24" s="90">
        <v>0</v>
      </c>
      <c r="R24" s="15">
        <f t="shared" si="1"/>
        <v>10</v>
      </c>
      <c r="S24" s="16">
        <f t="shared" si="2"/>
        <v>5.88</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6.95</v>
      </c>
      <c r="AO24" s="18" t="s">
        <v>78</v>
      </c>
      <c r="AP24" s="19">
        <v>1000</v>
      </c>
      <c r="AQ24" s="19">
        <v>2500</v>
      </c>
      <c r="AR24" s="19">
        <f t="shared" ca="1" si="21"/>
        <v>7257.3882059999996</v>
      </c>
      <c r="AS24" s="19">
        <v>1050</v>
      </c>
      <c r="AT24" s="19">
        <v>1050</v>
      </c>
      <c r="AU24" s="19">
        <v>1380</v>
      </c>
      <c r="AV24" s="19">
        <v>5600</v>
      </c>
      <c r="AW24" s="20">
        <f t="shared" ca="1" si="9"/>
        <v>6.9117982914285712</v>
      </c>
      <c r="AX24" s="20">
        <f t="shared" ca="1" si="10"/>
        <v>5.2589769608695649</v>
      </c>
      <c r="AY24" s="20">
        <f t="shared" ca="1" si="11"/>
        <v>1.2959621796428571</v>
      </c>
      <c r="AZ24" s="21">
        <v>6500</v>
      </c>
      <c r="BA24" s="22">
        <f t="shared" si="12"/>
        <v>0.1875</v>
      </c>
      <c r="BB24" s="22">
        <f t="shared" si="13"/>
        <v>0.86153846153846159</v>
      </c>
      <c r="BC24" s="23">
        <f t="shared" si="14"/>
        <v>0.16153846153846155</v>
      </c>
      <c r="BD24" t="s">
        <v>172</v>
      </c>
      <c r="BE24" s="23">
        <f t="shared" si="15"/>
        <v>4.967139653467445E-2</v>
      </c>
      <c r="BF24" t="s">
        <v>173</v>
      </c>
      <c r="BG24" s="23">
        <f t="shared" si="16"/>
        <v>0.13051857390845423</v>
      </c>
      <c r="BH24" s="24">
        <v>12.5</v>
      </c>
      <c r="BI24" s="24">
        <v>20</v>
      </c>
      <c r="BJ24" s="25">
        <f t="shared" ca="1" si="23"/>
        <v>44.585060241810623</v>
      </c>
      <c r="BK24" s="25">
        <f t="shared" ca="1" si="24"/>
        <v>109.1711688548243</v>
      </c>
      <c r="BL24" s="23">
        <f t="shared" ca="1" si="19"/>
        <v>0.21469252100809766</v>
      </c>
      <c r="BM24" s="23">
        <f t="shared" ca="1" si="20"/>
        <v>0.59519065753898781</v>
      </c>
      <c r="BN24" s="93" t="s">
        <v>114</v>
      </c>
      <c r="BO24" s="93" t="s">
        <v>174</v>
      </c>
      <c r="BP24" s="93" t="s">
        <v>130</v>
      </c>
    </row>
    <row r="25" spans="1:68" ht="15" customHeight="1" x14ac:dyDescent="0.35">
      <c r="A25" s="86" t="e" vm="22">
        <v>#VALUE!</v>
      </c>
      <c r="B25" s="10" t="str">
        <f t="array" aca="1" ref="B25" ca="1">_FV(A25,"Símbolo bursátil",TRUE())</f>
        <v>TREX</v>
      </c>
      <c r="C25" s="88" t="s">
        <v>131</v>
      </c>
      <c r="D25" s="88" t="s">
        <v>77</v>
      </c>
      <c r="E25" s="11" t="str">
        <f t="array" aca="1" ref="E25" ca="1">_FV(A25,"Abreviatura de intercambio",TRUE())</f>
        <v>XNYS</v>
      </c>
      <c r="F25" s="11" t="str">
        <f t="array" aca="1" ref="F25" ca="1">_FV(A25,"Moneda")</f>
        <v>USD</v>
      </c>
      <c r="G25" s="12">
        <f t="array" aca="1" ref="G25" ca="1">_FV(A25,"Precio")</f>
        <v>37.44</v>
      </c>
      <c r="H25" s="13">
        <f t="array" aca="1" ref="H25" ca="1">_FV(A25,"Acciones en circulación",TRUE())/1000000</f>
        <v>103.89870000000001</v>
      </c>
      <c r="I25" s="14">
        <f t="shared" ca="1" si="22"/>
        <v>3889.9673280000002</v>
      </c>
      <c r="J25" s="91">
        <v>1</v>
      </c>
      <c r="K25" s="91">
        <v>6</v>
      </c>
      <c r="L25" s="91">
        <v>2</v>
      </c>
      <c r="M25" s="91">
        <v>1</v>
      </c>
      <c r="N25" s="91">
        <v>0</v>
      </c>
      <c r="O25" s="91">
        <v>1</v>
      </c>
      <c r="P25" s="91">
        <v>0</v>
      </c>
      <c r="Q25" s="91">
        <v>0</v>
      </c>
      <c r="R25" s="26">
        <f t="shared" si="1"/>
        <v>11</v>
      </c>
      <c r="S25" s="16">
        <f t="shared" si="2"/>
        <v>6.47</v>
      </c>
      <c r="T25" s="91">
        <v>14</v>
      </c>
      <c r="U25" s="91">
        <v>14</v>
      </c>
      <c r="V25" s="91">
        <v>14</v>
      </c>
      <c r="W25" s="91">
        <v>10</v>
      </c>
      <c r="X25" s="91">
        <v>9</v>
      </c>
      <c r="Y25" s="91">
        <v>11</v>
      </c>
      <c r="Z25" s="91">
        <v>5</v>
      </c>
      <c r="AA25" s="91">
        <v>-7</v>
      </c>
      <c r="AB25" s="26">
        <f t="shared" si="3"/>
        <v>70</v>
      </c>
      <c r="AC25" s="16">
        <f t="shared" si="4"/>
        <v>7</v>
      </c>
      <c r="AD25" s="91">
        <v>13</v>
      </c>
      <c r="AE25" s="91">
        <v>-1</v>
      </c>
      <c r="AF25" s="91">
        <v>6</v>
      </c>
      <c r="AG25" s="91">
        <v>13</v>
      </c>
      <c r="AH25" s="91">
        <v>4</v>
      </c>
      <c r="AI25" s="91">
        <v>8</v>
      </c>
      <c r="AJ25" s="91">
        <v>12</v>
      </c>
      <c r="AK25" s="91">
        <v>-3</v>
      </c>
      <c r="AL25" s="26">
        <f t="shared" si="5"/>
        <v>52</v>
      </c>
      <c r="AM25" s="16">
        <f t="shared" si="6"/>
        <v>7.43</v>
      </c>
      <c r="AN25" s="17">
        <f t="shared" si="7"/>
        <v>6.97</v>
      </c>
      <c r="AO25" s="18" t="s">
        <v>91</v>
      </c>
      <c r="AP25" s="19">
        <v>1800</v>
      </c>
      <c r="AQ25" s="19">
        <v>4300</v>
      </c>
      <c r="AR25" s="19">
        <f t="shared" ca="1" si="21"/>
        <v>6389.9673280000006</v>
      </c>
      <c r="AS25" s="19">
        <v>1400</v>
      </c>
      <c r="AT25" s="19">
        <v>1460</v>
      </c>
      <c r="AU25" s="19">
        <v>2300</v>
      </c>
      <c r="AV25" s="19">
        <v>9700</v>
      </c>
      <c r="AW25" s="20">
        <f t="shared" ca="1" si="9"/>
        <v>4.5642623771428577</v>
      </c>
      <c r="AX25" s="20">
        <f t="shared" ca="1" si="10"/>
        <v>2.7782466643478263</v>
      </c>
      <c r="AY25" s="20">
        <f t="shared" ca="1" si="11"/>
        <v>0.65875951835051549</v>
      </c>
      <c r="AZ25" s="21">
        <v>9500</v>
      </c>
      <c r="BA25" s="22">
        <f t="shared" si="12"/>
        <v>0.15051546391752577</v>
      </c>
      <c r="BB25" s="22">
        <f t="shared" si="13"/>
        <v>1.0210526315789474</v>
      </c>
      <c r="BC25" s="23">
        <f t="shared" si="14"/>
        <v>0.15368421052631578</v>
      </c>
      <c r="BD25" t="s">
        <v>175</v>
      </c>
      <c r="BE25" s="23">
        <f t="shared" si="15"/>
        <v>4.4441795090502056E-2</v>
      </c>
      <c r="BF25" t="s">
        <v>176</v>
      </c>
      <c r="BG25" s="23">
        <f t="shared" si="16"/>
        <v>0.13310128354779716</v>
      </c>
      <c r="BH25" s="24">
        <v>13</v>
      </c>
      <c r="BI25" s="24">
        <v>24</v>
      </c>
      <c r="BJ25" s="25">
        <f t="shared" ca="1" si="23"/>
        <v>193.65016116659783</v>
      </c>
      <c r="BK25" s="25">
        <f t="shared" ca="1" si="24"/>
        <v>579.98800754966135</v>
      </c>
      <c r="BL25" s="23">
        <f t="shared" ca="1" si="19"/>
        <v>0.38910925407671071</v>
      </c>
      <c r="BM25" s="23">
        <f t="shared" ca="1" si="20"/>
        <v>0.98390464114725718</v>
      </c>
      <c r="BN25" s="93" t="s">
        <v>114</v>
      </c>
      <c r="BO25" s="93" t="s">
        <v>177</v>
      </c>
      <c r="BP25" s="93" t="s">
        <v>178</v>
      </c>
    </row>
    <row r="26" spans="1:68" ht="15" customHeight="1" x14ac:dyDescent="0.35">
      <c r="A26" s="86" t="e" vm="23">
        <v>#VALUE!</v>
      </c>
      <c r="B26" s="10" t="str">
        <f t="array" aca="1" ref="B26" ca="1">_FV(A26,"Símbolo bursátil",TRUE())</f>
        <v>SGO</v>
      </c>
      <c r="C26" s="88" t="s">
        <v>143</v>
      </c>
      <c r="D26" s="88" t="s">
        <v>77</v>
      </c>
      <c r="E26" s="11" t="str">
        <f t="array" aca="1" ref="E26" ca="1">_FV(A26,"Abreviatura de intercambio",TRUE())</f>
        <v>XPAR</v>
      </c>
      <c r="F26" s="11" t="str">
        <f t="array" aca="1" ref="F26" ca="1">_FV(A26,"Moneda")</f>
        <v>EUR</v>
      </c>
      <c r="G26" s="12">
        <f t="array" aca="1" ref="G26" ca="1">_FV(A26,"Precio")</f>
        <v>74.42</v>
      </c>
      <c r="H26" s="13">
        <f t="array" aca="1" ref="H26" ca="1">_FV(A26,"Acciones en circulación",TRUE())/1000000</f>
        <v>494.82530000000003</v>
      </c>
      <c r="I26" s="14">
        <f ca="1">G26/100*H26</f>
        <v>368.24898826000003</v>
      </c>
      <c r="J26" s="90">
        <v>1</v>
      </c>
      <c r="K26" s="90">
        <v>5</v>
      </c>
      <c r="L26" s="90">
        <v>2</v>
      </c>
      <c r="M26" s="90">
        <v>0</v>
      </c>
      <c r="N26" s="90">
        <v>0</v>
      </c>
      <c r="O26" s="90">
        <v>1</v>
      </c>
      <c r="P26" s="90">
        <v>1</v>
      </c>
      <c r="Q26" s="90">
        <v>1</v>
      </c>
      <c r="R26" s="15">
        <f t="shared" si="1"/>
        <v>11</v>
      </c>
      <c r="S26" s="16">
        <f t="shared" si="2"/>
        <v>6.47</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6.74</v>
      </c>
      <c r="AO26" s="18" t="s">
        <v>144</v>
      </c>
      <c r="AP26" s="19">
        <v>10</v>
      </c>
      <c r="AQ26" s="19">
        <v>55</v>
      </c>
      <c r="AR26" s="19">
        <f t="shared" ca="1" si="21"/>
        <v>413.24898826000003</v>
      </c>
      <c r="AS26" s="19">
        <v>20</v>
      </c>
      <c r="AT26" s="19">
        <v>18</v>
      </c>
      <c r="AU26" s="19">
        <v>30</v>
      </c>
      <c r="AV26" s="19">
        <v>145</v>
      </c>
      <c r="AW26" s="20">
        <f t="shared" ca="1" si="9"/>
        <v>20.662449413000001</v>
      </c>
      <c r="AX26" s="20">
        <f t="shared" ca="1" si="10"/>
        <v>13.774966275333334</v>
      </c>
      <c r="AY26" s="20">
        <f t="shared" ca="1" si="11"/>
        <v>2.8499930224827588</v>
      </c>
      <c r="AZ26" s="21">
        <v>120</v>
      </c>
      <c r="BA26" s="22">
        <f t="shared" si="12"/>
        <v>0.12413793103448276</v>
      </c>
      <c r="BB26" s="22">
        <f t="shared" si="13"/>
        <v>1.2083333333333333</v>
      </c>
      <c r="BC26" s="23">
        <f t="shared" si="14"/>
        <v>0.15</v>
      </c>
      <c r="BD26" t="s">
        <v>179</v>
      </c>
      <c r="BE26" s="23">
        <f t="shared" si="15"/>
        <v>6.1858758794934632E-2</v>
      </c>
      <c r="BF26" t="s">
        <v>180</v>
      </c>
      <c r="BG26" s="23">
        <f t="shared" si="16"/>
        <v>0.18126018804310839</v>
      </c>
      <c r="BH26" s="24">
        <v>10</v>
      </c>
      <c r="BI26" s="24">
        <v>20</v>
      </c>
      <c r="BJ26" s="25">
        <f ca="1">(BD26*BH26+$AP26-$AQ26)/$H26*100</f>
        <v>45.470593358908687</v>
      </c>
      <c r="BK26" s="25">
        <f ca="1">(BF26*BI26+$AP26-$AQ26)/$H26*100</f>
        <v>176.83008528464489</v>
      </c>
      <c r="BL26" s="23">
        <f t="shared" ca="1" si="19"/>
        <v>-9.3833106861625049E-2</v>
      </c>
      <c r="BM26" s="23">
        <f t="shared" ca="1" si="20"/>
        <v>0.24155688515137119</v>
      </c>
      <c r="BN26" s="93" t="s">
        <v>81</v>
      </c>
      <c r="BO26" s="93" t="s">
        <v>181</v>
      </c>
      <c r="BP26" s="93" t="s">
        <v>181</v>
      </c>
    </row>
    <row r="27" spans="1:68" ht="15" customHeight="1" x14ac:dyDescent="0.35">
      <c r="A27" s="86" t="e" vm="24">
        <v>#VALUE!</v>
      </c>
      <c r="B27" s="10" t="str">
        <f t="array" aca="1" ref="B27" ca="1">_FV(A27,"Símbolo bursátil",TRUE())</f>
        <v>TFF</v>
      </c>
      <c r="C27" s="88" t="s">
        <v>143</v>
      </c>
      <c r="D27" s="88" t="s">
        <v>77</v>
      </c>
      <c r="E27" s="11" t="str">
        <f t="array" aca="1" ref="E27" ca="1">_FV(A27,"Abreviatura de intercambio",TRUE())</f>
        <v>XPAR</v>
      </c>
      <c r="F27" s="11" t="str">
        <f t="array" aca="1" ref="F27" ca="1">_FV(A27,"Moneda")</f>
        <v>EUR</v>
      </c>
      <c r="G27" s="12">
        <f t="array" aca="1" ref="G27" ca="1">_FV(A27,"Precio")</f>
        <v>17.02</v>
      </c>
      <c r="H27" s="13">
        <f t="array" aca="1" ref="H27" ca="1">_FV(A27,"Acciones en circulación",TRUE())/1000000</f>
        <v>21.68</v>
      </c>
      <c r="I27" s="14">
        <f t="shared" ref="I27:I60" ca="1" si="25">G27*H27</f>
        <v>368.99359999999996</v>
      </c>
      <c r="J27" s="91">
        <v>2</v>
      </c>
      <c r="K27" s="91">
        <v>6</v>
      </c>
      <c r="L27" s="91">
        <v>2</v>
      </c>
      <c r="M27" s="91">
        <v>0</v>
      </c>
      <c r="N27" s="91">
        <v>0</v>
      </c>
      <c r="O27" s="91">
        <v>1</v>
      </c>
      <c r="P27" s="91">
        <v>0</v>
      </c>
      <c r="Q27" s="91">
        <v>0</v>
      </c>
      <c r="R27" s="26">
        <f t="shared" si="1"/>
        <v>11</v>
      </c>
      <c r="S27" s="16">
        <f t="shared" si="2"/>
        <v>6.47</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v>
      </c>
      <c r="AO27" s="18" t="s">
        <v>182</v>
      </c>
      <c r="AP27" s="19">
        <v>300</v>
      </c>
      <c r="AQ27" s="19">
        <v>700</v>
      </c>
      <c r="AR27" s="19">
        <f t="shared" ca="1" si="21"/>
        <v>768.99360000000001</v>
      </c>
      <c r="AS27" s="19">
        <v>350</v>
      </c>
      <c r="AT27" s="19">
        <v>380</v>
      </c>
      <c r="AU27" s="19">
        <v>550</v>
      </c>
      <c r="AV27" s="19">
        <v>2600</v>
      </c>
      <c r="AW27" s="20">
        <f t="shared" ca="1" si="9"/>
        <v>2.1971245714285716</v>
      </c>
      <c r="AX27" s="20">
        <f t="shared" ca="1" si="10"/>
        <v>1.3981701818181818</v>
      </c>
      <c r="AY27" s="20">
        <f t="shared" ca="1" si="11"/>
        <v>0.29576676923076922</v>
      </c>
      <c r="AZ27" s="21">
        <v>2800</v>
      </c>
      <c r="BA27" s="22">
        <f t="shared" si="12"/>
        <v>0.14615384615384616</v>
      </c>
      <c r="BB27" s="22">
        <f t="shared" si="13"/>
        <v>0.9285714285714286</v>
      </c>
      <c r="BC27" s="23">
        <f t="shared" si="14"/>
        <v>0.13571428571428573</v>
      </c>
      <c r="BD27" t="s">
        <v>183</v>
      </c>
      <c r="BE27" s="23">
        <f t="shared" si="15"/>
        <v>5.9828421260577302E-2</v>
      </c>
      <c r="BF27" t="s">
        <v>184</v>
      </c>
      <c r="BG27" s="23">
        <f t="shared" si="16"/>
        <v>0.15996225865400127</v>
      </c>
      <c r="BH27" s="24">
        <v>18</v>
      </c>
      <c r="BI27" s="24">
        <v>25</v>
      </c>
      <c r="BJ27" s="25">
        <f t="shared" ref="BJ27:BJ32" ca="1" si="26">(BD27*BH27+$AP27-$AQ27)/$H27</f>
        <v>370.1107011070111</v>
      </c>
      <c r="BK27" s="25">
        <f t="shared" ref="BK27:BK32" ca="1" si="27">(BF27*BI27+$AP27-$AQ27)/$H27</f>
        <v>829.10516605166049</v>
      </c>
      <c r="BL27" s="23">
        <f t="shared" ca="1" si="19"/>
        <v>0.85128983819040061</v>
      </c>
      <c r="BM27" s="23">
        <f t="shared" ca="1" si="20"/>
        <v>1.6418765280060601</v>
      </c>
      <c r="BN27" s="93" t="s">
        <v>87</v>
      </c>
      <c r="BO27" s="94" t="s">
        <v>185</v>
      </c>
      <c r="BP27" s="93" t="s">
        <v>186</v>
      </c>
    </row>
    <row r="28" spans="1:68" ht="15" customHeight="1" x14ac:dyDescent="0.35">
      <c r="A28" s="86" t="e" vm="25">
        <v>#VALUE!</v>
      </c>
      <c r="B28" s="10" t="str">
        <f t="array" aca="1" ref="B28" ca="1">_FV(A28,"Símbolo bursátil",TRUE())</f>
        <v>CELH</v>
      </c>
      <c r="C28" s="88" t="s">
        <v>84</v>
      </c>
      <c r="D28" s="88" t="s">
        <v>77</v>
      </c>
      <c r="E28" s="11" t="str">
        <f t="array" aca="1" ref="E28" ca="1">_FV(A28,"Abreviatura de intercambio",TRUE())</f>
        <v>XNAS</v>
      </c>
      <c r="F28" s="11" t="str">
        <f t="array" aca="1" ref="F28" ca="1">_FV(A28,"Moneda")</f>
        <v>USD</v>
      </c>
      <c r="G28" s="12">
        <f t="array" aca="1" ref="G28" ca="1">_FV(A28,"Precio")</f>
        <v>30.16</v>
      </c>
      <c r="H28" s="13">
        <f t="array" aca="1" ref="H28" ca="1">_FV(A28,"Acciones en circulación",TRUE())/1000000</f>
        <v>255.6404</v>
      </c>
      <c r="I28" s="14">
        <f t="shared" ca="1" si="25"/>
        <v>7710.1144640000002</v>
      </c>
      <c r="J28" s="90">
        <v>-0.5</v>
      </c>
      <c r="K28" s="90">
        <v>7</v>
      </c>
      <c r="L28" s="90">
        <v>2</v>
      </c>
      <c r="M28" s="90">
        <v>1</v>
      </c>
      <c r="N28" s="90">
        <v>-1</v>
      </c>
      <c r="O28" s="90">
        <v>0</v>
      </c>
      <c r="P28" s="90">
        <v>1</v>
      </c>
      <c r="Q28" s="90">
        <v>1</v>
      </c>
      <c r="R28" s="15">
        <f t="shared" si="1"/>
        <v>10.5</v>
      </c>
      <c r="S28" s="16">
        <f t="shared" si="2"/>
        <v>6.18</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6.51</v>
      </c>
      <c r="AO28" s="18" t="s">
        <v>78</v>
      </c>
      <c r="AP28" s="19">
        <v>68000</v>
      </c>
      <c r="AQ28" s="19">
        <v>30000</v>
      </c>
      <c r="AR28" s="19">
        <f t="shared" ca="1" si="21"/>
        <v>-30289.885536000002</v>
      </c>
      <c r="AS28" s="19">
        <v>50000</v>
      </c>
      <c r="AT28" s="19">
        <v>55000</v>
      </c>
      <c r="AU28" s="19">
        <v>95000</v>
      </c>
      <c r="AV28" s="19">
        <v>164000</v>
      </c>
      <c r="AW28" s="20">
        <f t="shared" ca="1" si="9"/>
        <v>-0.60579771071999999</v>
      </c>
      <c r="AX28" s="20">
        <f t="shared" ca="1" si="10"/>
        <v>-0.31884090037894741</v>
      </c>
      <c r="AY28" s="20">
        <f t="shared" ca="1" si="11"/>
        <v>-0.184694424</v>
      </c>
      <c r="AZ28" s="21">
        <v>190000</v>
      </c>
      <c r="BA28" s="22">
        <f t="shared" si="12"/>
        <v>0.33536585365853661</v>
      </c>
      <c r="BB28" s="22">
        <f t="shared" si="13"/>
        <v>0.86315789473684212</v>
      </c>
      <c r="BC28" s="23">
        <f t="shared" si="14"/>
        <v>0.28947368421052633</v>
      </c>
      <c r="BD28" t="s">
        <v>187</v>
      </c>
      <c r="BE28" s="23">
        <f t="shared" si="15"/>
        <v>4.9999742905350697E-2</v>
      </c>
      <c r="BF28" t="s">
        <v>188</v>
      </c>
      <c r="BG28" s="23">
        <f t="shared" si="16"/>
        <v>0.15999981690439746</v>
      </c>
      <c r="BH28" s="24">
        <v>18</v>
      </c>
      <c r="BI28" s="24">
        <v>26</v>
      </c>
      <c r="BJ28" s="25">
        <f t="shared" ca="1" si="26"/>
        <v>4641.8797654830769</v>
      </c>
      <c r="BK28" s="25">
        <f t="shared" ca="1" si="27"/>
        <v>10829.438539448382</v>
      </c>
      <c r="BL28" s="23">
        <f t="shared" ca="1" si="19"/>
        <v>1.7381202049898743</v>
      </c>
      <c r="BM28" s="23">
        <f t="shared" ca="1" si="20"/>
        <v>3.3530499533026434</v>
      </c>
      <c r="BN28" s="93" t="s">
        <v>87</v>
      </c>
      <c r="BO28" s="93" t="s">
        <v>189</v>
      </c>
      <c r="BP28" s="93" t="s">
        <v>130</v>
      </c>
    </row>
    <row r="29" spans="1:68" ht="15" customHeight="1" x14ac:dyDescent="0.35">
      <c r="A29" s="86" t="e" vm="26">
        <v>#VALUE!</v>
      </c>
      <c r="B29" s="10" t="str">
        <f t="array" aca="1" ref="B29" ca="1">_FV(A29,"Símbolo bursátil",TRUE())</f>
        <v>BFIT</v>
      </c>
      <c r="C29" s="88" t="s">
        <v>96</v>
      </c>
      <c r="D29" s="88" t="s">
        <v>77</v>
      </c>
      <c r="E29" s="11" t="str">
        <f t="array" aca="1" ref="E29" ca="1">_FV(A29,"Abreviatura de intercambio",TRUE())</f>
        <v>XAMS</v>
      </c>
      <c r="F29" s="11" t="str">
        <f t="array" aca="1" ref="F29" ca="1">_FV(A29,"Moneda")</f>
        <v>EUR</v>
      </c>
      <c r="G29" s="12">
        <f t="array" aca="1" ref="G29" ca="1">_FV(A29,"Precio")</f>
        <v>29.52</v>
      </c>
      <c r="H29" s="13">
        <f t="array" aca="1" ref="H29" ca="1">_FV(A29,"Acciones en circulación",TRUE())/1000000</f>
        <v>66</v>
      </c>
      <c r="I29" s="14">
        <f t="shared" ca="1" si="25"/>
        <v>1948.32</v>
      </c>
      <c r="J29" s="91">
        <v>0</v>
      </c>
      <c r="K29" s="91">
        <v>6</v>
      </c>
      <c r="L29" s="91">
        <v>2</v>
      </c>
      <c r="M29" s="91">
        <v>0</v>
      </c>
      <c r="N29" s="91">
        <v>0</v>
      </c>
      <c r="O29" s="91">
        <v>0</v>
      </c>
      <c r="P29" s="91">
        <v>1</v>
      </c>
      <c r="Q29" s="91">
        <v>1</v>
      </c>
      <c r="R29" s="26">
        <f t="shared" si="1"/>
        <v>10</v>
      </c>
      <c r="S29" s="16">
        <f t="shared" si="2"/>
        <v>5.88</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6.61</v>
      </c>
      <c r="AO29" s="18" t="s">
        <v>78</v>
      </c>
      <c r="AP29" s="19">
        <v>10000</v>
      </c>
      <c r="AQ29" s="19">
        <v>60000</v>
      </c>
      <c r="AR29" s="19">
        <f t="shared" ca="1" si="21"/>
        <v>51948.32</v>
      </c>
      <c r="AS29" s="19">
        <v>4500</v>
      </c>
      <c r="AT29" s="19">
        <v>4700</v>
      </c>
      <c r="AU29" s="19">
        <v>7800</v>
      </c>
      <c r="AV29" s="19">
        <v>17300</v>
      </c>
      <c r="AW29" s="20">
        <f t="shared" ca="1" si="9"/>
        <v>11.54407111111111</v>
      </c>
      <c r="AX29" s="20">
        <f t="shared" ca="1" si="10"/>
        <v>6.6600410256410258</v>
      </c>
      <c r="AY29" s="20">
        <f t="shared" ca="1" si="11"/>
        <v>3.0027930635838151</v>
      </c>
      <c r="AZ29" s="21">
        <v>80000</v>
      </c>
      <c r="BA29" s="22">
        <f t="shared" si="12"/>
        <v>0.27167630057803466</v>
      </c>
      <c r="BB29" s="22">
        <f t="shared" si="13"/>
        <v>0.21625</v>
      </c>
      <c r="BC29" s="23">
        <f t="shared" si="14"/>
        <v>5.8749999999999997E-2</v>
      </c>
      <c r="BD29" t="s">
        <v>190</v>
      </c>
      <c r="BE29" s="23">
        <f t="shared" si="15"/>
        <v>5.5347053137819735E-2</v>
      </c>
      <c r="BF29" t="s">
        <v>191</v>
      </c>
      <c r="BG29" s="23">
        <f t="shared" si="16"/>
        <v>0.18355669597313429</v>
      </c>
      <c r="BH29" s="24">
        <v>15</v>
      </c>
      <c r="BI29" s="24">
        <v>25</v>
      </c>
      <c r="BJ29" s="25">
        <f t="shared" ca="1" si="26"/>
        <v>581.28787878787875</v>
      </c>
      <c r="BK29" s="25">
        <f t="shared" ca="1" si="27"/>
        <v>3201.1363636363635</v>
      </c>
      <c r="BL29" s="23">
        <f t="shared" ca="1" si="19"/>
        <v>0.81490953694414658</v>
      </c>
      <c r="BM29" s="23">
        <f t="shared" ca="1" si="20"/>
        <v>2.2269850649740892</v>
      </c>
      <c r="BN29" s="93" t="s">
        <v>114</v>
      </c>
      <c r="BO29" s="93" t="s">
        <v>192</v>
      </c>
      <c r="BP29" s="93" t="s">
        <v>101</v>
      </c>
    </row>
    <row r="30" spans="1:68" ht="15" customHeight="1" x14ac:dyDescent="0.35">
      <c r="A30" s="86" t="e" vm="27">
        <v>#VALUE!</v>
      </c>
      <c r="B30" s="10" t="str">
        <f t="array" aca="1" ref="B30" ca="1">_FV(A30,"Símbolo bursátil",TRUE())</f>
        <v>VRLA</v>
      </c>
      <c r="C30" s="88" t="s">
        <v>116</v>
      </c>
      <c r="D30" s="88" t="s">
        <v>117</v>
      </c>
      <c r="E30" s="11" t="str">
        <f t="array" aca="1" ref="E30" ca="1">_FV(A30,"Abreviatura de intercambio",TRUE())</f>
        <v>XWBO</v>
      </c>
      <c r="F30" s="11" t="str">
        <f t="array" aca="1" ref="F30" ca="1">_FV(A30,"Moneda")</f>
        <v>EUR</v>
      </c>
      <c r="G30" s="12">
        <f t="array" aca="1" ref="G30" ca="1">_FV(A30,"Precio")</f>
        <v>19.73</v>
      </c>
      <c r="H30" s="13">
        <f t="array" aca="1" ref="H30" ca="1">_FV(A30,"Acciones en circulación",TRUE())/1000000</f>
        <v>120.8051</v>
      </c>
      <c r="I30" s="14">
        <f t="shared" ca="1" si="25"/>
        <v>2383.4846229999998</v>
      </c>
      <c r="J30" s="90">
        <v>2</v>
      </c>
      <c r="K30" s="90">
        <v>5</v>
      </c>
      <c r="L30" s="90">
        <v>3</v>
      </c>
      <c r="M30" s="90">
        <v>0.5</v>
      </c>
      <c r="N30" s="90">
        <v>0</v>
      </c>
      <c r="O30" s="90">
        <v>1</v>
      </c>
      <c r="P30" s="90">
        <v>1</v>
      </c>
      <c r="Q30" s="90">
        <v>0</v>
      </c>
      <c r="R30" s="15">
        <f t="shared" si="1"/>
        <v>12.5</v>
      </c>
      <c r="S30" s="16">
        <f t="shared" si="2"/>
        <v>7.35</v>
      </c>
      <c r="T30" s="90">
        <v>10</v>
      </c>
      <c r="U30" s="90">
        <v>13</v>
      </c>
      <c r="V30" s="90">
        <v>16</v>
      </c>
      <c r="W30" s="90">
        <v>9</v>
      </c>
      <c r="X30" s="90">
        <v>7</v>
      </c>
      <c r="Y30" s="90">
        <v>10</v>
      </c>
      <c r="Z30" s="90">
        <v>6</v>
      </c>
      <c r="AA30" s="90">
        <v>-14</v>
      </c>
      <c r="AB30" s="15">
        <f t="shared" si="3"/>
        <v>57</v>
      </c>
      <c r="AC30" s="16">
        <f t="shared" si="4"/>
        <v>5.7</v>
      </c>
      <c r="AD30" s="90">
        <v>13</v>
      </c>
      <c r="AE30" s="90">
        <v>-1</v>
      </c>
      <c r="AF30" s="90">
        <v>6</v>
      </c>
      <c r="AG30" s="90">
        <v>8</v>
      </c>
      <c r="AH30" s="90">
        <v>3</v>
      </c>
      <c r="AI30" s="90">
        <v>8</v>
      </c>
      <c r="AJ30" s="90">
        <v>11</v>
      </c>
      <c r="AK30" s="90">
        <v>-4</v>
      </c>
      <c r="AL30" s="15">
        <f t="shared" si="5"/>
        <v>44</v>
      </c>
      <c r="AM30" s="16">
        <f t="shared" si="6"/>
        <v>6.29</v>
      </c>
      <c r="AN30" s="17">
        <f t="shared" si="7"/>
        <v>6.45</v>
      </c>
      <c r="AO30" s="18" t="s">
        <v>78</v>
      </c>
      <c r="AP30" s="19">
        <v>1800</v>
      </c>
      <c r="AQ30" s="19">
        <v>1300</v>
      </c>
      <c r="AR30" s="19">
        <f t="shared" ca="1" si="21"/>
        <v>1883.4846229999998</v>
      </c>
      <c r="AS30" s="19">
        <v>310</v>
      </c>
      <c r="AT30" s="19">
        <v>100</v>
      </c>
      <c r="AU30" s="19">
        <v>400</v>
      </c>
      <c r="AV30" s="19">
        <v>2000</v>
      </c>
      <c r="AW30" s="20">
        <f t="shared" ca="1" si="9"/>
        <v>6.0757568483870958</v>
      </c>
      <c r="AX30" s="20">
        <f t="shared" ca="1" si="10"/>
        <v>4.7087115574999991</v>
      </c>
      <c r="AY30" s="20">
        <f t="shared" ca="1" si="11"/>
        <v>0.94174231149999987</v>
      </c>
      <c r="AZ30" s="21">
        <v>3500</v>
      </c>
      <c r="BA30" s="22">
        <f t="shared" si="12"/>
        <v>0.05</v>
      </c>
      <c r="BB30" s="22">
        <f t="shared" si="13"/>
        <v>0.5714285714285714</v>
      </c>
      <c r="BC30" s="23">
        <f t="shared" si="14"/>
        <v>2.8571428571428571E-2</v>
      </c>
      <c r="BD30" t="s">
        <v>193</v>
      </c>
      <c r="BE30" s="23">
        <f t="shared" si="15"/>
        <v>0.11698004452522515</v>
      </c>
      <c r="BF30" t="s">
        <v>194</v>
      </c>
      <c r="BG30" s="23">
        <f t="shared" si="16"/>
        <v>0.25418809959295219</v>
      </c>
      <c r="BH30" s="24">
        <v>20</v>
      </c>
      <c r="BI30" s="24">
        <v>30</v>
      </c>
      <c r="BJ30" s="25">
        <f t="shared" ca="1" si="26"/>
        <v>93.373541348833783</v>
      </c>
      <c r="BK30" s="25">
        <f t="shared" ca="1" si="27"/>
        <v>243.03609698597162</v>
      </c>
      <c r="BL30" s="23">
        <f t="shared" ca="1" si="19"/>
        <v>0.36464393396847328</v>
      </c>
      <c r="BM30" s="23">
        <f t="shared" ca="1" si="20"/>
        <v>0.87342332976864623</v>
      </c>
      <c r="BN30" s="93" t="s">
        <v>99</v>
      </c>
      <c r="BO30" s="93" t="s">
        <v>195</v>
      </c>
      <c r="BP30" s="93" t="s">
        <v>101</v>
      </c>
    </row>
    <row r="31" spans="1:68" ht="15" customHeight="1" x14ac:dyDescent="0.35">
      <c r="A31" s="86" t="e" vm="28">
        <v>#VALUE!</v>
      </c>
      <c r="B31" s="10" t="str">
        <f t="array" aca="1" ref="B31" ca="1">_FV(A31,"Símbolo bursátil",TRUE())</f>
        <v>KIST</v>
      </c>
      <c r="C31" s="88" t="s">
        <v>116</v>
      </c>
      <c r="D31" s="88" t="s">
        <v>117</v>
      </c>
      <c r="E31" s="11" t="str">
        <f t="array" aca="1" ref="E31" ca="1">_FV(A31,"Abreviatura de intercambio",TRUE())</f>
        <v>XLON</v>
      </c>
      <c r="F31" s="11" t="str">
        <f t="array" aca="1" ref="F31" ca="1">_FV(A31,"Moneda")</f>
        <v>GBp</v>
      </c>
      <c r="G31" s="12">
        <f t="array" aca="1" ref="G31" ca="1">_FV(A31,"Precio")</f>
        <v>296</v>
      </c>
      <c r="H31" s="13">
        <f t="array" aca="1" ref="H31" ca="1">_FV(A31,"Acciones en circulación",TRUE())/1000000</f>
        <v>83.117649999999998</v>
      </c>
      <c r="I31" s="14">
        <f t="shared" ca="1" si="25"/>
        <v>24602.824399999998</v>
      </c>
      <c r="J31" s="91">
        <v>2</v>
      </c>
      <c r="K31" s="91">
        <v>6</v>
      </c>
      <c r="L31" s="91">
        <v>2</v>
      </c>
      <c r="M31" s="91">
        <v>0</v>
      </c>
      <c r="N31" s="91">
        <v>0</v>
      </c>
      <c r="O31" s="91">
        <v>0</v>
      </c>
      <c r="P31" s="91">
        <v>1</v>
      </c>
      <c r="Q31" s="91">
        <v>0</v>
      </c>
      <c r="R31" s="26">
        <f t="shared" si="1"/>
        <v>11</v>
      </c>
      <c r="S31" s="16">
        <f t="shared" si="2"/>
        <v>6.47</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6.56</v>
      </c>
      <c r="AO31" s="18" t="s">
        <v>78</v>
      </c>
      <c r="AP31" s="19">
        <v>4400</v>
      </c>
      <c r="AQ31" s="19">
        <v>750</v>
      </c>
      <c r="AR31" s="19">
        <f t="shared" ca="1" si="21"/>
        <v>20952.824399999998</v>
      </c>
      <c r="AS31" s="19">
        <v>1200</v>
      </c>
      <c r="AT31" s="19">
        <v>700</v>
      </c>
      <c r="AU31" s="19">
        <v>1400</v>
      </c>
      <c r="AV31" s="19">
        <v>4000</v>
      </c>
      <c r="AW31" s="20">
        <f t="shared" ca="1" si="9"/>
        <v>17.460686999999997</v>
      </c>
      <c r="AX31" s="20">
        <f t="shared" ca="1" si="10"/>
        <v>14.966303142857141</v>
      </c>
      <c r="AY31" s="20">
        <f t="shared" ca="1" si="11"/>
        <v>5.2382060999999993</v>
      </c>
      <c r="AZ31" s="21">
        <v>3500</v>
      </c>
      <c r="BA31" s="22">
        <f t="shared" si="12"/>
        <v>0.17499999999999999</v>
      </c>
      <c r="BB31" s="22">
        <f t="shared" si="13"/>
        <v>1.1428571428571428</v>
      </c>
      <c r="BC31" s="23">
        <f t="shared" si="14"/>
        <v>0.19999999999999998</v>
      </c>
      <c r="BD31" t="s">
        <v>196</v>
      </c>
      <c r="BE31" s="23">
        <f t="shared" si="15"/>
        <v>0.12002012191466971</v>
      </c>
      <c r="BF31" t="s">
        <v>197</v>
      </c>
      <c r="BG31" s="23">
        <f t="shared" si="16"/>
        <v>0.26000288799408033</v>
      </c>
      <c r="BH31" s="24">
        <v>20</v>
      </c>
      <c r="BI31" s="24">
        <v>30</v>
      </c>
      <c r="BJ31" s="25">
        <f t="shared" ca="1" si="26"/>
        <v>552.83083677173261</v>
      </c>
      <c r="BK31" s="25">
        <f t="shared" ca="1" si="27"/>
        <v>1419.4337785055282</v>
      </c>
      <c r="BL31" s="23">
        <f t="shared" ca="1" si="19"/>
        <v>0.13307878911581961</v>
      </c>
      <c r="BM31" s="23">
        <f t="shared" ca="1" si="20"/>
        <v>0.47980965394397379</v>
      </c>
      <c r="BN31" s="93" t="s">
        <v>81</v>
      </c>
      <c r="BO31" s="93" t="s">
        <v>198</v>
      </c>
      <c r="BP31" s="93" t="s">
        <v>199</v>
      </c>
    </row>
    <row r="32" spans="1:68" ht="15" customHeight="1" x14ac:dyDescent="0.35">
      <c r="A32" s="86" t="e" vm="29">
        <v>#VALUE!</v>
      </c>
      <c r="B32" s="10" t="str">
        <f t="array" aca="1" ref="B32" ca="1">_FV(A32,"Símbolo bursátil",TRUE())</f>
        <v>WOSG</v>
      </c>
      <c r="C32" s="88" t="s">
        <v>84</v>
      </c>
      <c r="D32" s="88" t="s">
        <v>77</v>
      </c>
      <c r="E32" s="11" t="str">
        <f t="array" aca="1" ref="E32" ca="1">_FV(A32,"Abreviatura de intercambio",TRUE())</f>
        <v>XLON</v>
      </c>
      <c r="F32" s="11" t="str">
        <f t="array" aca="1" ref="F32" ca="1">_FV(A32,"Moneda")</f>
        <v>GBp</v>
      </c>
      <c r="G32" s="12">
        <f t="array" aca="1" ref="G32" ca="1">_FV(A32,"Precio")</f>
        <v>645.5</v>
      </c>
      <c r="H32" s="13">
        <f t="array" aca="1" ref="H32" ca="1">_FV(A32,"Acciones en circulación",TRUE())/1000000</f>
        <v>233.30160000000001</v>
      </c>
      <c r="I32" s="14">
        <f t="shared" ca="1" si="25"/>
        <v>150596.18280000001</v>
      </c>
      <c r="J32" s="90">
        <v>1</v>
      </c>
      <c r="K32" s="90">
        <v>7</v>
      </c>
      <c r="L32" s="90">
        <v>3</v>
      </c>
      <c r="M32" s="90">
        <v>1</v>
      </c>
      <c r="N32" s="90">
        <v>-1</v>
      </c>
      <c r="O32" s="90">
        <v>1</v>
      </c>
      <c r="P32" s="90">
        <v>0</v>
      </c>
      <c r="Q32" s="90">
        <v>0</v>
      </c>
      <c r="R32" s="15">
        <f t="shared" si="1"/>
        <v>12</v>
      </c>
      <c r="S32" s="16">
        <f t="shared" si="2"/>
        <v>7.06</v>
      </c>
      <c r="T32" s="90">
        <v>16</v>
      </c>
      <c r="U32" s="90">
        <v>18</v>
      </c>
      <c r="V32" s="90">
        <v>13</v>
      </c>
      <c r="W32" s="90">
        <v>8</v>
      </c>
      <c r="X32" s="90">
        <v>8</v>
      </c>
      <c r="Y32" s="90">
        <v>9</v>
      </c>
      <c r="Z32" s="90">
        <v>6</v>
      </c>
      <c r="AA32" s="90">
        <v>-14</v>
      </c>
      <c r="AB32" s="15">
        <f t="shared" si="3"/>
        <v>64</v>
      </c>
      <c r="AC32" s="16">
        <f t="shared" si="4"/>
        <v>6.4</v>
      </c>
      <c r="AD32" s="90">
        <v>12</v>
      </c>
      <c r="AE32" s="90">
        <v>-4</v>
      </c>
      <c r="AF32" s="90">
        <v>6</v>
      </c>
      <c r="AG32" s="90">
        <v>11</v>
      </c>
      <c r="AH32" s="90">
        <v>4</v>
      </c>
      <c r="AI32" s="90">
        <v>7</v>
      </c>
      <c r="AJ32" s="90">
        <v>13</v>
      </c>
      <c r="AK32" s="90">
        <v>-6</v>
      </c>
      <c r="AL32" s="15">
        <f t="shared" si="5"/>
        <v>43</v>
      </c>
      <c r="AM32" s="16">
        <f t="shared" si="6"/>
        <v>6.14</v>
      </c>
      <c r="AN32" s="17">
        <f t="shared" si="7"/>
        <v>6.53</v>
      </c>
      <c r="AO32" s="18" t="s">
        <v>78</v>
      </c>
      <c r="AP32" s="19">
        <v>110000</v>
      </c>
      <c r="AQ32" s="19">
        <v>15000</v>
      </c>
      <c r="AR32" s="19">
        <f t="shared" ca="1" si="21"/>
        <v>55596.18280000001</v>
      </c>
      <c r="AS32" s="19">
        <v>75000</v>
      </c>
      <c r="AT32" s="19">
        <v>95000</v>
      </c>
      <c r="AU32" s="19">
        <v>148000</v>
      </c>
      <c r="AV32" s="19">
        <v>350000</v>
      </c>
      <c r="AW32" s="20">
        <f t="shared" ca="1" si="9"/>
        <v>0.74128243733333343</v>
      </c>
      <c r="AX32" s="20">
        <f t="shared" ca="1" si="10"/>
        <v>0.37564988378378383</v>
      </c>
      <c r="AY32" s="20">
        <f t="shared" ca="1" si="11"/>
        <v>0.1588462365714286</v>
      </c>
      <c r="AZ32" s="21">
        <v>350000</v>
      </c>
      <c r="BA32" s="22">
        <f t="shared" si="12"/>
        <v>0.27142857142857141</v>
      </c>
      <c r="BB32" s="22">
        <f t="shared" si="13"/>
        <v>1</v>
      </c>
      <c r="BC32" s="23">
        <f t="shared" si="14"/>
        <v>0.27142857142857141</v>
      </c>
      <c r="BD32" t="s">
        <v>200</v>
      </c>
      <c r="BE32" s="23">
        <f t="shared" si="15"/>
        <v>4.9999742905350697E-2</v>
      </c>
      <c r="BF32" t="s">
        <v>201</v>
      </c>
      <c r="BG32" s="23">
        <f t="shared" si="16"/>
        <v>0.15000032161102084</v>
      </c>
      <c r="BH32" s="24">
        <v>20</v>
      </c>
      <c r="BI32" s="24">
        <v>30</v>
      </c>
      <c r="BJ32" s="25">
        <f t="shared" ca="1" si="26"/>
        <v>8612.9713641055187</v>
      </c>
      <c r="BK32" s="25">
        <f t="shared" ca="1" si="27"/>
        <v>19805.093492715008</v>
      </c>
      <c r="BL32" s="23">
        <f t="shared" ca="1" si="19"/>
        <v>0.67900253303886493</v>
      </c>
      <c r="BM32" s="23">
        <f t="shared" ca="1" si="20"/>
        <v>1.3535322978811615</v>
      </c>
      <c r="BN32" s="93" t="s">
        <v>87</v>
      </c>
      <c r="BO32" s="93" t="s">
        <v>202</v>
      </c>
      <c r="BP32" s="93" t="s">
        <v>130</v>
      </c>
    </row>
    <row r="33" spans="1:68" ht="15" customHeight="1" x14ac:dyDescent="0.35">
      <c r="A33" s="86" t="e" vm="30">
        <v>#VALUE!</v>
      </c>
      <c r="B33" s="10" t="str">
        <f t="array" aca="1" ref="B33" ca="1">_FV(A33,"Símbolo bursátil",TRUE())</f>
        <v>IPCO</v>
      </c>
      <c r="C33" s="88" t="s">
        <v>131</v>
      </c>
      <c r="D33" s="88" t="s">
        <v>77</v>
      </c>
      <c r="E33" s="11" t="str">
        <f t="array" aca="1" ref="E33" ca="1">_FV(A33,"Abreviatura de intercambio",TRUE())</f>
        <v>XTSE</v>
      </c>
      <c r="F33" s="11" t="str">
        <f t="array" aca="1" ref="F33" ca="1">_FV(A33,"Moneda")</f>
        <v>CAD</v>
      </c>
      <c r="G33" s="12">
        <f t="array" aca="1" ref="G33" ca="1">_FV(A33,"Precio")</f>
        <v>38.81</v>
      </c>
      <c r="H33" s="13">
        <f t="array" aca="1" ref="H33" ca="1">_FV(A33,"Acciones en circulación",TRUE())/1000000</f>
        <v>112.82680000000001</v>
      </c>
      <c r="I33" s="14">
        <f t="shared" ca="1" si="25"/>
        <v>4378.8081080000002</v>
      </c>
      <c r="J33" s="91">
        <v>1</v>
      </c>
      <c r="K33" s="91">
        <v>6</v>
      </c>
      <c r="L33" s="91">
        <v>2</v>
      </c>
      <c r="M33" s="91">
        <v>1</v>
      </c>
      <c r="N33" s="91">
        <v>0</v>
      </c>
      <c r="O33" s="91">
        <v>0</v>
      </c>
      <c r="P33" s="91">
        <v>0</v>
      </c>
      <c r="Q33" s="91">
        <v>0</v>
      </c>
      <c r="R33" s="26">
        <f t="shared" si="1"/>
        <v>10</v>
      </c>
      <c r="S33" s="16">
        <f t="shared" si="2"/>
        <v>5.88</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6.24</v>
      </c>
      <c r="AO33" s="18" t="s">
        <v>78</v>
      </c>
      <c r="AP33" s="19">
        <v>5000</v>
      </c>
      <c r="AQ33" s="19">
        <v>7500</v>
      </c>
      <c r="AR33" s="19">
        <f ca="1">I33*'Framework Notes'!E5-AP33+AQ33</f>
        <v>8075.974244727201</v>
      </c>
      <c r="AS33" s="19">
        <v>4200</v>
      </c>
      <c r="AT33" s="19">
        <v>4500</v>
      </c>
      <c r="AU33" s="19">
        <v>6200</v>
      </c>
      <c r="AV33" s="19">
        <v>33500</v>
      </c>
      <c r="AW33" s="20">
        <f t="shared" ca="1" si="9"/>
        <v>1.9228510106493335</v>
      </c>
      <c r="AX33" s="20">
        <f t="shared" ca="1" si="10"/>
        <v>1.3025764910850324</v>
      </c>
      <c r="AY33" s="20">
        <f t="shared" ca="1" si="11"/>
        <v>0.24107385805155823</v>
      </c>
      <c r="AZ33" s="21">
        <v>22000</v>
      </c>
      <c r="BA33" s="22">
        <f t="shared" si="12"/>
        <v>0.13432835820895522</v>
      </c>
      <c r="BB33" s="22">
        <f t="shared" si="13"/>
        <v>1.5227272727272727</v>
      </c>
      <c r="BC33" s="23">
        <f t="shared" si="14"/>
        <v>0.20454545454545453</v>
      </c>
      <c r="BD33" t="s">
        <v>203</v>
      </c>
      <c r="BE33" s="23">
        <f t="shared" si="15"/>
        <v>4.0002353139918068E-2</v>
      </c>
      <c r="BF33" t="s">
        <v>204</v>
      </c>
      <c r="BG33" s="23">
        <f t="shared" si="16"/>
        <v>0.12000499121039754</v>
      </c>
      <c r="BH33" s="24">
        <v>14</v>
      </c>
      <c r="BI33" s="24">
        <v>25</v>
      </c>
      <c r="BJ33" s="25">
        <f ca="1">((BD33*BH33+$AP33-$AQ33)/$H33)/'Framework Notes'!E5</f>
        <v>480.53349646185274</v>
      </c>
      <c r="BK33" s="25">
        <f ca="1">((BF33*BI33+$AP33-$AQ33)/$H33)/'Framework Notes'!E5</f>
        <v>1270.5879168469178</v>
      </c>
      <c r="BL33" s="23">
        <f t="shared" ca="1" si="19"/>
        <v>0.65407807370960369</v>
      </c>
      <c r="BM33" s="23">
        <f t="shared" ca="1" si="20"/>
        <v>1.3920225502389374</v>
      </c>
      <c r="BN33" s="93" t="s">
        <v>81</v>
      </c>
      <c r="BO33" s="93" t="s">
        <v>205</v>
      </c>
      <c r="BP33" s="93" t="s">
        <v>206</v>
      </c>
    </row>
    <row r="34" spans="1:68" ht="15" customHeight="1" x14ac:dyDescent="0.35">
      <c r="A34" s="86" t="e" vm="31">
        <v>#VALUE!</v>
      </c>
      <c r="B34" s="10" t="str">
        <f t="array" aca="1" ref="B34" ca="1">_FV(A34,"Símbolo bursátil",TRUE())</f>
        <v>OTLY</v>
      </c>
      <c r="C34" s="88" t="s">
        <v>207</v>
      </c>
      <c r="D34" s="88" t="s">
        <v>77</v>
      </c>
      <c r="E34" s="11" t="str">
        <f t="array" aca="1" ref="E34" ca="1">_FV(A34,"Abreviatura de intercambio",TRUE())</f>
        <v>XNAS</v>
      </c>
      <c r="F34" s="11" t="str">
        <f t="array" aca="1" ref="F34" ca="1">_FV(A34,"Moneda")</f>
        <v>USD</v>
      </c>
      <c r="G34" s="12">
        <f t="array" aca="1" ref="G34" ca="1">_FV(A34,"Precio")</f>
        <v>10.11</v>
      </c>
      <c r="H34" s="13">
        <f t="array" aca="1" ref="H34" ca="1">_FV(A34,"Acciones en circulación",TRUE())/1000000</f>
        <v>31.225000000000001</v>
      </c>
      <c r="I34" s="14">
        <f t="shared" ca="1" si="25"/>
        <v>315.68475000000001</v>
      </c>
      <c r="J34" s="90">
        <v>0</v>
      </c>
      <c r="K34" s="90">
        <v>5</v>
      </c>
      <c r="L34" s="90">
        <v>2</v>
      </c>
      <c r="M34" s="90">
        <v>1</v>
      </c>
      <c r="N34" s="90">
        <v>0</v>
      </c>
      <c r="O34" s="90">
        <v>1</v>
      </c>
      <c r="P34" s="90">
        <v>0</v>
      </c>
      <c r="Q34" s="90">
        <v>0</v>
      </c>
      <c r="R34" s="15">
        <f t="shared" si="1"/>
        <v>9</v>
      </c>
      <c r="S34" s="16">
        <f t="shared" si="2"/>
        <v>5.29</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6.07</v>
      </c>
      <c r="AO34" s="18" t="s">
        <v>78</v>
      </c>
      <c r="AP34" s="19">
        <v>3500</v>
      </c>
      <c r="AQ34" s="19">
        <v>0</v>
      </c>
      <c r="AR34" s="19">
        <f ca="1">I34-AP34+AQ34</f>
        <v>-3184.3152500000001</v>
      </c>
      <c r="AS34" s="19">
        <v>1300</v>
      </c>
      <c r="AT34" s="19">
        <v>1200</v>
      </c>
      <c r="AU34" s="19">
        <v>1650</v>
      </c>
      <c r="AV34" s="19">
        <v>6300</v>
      </c>
      <c r="AW34" s="20">
        <f t="shared" ca="1" si="9"/>
        <v>-2.4494732692307695</v>
      </c>
      <c r="AX34" s="20">
        <f t="shared" ca="1" si="10"/>
        <v>-1.9298880303030304</v>
      </c>
      <c r="AY34" s="20">
        <f t="shared" ca="1" si="11"/>
        <v>-0.50544686507936509</v>
      </c>
      <c r="AZ34" s="21">
        <v>4800</v>
      </c>
      <c r="BA34" s="22">
        <f t="shared" si="12"/>
        <v>0.19047619047619047</v>
      </c>
      <c r="BB34" s="22">
        <f t="shared" si="13"/>
        <v>1.3125</v>
      </c>
      <c r="BC34" s="23">
        <f t="shared" si="14"/>
        <v>0.25</v>
      </c>
      <c r="BD34" t="s">
        <v>208</v>
      </c>
      <c r="BE34" s="23">
        <f t="shared" si="15"/>
        <v>4.004618516068903E-2</v>
      </c>
      <c r="BF34" t="s">
        <v>209</v>
      </c>
      <c r="BG34" s="23">
        <f t="shared" si="16"/>
        <v>0.12998436153517012</v>
      </c>
      <c r="BH34" s="24">
        <v>18</v>
      </c>
      <c r="BI34" s="24">
        <v>26</v>
      </c>
      <c r="BJ34" s="25">
        <f ca="1">(BD34*BH34+$AP34-$AQ34)/$H34</f>
        <v>1024.0512409927942</v>
      </c>
      <c r="BK34" s="25">
        <f ca="1">(BF34*BI34+$AP34-$AQ34)/$H34</f>
        <v>2106.3250600480383</v>
      </c>
      <c r="BL34" s="23">
        <f t="shared" ca="1" si="19"/>
        <v>1.5183385090496397</v>
      </c>
      <c r="BM34" s="23">
        <f t="shared" ca="1" si="20"/>
        <v>2.7992122754632449</v>
      </c>
      <c r="BN34" s="93" t="s">
        <v>87</v>
      </c>
      <c r="BO34" s="93" t="s">
        <v>210</v>
      </c>
      <c r="BP34" s="93" t="s">
        <v>130</v>
      </c>
    </row>
    <row r="35" spans="1:68" ht="15" customHeight="1" x14ac:dyDescent="0.35">
      <c r="A35" s="86" t="e">
        <v>#VALUE!</v>
      </c>
      <c r="B35" s="10" t="e" vm="32">
        <f t="array" ref="B35">_FV(A35,"Símbolo bursátil",TRUE())</f>
        <v>#VALUE!</v>
      </c>
      <c r="C35" s="88" t="s">
        <v>211</v>
      </c>
      <c r="D35" s="88" t="s">
        <v>77</v>
      </c>
      <c r="E35" s="11" t="e" vm="33">
        <f t="array" ref="E35">_FV(A35,"Abreviatura de intercambio",TRUE())</f>
        <v>#VALUE!</v>
      </c>
      <c r="F35" s="11" t="e" vm="34">
        <f t="array" ref="F35">_FV(A35,"Moneda")</f>
        <v>#VALUE!</v>
      </c>
      <c r="G35" s="12" t="e" vm="35">
        <f t="array" ref="G35">_FV(A35,"Precio")</f>
        <v>#VALUE!</v>
      </c>
      <c r="H35" s="13" t="e" vm="36">
        <f t="array" ref="H35">_FV(A35,"Acciones en circulación",TRUE())/1000000</f>
        <v>#VALUE!</v>
      </c>
      <c r="I35" s="14" t="e" vm="37">
        <f t="shared" si="25"/>
        <v>#VALUE!</v>
      </c>
      <c r="J35" s="91">
        <v>1</v>
      </c>
      <c r="K35" s="91">
        <v>5</v>
      </c>
      <c r="L35" s="91">
        <v>2</v>
      </c>
      <c r="M35" s="91">
        <v>0</v>
      </c>
      <c r="N35" s="91">
        <v>0</v>
      </c>
      <c r="O35" s="91">
        <v>0</v>
      </c>
      <c r="P35" s="91">
        <v>1</v>
      </c>
      <c r="Q35" s="91">
        <v>1</v>
      </c>
      <c r="R35" s="26">
        <f t="shared" si="1"/>
        <v>10</v>
      </c>
      <c r="S35" s="16">
        <f t="shared" si="2"/>
        <v>5.88</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6.05</v>
      </c>
      <c r="AO35" s="18" t="s">
        <v>91</v>
      </c>
      <c r="AP35" s="19">
        <v>800</v>
      </c>
      <c r="AQ35" s="19">
        <v>2800</v>
      </c>
      <c r="AR35" s="19" t="e" vm="37">
        <f>I35-AP35+AQ35</f>
        <v>#VALUE!</v>
      </c>
      <c r="AS35" s="19">
        <v>600</v>
      </c>
      <c r="AT35" s="19">
        <v>700</v>
      </c>
      <c r="AU35" s="19">
        <v>1200</v>
      </c>
      <c r="AV35" s="19">
        <v>9200</v>
      </c>
      <c r="AW35" s="20" t="e" vm="37">
        <f t="shared" si="9"/>
        <v>#VALUE!</v>
      </c>
      <c r="AX35" s="20" t="e" vm="37">
        <f t="shared" si="10"/>
        <v>#VALUE!</v>
      </c>
      <c r="AY35" s="20" t="e" vm="37">
        <f t="shared" si="11"/>
        <v>#VALUE!</v>
      </c>
      <c r="AZ35" s="21">
        <v>6500</v>
      </c>
      <c r="BA35" s="22">
        <f t="shared" si="12"/>
        <v>7.6086956521739135E-2</v>
      </c>
      <c r="BB35" s="22">
        <f t="shared" si="13"/>
        <v>1.4153846153846155</v>
      </c>
      <c r="BC35" s="23">
        <f t="shared" si="14"/>
        <v>0.1076923076923077</v>
      </c>
      <c r="BD35" t="s">
        <v>212</v>
      </c>
      <c r="BE35" s="23">
        <f t="shared" si="15"/>
        <v>4.0002353139918068E-2</v>
      </c>
      <c r="BF35" t="s">
        <v>213</v>
      </c>
      <c r="BG35" s="23">
        <f t="shared" si="16"/>
        <v>0.15003538696572605</v>
      </c>
      <c r="BH35" s="24">
        <v>14</v>
      </c>
      <c r="BI35" s="24">
        <v>22</v>
      </c>
      <c r="BJ35" s="25" t="e" vm="37">
        <f>(BD35*BH35+$AP35-$AQ35)/$H35</f>
        <v>#VALUE!</v>
      </c>
      <c r="BK35" s="25" t="e" vm="37">
        <f>(BF35*BI35+$AP35-$AQ35)/$H35</f>
        <v>#VALUE!</v>
      </c>
      <c r="BL35" s="23" t="e" vm="37">
        <f t="shared" si="19"/>
        <v>#VALUE!</v>
      </c>
      <c r="BM35" s="23" t="e" vm="37">
        <f t="shared" si="20"/>
        <v>#VALUE!</v>
      </c>
      <c r="BN35" s="93" t="s">
        <v>81</v>
      </c>
      <c r="BO35" s="93" t="s">
        <v>214</v>
      </c>
      <c r="BP35" s="93" t="s">
        <v>142</v>
      </c>
    </row>
    <row r="36" spans="1:68" ht="15" customHeight="1" x14ac:dyDescent="0.35">
      <c r="A36" s="86" t="e">
        <v>#VALUE!</v>
      </c>
      <c r="B36" s="10" t="e" vm="32">
        <f t="array" ref="B36">_FV(A36,"Símbolo bursátil",TRUE())</f>
        <v>#VALUE!</v>
      </c>
      <c r="C36" s="88" t="s">
        <v>90</v>
      </c>
      <c r="D36" s="88" t="s">
        <v>117</v>
      </c>
      <c r="E36" s="11" t="e" vm="33">
        <f t="array" ref="E36">_FV(A36,"Abreviatura de intercambio",TRUE())</f>
        <v>#VALUE!</v>
      </c>
      <c r="F36" s="11" t="e" vm="34">
        <f t="array" ref="F36">_FV(A36,"Moneda")</f>
        <v>#VALUE!</v>
      </c>
      <c r="G36" s="12" t="e" vm="35">
        <f t="array" ref="G36">_FV(A36,"Precio")</f>
        <v>#VALUE!</v>
      </c>
      <c r="H36" s="13" t="e" vm="36">
        <f t="array" ref="H36">_FV(A36,"Acciones en circulación",TRUE())/1000000</f>
        <v>#VALUE!</v>
      </c>
      <c r="I36" s="14" t="e" vm="37">
        <f t="shared" si="25"/>
        <v>#VALUE!</v>
      </c>
      <c r="J36" s="90">
        <v>1</v>
      </c>
      <c r="K36" s="90">
        <v>7</v>
      </c>
      <c r="L36" s="90">
        <v>2</v>
      </c>
      <c r="M36" s="90">
        <v>0.75</v>
      </c>
      <c r="N36" s="90">
        <v>-2</v>
      </c>
      <c r="O36" s="90">
        <v>0</v>
      </c>
      <c r="P36" s="90">
        <v>1</v>
      </c>
      <c r="Q36" s="90">
        <v>1</v>
      </c>
      <c r="R36" s="15">
        <f t="shared" ref="R36:R67" si="28">SUM(J36:Q36)</f>
        <v>10.75</v>
      </c>
      <c r="S36" s="16">
        <f t="shared" ref="S36:S67" si="29">ROUND(R36/17*10,2)</f>
        <v>6.32</v>
      </c>
      <c r="T36" s="90">
        <v>15</v>
      </c>
      <c r="U36" s="90">
        <v>16</v>
      </c>
      <c r="V36" s="90">
        <v>10</v>
      </c>
      <c r="W36" s="90">
        <v>7</v>
      </c>
      <c r="X36" s="90">
        <v>8</v>
      </c>
      <c r="Y36" s="90">
        <v>11</v>
      </c>
      <c r="Z36" s="90">
        <v>10</v>
      </c>
      <c r="AA36" s="90">
        <v>-16</v>
      </c>
      <c r="AB36" s="15">
        <f t="shared" ref="AB36:AB67" si="30">SUM(T36:AA36)</f>
        <v>61</v>
      </c>
      <c r="AC36" s="16">
        <f t="shared" ref="AC36:AC67" si="31">ROUND(AB36/10,2)</f>
        <v>6.1</v>
      </c>
      <c r="AD36" s="90">
        <v>10</v>
      </c>
      <c r="AE36" s="90">
        <v>-6</v>
      </c>
      <c r="AF36" s="90">
        <v>8</v>
      </c>
      <c r="AG36" s="90">
        <v>12</v>
      </c>
      <c r="AH36" s="90">
        <v>3</v>
      </c>
      <c r="AI36" s="90">
        <v>9</v>
      </c>
      <c r="AJ36" s="90">
        <v>11</v>
      </c>
      <c r="AK36" s="90">
        <v>-9</v>
      </c>
      <c r="AL36" s="15">
        <f t="shared" ref="AL36:AL67" si="32">SUM(AD36:AK36)</f>
        <v>38</v>
      </c>
      <c r="AM36" s="16">
        <f t="shared" ref="AM36:AM67" si="33">ROUND(AL36/70*10,2)</f>
        <v>5.43</v>
      </c>
      <c r="AN36" s="17">
        <f t="shared" ref="AN36:AN67" si="34">ROUND((S36+AC36+AM36)/3,2)</f>
        <v>5.95</v>
      </c>
      <c r="AO36" s="18" t="s">
        <v>215</v>
      </c>
      <c r="AP36" s="19">
        <v>900000</v>
      </c>
      <c r="AQ36" s="19">
        <v>100000</v>
      </c>
      <c r="AR36" s="19" t="e" vm="37">
        <f ca="1">I36*'Framework Notes'!E6-AP36+AQ36</f>
        <v>#VALUE!</v>
      </c>
      <c r="AS36" s="19">
        <v>410000</v>
      </c>
      <c r="AT36" s="19">
        <v>420000</v>
      </c>
      <c r="AU36" s="19">
        <v>520000</v>
      </c>
      <c r="AV36" s="19">
        <v>1000000</v>
      </c>
      <c r="AW36" s="20" t="e" vm="37">
        <f t="shared" ref="AW36:AW64" ca="1" si="35">AR36/AS36</f>
        <v>#VALUE!</v>
      </c>
      <c r="AX36" s="20" t="e" vm="37">
        <f t="shared" ref="AX36:AX64" ca="1" si="36">AR36/AU36</f>
        <v>#VALUE!</v>
      </c>
      <c r="AY36" s="20" t="e" vm="37">
        <f t="shared" ref="AY36:AY64" ca="1" si="37">AR36/AV36</f>
        <v>#VALUE!</v>
      </c>
      <c r="AZ36" s="21">
        <v>1800000</v>
      </c>
      <c r="BA36" s="22">
        <f t="shared" ref="BA36:BA64" si="38">AT36/AV36</f>
        <v>0.42</v>
      </c>
      <c r="BB36" s="22">
        <f t="shared" ref="BB36:BB64" si="39">AV36/AZ36</f>
        <v>0.55555555555555558</v>
      </c>
      <c r="BC36" s="23">
        <f t="shared" ref="BC36:BC67" si="40">BA36*BB36</f>
        <v>0.23333333333333334</v>
      </c>
      <c r="BD36" t="s">
        <v>216</v>
      </c>
      <c r="BE36" s="23">
        <f t="shared" ref="BE36:BE67" si="41">(BD36/AS36)^(1/5)-1</f>
        <v>6.9999922003442849E-2</v>
      </c>
      <c r="BF36" t="s">
        <v>217</v>
      </c>
      <c r="BG36" s="23">
        <f t="shared" ref="BG36:BG67" si="42">(BF36/AS36)^(1/5)-1</f>
        <v>0.19999995295091466</v>
      </c>
      <c r="BH36" s="24">
        <v>8</v>
      </c>
      <c r="BI36" s="24">
        <v>15</v>
      </c>
      <c r="BJ36" s="25" t="e" vm="37">
        <f ca="1">((BD36*BH36+$AP36-$AQ36)/$H36)/'Framework Notes'!E6</f>
        <v>#VALUE!</v>
      </c>
      <c r="BK36" s="25" t="e" vm="37">
        <f ca="1">((BF36*BI36+$AP36-$AQ36)/$H36)/'Framework Notes'!E6</f>
        <v>#VALUE!</v>
      </c>
      <c r="BL36" s="23" t="e" vm="37">
        <f t="shared" ref="BL36:BL64" ca="1" si="43">($BJ36/G36)^(1/5)-1</f>
        <v>#VALUE!</v>
      </c>
      <c r="BM36" s="23" t="e" vm="37">
        <f t="shared" ref="BM36:BM64" ca="1" si="44">(BK36/G36)^(1/4)-1</f>
        <v>#VALUE!</v>
      </c>
      <c r="BN36" s="93" t="s">
        <v>99</v>
      </c>
      <c r="BO36" s="93" t="s">
        <v>218</v>
      </c>
      <c r="BP36" s="93" t="s">
        <v>101</v>
      </c>
    </row>
    <row r="37" spans="1:68" ht="15" customHeight="1" x14ac:dyDescent="0.35">
      <c r="A37" s="86" t="e">
        <v>#VALUE!</v>
      </c>
      <c r="B37" s="10" t="e" vm="32">
        <f t="array" ref="B37">_FV(A37,"Símbolo bursátil",TRUE())</f>
        <v>#VALUE!</v>
      </c>
      <c r="C37" s="88" t="s">
        <v>143</v>
      </c>
      <c r="D37" s="88" t="s">
        <v>77</v>
      </c>
      <c r="E37" s="11" t="e" vm="33">
        <f t="array" ref="E37">_FV(A37,"Abreviatura de intercambio",TRUE())</f>
        <v>#VALUE!</v>
      </c>
      <c r="F37" s="11" t="e" vm="34">
        <f t="array" ref="F37">_FV(A37,"Moneda")</f>
        <v>#VALUE!</v>
      </c>
      <c r="G37" s="12" t="e" vm="35">
        <f t="array" ref="G37">_FV(A37,"Precio")</f>
        <v>#VALUE!</v>
      </c>
      <c r="H37" s="13" t="e" vm="36">
        <f t="array" ref="H37">_FV(A37,"Acciones en circulación",TRUE())/1000000</f>
        <v>#VALUE!</v>
      </c>
      <c r="I37" s="14" t="e" vm="37">
        <f t="shared" si="25"/>
        <v>#VALUE!</v>
      </c>
      <c r="J37" s="91">
        <v>2</v>
      </c>
      <c r="K37" s="91">
        <v>5</v>
      </c>
      <c r="L37" s="91">
        <v>2</v>
      </c>
      <c r="M37" s="91">
        <v>0</v>
      </c>
      <c r="N37" s="91">
        <v>-1</v>
      </c>
      <c r="O37" s="91">
        <v>0</v>
      </c>
      <c r="P37" s="91">
        <v>0</v>
      </c>
      <c r="Q37" s="91">
        <v>1</v>
      </c>
      <c r="R37" s="26">
        <f t="shared" si="28"/>
        <v>9</v>
      </c>
      <c r="S37" s="16">
        <f t="shared" si="29"/>
        <v>5.29</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5.84</v>
      </c>
      <c r="AO37" s="18" t="s">
        <v>91</v>
      </c>
      <c r="AP37" s="19">
        <v>45</v>
      </c>
      <c r="AQ37" s="19">
        <v>70</v>
      </c>
      <c r="AR37" s="19" t="e" vm="37">
        <f>I37-AP37+AQ37</f>
        <v>#VALUE!</v>
      </c>
      <c r="AS37" s="19">
        <v>42</v>
      </c>
      <c r="AT37" s="19">
        <v>35</v>
      </c>
      <c r="AU37" s="19">
        <v>62</v>
      </c>
      <c r="AV37" s="19">
        <v>290</v>
      </c>
      <c r="AW37" s="20" t="e" vm="37">
        <f t="shared" si="35"/>
        <v>#VALUE!</v>
      </c>
      <c r="AX37" s="20" t="e" vm="37">
        <f t="shared" si="36"/>
        <v>#VALUE!</v>
      </c>
      <c r="AY37" s="20" t="e" vm="37">
        <f t="shared" si="37"/>
        <v>#VALUE!</v>
      </c>
      <c r="AZ37" s="21">
        <v>220</v>
      </c>
      <c r="BA37" s="22">
        <f t="shared" si="38"/>
        <v>0.1206896551724138</v>
      </c>
      <c r="BB37" s="22">
        <f t="shared" si="39"/>
        <v>1.3181818181818181</v>
      </c>
      <c r="BC37" s="23">
        <f t="shared" si="40"/>
        <v>0.15909090909090909</v>
      </c>
      <c r="BD37" t="s">
        <v>219</v>
      </c>
      <c r="BE37" s="23">
        <f t="shared" si="41"/>
        <v>5.9223841048812176E-2</v>
      </c>
      <c r="BF37" t="s">
        <v>220</v>
      </c>
      <c r="BG37" s="23">
        <f t="shared" si="42"/>
        <v>0.16978946918768023</v>
      </c>
      <c r="BH37" s="24">
        <v>12</v>
      </c>
      <c r="BI37" s="24">
        <v>16.5</v>
      </c>
      <c r="BJ37" s="25" t="e" vm="37">
        <f>(BD37*BH37+$AP37-$AQ37)/$H37</f>
        <v>#VALUE!</v>
      </c>
      <c r="BK37" s="25" t="e" vm="37">
        <f>(BF37*BI37+$AP37-$AQ37)/$H37</f>
        <v>#VALUE!</v>
      </c>
      <c r="BL37" s="23" t="e" vm="37">
        <f t="shared" si="43"/>
        <v>#VALUE!</v>
      </c>
      <c r="BM37" s="23" t="e" vm="37">
        <f t="shared" si="44"/>
        <v>#VALUE!</v>
      </c>
      <c r="BN37" s="93" t="s">
        <v>81</v>
      </c>
      <c r="BO37" s="94" t="s">
        <v>120</v>
      </c>
      <c r="BP37" s="93" t="s">
        <v>181</v>
      </c>
    </row>
    <row r="38" spans="1:68" ht="15" customHeight="1" x14ac:dyDescent="0.35">
      <c r="A38" s="86" t="e">
        <v>#VALUE!</v>
      </c>
      <c r="B38" s="10" t="e" vm="32">
        <f t="array" ref="B38">_FV(A38,"Símbolo bursátil",TRUE())</f>
        <v>#VALUE!</v>
      </c>
      <c r="C38" s="88" t="s">
        <v>221</v>
      </c>
      <c r="D38" s="88" t="s">
        <v>117</v>
      </c>
      <c r="E38" s="11" t="e" vm="33">
        <f t="array" ref="E38">_FV(A38,"Abreviatura de intercambio",TRUE())</f>
        <v>#VALUE!</v>
      </c>
      <c r="F38" s="11" t="e" vm="34">
        <f t="array" ref="F38">_FV(A38,"Moneda")</f>
        <v>#VALUE!</v>
      </c>
      <c r="G38" s="12" t="e" vm="35">
        <f t="array" ref="G38">_FV(A38,"Precio")</f>
        <v>#VALUE!</v>
      </c>
      <c r="H38" s="13" t="e" vm="36">
        <f t="array" ref="H38">_FV(A38,"Acciones en circulación",TRUE())/1000000</f>
        <v>#VALUE!</v>
      </c>
      <c r="I38" s="14" t="e" vm="37">
        <f t="shared" si="25"/>
        <v>#VALUE!</v>
      </c>
      <c r="J38" s="90">
        <v>1</v>
      </c>
      <c r="K38" s="90">
        <v>7</v>
      </c>
      <c r="L38" s="90">
        <v>2</v>
      </c>
      <c r="M38" s="90">
        <v>1</v>
      </c>
      <c r="N38" s="90">
        <v>-2</v>
      </c>
      <c r="O38" s="90">
        <v>0</v>
      </c>
      <c r="P38" s="90">
        <v>1</v>
      </c>
      <c r="Q38" s="90">
        <v>0</v>
      </c>
      <c r="R38" s="15">
        <f t="shared" si="28"/>
        <v>10</v>
      </c>
      <c r="S38" s="16">
        <f t="shared" si="29"/>
        <v>5.88</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5.75</v>
      </c>
      <c r="AO38" s="18" t="s">
        <v>78</v>
      </c>
      <c r="AP38" s="19">
        <v>40000</v>
      </c>
      <c r="AQ38" s="19">
        <v>10000</v>
      </c>
      <c r="AR38" s="19" t="e" vm="37">
        <f>I38-AP38+AQ38</f>
        <v>#VALUE!</v>
      </c>
      <c r="AS38" s="19">
        <v>60000</v>
      </c>
      <c r="AT38" s="19">
        <v>75000</v>
      </c>
      <c r="AU38" s="19">
        <v>90000</v>
      </c>
      <c r="AV38" s="19">
        <v>130000</v>
      </c>
      <c r="AW38" s="20" t="e" vm="37">
        <f t="shared" si="35"/>
        <v>#VALUE!</v>
      </c>
      <c r="AX38" s="20" t="e" vm="37">
        <f t="shared" si="36"/>
        <v>#VALUE!</v>
      </c>
      <c r="AY38" s="20" t="e" vm="37">
        <f t="shared" si="37"/>
        <v>#VALUE!</v>
      </c>
      <c r="AZ38" s="21">
        <v>90000</v>
      </c>
      <c r="BA38" s="22">
        <f t="shared" si="38"/>
        <v>0.57692307692307687</v>
      </c>
      <c r="BB38" s="22">
        <f t="shared" si="39"/>
        <v>1.4444444444444444</v>
      </c>
      <c r="BC38" s="23">
        <f t="shared" si="40"/>
        <v>0.83333333333333326</v>
      </c>
      <c r="BD38" t="s">
        <v>222</v>
      </c>
      <c r="BE38" s="23">
        <f t="shared" si="41"/>
        <v>8.0000772740678627E-2</v>
      </c>
      <c r="BF38" t="s">
        <v>223</v>
      </c>
      <c r="BG38" s="23">
        <f t="shared" si="42"/>
        <v>0.32000015965084327</v>
      </c>
      <c r="BH38" s="24">
        <v>20</v>
      </c>
      <c r="BI38" s="24">
        <v>30</v>
      </c>
      <c r="BJ38" s="25" t="e" vm="37">
        <f>(BD38*BH38+$AP38-$AQ38)/$H38</f>
        <v>#VALUE!</v>
      </c>
      <c r="BK38" s="25" t="e" vm="37">
        <f>(BF38*BI38+$AP38-$AQ38)/$H38</f>
        <v>#VALUE!</v>
      </c>
      <c r="BL38" s="23" t="e" vm="37">
        <f t="shared" si="43"/>
        <v>#VALUE!</v>
      </c>
      <c r="BM38" s="23" t="e" vm="37">
        <f t="shared" si="44"/>
        <v>#VALUE!</v>
      </c>
      <c r="BN38" s="93" t="s">
        <v>81</v>
      </c>
      <c r="BO38" s="93" t="s">
        <v>224</v>
      </c>
      <c r="BP38" s="93" t="s">
        <v>225</v>
      </c>
    </row>
    <row r="39" spans="1:68" ht="15" customHeight="1" x14ac:dyDescent="0.35">
      <c r="A39" s="86" t="e">
        <v>#VALUE!</v>
      </c>
      <c r="B39" s="10" t="e" vm="32">
        <f t="array" ref="B39">_FV(A39,"Símbolo bursátil",TRUE())</f>
        <v>#VALUE!</v>
      </c>
      <c r="C39" s="88" t="s">
        <v>226</v>
      </c>
      <c r="D39" s="88" t="s">
        <v>102</v>
      </c>
      <c r="E39" s="11" t="e" vm="33">
        <f t="array" ref="E39">_FV(A39,"Abreviatura de intercambio",TRUE())</f>
        <v>#VALUE!</v>
      </c>
      <c r="F39" s="11" t="e" vm="34">
        <f t="array" ref="F39">_FV(A39,"Moneda")</f>
        <v>#VALUE!</v>
      </c>
      <c r="G39" s="12" t="e" vm="35">
        <f t="array" ref="G39">_FV(A39,"Precio")</f>
        <v>#VALUE!</v>
      </c>
      <c r="H39" s="13" t="e" vm="36">
        <f t="array" ref="H39">_FV(A39,"Acciones en circulación",TRUE())/1000000</f>
        <v>#VALUE!</v>
      </c>
      <c r="I39" s="14" t="e" vm="37">
        <f t="shared" si="25"/>
        <v>#VALUE!</v>
      </c>
      <c r="J39" s="91">
        <v>1</v>
      </c>
      <c r="K39" s="91">
        <v>6</v>
      </c>
      <c r="L39" s="91">
        <v>1</v>
      </c>
      <c r="M39" s="91">
        <v>0</v>
      </c>
      <c r="N39" s="91">
        <v>-1</v>
      </c>
      <c r="O39" s="91">
        <v>0</v>
      </c>
      <c r="P39" s="91">
        <v>0</v>
      </c>
      <c r="Q39" s="91">
        <v>1</v>
      </c>
      <c r="R39" s="26">
        <f t="shared" si="28"/>
        <v>8</v>
      </c>
      <c r="S39" s="16">
        <f t="shared" si="29"/>
        <v>4.71</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5.5</v>
      </c>
      <c r="AO39" s="18" t="s">
        <v>91</v>
      </c>
      <c r="AP39" s="19">
        <v>40</v>
      </c>
      <c r="AQ39" s="19">
        <v>140</v>
      </c>
      <c r="AR39" s="19" t="e" vm="37">
        <f>I39-AP39+AQ39</f>
        <v>#VALUE!</v>
      </c>
      <c r="AS39" s="19">
        <v>80</v>
      </c>
      <c r="AT39" s="19">
        <v>100</v>
      </c>
      <c r="AU39" s="19">
        <v>170</v>
      </c>
      <c r="AV39" s="19">
        <v>900</v>
      </c>
      <c r="AW39" s="20" t="e" vm="37">
        <f t="shared" si="35"/>
        <v>#VALUE!</v>
      </c>
      <c r="AX39" s="20" t="e" vm="37">
        <f t="shared" si="36"/>
        <v>#VALUE!</v>
      </c>
      <c r="AY39" s="20" t="e" vm="37">
        <f t="shared" si="37"/>
        <v>#VALUE!</v>
      </c>
      <c r="AZ39" s="21">
        <v>750</v>
      </c>
      <c r="BA39" s="22">
        <f t="shared" si="38"/>
        <v>0.1111111111111111</v>
      </c>
      <c r="BB39" s="22">
        <f t="shared" si="39"/>
        <v>1.2</v>
      </c>
      <c r="BC39" s="23">
        <f t="shared" si="40"/>
        <v>0.13333333333333333</v>
      </c>
      <c r="BD39" t="s">
        <v>227</v>
      </c>
      <c r="BE39" s="23">
        <f t="shared" si="41"/>
        <v>0</v>
      </c>
      <c r="BF39" t="s">
        <v>228</v>
      </c>
      <c r="BG39" s="23">
        <f t="shared" si="42"/>
        <v>8.9840705850404712E-2</v>
      </c>
      <c r="BH39" s="24">
        <v>8.5</v>
      </c>
      <c r="BI39" s="24">
        <v>12</v>
      </c>
      <c r="BJ39" s="25" t="e" vm="37">
        <f>(BD39*BH39+$AP39-$AQ39)/$H39</f>
        <v>#VALUE!</v>
      </c>
      <c r="BK39" s="25" t="e" vm="37">
        <f>(BF39*BI39+$AP39-$AQ39)/$H39</f>
        <v>#VALUE!</v>
      </c>
      <c r="BL39" s="23" t="e" vm="37">
        <f t="shared" si="43"/>
        <v>#VALUE!</v>
      </c>
      <c r="BM39" s="23" t="e" vm="37">
        <f t="shared" si="44"/>
        <v>#VALUE!</v>
      </c>
      <c r="BN39" s="93" t="s">
        <v>114</v>
      </c>
      <c r="BO39" s="94" t="s">
        <v>229</v>
      </c>
      <c r="BP39" s="93" t="s">
        <v>230</v>
      </c>
    </row>
    <row r="40" spans="1:68" ht="15" customHeight="1" x14ac:dyDescent="0.35">
      <c r="A40" s="86" t="e">
        <v>#VALUE!</v>
      </c>
      <c r="B40" s="10" t="e" vm="32">
        <f t="array" ref="B40">_FV(A40,"Símbolo bursátil",TRUE())</f>
        <v>#VALUE!</v>
      </c>
      <c r="C40" s="88" t="s">
        <v>221</v>
      </c>
      <c r="D40" s="88" t="s">
        <v>77</v>
      </c>
      <c r="E40" s="11" t="e" vm="33">
        <f t="array" ref="E40">_FV(A40,"Abreviatura de intercambio",TRUE())</f>
        <v>#VALUE!</v>
      </c>
      <c r="F40" s="11" t="e" vm="34">
        <f t="array" ref="F40">_FV(A40,"Moneda")</f>
        <v>#VALUE!</v>
      </c>
      <c r="G40" s="12" t="e" vm="35">
        <f t="array" ref="G40">_FV(A40,"Precio")</f>
        <v>#VALUE!</v>
      </c>
      <c r="H40" s="13" t="e" vm="36">
        <f t="array" ref="H40">_FV(A40,"Acciones en circulación",TRUE())/1000000</f>
        <v>#VALUE!</v>
      </c>
      <c r="I40" s="14" t="e" vm="37">
        <f t="shared" si="25"/>
        <v>#VALUE!</v>
      </c>
      <c r="J40" s="90">
        <v>2</v>
      </c>
      <c r="K40" s="90">
        <v>7</v>
      </c>
      <c r="L40" s="90">
        <v>1</v>
      </c>
      <c r="M40" s="90">
        <v>1</v>
      </c>
      <c r="N40" s="90">
        <v>-2</v>
      </c>
      <c r="O40" s="90">
        <v>0</v>
      </c>
      <c r="P40" s="90">
        <v>1</v>
      </c>
      <c r="Q40" s="90">
        <v>0</v>
      </c>
      <c r="R40" s="15">
        <f t="shared" si="28"/>
        <v>10</v>
      </c>
      <c r="S40" s="16">
        <f t="shared" si="29"/>
        <v>5.88</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5.36</v>
      </c>
      <c r="AO40" s="18" t="s">
        <v>78</v>
      </c>
      <c r="AP40" s="19">
        <v>60000</v>
      </c>
      <c r="AQ40" s="19">
        <v>30000</v>
      </c>
      <c r="AR40" s="19" t="e" vm="37">
        <f>I40-AP40+AQ40</f>
        <v>#VALUE!</v>
      </c>
      <c r="AS40" s="19">
        <v>35000</v>
      </c>
      <c r="AT40" s="19">
        <v>50000</v>
      </c>
      <c r="AU40" s="19">
        <v>75000</v>
      </c>
      <c r="AV40" s="19">
        <v>122400</v>
      </c>
      <c r="AW40" s="20" t="e" vm="37">
        <f t="shared" si="35"/>
        <v>#VALUE!</v>
      </c>
      <c r="AX40" s="20" t="e" vm="37">
        <f t="shared" si="36"/>
        <v>#VALUE!</v>
      </c>
      <c r="AY40" s="20" t="e" vm="37">
        <f t="shared" si="37"/>
        <v>#VALUE!</v>
      </c>
      <c r="AZ40" s="21">
        <v>120000</v>
      </c>
      <c r="BA40" s="22">
        <f t="shared" si="38"/>
        <v>0.40849673202614378</v>
      </c>
      <c r="BB40" s="22">
        <f t="shared" si="39"/>
        <v>1.02</v>
      </c>
      <c r="BC40" s="23">
        <f t="shared" si="40"/>
        <v>0.41666666666666669</v>
      </c>
      <c r="BD40" t="s">
        <v>231</v>
      </c>
      <c r="BE40" s="23">
        <f t="shared" si="41"/>
        <v>7.9997972620447833E-2</v>
      </c>
      <c r="BF40" t="s">
        <v>232</v>
      </c>
      <c r="BG40" s="23">
        <f t="shared" si="42"/>
        <v>0.22000055273897212</v>
      </c>
      <c r="BH40" s="24">
        <v>14</v>
      </c>
      <c r="BI40" s="24">
        <v>22</v>
      </c>
      <c r="BJ40" s="25" t="e" vm="37">
        <f>(BD40*BH40+$AP40-$AQ40)/$H40</f>
        <v>#VALUE!</v>
      </c>
      <c r="BK40" s="25" t="e" vm="37">
        <f>(BF40*BI40+$AP40-$AQ40)/$H40</f>
        <v>#VALUE!</v>
      </c>
      <c r="BL40" s="23" t="e" vm="37">
        <f t="shared" si="43"/>
        <v>#VALUE!</v>
      </c>
      <c r="BM40" s="23" t="e" vm="37">
        <f t="shared" si="44"/>
        <v>#VALUE!</v>
      </c>
      <c r="BN40" s="93" t="s">
        <v>81</v>
      </c>
      <c r="BO40" s="93" t="s">
        <v>233</v>
      </c>
      <c r="BP40" s="93" t="s">
        <v>206</v>
      </c>
    </row>
    <row r="41" spans="1:68" ht="15" customHeight="1" x14ac:dyDescent="0.35">
      <c r="A41" s="86" t="e">
        <v>#VALUE!</v>
      </c>
      <c r="B41" s="10" t="e" vm="32">
        <f t="array" ref="B41">_FV(A41,"Símbolo bursátil",TRUE())</f>
        <v>#VALUE!</v>
      </c>
      <c r="C41" s="88" t="s">
        <v>135</v>
      </c>
      <c r="D41" s="88" t="s">
        <v>117</v>
      </c>
      <c r="E41" s="11" t="e" vm="33">
        <f t="array" ref="E41">_FV(A41,"Abreviatura de intercambio",TRUE())</f>
        <v>#VALUE!</v>
      </c>
      <c r="F41" s="11" t="e" vm="34">
        <f t="array" ref="F41">_FV(A41,"Moneda")</f>
        <v>#VALUE!</v>
      </c>
      <c r="G41" s="12" t="e" vm="35">
        <f t="array" ref="G41">_FV(A41,"Precio")</f>
        <v>#VALUE!</v>
      </c>
      <c r="H41" s="13" t="e" vm="36">
        <f t="array" ref="H41">_FV(A41,"Acciones en circulación",TRUE())/1000000</f>
        <v>#VALUE!</v>
      </c>
      <c r="I41" s="14" t="e" vm="37">
        <f t="shared" si="25"/>
        <v>#VALUE!</v>
      </c>
      <c r="J41" s="91">
        <v>1</v>
      </c>
      <c r="K41" s="91">
        <v>4</v>
      </c>
      <c r="L41" s="91">
        <v>2</v>
      </c>
      <c r="M41" s="91">
        <v>1</v>
      </c>
      <c r="N41" s="91">
        <v>0</v>
      </c>
      <c r="O41" s="91">
        <v>0</v>
      </c>
      <c r="P41" s="91">
        <v>1</v>
      </c>
      <c r="Q41" s="91">
        <v>1</v>
      </c>
      <c r="R41" s="26">
        <f t="shared" si="28"/>
        <v>10</v>
      </c>
      <c r="S41" s="16">
        <f t="shared" si="29"/>
        <v>5.88</v>
      </c>
      <c r="T41" s="91">
        <v>14</v>
      </c>
      <c r="U41" s="91">
        <v>11</v>
      </c>
      <c r="V41" s="91">
        <v>12</v>
      </c>
      <c r="W41" s="91">
        <v>9</v>
      </c>
      <c r="X41" s="91">
        <v>7</v>
      </c>
      <c r="Y41" s="91">
        <v>11</v>
      </c>
      <c r="Z41" s="91">
        <v>8</v>
      </c>
      <c r="AA41" s="91">
        <v>-12</v>
      </c>
      <c r="AB41" s="26">
        <f t="shared" si="30"/>
        <v>60</v>
      </c>
      <c r="AC41" s="16">
        <f t="shared" si="31"/>
        <v>6</v>
      </c>
      <c r="AD41" s="91">
        <v>10</v>
      </c>
      <c r="AE41" s="91">
        <v>-3</v>
      </c>
      <c r="AF41" s="91">
        <v>7</v>
      </c>
      <c r="AG41" s="91">
        <v>9</v>
      </c>
      <c r="AH41" s="91">
        <v>3</v>
      </c>
      <c r="AI41" s="91">
        <v>8</v>
      </c>
      <c r="AJ41" s="91">
        <v>9</v>
      </c>
      <c r="AK41" s="91">
        <v>-5</v>
      </c>
      <c r="AL41" s="26">
        <f t="shared" si="32"/>
        <v>38</v>
      </c>
      <c r="AM41" s="16">
        <f t="shared" si="33"/>
        <v>5.43</v>
      </c>
      <c r="AN41" s="17">
        <f t="shared" si="34"/>
        <v>5.77</v>
      </c>
      <c r="AO41" s="18" t="s">
        <v>91</v>
      </c>
      <c r="AP41" s="19">
        <v>5000</v>
      </c>
      <c r="AQ41" s="19">
        <v>10000</v>
      </c>
      <c r="AR41" s="19" t="e" vm="37">
        <f ca="1">I41*'Framework Notes'!E8-AP41+AQ41</f>
        <v>#VALUE!</v>
      </c>
      <c r="AS41" s="19">
        <v>4000</v>
      </c>
      <c r="AT41" s="19">
        <v>4500</v>
      </c>
      <c r="AU41" s="19">
        <v>7500</v>
      </c>
      <c r="AV41" s="19">
        <v>30000</v>
      </c>
      <c r="AW41" s="20" t="e" vm="37">
        <f t="shared" ca="1" si="35"/>
        <v>#VALUE!</v>
      </c>
      <c r="AX41" s="20" t="e" vm="37">
        <f t="shared" ca="1" si="36"/>
        <v>#VALUE!</v>
      </c>
      <c r="AY41" s="20" t="e" vm="37">
        <f t="shared" ca="1" si="37"/>
        <v>#VALUE!</v>
      </c>
      <c r="AZ41" s="21">
        <v>25000</v>
      </c>
      <c r="BA41" s="22">
        <f t="shared" si="38"/>
        <v>0.15</v>
      </c>
      <c r="BB41" s="22">
        <f t="shared" si="39"/>
        <v>1.2</v>
      </c>
      <c r="BC41" s="23">
        <f t="shared" si="40"/>
        <v>0.18</v>
      </c>
      <c r="BD41" t="s">
        <v>234</v>
      </c>
      <c r="BE41" s="23">
        <f t="shared" si="41"/>
        <v>2.9995722023716587E-2</v>
      </c>
      <c r="BF41" t="s">
        <v>235</v>
      </c>
      <c r="BG41" s="23">
        <f t="shared" si="42"/>
        <v>9.9998633969696549E-2</v>
      </c>
      <c r="BH41" s="24">
        <v>18</v>
      </c>
      <c r="BI41" s="24">
        <v>25</v>
      </c>
      <c r="BJ41" s="25" t="e" vm="37">
        <f ca="1">((BD41*BH41+$AP41-$AQ41)/$H41)/'Framework Notes'!E8</f>
        <v>#VALUE!</v>
      </c>
      <c r="BK41" s="25" t="e" vm="37">
        <f ca="1">((BF41*BI41+$AP41-$AQ41)/$H41)/'Framework Notes'!E8</f>
        <v>#VALUE!</v>
      </c>
      <c r="BL41" s="23" t="e" vm="37">
        <f t="shared" ca="1" si="43"/>
        <v>#VALUE!</v>
      </c>
      <c r="BM41" s="23" t="e" vm="37">
        <f t="shared" ca="1" si="44"/>
        <v>#VALUE!</v>
      </c>
      <c r="BN41" s="93" t="s">
        <v>87</v>
      </c>
      <c r="BO41" s="93" t="s">
        <v>236</v>
      </c>
      <c r="BP41" s="93" t="s">
        <v>130</v>
      </c>
    </row>
    <row r="42" spans="1:68" ht="15" customHeight="1" x14ac:dyDescent="0.35">
      <c r="A42" s="86" t="e">
        <v>#VALUE!</v>
      </c>
      <c r="B42" s="10" t="e" vm="32">
        <f t="array" ref="B42">_FV(A42,"Símbolo bursátil",TRUE())</f>
        <v>#VALUE!</v>
      </c>
      <c r="C42" s="88" t="s">
        <v>131</v>
      </c>
      <c r="D42" s="88" t="s">
        <v>77</v>
      </c>
      <c r="E42" s="11" t="e" vm="33">
        <f t="array" ref="E42">_FV(A42,"Abreviatura de intercambio",TRUE())</f>
        <v>#VALUE!</v>
      </c>
      <c r="F42" s="11" t="e" vm="34">
        <f t="array" ref="F42">_FV(A42,"Moneda")</f>
        <v>#VALUE!</v>
      </c>
      <c r="G42" s="12" t="e" vm="35">
        <f t="array" ref="G42">_FV(A42,"Precio")</f>
        <v>#VALUE!</v>
      </c>
      <c r="H42" s="13" t="e" vm="36">
        <f t="array" ref="H42">_FV(A42,"Acciones en circulación",TRUE())/1000000</f>
        <v>#VALUE!</v>
      </c>
      <c r="I42" s="14" t="e" vm="37">
        <f t="shared" si="25"/>
        <v>#VALUE!</v>
      </c>
      <c r="J42" s="90">
        <v>1</v>
      </c>
      <c r="K42" s="90">
        <v>5</v>
      </c>
      <c r="L42" s="90">
        <v>1</v>
      </c>
      <c r="M42" s="90">
        <v>0</v>
      </c>
      <c r="N42" s="90">
        <v>0</v>
      </c>
      <c r="O42" s="90">
        <v>0</v>
      </c>
      <c r="P42" s="90">
        <v>0</v>
      </c>
      <c r="Q42" s="90">
        <v>0</v>
      </c>
      <c r="R42" s="15">
        <f t="shared" si="28"/>
        <v>7</v>
      </c>
      <c r="S42" s="16">
        <f t="shared" si="29"/>
        <v>4.12</v>
      </c>
      <c r="T42" s="90">
        <v>12</v>
      </c>
      <c r="U42" s="90">
        <v>13</v>
      </c>
      <c r="V42" s="90">
        <v>14</v>
      </c>
      <c r="W42" s="90">
        <v>9</v>
      </c>
      <c r="X42" s="90">
        <v>7</v>
      </c>
      <c r="Y42" s="90">
        <v>10</v>
      </c>
      <c r="Z42" s="90">
        <v>4</v>
      </c>
      <c r="AA42" s="90">
        <v>-9</v>
      </c>
      <c r="AB42" s="15">
        <f t="shared" si="30"/>
        <v>60</v>
      </c>
      <c r="AC42" s="16">
        <f t="shared" si="31"/>
        <v>6</v>
      </c>
      <c r="AD42" s="90">
        <v>12</v>
      </c>
      <c r="AE42" s="90">
        <v>-1</v>
      </c>
      <c r="AF42" s="90">
        <v>4</v>
      </c>
      <c r="AG42" s="90">
        <v>10</v>
      </c>
      <c r="AH42" s="90">
        <v>2</v>
      </c>
      <c r="AI42" s="90">
        <v>7</v>
      </c>
      <c r="AJ42" s="90">
        <v>10</v>
      </c>
      <c r="AK42" s="90">
        <v>-4</v>
      </c>
      <c r="AL42" s="15">
        <f t="shared" si="32"/>
        <v>40</v>
      </c>
      <c r="AM42" s="16">
        <f t="shared" si="33"/>
        <v>5.71</v>
      </c>
      <c r="AN42" s="17">
        <f t="shared" si="34"/>
        <v>5.28</v>
      </c>
      <c r="AO42" s="18" t="s">
        <v>91</v>
      </c>
      <c r="AP42" s="19">
        <v>1800</v>
      </c>
      <c r="AQ42" s="19">
        <v>6000</v>
      </c>
      <c r="AR42" s="19" t="e" vm="37">
        <f t="shared" ref="AR42:AR48" si="45">I42-AP42+AQ42</f>
        <v>#VALUE!</v>
      </c>
      <c r="AS42" s="19">
        <v>950</v>
      </c>
      <c r="AT42" s="19">
        <v>1200</v>
      </c>
      <c r="AU42" s="19">
        <v>2300</v>
      </c>
      <c r="AV42" s="19">
        <v>19200</v>
      </c>
      <c r="AW42" s="20" t="e" vm="37">
        <f t="shared" si="35"/>
        <v>#VALUE!</v>
      </c>
      <c r="AX42" s="20" t="e" vm="37">
        <f t="shared" si="36"/>
        <v>#VALUE!</v>
      </c>
      <c r="AY42" s="20" t="e" vm="37">
        <f t="shared" si="37"/>
        <v>#VALUE!</v>
      </c>
      <c r="AZ42" s="21">
        <v>9500</v>
      </c>
      <c r="BA42" s="22">
        <f t="shared" si="38"/>
        <v>6.25E-2</v>
      </c>
      <c r="BB42" s="22">
        <f t="shared" si="39"/>
        <v>2.0210526315789474</v>
      </c>
      <c r="BC42" s="23">
        <f t="shared" si="40"/>
        <v>0.12631578947368421</v>
      </c>
      <c r="BD42" t="s">
        <v>237</v>
      </c>
      <c r="BE42" s="23">
        <f t="shared" si="41"/>
        <v>4.8529313214157099E-2</v>
      </c>
      <c r="BF42" t="s">
        <v>238</v>
      </c>
      <c r="BG42" s="23">
        <f t="shared" si="42"/>
        <v>0.16731091992097658</v>
      </c>
      <c r="BH42" s="24">
        <v>18</v>
      </c>
      <c r="BI42" s="24">
        <v>22.5</v>
      </c>
      <c r="BJ42" s="25" t="e" vm="37">
        <f t="shared" ref="BJ42:BJ48" si="46">(BD42*BH42+$AP42-$AQ42)/$H42</f>
        <v>#VALUE!</v>
      </c>
      <c r="BK42" s="25" t="e" vm="37">
        <f t="shared" ref="BK42:BK48" si="47">(BF42*BI42+$AP42-$AQ42)/$H42</f>
        <v>#VALUE!</v>
      </c>
      <c r="BL42" s="23" t="e" vm="37">
        <f t="shared" si="43"/>
        <v>#VALUE!</v>
      </c>
      <c r="BM42" s="23" t="e" vm="37">
        <f t="shared" si="44"/>
        <v>#VALUE!</v>
      </c>
      <c r="BN42" s="93" t="s">
        <v>114</v>
      </c>
      <c r="BO42" s="93" t="s">
        <v>239</v>
      </c>
      <c r="BP42" s="93" t="s">
        <v>178</v>
      </c>
    </row>
    <row r="43" spans="1:68" ht="15" customHeight="1" x14ac:dyDescent="0.35">
      <c r="A43" s="86" t="e">
        <v>#VALUE!</v>
      </c>
      <c r="B43" s="10" t="e" vm="32">
        <f t="array" ref="B43">_FV(A43,"Símbolo bursátil",TRUE())</f>
        <v>#VALUE!</v>
      </c>
      <c r="C43" s="88" t="s">
        <v>207</v>
      </c>
      <c r="D43" s="88" t="s">
        <v>102</v>
      </c>
      <c r="E43" s="11" t="e" vm="33">
        <f t="array" ref="E43">_FV(A43,"Abreviatura de intercambio",TRUE())</f>
        <v>#VALUE!</v>
      </c>
      <c r="F43" s="11" t="e" vm="34">
        <f t="array" ref="F43">_FV(A43,"Moneda")</f>
        <v>#VALUE!</v>
      </c>
      <c r="G43" s="12" t="e" vm="35">
        <f t="array" ref="G43">_FV(A43,"Precio")</f>
        <v>#VALUE!</v>
      </c>
      <c r="H43" s="13" t="e" vm="36">
        <f t="array" ref="H43">_FV(A43,"Acciones en circulación",TRUE())/1000000</f>
        <v>#VALUE!</v>
      </c>
      <c r="I43" s="14" t="e" vm="37">
        <f t="shared" si="25"/>
        <v>#VALUE!</v>
      </c>
      <c r="J43" s="91">
        <v>0</v>
      </c>
      <c r="K43" s="91">
        <v>7</v>
      </c>
      <c r="L43" s="91">
        <v>0</v>
      </c>
      <c r="M43" s="91">
        <v>1</v>
      </c>
      <c r="N43" s="91">
        <v>-1</v>
      </c>
      <c r="O43" s="91">
        <v>0</v>
      </c>
      <c r="P43" s="91">
        <v>0</v>
      </c>
      <c r="Q43" s="91">
        <v>0</v>
      </c>
      <c r="R43" s="26">
        <f t="shared" si="28"/>
        <v>7</v>
      </c>
      <c r="S43" s="16">
        <f t="shared" si="29"/>
        <v>4.12</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5.24</v>
      </c>
      <c r="AO43" s="18" t="s">
        <v>182</v>
      </c>
      <c r="AP43" s="19">
        <v>75</v>
      </c>
      <c r="AQ43" s="19">
        <v>0</v>
      </c>
      <c r="AR43" s="19" t="e" vm="37">
        <f t="shared" si="45"/>
        <v>#VALUE!</v>
      </c>
      <c r="AS43" s="19">
        <v>75</v>
      </c>
      <c r="AT43" s="19">
        <v>78</v>
      </c>
      <c r="AU43" s="19">
        <v>138</v>
      </c>
      <c r="AV43" s="19">
        <v>306</v>
      </c>
      <c r="AW43" s="20" t="e" vm="37">
        <f t="shared" si="35"/>
        <v>#VALUE!</v>
      </c>
      <c r="AX43" s="20" t="e" vm="37">
        <f t="shared" si="36"/>
        <v>#VALUE!</v>
      </c>
      <c r="AY43" s="20" t="e" vm="37">
        <f t="shared" si="37"/>
        <v>#VALUE!</v>
      </c>
      <c r="AZ43" s="21">
        <v>450</v>
      </c>
      <c r="BA43" s="22">
        <f t="shared" si="38"/>
        <v>0.25490196078431371</v>
      </c>
      <c r="BB43" s="22">
        <f t="shared" si="39"/>
        <v>0.68</v>
      </c>
      <c r="BC43" s="23">
        <f t="shared" si="40"/>
        <v>0.17333333333333334</v>
      </c>
      <c r="BD43" t="s">
        <v>240</v>
      </c>
      <c r="BE43" s="23">
        <f t="shared" si="41"/>
        <v>-6.0146235650011426E-2</v>
      </c>
      <c r="BF43" t="s">
        <v>241</v>
      </c>
      <c r="BG43" s="23">
        <f t="shared" si="42"/>
        <v>5.2773380130115566E-3</v>
      </c>
      <c r="BH43" s="24">
        <v>15</v>
      </c>
      <c r="BI43" s="24">
        <v>22</v>
      </c>
      <c r="BJ43" s="25" t="e" vm="37">
        <f t="shared" si="46"/>
        <v>#VALUE!</v>
      </c>
      <c r="BK43" s="25" t="e" vm="37">
        <f t="shared" si="47"/>
        <v>#VALUE!</v>
      </c>
      <c r="BL43" s="23" t="e" vm="37">
        <f t="shared" si="43"/>
        <v>#VALUE!</v>
      </c>
      <c r="BM43" s="23" t="e" vm="37">
        <f t="shared" si="44"/>
        <v>#VALUE!</v>
      </c>
      <c r="BN43" s="93" t="s">
        <v>81</v>
      </c>
      <c r="BO43" s="93" t="s">
        <v>242</v>
      </c>
      <c r="BP43" s="93" t="s">
        <v>243</v>
      </c>
    </row>
    <row r="44" spans="1:68" ht="15" customHeight="1" x14ac:dyDescent="0.35">
      <c r="A44" s="86" t="e">
        <v>#VALUE!</v>
      </c>
      <c r="B44" s="10" t="e" vm="32">
        <f t="array" ref="B44">_FV(A44,"Símbolo bursátil",TRUE())</f>
        <v>#VALUE!</v>
      </c>
      <c r="C44" s="88" t="s">
        <v>226</v>
      </c>
      <c r="D44" s="88" t="s">
        <v>102</v>
      </c>
      <c r="E44" s="11" t="e" vm="33">
        <f t="array" ref="E44">_FV(A44,"Abreviatura de intercambio",TRUE())</f>
        <v>#VALUE!</v>
      </c>
      <c r="F44" s="11" t="e" vm="34">
        <f t="array" ref="F44">_FV(A44,"Moneda")</f>
        <v>#VALUE!</v>
      </c>
      <c r="G44" s="12" t="e" vm="35">
        <f t="array" ref="G44">_FV(A44,"Precio")</f>
        <v>#VALUE!</v>
      </c>
      <c r="H44" s="13" t="e" vm="36">
        <f t="array" ref="H44">_FV(A44,"Acciones en circulación",TRUE())/1000000</f>
        <v>#VALUE!</v>
      </c>
      <c r="I44" s="14" t="e" vm="37">
        <f t="shared" si="25"/>
        <v>#VALUE!</v>
      </c>
      <c r="J44" s="90">
        <v>0</v>
      </c>
      <c r="K44" s="90">
        <v>6</v>
      </c>
      <c r="L44" s="90">
        <v>1</v>
      </c>
      <c r="M44" s="90">
        <v>-0.5</v>
      </c>
      <c r="N44" s="90">
        <v>0</v>
      </c>
      <c r="O44" s="90">
        <v>0</v>
      </c>
      <c r="P44" s="90">
        <v>0</v>
      </c>
      <c r="Q44" s="90">
        <v>1</v>
      </c>
      <c r="R44" s="15">
        <f t="shared" si="28"/>
        <v>7.5</v>
      </c>
      <c r="S44" s="16">
        <f t="shared" si="29"/>
        <v>4.41</v>
      </c>
      <c r="T44" s="90">
        <v>10</v>
      </c>
      <c r="U44" s="90">
        <v>15</v>
      </c>
      <c r="V44" s="90">
        <v>10</v>
      </c>
      <c r="W44" s="90">
        <v>8</v>
      </c>
      <c r="X44" s="90">
        <v>8</v>
      </c>
      <c r="Y44" s="90">
        <v>10</v>
      </c>
      <c r="Z44" s="90">
        <v>9</v>
      </c>
      <c r="AA44" s="90">
        <v>-11</v>
      </c>
      <c r="AB44" s="15">
        <f t="shared" si="30"/>
        <v>59</v>
      </c>
      <c r="AC44" s="16">
        <f t="shared" si="31"/>
        <v>5.9</v>
      </c>
      <c r="AD44" s="90">
        <v>13</v>
      </c>
      <c r="AE44" s="90">
        <v>-2</v>
      </c>
      <c r="AF44" s="90">
        <v>6</v>
      </c>
      <c r="AG44" s="90">
        <v>9</v>
      </c>
      <c r="AH44" s="90">
        <v>0</v>
      </c>
      <c r="AI44" s="90">
        <v>8</v>
      </c>
      <c r="AJ44" s="90">
        <v>12</v>
      </c>
      <c r="AK44" s="90">
        <v>-5</v>
      </c>
      <c r="AL44" s="15">
        <f t="shared" si="32"/>
        <v>41</v>
      </c>
      <c r="AM44" s="16">
        <f t="shared" si="33"/>
        <v>5.86</v>
      </c>
      <c r="AN44" s="17">
        <f t="shared" si="34"/>
        <v>5.39</v>
      </c>
      <c r="AO44" s="18" t="s">
        <v>91</v>
      </c>
      <c r="AP44" s="19">
        <v>800</v>
      </c>
      <c r="AQ44" s="19">
        <v>4200</v>
      </c>
      <c r="AR44" s="19" t="e" vm="37">
        <f t="shared" si="45"/>
        <v>#VALUE!</v>
      </c>
      <c r="AS44" s="19">
        <v>300</v>
      </c>
      <c r="AT44" s="19">
        <v>420</v>
      </c>
      <c r="AU44" s="19">
        <v>700</v>
      </c>
      <c r="AV44" s="19">
        <v>3100</v>
      </c>
      <c r="AW44" s="20" t="e" vm="37">
        <f t="shared" si="35"/>
        <v>#VALUE!</v>
      </c>
      <c r="AX44" s="20" t="e" vm="37">
        <f t="shared" si="36"/>
        <v>#VALUE!</v>
      </c>
      <c r="AY44" s="20" t="e" vm="37">
        <f t="shared" si="37"/>
        <v>#VALUE!</v>
      </c>
      <c r="AZ44" s="21">
        <v>5500</v>
      </c>
      <c r="BA44" s="22">
        <f t="shared" si="38"/>
        <v>0.13548387096774195</v>
      </c>
      <c r="BB44" s="22">
        <f t="shared" si="39"/>
        <v>0.5636363636363636</v>
      </c>
      <c r="BC44" s="23">
        <f t="shared" si="40"/>
        <v>7.636363636363637E-2</v>
      </c>
      <c r="BD44" t="s">
        <v>244</v>
      </c>
      <c r="BE44" s="23">
        <f t="shared" si="41"/>
        <v>3.0128962818398941E-2</v>
      </c>
      <c r="BF44" t="s">
        <v>245</v>
      </c>
      <c r="BG44" s="23">
        <f t="shared" si="42"/>
        <v>0.11021183440909099</v>
      </c>
      <c r="BH44" s="24">
        <v>15</v>
      </c>
      <c r="BI44" s="24">
        <v>20</v>
      </c>
      <c r="BJ44" s="25" t="e" vm="37">
        <f t="shared" si="46"/>
        <v>#VALUE!</v>
      </c>
      <c r="BK44" s="25" t="e" vm="37">
        <f t="shared" si="47"/>
        <v>#VALUE!</v>
      </c>
      <c r="BL44" s="23" t="e" vm="37">
        <f t="shared" si="43"/>
        <v>#VALUE!</v>
      </c>
      <c r="BM44" s="23" t="e" vm="37">
        <f t="shared" si="44"/>
        <v>#VALUE!</v>
      </c>
      <c r="BN44" s="93" t="s">
        <v>99</v>
      </c>
      <c r="BO44" s="93" t="s">
        <v>246</v>
      </c>
      <c r="BP44" s="93" t="s">
        <v>178</v>
      </c>
    </row>
    <row r="45" spans="1:68" ht="15" customHeight="1" x14ac:dyDescent="0.35">
      <c r="A45" s="86" t="e">
        <v>#VALUE!</v>
      </c>
      <c r="B45" s="10" t="e" vm="32">
        <f t="array" ref="B45">_FV(A45,"Símbolo bursátil",TRUE())</f>
        <v>#VALUE!</v>
      </c>
      <c r="C45" s="88" t="s">
        <v>211</v>
      </c>
      <c r="D45" s="88" t="s">
        <v>77</v>
      </c>
      <c r="E45" s="11" t="e" vm="33">
        <f t="array" ref="E45">_FV(A45,"Abreviatura de intercambio",TRUE())</f>
        <v>#VALUE!</v>
      </c>
      <c r="F45" s="11" t="e" vm="34">
        <f t="array" ref="F45">_FV(A45,"Moneda")</f>
        <v>#VALUE!</v>
      </c>
      <c r="G45" s="12" t="e" vm="35">
        <f t="array" ref="G45">_FV(A45,"Precio")</f>
        <v>#VALUE!</v>
      </c>
      <c r="H45" s="13" t="e" vm="36">
        <f t="array" ref="H45">_FV(A45,"Acciones en circulación",TRUE())/1000000</f>
        <v>#VALUE!</v>
      </c>
      <c r="I45" s="14" t="e" vm="37">
        <f t="shared" si="25"/>
        <v>#VALUE!</v>
      </c>
      <c r="J45" s="91">
        <v>1</v>
      </c>
      <c r="K45" s="91">
        <v>5</v>
      </c>
      <c r="L45" s="91">
        <v>1</v>
      </c>
      <c r="M45" s="91">
        <v>0</v>
      </c>
      <c r="N45" s="91">
        <v>0</v>
      </c>
      <c r="O45" s="91">
        <v>0</v>
      </c>
      <c r="P45" s="91">
        <v>0</v>
      </c>
      <c r="Q45" s="91">
        <v>0</v>
      </c>
      <c r="R45" s="26">
        <f t="shared" si="28"/>
        <v>7</v>
      </c>
      <c r="S45" s="16">
        <f t="shared" si="29"/>
        <v>4.12</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5.13</v>
      </c>
      <c r="AO45" s="18" t="s">
        <v>182</v>
      </c>
      <c r="AP45" s="19">
        <v>1200</v>
      </c>
      <c r="AQ45" s="19">
        <v>4700</v>
      </c>
      <c r="AR45" s="19" t="e" vm="37">
        <f t="shared" si="45"/>
        <v>#VALUE!</v>
      </c>
      <c r="AS45" s="19">
        <v>1100</v>
      </c>
      <c r="AT45" s="19">
        <v>1250</v>
      </c>
      <c r="AU45" s="19">
        <v>2100</v>
      </c>
      <c r="AV45" s="19">
        <v>11760</v>
      </c>
      <c r="AW45" s="20" t="e" vm="37">
        <f t="shared" si="35"/>
        <v>#VALUE!</v>
      </c>
      <c r="AX45" s="20" t="e" vm="37">
        <f t="shared" si="36"/>
        <v>#VALUE!</v>
      </c>
      <c r="AY45" s="20" t="e" vm="37">
        <f t="shared" si="37"/>
        <v>#VALUE!</v>
      </c>
      <c r="AZ45" s="21">
        <v>12500</v>
      </c>
      <c r="BA45" s="22">
        <f t="shared" si="38"/>
        <v>0.10629251700680271</v>
      </c>
      <c r="BB45" s="22">
        <f t="shared" si="39"/>
        <v>0.94079999999999997</v>
      </c>
      <c r="BC45" s="23">
        <f t="shared" si="40"/>
        <v>9.9999999999999992E-2</v>
      </c>
      <c r="BD45" t="s">
        <v>247</v>
      </c>
      <c r="BE45" s="23">
        <f t="shared" si="41"/>
        <v>2.9967449959592329E-2</v>
      </c>
      <c r="BF45" t="s">
        <v>248</v>
      </c>
      <c r="BG45" s="23">
        <f t="shared" si="42"/>
        <v>0.11005221800763754</v>
      </c>
      <c r="BH45" s="24">
        <v>18</v>
      </c>
      <c r="BI45" s="24">
        <v>22.5</v>
      </c>
      <c r="BJ45" s="25" t="e" vm="37">
        <f t="shared" si="46"/>
        <v>#VALUE!</v>
      </c>
      <c r="BK45" s="25" t="e" vm="37">
        <f t="shared" si="47"/>
        <v>#VALUE!</v>
      </c>
      <c r="BL45" s="23" t="e" vm="37">
        <f t="shared" si="43"/>
        <v>#VALUE!</v>
      </c>
      <c r="BM45" s="23" t="e" vm="37">
        <f t="shared" si="44"/>
        <v>#VALUE!</v>
      </c>
      <c r="BN45" s="93" t="s">
        <v>81</v>
      </c>
      <c r="BO45" s="93" t="s">
        <v>249</v>
      </c>
      <c r="BP45" s="93" t="s">
        <v>250</v>
      </c>
    </row>
    <row r="46" spans="1:68" ht="15" customHeight="1" x14ac:dyDescent="0.35">
      <c r="A46" s="86" t="e">
        <v>#VALUE!</v>
      </c>
      <c r="B46" s="10" t="e" vm="32">
        <f t="array" ref="B46">_FV(A46,"Símbolo bursátil",TRUE())</f>
        <v>#VALUE!</v>
      </c>
      <c r="C46" s="88" t="s">
        <v>116</v>
      </c>
      <c r="D46" s="88" t="s">
        <v>251</v>
      </c>
      <c r="E46" s="11" t="e" vm="33">
        <f t="array" ref="E46">_FV(A46,"Abreviatura de intercambio",TRUE())</f>
        <v>#VALUE!</v>
      </c>
      <c r="F46" s="11" t="e" vm="34">
        <f t="array" ref="F46">_FV(A46,"Moneda")</f>
        <v>#VALUE!</v>
      </c>
      <c r="G46" s="12" t="e" vm="35">
        <f t="array" ref="G46">_FV(A46,"Precio")</f>
        <v>#VALUE!</v>
      </c>
      <c r="H46" s="13" t="e" vm="36">
        <f t="array" ref="H46">_FV(A46,"Acciones en circulación",TRUE())/1000000</f>
        <v>#VALUE!</v>
      </c>
      <c r="I46" s="14" t="e" vm="37">
        <f t="shared" si="25"/>
        <v>#VALUE!</v>
      </c>
      <c r="J46" s="90">
        <v>1</v>
      </c>
      <c r="K46" s="90">
        <v>5</v>
      </c>
      <c r="L46" s="90">
        <v>1</v>
      </c>
      <c r="M46" s="90">
        <v>1</v>
      </c>
      <c r="N46" s="90">
        <v>0</v>
      </c>
      <c r="O46" s="90">
        <v>0</v>
      </c>
      <c r="P46" s="90">
        <v>0</v>
      </c>
      <c r="Q46" s="90">
        <v>0</v>
      </c>
      <c r="R46" s="15">
        <f t="shared" si="28"/>
        <v>8</v>
      </c>
      <c r="S46" s="16">
        <f t="shared" si="29"/>
        <v>4.71</v>
      </c>
      <c r="T46" s="90">
        <v>15</v>
      </c>
      <c r="U46" s="90">
        <v>10</v>
      </c>
      <c r="V46" s="90">
        <v>8</v>
      </c>
      <c r="W46" s="90">
        <v>7</v>
      </c>
      <c r="X46" s="90">
        <v>8</v>
      </c>
      <c r="Y46" s="90">
        <v>9</v>
      </c>
      <c r="Z46" s="90">
        <v>6</v>
      </c>
      <c r="AA46" s="90">
        <v>-14</v>
      </c>
      <c r="AB46" s="15">
        <f t="shared" si="30"/>
        <v>49</v>
      </c>
      <c r="AC46" s="16">
        <f t="shared" si="31"/>
        <v>4.9000000000000004</v>
      </c>
      <c r="AD46" s="90">
        <v>11</v>
      </c>
      <c r="AE46" s="90">
        <v>-5</v>
      </c>
      <c r="AF46" s="90">
        <v>10</v>
      </c>
      <c r="AG46" s="90">
        <v>11</v>
      </c>
      <c r="AH46" s="90">
        <v>4</v>
      </c>
      <c r="AI46" s="90">
        <v>6</v>
      </c>
      <c r="AJ46" s="90">
        <v>9</v>
      </c>
      <c r="AK46" s="90">
        <v>-9</v>
      </c>
      <c r="AL46" s="15">
        <f t="shared" si="32"/>
        <v>37</v>
      </c>
      <c r="AM46" s="16">
        <f t="shared" si="33"/>
        <v>5.29</v>
      </c>
      <c r="AN46" s="17">
        <f t="shared" si="34"/>
        <v>4.97</v>
      </c>
      <c r="AO46" s="18" t="s">
        <v>78</v>
      </c>
      <c r="AP46" s="19">
        <v>3000</v>
      </c>
      <c r="AQ46" s="19">
        <v>0</v>
      </c>
      <c r="AR46" s="19" t="e" vm="37">
        <f t="shared" si="45"/>
        <v>#VALUE!</v>
      </c>
      <c r="AS46" s="19">
        <v>1450</v>
      </c>
      <c r="AT46" s="19">
        <v>1050</v>
      </c>
      <c r="AU46" s="19">
        <v>1300</v>
      </c>
      <c r="AV46" s="19">
        <v>2760</v>
      </c>
      <c r="AW46" s="20" t="e" vm="37">
        <f t="shared" si="35"/>
        <v>#VALUE!</v>
      </c>
      <c r="AX46" s="20" t="e" vm="37">
        <f t="shared" si="36"/>
        <v>#VALUE!</v>
      </c>
      <c r="AY46" s="20" t="e" vm="37">
        <f t="shared" si="37"/>
        <v>#VALUE!</v>
      </c>
      <c r="AZ46" s="21">
        <v>1200</v>
      </c>
      <c r="BA46" s="22">
        <f t="shared" si="38"/>
        <v>0.38043478260869568</v>
      </c>
      <c r="BB46" s="22">
        <f t="shared" si="39"/>
        <v>2.2999999999999998</v>
      </c>
      <c r="BC46" s="23">
        <f t="shared" si="40"/>
        <v>0.875</v>
      </c>
      <c r="BD46" t="s">
        <v>252</v>
      </c>
      <c r="BE46" s="23">
        <f t="shared" si="41"/>
        <v>-2.0775802804225973E-3</v>
      </c>
      <c r="BF46" t="s">
        <v>253</v>
      </c>
      <c r="BG46" s="23">
        <f t="shared" si="42"/>
        <v>7.6271239404249069E-2</v>
      </c>
      <c r="BH46" s="24">
        <v>6</v>
      </c>
      <c r="BI46" s="24">
        <v>15</v>
      </c>
      <c r="BJ46" s="25" t="e" vm="37">
        <f t="shared" si="46"/>
        <v>#VALUE!</v>
      </c>
      <c r="BK46" s="25" t="e" vm="37">
        <f t="shared" si="47"/>
        <v>#VALUE!</v>
      </c>
      <c r="BL46" s="23" t="e" vm="37">
        <f t="shared" si="43"/>
        <v>#VALUE!</v>
      </c>
      <c r="BM46" s="23" t="e" vm="37">
        <f t="shared" si="44"/>
        <v>#VALUE!</v>
      </c>
      <c r="BN46" s="93" t="s">
        <v>114</v>
      </c>
      <c r="BO46" s="93" t="s">
        <v>254</v>
      </c>
      <c r="BP46" s="93" t="s">
        <v>130</v>
      </c>
    </row>
    <row r="47" spans="1:68" ht="15" customHeight="1" x14ac:dyDescent="0.35">
      <c r="A47" s="86" t="e">
        <v>#VALUE!</v>
      </c>
      <c r="B47" s="10" t="e" vm="32">
        <f t="array" ref="B47">_FV(A47,"Símbolo bursátil",TRUE())</f>
        <v>#VALUE!</v>
      </c>
      <c r="C47" s="88" t="s">
        <v>207</v>
      </c>
      <c r="D47" s="88" t="s">
        <v>77</v>
      </c>
      <c r="E47" s="11" t="e" vm="33">
        <f t="array" ref="E47">_FV(A47,"Abreviatura de intercambio",TRUE())</f>
        <v>#VALUE!</v>
      </c>
      <c r="F47" s="11" t="e" vm="34">
        <f t="array" ref="F47">_FV(A47,"Moneda")</f>
        <v>#VALUE!</v>
      </c>
      <c r="G47" s="12" t="e" vm="35">
        <f t="array" ref="G47">_FV(A47,"Precio")</f>
        <v>#VALUE!</v>
      </c>
      <c r="H47" s="13" t="e" vm="36">
        <f t="array" ref="H47">_FV(A47,"Acciones en circulación",TRUE())/1000000</f>
        <v>#VALUE!</v>
      </c>
      <c r="I47" s="14" t="e" vm="37">
        <f t="shared" si="25"/>
        <v>#VALUE!</v>
      </c>
      <c r="J47" s="91">
        <v>0</v>
      </c>
      <c r="K47" s="91">
        <v>4</v>
      </c>
      <c r="L47" s="91">
        <v>2</v>
      </c>
      <c r="M47" s="91">
        <v>0</v>
      </c>
      <c r="N47" s="91">
        <v>0</v>
      </c>
      <c r="O47" s="91">
        <v>0</v>
      </c>
      <c r="P47" s="91">
        <v>0</v>
      </c>
      <c r="Q47" s="91">
        <v>1</v>
      </c>
      <c r="R47" s="26">
        <f t="shared" si="28"/>
        <v>7</v>
      </c>
      <c r="S47" s="16">
        <f t="shared" si="29"/>
        <v>4.12</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5.0599999999999996</v>
      </c>
      <c r="AO47" s="18" t="s">
        <v>91</v>
      </c>
      <c r="AP47" s="19">
        <v>100</v>
      </c>
      <c r="AQ47" s="19">
        <v>50</v>
      </c>
      <c r="AR47" s="19" t="e" vm="37">
        <f t="shared" si="45"/>
        <v>#VALUE!</v>
      </c>
      <c r="AS47" s="19">
        <v>95</v>
      </c>
      <c r="AT47" s="19">
        <v>90</v>
      </c>
      <c r="AU47" s="19">
        <v>140</v>
      </c>
      <c r="AV47" s="19">
        <v>840</v>
      </c>
      <c r="AW47" s="20" t="e" vm="37">
        <f t="shared" si="35"/>
        <v>#VALUE!</v>
      </c>
      <c r="AX47" s="20" t="e" vm="37">
        <f t="shared" si="36"/>
        <v>#VALUE!</v>
      </c>
      <c r="AY47" s="20" t="e" vm="37">
        <f t="shared" si="37"/>
        <v>#VALUE!</v>
      </c>
      <c r="AZ47" s="21">
        <v>450</v>
      </c>
      <c r="BA47" s="22">
        <f t="shared" si="38"/>
        <v>0.10714285714285714</v>
      </c>
      <c r="BB47" s="22">
        <f t="shared" si="39"/>
        <v>1.8666666666666667</v>
      </c>
      <c r="BC47" s="23">
        <f t="shared" si="40"/>
        <v>0.19999999999999998</v>
      </c>
      <c r="BD47" t="s">
        <v>255</v>
      </c>
      <c r="BE47" s="23">
        <f t="shared" si="41"/>
        <v>4.0751095710728658E-2</v>
      </c>
      <c r="BF47" t="s">
        <v>256</v>
      </c>
      <c r="BG47" s="23">
        <f t="shared" si="42"/>
        <v>0.1401066974124392</v>
      </c>
      <c r="BH47" s="24">
        <v>15</v>
      </c>
      <c r="BI47" s="24">
        <v>22.5</v>
      </c>
      <c r="BJ47" s="25" t="e" vm="37">
        <f t="shared" si="46"/>
        <v>#VALUE!</v>
      </c>
      <c r="BK47" s="25" t="e" vm="37">
        <f t="shared" si="47"/>
        <v>#VALUE!</v>
      </c>
      <c r="BL47" s="23" t="e" vm="37">
        <f t="shared" si="43"/>
        <v>#VALUE!</v>
      </c>
      <c r="BM47" s="23" t="e" vm="37">
        <f t="shared" si="44"/>
        <v>#VALUE!</v>
      </c>
      <c r="BN47" s="93" t="s">
        <v>81</v>
      </c>
      <c r="BO47" s="93" t="s">
        <v>257</v>
      </c>
      <c r="BP47" s="93" t="s">
        <v>134</v>
      </c>
    </row>
    <row r="48" spans="1:68" ht="15" customHeight="1" x14ac:dyDescent="0.35">
      <c r="A48" s="86" t="e">
        <v>#VALUE!</v>
      </c>
      <c r="B48" s="10" t="e" vm="32">
        <f t="array" ref="B48">_FV(A48,"Símbolo bursátil",TRUE())</f>
        <v>#VALUE!</v>
      </c>
      <c r="C48" s="88" t="s">
        <v>226</v>
      </c>
      <c r="D48" s="88" t="s">
        <v>102</v>
      </c>
      <c r="E48" s="11" t="e" vm="33">
        <f t="array" ref="E48">_FV(A48,"Abreviatura de intercambio",TRUE())</f>
        <v>#VALUE!</v>
      </c>
      <c r="F48" s="11" t="e" vm="34">
        <f t="array" ref="F48">_FV(A48,"Moneda")</f>
        <v>#VALUE!</v>
      </c>
      <c r="G48" s="12" t="e" vm="35">
        <f t="array" ref="G48">_FV(A48,"Precio")</f>
        <v>#VALUE!</v>
      </c>
      <c r="H48" s="13" t="e" vm="36">
        <f t="array" ref="H48">_FV(A48,"Acciones en circulación",TRUE())/1000000</f>
        <v>#VALUE!</v>
      </c>
      <c r="I48" s="14" t="e" vm="37">
        <f t="shared" si="25"/>
        <v>#VALUE!</v>
      </c>
      <c r="J48" s="90">
        <v>0.75</v>
      </c>
      <c r="K48" s="90">
        <v>6</v>
      </c>
      <c r="L48" s="90">
        <v>1</v>
      </c>
      <c r="M48" s="90">
        <v>0.75</v>
      </c>
      <c r="N48" s="90">
        <v>-0.5</v>
      </c>
      <c r="O48" s="90">
        <v>0</v>
      </c>
      <c r="P48" s="90">
        <v>0</v>
      </c>
      <c r="Q48" s="90">
        <v>1</v>
      </c>
      <c r="R48" s="15">
        <f t="shared" si="28"/>
        <v>9</v>
      </c>
      <c r="S48" s="16">
        <f t="shared" si="29"/>
        <v>5.29</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5.44</v>
      </c>
      <c r="AO48" s="18" t="s">
        <v>91</v>
      </c>
      <c r="AP48" s="19">
        <v>130</v>
      </c>
      <c r="AQ48" s="19">
        <v>235</v>
      </c>
      <c r="AR48" s="19" t="e" vm="37">
        <f t="shared" si="45"/>
        <v>#VALUE!</v>
      </c>
      <c r="AS48" s="19">
        <v>200</v>
      </c>
      <c r="AT48" s="19">
        <v>210</v>
      </c>
      <c r="AU48" s="19">
        <v>385</v>
      </c>
      <c r="AV48" s="19">
        <v>1465</v>
      </c>
      <c r="AW48" s="20" t="e" vm="37">
        <f t="shared" si="35"/>
        <v>#VALUE!</v>
      </c>
      <c r="AX48" s="20" t="e" vm="37">
        <f t="shared" si="36"/>
        <v>#VALUE!</v>
      </c>
      <c r="AY48" s="20" t="e" vm="37">
        <f t="shared" si="37"/>
        <v>#VALUE!</v>
      </c>
      <c r="AZ48" s="21">
        <v>1200</v>
      </c>
      <c r="BA48" s="22">
        <f t="shared" si="38"/>
        <v>0.14334470989761092</v>
      </c>
      <c r="BB48" s="22">
        <f t="shared" si="39"/>
        <v>1.2208333333333334</v>
      </c>
      <c r="BC48" s="23">
        <f t="shared" si="40"/>
        <v>0.17500000000000002</v>
      </c>
      <c r="BD48" t="s">
        <v>258</v>
      </c>
      <c r="BE48" s="23">
        <f t="shared" si="41"/>
        <v>9.805797673485328E-3</v>
      </c>
      <c r="BF48" t="s">
        <v>259</v>
      </c>
      <c r="BG48" s="23">
        <f t="shared" si="42"/>
        <v>9.0194895299878342E-2</v>
      </c>
      <c r="BH48" s="24">
        <v>10</v>
      </c>
      <c r="BI48" s="24">
        <v>18</v>
      </c>
      <c r="BJ48" s="25" t="e" vm="37">
        <f t="shared" si="46"/>
        <v>#VALUE!</v>
      </c>
      <c r="BK48" s="25" t="e" vm="37">
        <f t="shared" si="47"/>
        <v>#VALUE!</v>
      </c>
      <c r="BL48" s="23" t="e" vm="37">
        <f t="shared" si="43"/>
        <v>#VALUE!</v>
      </c>
      <c r="BM48" s="23" t="e" vm="37">
        <f t="shared" si="44"/>
        <v>#VALUE!</v>
      </c>
      <c r="BN48" s="93" t="s">
        <v>87</v>
      </c>
      <c r="BO48" s="94" t="s">
        <v>260</v>
      </c>
      <c r="BP48" s="93" t="s">
        <v>101</v>
      </c>
    </row>
    <row r="49" spans="1:68" ht="15" customHeight="1" x14ac:dyDescent="0.35">
      <c r="A49" s="86" t="e">
        <v>#VALUE!</v>
      </c>
      <c r="B49" s="10" t="e" vm="32">
        <f t="array" ref="B49">_FV(A49,"Símbolo bursátil",TRUE())</f>
        <v>#VALUE!</v>
      </c>
      <c r="C49" s="88" t="s">
        <v>261</v>
      </c>
      <c r="D49" s="88" t="s">
        <v>262</v>
      </c>
      <c r="E49" s="11" t="e" vm="33">
        <f t="array" ref="E49">_FV(A49,"Abreviatura de intercambio",TRUE())</f>
        <v>#VALUE!</v>
      </c>
      <c r="F49" s="11" t="e" vm="34">
        <f t="array" ref="F49">_FV(A49,"Moneda")</f>
        <v>#VALUE!</v>
      </c>
      <c r="G49" s="12" t="e" vm="35">
        <f t="array" ref="G49">_FV(A49,"Precio")</f>
        <v>#VALUE!</v>
      </c>
      <c r="H49" s="13" t="e" vm="36">
        <f t="array" ref="H49">_FV(A49,"Acciones en circulación",TRUE())/1000000</f>
        <v>#VALUE!</v>
      </c>
      <c r="I49" s="14" t="e" vm="37">
        <f t="shared" si="25"/>
        <v>#VALUE!</v>
      </c>
      <c r="J49" s="91">
        <v>0</v>
      </c>
      <c r="K49" s="91">
        <v>5</v>
      </c>
      <c r="L49" s="91">
        <v>1</v>
      </c>
      <c r="M49" s="91">
        <v>1</v>
      </c>
      <c r="N49" s="91">
        <v>-1</v>
      </c>
      <c r="O49" s="91">
        <v>0</v>
      </c>
      <c r="P49" s="91">
        <v>0</v>
      </c>
      <c r="Q49" s="91">
        <v>0</v>
      </c>
      <c r="R49" s="26">
        <f t="shared" si="28"/>
        <v>6</v>
      </c>
      <c r="S49" s="16">
        <f t="shared" si="29"/>
        <v>3.53</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4.9800000000000004</v>
      </c>
      <c r="AO49" s="18" t="s">
        <v>78</v>
      </c>
      <c r="AP49" s="19">
        <v>80</v>
      </c>
      <c r="AQ49" s="19">
        <v>0</v>
      </c>
      <c r="AR49" s="19" t="e" vm="37">
        <f ca="1">I49*'Framework Notes'!E7-AP49+AQ49</f>
        <v>#VALUE!</v>
      </c>
      <c r="AS49" s="19">
        <v>300</v>
      </c>
      <c r="AT49" s="19">
        <v>280</v>
      </c>
      <c r="AU49" s="19">
        <v>360</v>
      </c>
      <c r="AV49" s="19">
        <v>410</v>
      </c>
      <c r="AW49" s="20" t="e" vm="37">
        <f t="shared" ca="1" si="35"/>
        <v>#VALUE!</v>
      </c>
      <c r="AX49" s="20" t="e" vm="37">
        <f t="shared" ca="1" si="36"/>
        <v>#VALUE!</v>
      </c>
      <c r="AY49" s="20" t="e" vm="37">
        <f t="shared" ca="1" si="37"/>
        <v>#VALUE!</v>
      </c>
      <c r="AZ49" s="21">
        <v>1800</v>
      </c>
      <c r="BA49" s="22">
        <f t="shared" si="38"/>
        <v>0.68292682926829273</v>
      </c>
      <c r="BB49" s="22">
        <f t="shared" si="39"/>
        <v>0.22777777777777777</v>
      </c>
      <c r="BC49" s="23">
        <f t="shared" si="40"/>
        <v>0.15555555555555556</v>
      </c>
      <c r="BD49" t="s">
        <v>263</v>
      </c>
      <c r="BE49" s="23">
        <f t="shared" si="41"/>
        <v>-4.2058866035065257E-2</v>
      </c>
      <c r="BF49" t="s">
        <v>264</v>
      </c>
      <c r="BG49" s="23">
        <f t="shared" si="42"/>
        <v>9.5337552368495615E-2</v>
      </c>
      <c r="BH49" s="24">
        <v>18</v>
      </c>
      <c r="BI49" s="24">
        <v>22</v>
      </c>
      <c r="BJ49" s="25" t="e" vm="37">
        <f ca="1">((BD49*BH49+$AP49-$AQ49)/$H49)/'Framework Notes'!E7</f>
        <v>#VALUE!</v>
      </c>
      <c r="BK49" s="25" t="e" vm="37">
        <f ca="1">((BF49*BI49+$AP49-$AQ49)/$H49)/'Framework Notes'!E7</f>
        <v>#VALUE!</v>
      </c>
      <c r="BL49" s="23" t="e" vm="37">
        <f t="shared" ca="1" si="43"/>
        <v>#VALUE!</v>
      </c>
      <c r="BM49" s="23" t="e" vm="37">
        <f t="shared" ca="1" si="44"/>
        <v>#VALUE!</v>
      </c>
      <c r="BN49" s="93" t="s">
        <v>114</v>
      </c>
      <c r="BO49" s="93" t="s">
        <v>265</v>
      </c>
      <c r="BP49" s="93" t="s">
        <v>101</v>
      </c>
    </row>
    <row r="50" spans="1:68" ht="15" customHeight="1" x14ac:dyDescent="0.35">
      <c r="A50" s="86" t="e">
        <v>#VALUE!</v>
      </c>
      <c r="B50" s="10" t="e" vm="32">
        <f t="array" ref="B50">_FV(A50,"Símbolo bursátil",TRUE())</f>
        <v>#VALUE!</v>
      </c>
      <c r="C50" s="88" t="s">
        <v>135</v>
      </c>
      <c r="D50" s="88" t="s">
        <v>117</v>
      </c>
      <c r="E50" s="11" t="e" vm="33">
        <f t="array" ref="E50">_FV(A50,"Abreviatura de intercambio",TRUE())</f>
        <v>#VALUE!</v>
      </c>
      <c r="F50" s="11" t="e" vm="34">
        <f t="array" ref="F50">_FV(A50,"Moneda")</f>
        <v>#VALUE!</v>
      </c>
      <c r="G50" s="12" t="e" vm="35">
        <f t="array" ref="G50">_FV(A50,"Precio")</f>
        <v>#VALUE!</v>
      </c>
      <c r="H50" s="13" t="e" vm="36">
        <f t="array" ref="H50">_FV(A50,"Acciones en circulación",TRUE())/1000000</f>
        <v>#VALUE!</v>
      </c>
      <c r="I50" s="14" t="e" vm="37">
        <f t="shared" si="25"/>
        <v>#VALUE!</v>
      </c>
      <c r="J50" s="90">
        <v>0.5</v>
      </c>
      <c r="K50" s="90">
        <v>6.5</v>
      </c>
      <c r="L50" s="90">
        <v>2</v>
      </c>
      <c r="M50" s="90">
        <v>0.5</v>
      </c>
      <c r="N50" s="90">
        <v>-0.5</v>
      </c>
      <c r="O50" s="90">
        <f>4.1/5</f>
        <v>0.82</v>
      </c>
      <c r="P50" s="90">
        <v>1</v>
      </c>
      <c r="Q50" s="90">
        <v>0</v>
      </c>
      <c r="R50" s="15">
        <f t="shared" si="28"/>
        <v>10.82</v>
      </c>
      <c r="S50" s="16">
        <f t="shared" si="29"/>
        <v>6.36</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6.13</v>
      </c>
      <c r="AO50" s="18" t="s">
        <v>78</v>
      </c>
      <c r="AP50" s="19">
        <v>12250</v>
      </c>
      <c r="AQ50" s="19">
        <f>1000+13360</f>
        <v>14360</v>
      </c>
      <c r="AR50" s="19" t="e" vm="37">
        <f t="shared" ref="AR50:AR62" si="48">I50-AP50+AQ50</f>
        <v>#VALUE!</v>
      </c>
      <c r="AS50" s="19">
        <v>11900</v>
      </c>
      <c r="AT50" s="19">
        <v>13800</v>
      </c>
      <c r="AU50" s="19">
        <v>14000</v>
      </c>
      <c r="AV50" s="19">
        <v>46900</v>
      </c>
      <c r="AW50" s="20" t="e" vm="37">
        <f t="shared" si="35"/>
        <v>#VALUE!</v>
      </c>
      <c r="AX50" s="20" t="e" vm="37">
        <f t="shared" si="36"/>
        <v>#VALUE!</v>
      </c>
      <c r="AY50" s="20" t="e" vm="37">
        <f t="shared" si="37"/>
        <v>#VALUE!</v>
      </c>
      <c r="AZ50" s="21">
        <v>28000</v>
      </c>
      <c r="BA50" s="22">
        <f t="shared" si="38"/>
        <v>0.29424307036247332</v>
      </c>
      <c r="BB50" s="22">
        <f t="shared" si="39"/>
        <v>1.675</v>
      </c>
      <c r="BC50" s="23">
        <f t="shared" si="40"/>
        <v>0.49285714285714283</v>
      </c>
      <c r="BD50">
        <v>14500</v>
      </c>
      <c r="BE50" s="23">
        <f t="shared" si="41"/>
        <v>4.0313437399594143E-2</v>
      </c>
      <c r="BF50">
        <v>20000</v>
      </c>
      <c r="BG50" s="23">
        <f t="shared" si="42"/>
        <v>0.10942157365574934</v>
      </c>
      <c r="BH50" s="24">
        <v>17</v>
      </c>
      <c r="BI50" s="24">
        <v>25</v>
      </c>
      <c r="BJ50" s="25" t="e" vm="37">
        <f t="shared" ref="BJ50:BJ60" si="49">(BD50*BH50+$AP50-$AQ50)/$H50</f>
        <v>#VALUE!</v>
      </c>
      <c r="BK50" s="25" t="e" vm="37">
        <f t="shared" ref="BK50:BK60" si="50">(BF50*BI50+$AP50-$AQ50)/$H50</f>
        <v>#VALUE!</v>
      </c>
      <c r="BL50" s="23" t="e" vm="37">
        <f t="shared" si="43"/>
        <v>#VALUE!</v>
      </c>
      <c r="BM50" s="23" t="e" vm="37">
        <f t="shared" si="44"/>
        <v>#VALUE!</v>
      </c>
      <c r="BN50" s="93" t="s">
        <v>81</v>
      </c>
      <c r="BO50" s="93" t="s">
        <v>266</v>
      </c>
      <c r="BP50" s="93" t="s">
        <v>206</v>
      </c>
    </row>
    <row r="51" spans="1:68" ht="15" customHeight="1" x14ac:dyDescent="0.35">
      <c r="A51" s="86" t="e">
        <v>#VALUE!</v>
      </c>
      <c r="B51" s="10" t="e" vm="32">
        <f t="array" ref="B51">_FV(A51,"Símbolo bursátil",TRUE())</f>
        <v>#VALUE!</v>
      </c>
      <c r="C51" s="88" t="s">
        <v>135</v>
      </c>
      <c r="D51" s="88" t="s">
        <v>251</v>
      </c>
      <c r="E51" s="11" t="e" vm="33">
        <f t="array" ref="E51">_FV(A51,"Abreviatura de intercambio",TRUE())</f>
        <v>#VALUE!</v>
      </c>
      <c r="F51" s="11" t="e" vm="34">
        <f t="array" ref="F51">_FV(A51,"Moneda")</f>
        <v>#VALUE!</v>
      </c>
      <c r="G51" s="12" t="e" vm="35">
        <f t="array" ref="G51">_FV(A51,"Precio")</f>
        <v>#VALUE!</v>
      </c>
      <c r="H51" s="13" t="e" vm="36">
        <f t="array" ref="H51">_FV(A51,"Acciones en circulación",TRUE())/1000000</f>
        <v>#VALUE!</v>
      </c>
      <c r="I51" s="14" t="e" vm="37">
        <f t="shared" si="25"/>
        <v>#VALUE!</v>
      </c>
      <c r="J51" s="91">
        <v>0</v>
      </c>
      <c r="K51" s="91">
        <v>5</v>
      </c>
      <c r="L51" s="91">
        <v>1</v>
      </c>
      <c r="M51" s="91">
        <v>0</v>
      </c>
      <c r="N51" s="91">
        <v>0</v>
      </c>
      <c r="O51" s="91">
        <v>0</v>
      </c>
      <c r="P51" s="91">
        <v>1</v>
      </c>
      <c r="Q51" s="91">
        <v>0</v>
      </c>
      <c r="R51" s="26">
        <f t="shared" si="28"/>
        <v>7</v>
      </c>
      <c r="S51" s="16">
        <f t="shared" si="29"/>
        <v>4.12</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4.88</v>
      </c>
      <c r="AO51" s="18" t="s">
        <v>78</v>
      </c>
      <c r="AP51" s="19">
        <v>8000</v>
      </c>
      <c r="AQ51" s="19">
        <v>9500</v>
      </c>
      <c r="AR51" s="19" t="e" vm="37">
        <f t="shared" si="48"/>
        <v>#VALUE!</v>
      </c>
      <c r="AS51" s="19">
        <v>5000</v>
      </c>
      <c r="AT51" s="19">
        <v>4800</v>
      </c>
      <c r="AU51" s="19">
        <v>7500</v>
      </c>
      <c r="AV51" s="19">
        <v>51000</v>
      </c>
      <c r="AW51" s="20" t="e" vm="37">
        <f t="shared" si="35"/>
        <v>#VALUE!</v>
      </c>
      <c r="AX51" s="20" t="e" vm="37">
        <f t="shared" si="36"/>
        <v>#VALUE!</v>
      </c>
      <c r="AY51" s="20" t="e" vm="37">
        <f t="shared" si="37"/>
        <v>#VALUE!</v>
      </c>
      <c r="AZ51" s="21">
        <v>20000</v>
      </c>
      <c r="BA51" s="22">
        <f t="shared" si="38"/>
        <v>9.4117647058823528E-2</v>
      </c>
      <c r="BB51" s="22">
        <f t="shared" si="39"/>
        <v>2.5499999999999998</v>
      </c>
      <c r="BC51" s="23">
        <f t="shared" si="40"/>
        <v>0.24</v>
      </c>
      <c r="BD51" t="s">
        <v>267</v>
      </c>
      <c r="BE51" s="23">
        <f t="shared" si="41"/>
        <v>0</v>
      </c>
      <c r="BF51" t="s">
        <v>268</v>
      </c>
      <c r="BG51" s="23">
        <f t="shared" si="42"/>
        <v>8.9996605927845197E-2</v>
      </c>
      <c r="BH51" s="24">
        <v>14</v>
      </c>
      <c r="BI51" s="24">
        <v>21</v>
      </c>
      <c r="BJ51" s="25" t="e" vm="37">
        <f t="shared" si="49"/>
        <v>#VALUE!</v>
      </c>
      <c r="BK51" s="25" t="e" vm="37">
        <f t="shared" si="50"/>
        <v>#VALUE!</v>
      </c>
      <c r="BL51" s="23" t="e" vm="37">
        <f t="shared" si="43"/>
        <v>#VALUE!</v>
      </c>
      <c r="BM51" s="23" t="e" vm="37">
        <f t="shared" si="44"/>
        <v>#VALUE!</v>
      </c>
      <c r="BN51" s="93" t="s">
        <v>81</v>
      </c>
      <c r="BO51" s="93" t="s">
        <v>242</v>
      </c>
      <c r="BP51" s="93" t="s">
        <v>269</v>
      </c>
    </row>
    <row r="52" spans="1:68" ht="15" customHeight="1" x14ac:dyDescent="0.35">
      <c r="A52" s="86" t="e">
        <v>#VALUE!</v>
      </c>
      <c r="B52" s="10" t="e" vm="32">
        <f t="array" ref="B52">_FV(A52,"Símbolo bursátil",TRUE())</f>
        <v>#VALUE!</v>
      </c>
      <c r="C52" s="88" t="s">
        <v>121</v>
      </c>
      <c r="D52" s="88" t="s">
        <v>77</v>
      </c>
      <c r="E52" s="11" t="e" vm="33">
        <f t="array" ref="E52">_FV(A52,"Abreviatura de intercambio",TRUE())</f>
        <v>#VALUE!</v>
      </c>
      <c r="F52" s="11" t="e" vm="34">
        <f t="array" ref="F52">_FV(A52,"Moneda")</f>
        <v>#VALUE!</v>
      </c>
      <c r="G52" s="12" t="e" vm="35">
        <f t="array" ref="G52">_FV(A52,"Precio")</f>
        <v>#VALUE!</v>
      </c>
      <c r="H52" s="13" t="e" vm="36">
        <f t="array" ref="H52">_FV(A52,"Acciones en circulación",TRUE())/1000000</f>
        <v>#VALUE!</v>
      </c>
      <c r="I52" s="14" t="e" vm="37">
        <f t="shared" si="25"/>
        <v>#VALUE!</v>
      </c>
      <c r="J52" s="90">
        <v>2</v>
      </c>
      <c r="K52" s="90">
        <v>4</v>
      </c>
      <c r="L52" s="90">
        <v>2</v>
      </c>
      <c r="M52" s="90">
        <v>0</v>
      </c>
      <c r="N52" s="90">
        <v>-1</v>
      </c>
      <c r="O52" s="90">
        <v>0</v>
      </c>
      <c r="P52" s="90">
        <v>0</v>
      </c>
      <c r="Q52" s="90">
        <v>0</v>
      </c>
      <c r="R52" s="15">
        <f t="shared" si="28"/>
        <v>7</v>
      </c>
      <c r="S52" s="16">
        <f t="shared" si="29"/>
        <v>4.12</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4.68</v>
      </c>
      <c r="AO52" s="18" t="s">
        <v>154</v>
      </c>
      <c r="AP52" s="19">
        <v>180</v>
      </c>
      <c r="AQ52" s="19">
        <v>0</v>
      </c>
      <c r="AR52" s="19" t="e" vm="37">
        <f t="shared" si="48"/>
        <v>#VALUE!</v>
      </c>
      <c r="AS52" s="19">
        <v>118</v>
      </c>
      <c r="AT52" s="19">
        <v>143</v>
      </c>
      <c r="AU52" s="19">
        <v>182</v>
      </c>
      <c r="AV52" s="19">
        <v>485</v>
      </c>
      <c r="AW52" s="20" t="e" vm="37">
        <f t="shared" si="35"/>
        <v>#VALUE!</v>
      </c>
      <c r="AX52" s="20" t="e" vm="37">
        <f t="shared" si="36"/>
        <v>#VALUE!</v>
      </c>
      <c r="AY52" s="20" t="e" vm="37">
        <f t="shared" si="37"/>
        <v>#VALUE!</v>
      </c>
      <c r="AZ52" s="21">
        <v>350</v>
      </c>
      <c r="BA52" s="22">
        <f t="shared" si="38"/>
        <v>0.29484536082474228</v>
      </c>
      <c r="BB52" s="22">
        <f t="shared" si="39"/>
        <v>1.3857142857142857</v>
      </c>
      <c r="BC52" s="23">
        <f t="shared" si="40"/>
        <v>0.40857142857142859</v>
      </c>
      <c r="BD52" t="s">
        <v>270</v>
      </c>
      <c r="BE52" s="23">
        <f t="shared" si="41"/>
        <v>5.0338114975041481E-3</v>
      </c>
      <c r="BF52" t="s">
        <v>139</v>
      </c>
      <c r="BG52" s="23">
        <f t="shared" si="42"/>
        <v>0.16386794389255699</v>
      </c>
      <c r="BH52" s="24">
        <v>17.5</v>
      </c>
      <c r="BI52" s="24">
        <v>22.5</v>
      </c>
      <c r="BJ52" s="25" t="e" vm="37">
        <f t="shared" si="49"/>
        <v>#VALUE!</v>
      </c>
      <c r="BK52" s="25" t="e" vm="37">
        <f t="shared" si="50"/>
        <v>#VALUE!</v>
      </c>
      <c r="BL52" s="23" t="e" vm="37">
        <f t="shared" si="43"/>
        <v>#VALUE!</v>
      </c>
      <c r="BM52" s="23" t="e" vm="37">
        <f t="shared" si="44"/>
        <v>#VALUE!</v>
      </c>
      <c r="BN52" s="93" t="s">
        <v>81</v>
      </c>
      <c r="BO52" s="93" t="s">
        <v>271</v>
      </c>
      <c r="BP52" s="93" t="s">
        <v>206</v>
      </c>
    </row>
    <row r="53" spans="1:68" ht="15" customHeight="1" x14ac:dyDescent="0.35">
      <c r="A53" s="86" t="e">
        <v>#VALUE!</v>
      </c>
      <c r="B53" s="10" t="e" vm="32">
        <f t="array" ref="B53">_FV(A53,"Símbolo bursátil",TRUE())</f>
        <v>#VALUE!</v>
      </c>
      <c r="C53" s="88" t="s">
        <v>211</v>
      </c>
      <c r="D53" s="88" t="s">
        <v>102</v>
      </c>
      <c r="E53" s="11" t="e" vm="33">
        <f t="array" ref="E53">_FV(A53,"Abreviatura de intercambio",TRUE())</f>
        <v>#VALUE!</v>
      </c>
      <c r="F53" s="11" t="e" vm="34">
        <f t="array" ref="F53">_FV(A53,"Moneda")</f>
        <v>#VALUE!</v>
      </c>
      <c r="G53" s="12" t="e" vm="35">
        <f t="array" ref="G53">_FV(A53,"Precio")</f>
        <v>#VALUE!</v>
      </c>
      <c r="H53" s="13" t="e" vm="36">
        <f t="array" ref="H53">_FV(A53,"Acciones en circulación",TRUE())/1000000</f>
        <v>#VALUE!</v>
      </c>
      <c r="I53" s="14" t="e" vm="37">
        <f t="shared" si="25"/>
        <v>#VALUE!</v>
      </c>
      <c r="J53" s="91">
        <v>0</v>
      </c>
      <c r="K53" s="91">
        <v>4</v>
      </c>
      <c r="L53" s="91">
        <v>1</v>
      </c>
      <c r="M53" s="91">
        <v>0</v>
      </c>
      <c r="N53" s="91">
        <v>0</v>
      </c>
      <c r="O53" s="91">
        <v>0</v>
      </c>
      <c r="P53" s="91">
        <v>0</v>
      </c>
      <c r="Q53" s="91">
        <v>0</v>
      </c>
      <c r="R53" s="26">
        <f t="shared" si="28"/>
        <v>5</v>
      </c>
      <c r="S53" s="16">
        <f t="shared" si="29"/>
        <v>2.94</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4.67</v>
      </c>
      <c r="AO53" s="18" t="s">
        <v>78</v>
      </c>
      <c r="AP53" s="19">
        <v>450</v>
      </c>
      <c r="AQ53" s="19">
        <v>4000</v>
      </c>
      <c r="AR53" s="19" t="e" vm="37">
        <f t="shared" si="48"/>
        <v>#VALUE!</v>
      </c>
      <c r="AS53" s="19">
        <v>2400</v>
      </c>
      <c r="AT53" s="19">
        <v>2800</v>
      </c>
      <c r="AU53" s="19">
        <v>3700</v>
      </c>
      <c r="AV53" s="19">
        <v>30000</v>
      </c>
      <c r="AW53" s="20" t="e" vm="37">
        <f t="shared" si="35"/>
        <v>#VALUE!</v>
      </c>
      <c r="AX53" s="20" t="e" vm="37">
        <f t="shared" si="36"/>
        <v>#VALUE!</v>
      </c>
      <c r="AY53" s="20" t="e" vm="37">
        <f t="shared" si="37"/>
        <v>#VALUE!</v>
      </c>
      <c r="AZ53" s="21">
        <v>12000</v>
      </c>
      <c r="BA53" s="22">
        <f t="shared" si="38"/>
        <v>9.3333333333333338E-2</v>
      </c>
      <c r="BB53" s="22">
        <f t="shared" si="39"/>
        <v>2.5</v>
      </c>
      <c r="BC53" s="23">
        <f t="shared" si="40"/>
        <v>0.23333333333333334</v>
      </c>
      <c r="BD53" t="s">
        <v>272</v>
      </c>
      <c r="BE53" s="23">
        <f t="shared" si="41"/>
        <v>9.966033447608158E-3</v>
      </c>
      <c r="BF53" t="s">
        <v>273</v>
      </c>
      <c r="BG53" s="23">
        <f t="shared" si="42"/>
        <v>0.10999233818109388</v>
      </c>
      <c r="BH53" s="24">
        <v>12</v>
      </c>
      <c r="BI53" s="24">
        <v>18</v>
      </c>
      <c r="BJ53" s="25" t="e" vm="37">
        <f t="shared" si="49"/>
        <v>#VALUE!</v>
      </c>
      <c r="BK53" s="25" t="e" vm="37">
        <f t="shared" si="50"/>
        <v>#VALUE!</v>
      </c>
      <c r="BL53" s="23" t="e" vm="37">
        <f t="shared" si="43"/>
        <v>#VALUE!</v>
      </c>
      <c r="BM53" s="23" t="e" vm="37">
        <f t="shared" si="44"/>
        <v>#VALUE!</v>
      </c>
      <c r="BN53" s="93" t="s">
        <v>114</v>
      </c>
      <c r="BO53" s="93" t="s">
        <v>274</v>
      </c>
      <c r="BP53" s="93" t="s">
        <v>275</v>
      </c>
    </row>
    <row r="54" spans="1:68" ht="15" customHeight="1" x14ac:dyDescent="0.35">
      <c r="A54" s="86" t="e">
        <v>#VALUE!</v>
      </c>
      <c r="B54" s="10" t="e" vm="32">
        <f t="array" ref="B54">_FV(A54,"Símbolo bursátil",TRUE())</f>
        <v>#VALUE!</v>
      </c>
      <c r="C54" s="88" t="s">
        <v>116</v>
      </c>
      <c r="D54" s="88" t="s">
        <v>117</v>
      </c>
      <c r="E54" s="11" t="e" vm="33">
        <f t="array" ref="E54">_FV(A54,"Abreviatura de intercambio",TRUE())</f>
        <v>#VALUE!</v>
      </c>
      <c r="F54" s="11" t="e" vm="34">
        <f t="array" ref="F54">_FV(A54,"Moneda")</f>
        <v>#VALUE!</v>
      </c>
      <c r="G54" s="12" t="e" vm="35">
        <f t="array" ref="G54">_FV(A54,"Precio")</f>
        <v>#VALUE!</v>
      </c>
      <c r="H54" s="13" t="e" vm="36">
        <f t="array" ref="H54">_FV(A54,"Acciones en circulación",TRUE())/1000000</f>
        <v>#VALUE!</v>
      </c>
      <c r="I54" s="14" t="e" vm="37">
        <f t="shared" si="25"/>
        <v>#VALUE!</v>
      </c>
      <c r="J54" s="90">
        <v>1</v>
      </c>
      <c r="K54" s="90">
        <v>4</v>
      </c>
      <c r="L54" s="90">
        <v>2</v>
      </c>
      <c r="M54" s="90">
        <v>-1</v>
      </c>
      <c r="N54" s="90">
        <v>0</v>
      </c>
      <c r="O54" s="90">
        <v>0</v>
      </c>
      <c r="P54" s="90">
        <v>1</v>
      </c>
      <c r="Q54" s="90">
        <v>0</v>
      </c>
      <c r="R54" s="15">
        <f t="shared" si="28"/>
        <v>7</v>
      </c>
      <c r="S54" s="16">
        <f t="shared" si="29"/>
        <v>4.12</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3.93</v>
      </c>
      <c r="AO54" s="18" t="s">
        <v>78</v>
      </c>
      <c r="AP54" s="19">
        <v>1100</v>
      </c>
      <c r="AQ54" s="19">
        <v>0</v>
      </c>
      <c r="AR54" s="19" t="e" vm="37">
        <f t="shared" si="48"/>
        <v>#VALUE!</v>
      </c>
      <c r="AS54" s="19">
        <v>50</v>
      </c>
      <c r="AT54" s="19">
        <v>-20</v>
      </c>
      <c r="AU54" s="19">
        <v>10</v>
      </c>
      <c r="AV54" s="19">
        <v>815</v>
      </c>
      <c r="AW54" s="20" t="e" vm="37">
        <f t="shared" si="35"/>
        <v>#VALUE!</v>
      </c>
      <c r="AX54" s="20" t="e" vm="37">
        <f t="shared" si="36"/>
        <v>#VALUE!</v>
      </c>
      <c r="AY54" s="20" t="e" vm="37">
        <f t="shared" si="37"/>
        <v>#VALUE!</v>
      </c>
      <c r="AZ54" s="21">
        <v>1500</v>
      </c>
      <c r="BA54" s="22">
        <f t="shared" si="38"/>
        <v>-2.4539877300613498E-2</v>
      </c>
      <c r="BB54" s="22">
        <f t="shared" si="39"/>
        <v>0.54333333333333333</v>
      </c>
      <c r="BC54" s="23">
        <f t="shared" si="40"/>
        <v>-1.3333333333333334E-2</v>
      </c>
      <c r="BD54" t="s">
        <v>276</v>
      </c>
      <c r="BE54" s="23">
        <f t="shared" si="41"/>
        <v>7.8625221439269977E-2</v>
      </c>
      <c r="BF54" t="s">
        <v>277</v>
      </c>
      <c r="BG54" s="23">
        <f t="shared" si="42"/>
        <v>0.30049470405023282</v>
      </c>
      <c r="BH54" s="24">
        <v>18</v>
      </c>
      <c r="BI54" s="24">
        <v>26</v>
      </c>
      <c r="BJ54" s="25" t="e" vm="37">
        <f t="shared" si="49"/>
        <v>#VALUE!</v>
      </c>
      <c r="BK54" s="25" t="e" vm="37">
        <f t="shared" si="50"/>
        <v>#VALUE!</v>
      </c>
      <c r="BL54" s="23" t="e" vm="37">
        <f t="shared" si="43"/>
        <v>#VALUE!</v>
      </c>
      <c r="BM54" s="23" t="e" vm="37">
        <f t="shared" si="44"/>
        <v>#VALUE!</v>
      </c>
      <c r="BN54" s="93" t="s">
        <v>81</v>
      </c>
      <c r="BO54" s="93" t="s">
        <v>278</v>
      </c>
      <c r="BP54" s="93" t="s">
        <v>83</v>
      </c>
    </row>
    <row r="55" spans="1:68" ht="15" customHeight="1" x14ac:dyDescent="0.35">
      <c r="A55" s="86" t="e">
        <v>#VALUE!</v>
      </c>
      <c r="B55" s="10" t="e" vm="32">
        <f t="array" ref="B55">_FV(A55,"Símbolo bursátil",TRUE())</f>
        <v>#VALUE!</v>
      </c>
      <c r="C55" s="88" t="s">
        <v>211</v>
      </c>
      <c r="D55" s="88" t="s">
        <v>77</v>
      </c>
      <c r="E55" s="11" t="e" vm="33">
        <f t="array" ref="E55">_FV(A55,"Abreviatura de intercambio",TRUE())</f>
        <v>#VALUE!</v>
      </c>
      <c r="F55" s="11" t="e" vm="34">
        <f t="array" ref="F55">_FV(A55,"Moneda")</f>
        <v>#VALUE!</v>
      </c>
      <c r="G55" s="12" t="e" vm="35">
        <f t="array" ref="G55">_FV(A55,"Precio")</f>
        <v>#VALUE!</v>
      </c>
      <c r="H55" s="13" t="e" vm="36">
        <f t="array" ref="H55">_FV(A55,"Acciones en circulación",TRUE())/1000000</f>
        <v>#VALUE!</v>
      </c>
      <c r="I55" s="14" t="e" vm="37">
        <f t="shared" si="25"/>
        <v>#VALUE!</v>
      </c>
      <c r="J55" s="91">
        <v>1</v>
      </c>
      <c r="K55" s="91">
        <v>4</v>
      </c>
      <c r="L55" s="91">
        <v>1</v>
      </c>
      <c r="M55" s="91">
        <v>1</v>
      </c>
      <c r="N55" s="91">
        <v>-1</v>
      </c>
      <c r="O55" s="91">
        <v>0</v>
      </c>
      <c r="P55" s="91">
        <v>0</v>
      </c>
      <c r="Q55" s="91">
        <v>0</v>
      </c>
      <c r="R55" s="26">
        <f t="shared" si="28"/>
        <v>6</v>
      </c>
      <c r="S55" s="16">
        <f t="shared" si="29"/>
        <v>3.53</v>
      </c>
      <c r="T55" s="91">
        <v>11</v>
      </c>
      <c r="U55" s="91">
        <v>10</v>
      </c>
      <c r="V55" s="91">
        <v>9</v>
      </c>
      <c r="W55" s="91">
        <v>7</v>
      </c>
      <c r="X55" s="91">
        <v>6</v>
      </c>
      <c r="Y55" s="91">
        <v>9</v>
      </c>
      <c r="Z55" s="91">
        <v>4</v>
      </c>
      <c r="AA55" s="91">
        <v>-11</v>
      </c>
      <c r="AB55" s="26">
        <f t="shared" si="30"/>
        <v>45</v>
      </c>
      <c r="AC55" s="16">
        <f t="shared" si="31"/>
        <v>4.5</v>
      </c>
      <c r="AD55" s="91">
        <v>10</v>
      </c>
      <c r="AE55" s="91">
        <v>-3</v>
      </c>
      <c r="AF55" s="91">
        <v>5</v>
      </c>
      <c r="AG55" s="91">
        <v>8</v>
      </c>
      <c r="AH55" s="91">
        <v>2</v>
      </c>
      <c r="AI55" s="91">
        <v>6</v>
      </c>
      <c r="AJ55" s="91">
        <v>8</v>
      </c>
      <c r="AK55" s="91">
        <v>-5</v>
      </c>
      <c r="AL55" s="26">
        <f t="shared" si="32"/>
        <v>31</v>
      </c>
      <c r="AM55" s="16">
        <f t="shared" si="33"/>
        <v>4.43</v>
      </c>
      <c r="AN55" s="17">
        <f t="shared" si="34"/>
        <v>4.1500000000000004</v>
      </c>
      <c r="AO55" s="18" t="s">
        <v>78</v>
      </c>
      <c r="AP55" s="19">
        <v>50</v>
      </c>
      <c r="AQ55" s="19">
        <v>150</v>
      </c>
      <c r="AR55" s="19" t="e" vm="37">
        <f t="shared" si="48"/>
        <v>#VALUE!</v>
      </c>
      <c r="AS55" s="19">
        <v>250</v>
      </c>
      <c r="AT55" s="19">
        <v>250</v>
      </c>
      <c r="AU55" s="19">
        <v>330</v>
      </c>
      <c r="AV55" s="19">
        <v>1210</v>
      </c>
      <c r="AW55" s="20" t="e" vm="37">
        <f t="shared" si="35"/>
        <v>#VALUE!</v>
      </c>
      <c r="AX55" s="20" t="e" vm="37">
        <f t="shared" si="36"/>
        <v>#VALUE!</v>
      </c>
      <c r="AY55" s="20" t="e" vm="37">
        <f t="shared" si="37"/>
        <v>#VALUE!</v>
      </c>
      <c r="AZ55" s="21">
        <v>900</v>
      </c>
      <c r="BA55" s="22">
        <f t="shared" si="38"/>
        <v>0.20661157024793389</v>
      </c>
      <c r="BB55" s="22">
        <f t="shared" si="39"/>
        <v>1.3444444444444446</v>
      </c>
      <c r="BC55" s="23">
        <f t="shared" si="40"/>
        <v>0.27777777777777779</v>
      </c>
      <c r="BD55" t="s">
        <v>279</v>
      </c>
      <c r="BE55" s="23">
        <f t="shared" si="41"/>
        <v>-5.3408242607014378E-2</v>
      </c>
      <c r="BF55" t="s">
        <v>280</v>
      </c>
      <c r="BG55" s="23">
        <f t="shared" si="42"/>
        <v>7.9215602319153477E-2</v>
      </c>
      <c r="BH55" s="24">
        <v>12</v>
      </c>
      <c r="BI55" s="24">
        <v>18</v>
      </c>
      <c r="BJ55" s="25" t="e" vm="37">
        <f t="shared" si="49"/>
        <v>#VALUE!</v>
      </c>
      <c r="BK55" s="25" t="e" vm="37">
        <f t="shared" si="50"/>
        <v>#VALUE!</v>
      </c>
      <c r="BL55" s="23" t="e" vm="37">
        <f t="shared" si="43"/>
        <v>#VALUE!</v>
      </c>
      <c r="BM55" s="23" t="e" vm="37">
        <f t="shared" si="44"/>
        <v>#VALUE!</v>
      </c>
      <c r="BN55" s="93" t="s">
        <v>114</v>
      </c>
      <c r="BO55" s="93" t="s">
        <v>281</v>
      </c>
      <c r="BP55" s="93" t="s">
        <v>101</v>
      </c>
    </row>
    <row r="56" spans="1:68" ht="15" customHeight="1" x14ac:dyDescent="0.35">
      <c r="A56" s="86" t="e">
        <v>#VALUE!</v>
      </c>
      <c r="B56" s="10" t="e" vm="32">
        <f t="array" ref="B56">_FV(A56,"Símbolo bursátil",TRUE())</f>
        <v>#VALUE!</v>
      </c>
      <c r="C56" s="88" t="s">
        <v>211</v>
      </c>
      <c r="D56" s="88" t="s">
        <v>251</v>
      </c>
      <c r="E56" s="11" t="e" vm="33">
        <f t="array" ref="E56">_FV(A56,"Abreviatura de intercambio",TRUE())</f>
        <v>#VALUE!</v>
      </c>
      <c r="F56" s="11" t="e" vm="34">
        <f t="array" ref="F56">_FV(A56,"Moneda")</f>
        <v>#VALUE!</v>
      </c>
      <c r="G56" s="12" t="e" vm="35">
        <f t="array" ref="G56">_FV(A56,"Precio")</f>
        <v>#VALUE!</v>
      </c>
      <c r="H56" s="13" t="e" vm="36">
        <f t="array" ref="H56">_FV(A56,"Acciones en circulación",TRUE())/1000000</f>
        <v>#VALUE!</v>
      </c>
      <c r="I56" s="14" t="e" vm="37">
        <f t="shared" si="25"/>
        <v>#VALUE!</v>
      </c>
      <c r="J56" s="90">
        <v>0</v>
      </c>
      <c r="K56" s="90">
        <v>4</v>
      </c>
      <c r="L56" s="90">
        <v>1</v>
      </c>
      <c r="M56" s="90">
        <v>0</v>
      </c>
      <c r="N56" s="90">
        <v>0</v>
      </c>
      <c r="O56" s="90">
        <v>0</v>
      </c>
      <c r="P56" s="90">
        <v>0</v>
      </c>
      <c r="Q56" s="90">
        <v>0</v>
      </c>
      <c r="R56" s="15">
        <f t="shared" si="28"/>
        <v>5</v>
      </c>
      <c r="S56" s="16">
        <f t="shared" si="29"/>
        <v>2.94</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3.77</v>
      </c>
      <c r="AO56" s="18" t="s">
        <v>91</v>
      </c>
      <c r="AP56" s="19">
        <v>6500</v>
      </c>
      <c r="AQ56" s="19">
        <v>15000</v>
      </c>
      <c r="AR56" s="19" t="e" vm="37">
        <f t="shared" si="48"/>
        <v>#VALUE!</v>
      </c>
      <c r="AS56" s="19">
        <v>2400</v>
      </c>
      <c r="AT56" s="19">
        <v>3000</v>
      </c>
      <c r="AU56" s="19">
        <v>6800</v>
      </c>
      <c r="AV56" s="19">
        <v>46600</v>
      </c>
      <c r="AW56" s="20" t="e" vm="37">
        <f t="shared" si="35"/>
        <v>#VALUE!</v>
      </c>
      <c r="AX56" s="20" t="e" vm="37">
        <f t="shared" si="36"/>
        <v>#VALUE!</v>
      </c>
      <c r="AY56" s="20" t="e" vm="37">
        <f t="shared" si="37"/>
        <v>#VALUE!</v>
      </c>
      <c r="AZ56" s="21">
        <v>28000</v>
      </c>
      <c r="BA56" s="22">
        <f t="shared" si="38"/>
        <v>6.4377682403433473E-2</v>
      </c>
      <c r="BB56" s="22">
        <f t="shared" si="39"/>
        <v>1.6642857142857144</v>
      </c>
      <c r="BC56" s="23">
        <f t="shared" si="40"/>
        <v>0.10714285714285714</v>
      </c>
      <c r="BD56" t="s">
        <v>272</v>
      </c>
      <c r="BE56" s="23">
        <f t="shared" si="41"/>
        <v>9.966033447608158E-3</v>
      </c>
      <c r="BF56" t="s">
        <v>282</v>
      </c>
      <c r="BG56" s="23">
        <f t="shared" si="42"/>
        <v>9.001785812014429E-2</v>
      </c>
      <c r="BH56" s="24">
        <v>12</v>
      </c>
      <c r="BI56" s="24">
        <v>16</v>
      </c>
      <c r="BJ56" s="25" t="e" vm="37">
        <f t="shared" si="49"/>
        <v>#VALUE!</v>
      </c>
      <c r="BK56" s="25" t="e" vm="37">
        <f t="shared" si="50"/>
        <v>#VALUE!</v>
      </c>
      <c r="BL56" s="23" t="e" vm="37">
        <f t="shared" si="43"/>
        <v>#VALUE!</v>
      </c>
      <c r="BM56" s="23" t="e" vm="37">
        <f t="shared" si="44"/>
        <v>#VALUE!</v>
      </c>
      <c r="BN56" s="93" t="s">
        <v>81</v>
      </c>
      <c r="BO56" s="93" t="s">
        <v>120</v>
      </c>
      <c r="BP56" s="93" t="s">
        <v>134</v>
      </c>
    </row>
    <row r="57" spans="1:68" ht="15" customHeight="1" x14ac:dyDescent="0.35">
      <c r="A57" s="86" t="e">
        <v>#VALUE!</v>
      </c>
      <c r="B57" s="10" t="e" vm="32">
        <f t="array" ref="B57">_FV(A57,"Símbolo bursátil",TRUE())</f>
        <v>#VALUE!</v>
      </c>
      <c r="C57" s="88" t="s">
        <v>226</v>
      </c>
      <c r="D57" s="88" t="s">
        <v>251</v>
      </c>
      <c r="E57" s="11" t="e" vm="33">
        <f t="array" ref="E57">_FV(A57,"Abreviatura de intercambio",TRUE())</f>
        <v>#VALUE!</v>
      </c>
      <c r="F57" s="11" t="e" vm="34">
        <f t="array" ref="F57">_FV(A57,"Moneda")</f>
        <v>#VALUE!</v>
      </c>
      <c r="G57" s="12" t="e" vm="35">
        <f t="array" ref="G57">_FV(A57,"Precio")</f>
        <v>#VALUE!</v>
      </c>
      <c r="H57" s="13" t="e" vm="36">
        <f t="array" ref="H57">_FV(A57,"Acciones en circulación",TRUE())/1000000</f>
        <v>#VALUE!</v>
      </c>
      <c r="I57" s="14" t="e" vm="37">
        <f t="shared" si="25"/>
        <v>#VALUE!</v>
      </c>
      <c r="J57" s="91">
        <v>0</v>
      </c>
      <c r="K57" s="91">
        <v>5</v>
      </c>
      <c r="L57" s="91">
        <v>1</v>
      </c>
      <c r="M57" s="91">
        <v>-1</v>
      </c>
      <c r="N57" s="91">
        <v>-2</v>
      </c>
      <c r="O57" s="91">
        <v>0</v>
      </c>
      <c r="P57" s="91">
        <v>0</v>
      </c>
      <c r="Q57" s="91">
        <v>1</v>
      </c>
      <c r="R57" s="26">
        <f t="shared" si="28"/>
        <v>4</v>
      </c>
      <c r="S57" s="16">
        <f t="shared" si="29"/>
        <v>2.35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3.31</v>
      </c>
      <c r="AO57" s="18" t="s">
        <v>91</v>
      </c>
      <c r="AP57" s="19">
        <v>25</v>
      </c>
      <c r="AQ57" s="19">
        <v>365</v>
      </c>
      <c r="AR57" s="19" t="e" vm="37">
        <f t="shared" si="48"/>
        <v>#VALUE!</v>
      </c>
      <c r="AS57" s="19">
        <v>25</v>
      </c>
      <c r="AT57" s="19">
        <v>20</v>
      </c>
      <c r="AU57" s="19">
        <v>55</v>
      </c>
      <c r="AV57" s="19">
        <v>320</v>
      </c>
      <c r="AW57" s="20" t="e" vm="37">
        <f t="shared" si="35"/>
        <v>#VALUE!</v>
      </c>
      <c r="AX57" s="20" t="e" vm="37">
        <f t="shared" si="36"/>
        <v>#VALUE!</v>
      </c>
      <c r="AY57" s="20" t="e" vm="37">
        <f t="shared" si="37"/>
        <v>#VALUE!</v>
      </c>
      <c r="AZ57" s="21">
        <v>500</v>
      </c>
      <c r="BA57" s="22">
        <f t="shared" si="38"/>
        <v>6.25E-2</v>
      </c>
      <c r="BB57" s="22">
        <f t="shared" si="39"/>
        <v>0.64</v>
      </c>
      <c r="BC57" s="23">
        <f t="shared" si="40"/>
        <v>0.04</v>
      </c>
      <c r="BD57" t="s">
        <v>283</v>
      </c>
      <c r="BE57" s="23">
        <f t="shared" si="41"/>
        <v>0</v>
      </c>
      <c r="BF57" t="s">
        <v>284</v>
      </c>
      <c r="BG57" s="23">
        <f t="shared" si="42"/>
        <v>0.11970220528043152</v>
      </c>
      <c r="BH57" s="24">
        <v>6</v>
      </c>
      <c r="BI57" s="24">
        <v>12.5</v>
      </c>
      <c r="BJ57" s="25" t="e" vm="37">
        <f t="shared" si="49"/>
        <v>#VALUE!</v>
      </c>
      <c r="BK57" s="25" t="e" vm="37">
        <f t="shared" si="50"/>
        <v>#VALUE!</v>
      </c>
      <c r="BL57" s="23" t="e" vm="37">
        <f t="shared" si="43"/>
        <v>#VALUE!</v>
      </c>
      <c r="BM57" s="23" t="e" vm="37">
        <f t="shared" si="44"/>
        <v>#VALUE!</v>
      </c>
      <c r="BN57" s="93" t="s">
        <v>81</v>
      </c>
      <c r="BO57" s="93" t="s">
        <v>181</v>
      </c>
      <c r="BP57" s="93" t="s">
        <v>181</v>
      </c>
    </row>
    <row r="58" spans="1:68" ht="15" customHeight="1" x14ac:dyDescent="0.35">
      <c r="A58" s="86" t="e">
        <v>#VALUE!</v>
      </c>
      <c r="B58" s="10" t="e" vm="32">
        <f t="array" ref="B58">_FV(A58,"Símbolo bursátil",TRUE())</f>
        <v>#VALUE!</v>
      </c>
      <c r="C58" s="88" t="s">
        <v>135</v>
      </c>
      <c r="D58" s="88" t="s">
        <v>117</v>
      </c>
      <c r="E58" s="11" t="e" vm="33">
        <f t="array" ref="E58">_FV(A58,"Abreviatura de intercambio",TRUE())</f>
        <v>#VALUE!</v>
      </c>
      <c r="F58" s="11" t="e" vm="34">
        <f t="array" ref="F58">_FV(A58,"Moneda")</f>
        <v>#VALUE!</v>
      </c>
      <c r="G58" s="12" t="e" vm="35">
        <f t="array" ref="G58">_FV(A58,"Precio")</f>
        <v>#VALUE!</v>
      </c>
      <c r="H58" s="13" t="e" vm="36">
        <f t="array" ref="H58">_FV(A58,"Acciones en circulación",TRUE())/1000000</f>
        <v>#VALUE!</v>
      </c>
      <c r="I58" s="14" t="e" vm="37">
        <f t="shared" si="25"/>
        <v>#VALUE!</v>
      </c>
      <c r="J58" s="90">
        <v>0</v>
      </c>
      <c r="K58" s="90">
        <v>5</v>
      </c>
      <c r="L58" s="90">
        <v>2</v>
      </c>
      <c r="M58" s="90">
        <v>0.5</v>
      </c>
      <c r="N58" s="90">
        <v>-1</v>
      </c>
      <c r="O58" s="90">
        <v>0</v>
      </c>
      <c r="P58" s="90">
        <v>0</v>
      </c>
      <c r="Q58" s="90">
        <v>0</v>
      </c>
      <c r="R58" s="15">
        <f t="shared" si="28"/>
        <v>6.5</v>
      </c>
      <c r="S58" s="16">
        <f t="shared" si="29"/>
        <v>3.82</v>
      </c>
      <c r="T58" s="90">
        <v>10</v>
      </c>
      <c r="U58" s="90">
        <v>9</v>
      </c>
      <c r="V58" s="90">
        <v>11</v>
      </c>
      <c r="W58" s="90">
        <v>6</v>
      </c>
      <c r="X58" s="90">
        <v>5</v>
      </c>
      <c r="Y58" s="90">
        <v>8</v>
      </c>
      <c r="Z58" s="90">
        <v>4</v>
      </c>
      <c r="AA58" s="90">
        <v>-18</v>
      </c>
      <c r="AB58" s="15">
        <f t="shared" si="30"/>
        <v>35</v>
      </c>
      <c r="AC58" s="16">
        <f t="shared" si="31"/>
        <v>3.5</v>
      </c>
      <c r="AD58" s="90">
        <v>8</v>
      </c>
      <c r="AE58" s="90">
        <v>-4</v>
      </c>
      <c r="AF58" s="90">
        <v>7</v>
      </c>
      <c r="AG58" s="90">
        <v>7</v>
      </c>
      <c r="AH58" s="90">
        <v>2</v>
      </c>
      <c r="AI58" s="90">
        <v>5</v>
      </c>
      <c r="AJ58" s="90">
        <v>7</v>
      </c>
      <c r="AK58" s="90">
        <v>-7</v>
      </c>
      <c r="AL58" s="15">
        <f t="shared" si="32"/>
        <v>25</v>
      </c>
      <c r="AM58" s="16">
        <f t="shared" si="33"/>
        <v>3.57</v>
      </c>
      <c r="AN58" s="17">
        <f t="shared" si="34"/>
        <v>3.63</v>
      </c>
      <c r="AO58" s="18" t="s">
        <v>78</v>
      </c>
      <c r="AP58" s="19">
        <v>920</v>
      </c>
      <c r="AQ58" s="19">
        <v>0</v>
      </c>
      <c r="AR58" s="19" t="e" vm="37">
        <f t="shared" si="48"/>
        <v>#VALUE!</v>
      </c>
      <c r="AS58" s="19">
        <v>320</v>
      </c>
      <c r="AT58" s="19">
        <v>280</v>
      </c>
      <c r="AU58" s="19">
        <v>400</v>
      </c>
      <c r="AV58" s="19">
        <v>1850</v>
      </c>
      <c r="AW58" s="20" t="e" vm="37">
        <f t="shared" si="35"/>
        <v>#VALUE!</v>
      </c>
      <c r="AX58" s="20" t="e" vm="37">
        <f t="shared" si="36"/>
        <v>#VALUE!</v>
      </c>
      <c r="AY58" s="20" t="e" vm="37">
        <f t="shared" si="37"/>
        <v>#VALUE!</v>
      </c>
      <c r="AZ58" s="21">
        <v>3500</v>
      </c>
      <c r="BA58" s="22">
        <f t="shared" si="38"/>
        <v>0.15135135135135136</v>
      </c>
      <c r="BB58" s="22">
        <f t="shared" si="39"/>
        <v>0.52857142857142858</v>
      </c>
      <c r="BC58" s="23">
        <f t="shared" si="40"/>
        <v>0.08</v>
      </c>
      <c r="BD58" t="s">
        <v>285</v>
      </c>
      <c r="BE58" s="23">
        <f t="shared" si="41"/>
        <v>1.8680080430648616E-3</v>
      </c>
      <c r="BF58" t="s">
        <v>286</v>
      </c>
      <c r="BG58" s="23">
        <f t="shared" si="42"/>
        <v>0.20618636733746265</v>
      </c>
      <c r="BH58" s="24">
        <v>16</v>
      </c>
      <c r="BI58" s="24">
        <v>22.5</v>
      </c>
      <c r="BJ58" s="25" t="e" vm="37">
        <f t="shared" si="49"/>
        <v>#VALUE!</v>
      </c>
      <c r="BK58" s="25" t="e" vm="37">
        <f t="shared" si="50"/>
        <v>#VALUE!</v>
      </c>
      <c r="BL58" s="23" t="e" vm="37">
        <f t="shared" si="43"/>
        <v>#VALUE!</v>
      </c>
      <c r="BM58" s="23" t="e" vm="37">
        <f t="shared" si="44"/>
        <v>#VALUE!</v>
      </c>
      <c r="BN58" s="93" t="s">
        <v>99</v>
      </c>
      <c r="BO58" s="93" t="s">
        <v>287</v>
      </c>
      <c r="BP58" s="93" t="s">
        <v>101</v>
      </c>
    </row>
    <row r="59" spans="1:68" ht="15" customHeight="1" x14ac:dyDescent="0.35">
      <c r="A59" s="86" t="e">
        <v>#VALUE!</v>
      </c>
      <c r="B59" s="10" t="e" vm="32">
        <f t="array" ref="B59">_FV(A59,"Símbolo bursátil",TRUE())</f>
        <v>#VALUE!</v>
      </c>
      <c r="C59" s="88" t="s">
        <v>207</v>
      </c>
      <c r="D59" s="88" t="s">
        <v>117</v>
      </c>
      <c r="E59" s="11" t="e" vm="33">
        <f t="array" ref="E59">_FV(A59,"Abreviatura de intercambio",TRUE())</f>
        <v>#VALUE!</v>
      </c>
      <c r="F59" s="11" t="e" vm="34">
        <f t="array" ref="F59">_FV(A59,"Moneda")</f>
        <v>#VALUE!</v>
      </c>
      <c r="G59" s="12" t="e" vm="35">
        <f t="array" ref="G59">_FV(A59,"Precio")</f>
        <v>#VALUE!</v>
      </c>
      <c r="H59" s="13" t="e" vm="36">
        <f t="array" ref="H59">_FV(A59,"Acciones en circulación",TRUE())/1000000</f>
        <v>#VALUE!</v>
      </c>
      <c r="I59" s="14" t="e" vm="37">
        <f t="shared" si="25"/>
        <v>#VALUE!</v>
      </c>
      <c r="J59" s="91">
        <v>0</v>
      </c>
      <c r="K59" s="91">
        <v>4</v>
      </c>
      <c r="L59" s="91">
        <v>1</v>
      </c>
      <c r="M59" s="91">
        <v>-1</v>
      </c>
      <c r="N59" s="91">
        <v>0</v>
      </c>
      <c r="O59" s="91">
        <v>0</v>
      </c>
      <c r="P59" s="91">
        <v>0</v>
      </c>
      <c r="Q59" s="91">
        <v>0</v>
      </c>
      <c r="R59" s="26">
        <f t="shared" si="28"/>
        <v>4</v>
      </c>
      <c r="S59" s="16">
        <f t="shared" si="29"/>
        <v>2.35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2.94</v>
      </c>
      <c r="AO59" s="18" t="s">
        <v>91</v>
      </c>
      <c r="AP59" s="19">
        <v>40</v>
      </c>
      <c r="AQ59" s="19">
        <v>740</v>
      </c>
      <c r="AR59" s="19" t="e" vm="37">
        <f t="shared" si="48"/>
        <v>#VALUE!</v>
      </c>
      <c r="AS59" s="19">
        <v>80</v>
      </c>
      <c r="AT59" s="19">
        <v>50</v>
      </c>
      <c r="AU59" s="19">
        <v>260</v>
      </c>
      <c r="AV59" s="19">
        <v>1250</v>
      </c>
      <c r="AW59" s="20" t="e" vm="37">
        <f t="shared" si="35"/>
        <v>#VALUE!</v>
      </c>
      <c r="AX59" s="20" t="e" vm="37">
        <f t="shared" si="36"/>
        <v>#VALUE!</v>
      </c>
      <c r="AY59" s="20" t="e" vm="37">
        <f t="shared" si="37"/>
        <v>#VALUE!</v>
      </c>
      <c r="AZ59" s="21">
        <v>1500</v>
      </c>
      <c r="BA59" s="22">
        <f t="shared" si="38"/>
        <v>0.04</v>
      </c>
      <c r="BB59" s="22">
        <f t="shared" si="39"/>
        <v>0.83333333333333337</v>
      </c>
      <c r="BC59" s="23">
        <f t="shared" si="40"/>
        <v>3.3333333333333333E-2</v>
      </c>
      <c r="BD59" t="s">
        <v>288</v>
      </c>
      <c r="BE59" s="23">
        <f t="shared" si="41"/>
        <v>1.9244876491456564E-2</v>
      </c>
      <c r="BF59" t="s">
        <v>289</v>
      </c>
      <c r="BG59" s="23">
        <f t="shared" si="42"/>
        <v>0.15996225865400127</v>
      </c>
      <c r="BH59" s="24">
        <v>12</v>
      </c>
      <c r="BI59" s="24">
        <v>18</v>
      </c>
      <c r="BJ59" s="25" t="e" vm="37">
        <f t="shared" si="49"/>
        <v>#VALUE!</v>
      </c>
      <c r="BK59" s="25" t="e" vm="37">
        <f t="shared" si="50"/>
        <v>#VALUE!</v>
      </c>
      <c r="BL59" s="23" t="e" vm="37">
        <f t="shared" si="43"/>
        <v>#VALUE!</v>
      </c>
      <c r="BM59" s="23" t="e" vm="37">
        <f t="shared" si="44"/>
        <v>#VALUE!</v>
      </c>
      <c r="BN59" s="93" t="s">
        <v>81</v>
      </c>
      <c r="BO59" s="93" t="s">
        <v>109</v>
      </c>
      <c r="BP59" s="93" t="s">
        <v>290</v>
      </c>
    </row>
    <row r="60" spans="1:68" ht="15" customHeight="1" x14ac:dyDescent="0.35">
      <c r="A60" s="86" t="e">
        <v>#VALUE!</v>
      </c>
      <c r="B60" s="10" t="e" vm="32">
        <f t="array" ref="B60">_FV(A60,"Símbolo bursátil",TRUE())</f>
        <v>#VALUE!</v>
      </c>
      <c r="C60" s="88" t="s">
        <v>226</v>
      </c>
      <c r="D60" s="88" t="s">
        <v>251</v>
      </c>
      <c r="E60" s="11" t="e" vm="33">
        <f t="array" ref="E60">_FV(A60,"Abreviatura de intercambio",TRUE())</f>
        <v>#VALUE!</v>
      </c>
      <c r="F60" s="11" t="e" vm="34">
        <f t="array" ref="F60">_FV(A60,"Moneda")</f>
        <v>#VALUE!</v>
      </c>
      <c r="G60" s="12" t="e" vm="35">
        <f t="array" ref="G60">_FV(A60,"Precio")</f>
        <v>#VALUE!</v>
      </c>
      <c r="H60" s="13" t="e" vm="36">
        <f t="array" ref="H60">_FV(A60,"Acciones en circulación",TRUE())/1000000</f>
        <v>#VALUE!</v>
      </c>
      <c r="I60" s="14" t="e" vm="37">
        <f t="shared" si="25"/>
        <v>#VALUE!</v>
      </c>
      <c r="J60" s="90">
        <v>0.75</v>
      </c>
      <c r="K60" s="90">
        <v>5.5</v>
      </c>
      <c r="L60" s="90">
        <v>0.5</v>
      </c>
      <c r="M60" s="90">
        <v>-0.75</v>
      </c>
      <c r="N60" s="90">
        <v>-0.75</v>
      </c>
      <c r="O60" s="90">
        <v>0</v>
      </c>
      <c r="P60" s="90">
        <v>0</v>
      </c>
      <c r="Q60" s="90">
        <v>0</v>
      </c>
      <c r="R60" s="15">
        <f t="shared" si="28"/>
        <v>5.25</v>
      </c>
      <c r="S60" s="16">
        <f t="shared" si="29"/>
        <v>3.09</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3.79</v>
      </c>
      <c r="AO60" s="18" t="s">
        <v>91</v>
      </c>
      <c r="AP60" s="19">
        <v>365</v>
      </c>
      <c r="AQ60" s="19">
        <v>2261</v>
      </c>
      <c r="AR60" s="19" t="e" vm="37">
        <f t="shared" si="48"/>
        <v>#VALUE!</v>
      </c>
      <c r="AS60" s="19">
        <v>249</v>
      </c>
      <c r="AT60" s="19">
        <v>270</v>
      </c>
      <c r="AU60" s="19">
        <v>704</v>
      </c>
      <c r="AV60" s="19">
        <v>3311</v>
      </c>
      <c r="AW60" s="20" t="e" vm="37">
        <f t="shared" si="35"/>
        <v>#VALUE!</v>
      </c>
      <c r="AX60" s="20" t="e" vm="37">
        <f t="shared" si="36"/>
        <v>#VALUE!</v>
      </c>
      <c r="AY60" s="20" t="e" vm="37">
        <f t="shared" si="37"/>
        <v>#VALUE!</v>
      </c>
      <c r="AZ60" s="21">
        <v>3400</v>
      </c>
      <c r="BA60" s="22">
        <f t="shared" si="38"/>
        <v>8.1546360616128064E-2</v>
      </c>
      <c r="BB60" s="22">
        <f t="shared" si="39"/>
        <v>0.97382352941176475</v>
      </c>
      <c r="BC60" s="23">
        <f t="shared" si="40"/>
        <v>7.9411764705882362E-2</v>
      </c>
      <c r="BD60">
        <v>300</v>
      </c>
      <c r="BE60" s="23">
        <f t="shared" si="41"/>
        <v>3.7968996331624982E-2</v>
      </c>
      <c r="BF60">
        <v>490</v>
      </c>
      <c r="BG60" s="23">
        <f t="shared" si="42"/>
        <v>0.1449838120148832</v>
      </c>
      <c r="BH60" s="24">
        <v>8</v>
      </c>
      <c r="BI60" s="24">
        <v>15</v>
      </c>
      <c r="BJ60" s="25" t="e" vm="37">
        <f t="shared" si="49"/>
        <v>#VALUE!</v>
      </c>
      <c r="BK60" s="25" t="e" vm="37">
        <f t="shared" si="50"/>
        <v>#VALUE!</v>
      </c>
      <c r="BL60" s="23" t="e" vm="37">
        <f t="shared" si="43"/>
        <v>#VALUE!</v>
      </c>
      <c r="BM60" s="23" t="e" vm="37">
        <f t="shared" si="44"/>
        <v>#VALUE!</v>
      </c>
      <c r="BN60" s="93" t="s">
        <v>81</v>
      </c>
      <c r="BO60" s="93" t="s">
        <v>205</v>
      </c>
      <c r="BP60" s="93" t="s">
        <v>290</v>
      </c>
    </row>
    <row r="61" spans="1:68" ht="15" customHeight="1" x14ac:dyDescent="0.35">
      <c r="A61" s="86" t="e">
        <v>#VALUE!</v>
      </c>
      <c r="B61" s="10" t="e" vm="32">
        <f t="array" ref="B61">_FV(A61,"Símbolo bursátil",TRUE())</f>
        <v>#VALUE!</v>
      </c>
      <c r="C61" s="88" t="s">
        <v>261</v>
      </c>
      <c r="D61" s="88" t="s">
        <v>262</v>
      </c>
      <c r="E61" s="11" t="e" vm="33">
        <f t="array" ref="E61">_FV(A61,"Abreviatura de intercambio",TRUE())</f>
        <v>#VALUE!</v>
      </c>
      <c r="F61" s="11" t="e" vm="34">
        <f t="array" ref="F61">_FV(A61,"Moneda")</f>
        <v>#VALUE!</v>
      </c>
      <c r="G61" s="12" t="e" vm="35">
        <f t="array" ref="G61">_FV(A61,"Precio")</f>
        <v>#VALUE!</v>
      </c>
      <c r="H61" s="13" t="e" vm="36">
        <f t="array" ref="H61">_FV(A61,"Acciones en circulación",TRUE())/1000000</f>
        <v>#VALUE!</v>
      </c>
      <c r="I61" s="14" t="e" vm="37">
        <f>G61/100*H61</f>
        <v>#VALUE!</v>
      </c>
      <c r="J61" s="91">
        <v>0</v>
      </c>
      <c r="K61" s="91">
        <v>2</v>
      </c>
      <c r="L61" s="91">
        <v>1</v>
      </c>
      <c r="M61" s="91">
        <v>0</v>
      </c>
      <c r="N61" s="91">
        <v>-2</v>
      </c>
      <c r="O61" s="91">
        <v>0</v>
      </c>
      <c r="P61" s="91">
        <v>1</v>
      </c>
      <c r="Q61" s="91">
        <v>1</v>
      </c>
      <c r="R61" s="26">
        <f t="shared" si="28"/>
        <v>3</v>
      </c>
      <c r="S61" s="16">
        <f t="shared" si="29"/>
        <v>1.76</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2.14</v>
      </c>
      <c r="AO61" s="18" t="s">
        <v>144</v>
      </c>
      <c r="AP61" s="19">
        <v>215</v>
      </c>
      <c r="AQ61" s="19">
        <f>300+148</f>
        <v>448</v>
      </c>
      <c r="AR61" s="19" t="e" vm="37">
        <f t="shared" si="48"/>
        <v>#VALUE!</v>
      </c>
      <c r="AS61" s="19">
        <v>55</v>
      </c>
      <c r="AT61" s="19">
        <f>390-230</f>
        <v>160</v>
      </c>
      <c r="AU61" s="19">
        <v>400</v>
      </c>
      <c r="AV61" s="19">
        <v>480</v>
      </c>
      <c r="AW61" s="20" t="e" vm="37">
        <f t="shared" si="35"/>
        <v>#VALUE!</v>
      </c>
      <c r="AX61" s="20" t="e" vm="37">
        <f t="shared" si="36"/>
        <v>#VALUE!</v>
      </c>
      <c r="AY61" s="20" t="e" vm="37">
        <f t="shared" si="37"/>
        <v>#VALUE!</v>
      </c>
      <c r="AZ61" s="21">
        <v>300</v>
      </c>
      <c r="BA61" s="22">
        <f t="shared" si="38"/>
        <v>0.33333333333333331</v>
      </c>
      <c r="BB61" s="22">
        <f t="shared" si="39"/>
        <v>1.6</v>
      </c>
      <c r="BC61" s="23">
        <f t="shared" si="40"/>
        <v>0.53333333333333333</v>
      </c>
      <c r="BD61">
        <v>60</v>
      </c>
      <c r="BE61" s="23">
        <f t="shared" si="41"/>
        <v>1.7554577175587616E-2</v>
      </c>
      <c r="BF61">
        <v>115</v>
      </c>
      <c r="BG61" s="23">
        <f t="shared" si="42"/>
        <v>0.15895621875417865</v>
      </c>
      <c r="BH61" s="24">
        <v>5.5</v>
      </c>
      <c r="BI61" s="24">
        <v>8</v>
      </c>
      <c r="BJ61" s="25" t="e" vm="37">
        <f>(BD61*BH61+$AP61-$AQ61)/$H61*100</f>
        <v>#VALUE!</v>
      </c>
      <c r="BK61" s="25" t="e" vm="37">
        <f>(BF61*BI61+$AP61-$AQ61)/$H61*100</f>
        <v>#VALUE!</v>
      </c>
      <c r="BL61" s="23" t="e" vm="37">
        <f t="shared" si="43"/>
        <v>#VALUE!</v>
      </c>
      <c r="BM61" s="23" t="e" vm="37">
        <f t="shared" si="44"/>
        <v>#VALUE!</v>
      </c>
      <c r="BN61" s="93" t="s">
        <v>81</v>
      </c>
      <c r="BO61" s="93" t="s">
        <v>181</v>
      </c>
      <c r="BP61" s="93" t="s">
        <v>181</v>
      </c>
    </row>
    <row r="62" spans="1:68" ht="15" customHeight="1" x14ac:dyDescent="0.35">
      <c r="A62" s="86" t="e">
        <v>#VALUE!</v>
      </c>
      <c r="B62" s="10" t="e" vm="32">
        <f t="array" ref="B62">_FV(A62,"Símbolo bursátil",TRUE())</f>
        <v>#VALUE!</v>
      </c>
      <c r="C62" s="88" t="s">
        <v>135</v>
      </c>
      <c r="D62" s="88" t="s">
        <v>251</v>
      </c>
      <c r="E62" s="11" t="e" vm="33">
        <f t="array" ref="E62">_FV(A62,"Abreviatura de intercambio",TRUE())</f>
        <v>#VALUE!</v>
      </c>
      <c r="F62" s="11" t="e" vm="34">
        <f t="array" ref="F62">_FV(A62,"Moneda")</f>
        <v>#VALUE!</v>
      </c>
      <c r="G62" s="12" t="e" vm="35">
        <f t="array" ref="G62">_FV(A62,"Precio")</f>
        <v>#VALUE!</v>
      </c>
      <c r="H62" s="13" t="e" vm="36">
        <f t="array" ref="H62">_FV(A62,"Acciones en circulación",TRUE())/1000000</f>
        <v>#VALUE!</v>
      </c>
      <c r="I62" s="14" t="e" vm="37">
        <f>G62/100*H62</f>
        <v>#VALUE!</v>
      </c>
      <c r="J62" s="90">
        <v>0.5</v>
      </c>
      <c r="K62" s="90">
        <v>3</v>
      </c>
      <c r="L62" s="90">
        <v>1</v>
      </c>
      <c r="M62" s="90">
        <v>-1</v>
      </c>
      <c r="N62" s="90">
        <v>-2</v>
      </c>
      <c r="O62" s="90">
        <v>0</v>
      </c>
      <c r="P62" s="90">
        <v>0</v>
      </c>
      <c r="Q62" s="90">
        <v>0</v>
      </c>
      <c r="R62" s="15">
        <f t="shared" si="28"/>
        <v>1.5</v>
      </c>
      <c r="S62" s="16">
        <f t="shared" si="29"/>
        <v>0.88</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2.08</v>
      </c>
      <c r="AO62" s="18" t="s">
        <v>144</v>
      </c>
      <c r="AP62" s="19">
        <v>70</v>
      </c>
      <c r="AQ62" s="19">
        <v>270</v>
      </c>
      <c r="AR62" s="19" t="e" vm="37">
        <f t="shared" si="48"/>
        <v>#VALUE!</v>
      </c>
      <c r="AS62" s="19">
        <v>90</v>
      </c>
      <c r="AT62" s="19">
        <v>80</v>
      </c>
      <c r="AU62" s="19">
        <v>170</v>
      </c>
      <c r="AV62" s="19">
        <v>1700</v>
      </c>
      <c r="AW62" s="20" t="e" vm="37">
        <f t="shared" si="35"/>
        <v>#VALUE!</v>
      </c>
      <c r="AX62" s="20" t="e" vm="37">
        <f t="shared" si="36"/>
        <v>#VALUE!</v>
      </c>
      <c r="AY62" s="20" t="e" vm="37">
        <f t="shared" si="37"/>
        <v>#VALUE!</v>
      </c>
      <c r="AZ62" s="21">
        <v>900</v>
      </c>
      <c r="BA62" s="22">
        <f t="shared" si="38"/>
        <v>4.7058823529411764E-2</v>
      </c>
      <c r="BB62" s="22">
        <f t="shared" si="39"/>
        <v>1.8888888888888888</v>
      </c>
      <c r="BC62" s="23">
        <f t="shared" si="40"/>
        <v>8.8888888888888878E-2</v>
      </c>
      <c r="BD62" t="s">
        <v>291</v>
      </c>
      <c r="BE62" s="23">
        <f t="shared" si="41"/>
        <v>0</v>
      </c>
      <c r="BF62" t="s">
        <v>292</v>
      </c>
      <c r="BG62" s="23">
        <f t="shared" si="42"/>
        <v>0.1396217223413001</v>
      </c>
      <c r="BH62" s="24">
        <v>8</v>
      </c>
      <c r="BI62" s="24">
        <v>14</v>
      </c>
      <c r="BJ62" s="25" t="e" vm="37">
        <f>(BD62*BH62+$AP62-$AQ62)/$H62*100</f>
        <v>#VALUE!</v>
      </c>
      <c r="BK62" s="25" t="e" vm="37">
        <f>(BF62*BI62+$AP62-$AQ62)/$H62*100</f>
        <v>#VALUE!</v>
      </c>
      <c r="BL62" s="23" t="e" vm="37">
        <f t="shared" si="43"/>
        <v>#VALUE!</v>
      </c>
      <c r="BM62" s="23" t="e" vm="37">
        <f t="shared" si="44"/>
        <v>#VALUE!</v>
      </c>
      <c r="BN62" s="93" t="s">
        <v>81</v>
      </c>
      <c r="BO62" s="94" t="s">
        <v>293</v>
      </c>
      <c r="BP62" s="93" t="s">
        <v>294</v>
      </c>
    </row>
    <row r="63" spans="1:68" ht="15" customHeight="1" x14ac:dyDescent="0.35">
      <c r="A63" s="86" t="e">
        <v>#VALUE!</v>
      </c>
      <c r="B63" s="10" t="e" vm="32">
        <f t="array" ref="B63">_FV(A63,"Símbolo bursátil",TRUE())</f>
        <v>#VALUE!</v>
      </c>
      <c r="C63" s="88" t="s">
        <v>261</v>
      </c>
      <c r="D63" s="88" t="s">
        <v>262</v>
      </c>
      <c r="E63" s="11" t="e" vm="33">
        <f t="array" ref="E63">_FV(A63,"Abreviatura de intercambio",TRUE())</f>
        <v>#VALUE!</v>
      </c>
      <c r="F63" s="11" t="e" vm="34">
        <f t="array" ref="F63">_FV(A63,"Moneda")</f>
        <v>#VALUE!</v>
      </c>
      <c r="G63" s="12" t="e" vm="35">
        <f t="array" ref="G63">_FV(A63,"Precio")</f>
        <v>#VALUE!</v>
      </c>
      <c r="H63" s="13" t="e" vm="36">
        <f t="array" ref="H63">_FV(A63,"Acciones en circulación",TRUE())/1000000</f>
        <v>#VALUE!</v>
      </c>
      <c r="I63" s="14" t="e" vm="37">
        <f>G63*H63</f>
        <v>#VALUE!</v>
      </c>
      <c r="J63" s="91">
        <v>0</v>
      </c>
      <c r="K63" s="91">
        <v>2</v>
      </c>
      <c r="L63" s="91">
        <v>1</v>
      </c>
      <c r="M63" s="91">
        <v>0</v>
      </c>
      <c r="N63" s="91">
        <v>-2</v>
      </c>
      <c r="O63" s="91">
        <v>0</v>
      </c>
      <c r="P63" s="91">
        <v>0</v>
      </c>
      <c r="Q63" s="91">
        <v>1</v>
      </c>
      <c r="R63" s="26">
        <f t="shared" si="28"/>
        <v>2</v>
      </c>
      <c r="S63" s="16">
        <f t="shared" si="29"/>
        <v>1.18</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1.71</v>
      </c>
      <c r="AO63" s="18" t="s">
        <v>78</v>
      </c>
      <c r="AP63" s="19">
        <v>50</v>
      </c>
      <c r="AQ63" s="19">
        <v>430</v>
      </c>
      <c r="AR63" s="19" t="e" vm="37">
        <f ca="1">I63*'Framework Notes'!E7-AP63+AQ63</f>
        <v>#VALUE!</v>
      </c>
      <c r="AS63" s="19">
        <v>-30</v>
      </c>
      <c r="AT63" s="19">
        <v>150</v>
      </c>
      <c r="AU63" s="19">
        <v>400</v>
      </c>
      <c r="AV63" s="19">
        <v>700</v>
      </c>
      <c r="AW63" s="20" t="e" vm="37">
        <f t="shared" ca="1" si="35"/>
        <v>#VALUE!</v>
      </c>
      <c r="AX63" s="20" t="e" vm="37">
        <f t="shared" ca="1" si="36"/>
        <v>#VALUE!</v>
      </c>
      <c r="AY63" s="20" t="e" vm="37">
        <f t="shared" ca="1" si="37"/>
        <v>#VALUE!</v>
      </c>
      <c r="AZ63" s="21">
        <v>1800</v>
      </c>
      <c r="BA63" s="22">
        <f t="shared" si="38"/>
        <v>0.21428571428571427</v>
      </c>
      <c r="BB63" s="22">
        <f t="shared" si="39"/>
        <v>0.3888888888888889</v>
      </c>
      <c r="BC63" s="23">
        <f t="shared" si="40"/>
        <v>8.3333333333333329E-2</v>
      </c>
      <c r="BD63" t="s">
        <v>295</v>
      </c>
      <c r="BE63" s="23">
        <f t="shared" si="41"/>
        <v>-2.4277749218266953</v>
      </c>
      <c r="BF63" t="s">
        <v>296</v>
      </c>
      <c r="BG63" s="23">
        <f t="shared" si="42"/>
        <v>-2.6829327181692992</v>
      </c>
      <c r="BH63" s="24">
        <v>10</v>
      </c>
      <c r="BI63" s="24">
        <v>15</v>
      </c>
      <c r="BJ63" s="25" t="e" vm="37">
        <f>(BD63*BH63+$AP63-$AQ63)/$H63</f>
        <v>#VALUE!</v>
      </c>
      <c r="BK63" s="25" t="e" vm="37">
        <f>(BF63*BI63+$AP63-$AQ63)/$H63</f>
        <v>#VALUE!</v>
      </c>
      <c r="BL63" s="23" t="e" vm="37">
        <f t="shared" si="43"/>
        <v>#VALUE!</v>
      </c>
      <c r="BM63" s="23" t="e" vm="37">
        <f t="shared" si="44"/>
        <v>#VALUE!</v>
      </c>
      <c r="BN63" s="93" t="s">
        <v>114</v>
      </c>
      <c r="BO63" s="93" t="s">
        <v>297</v>
      </c>
      <c r="BP63" s="93" t="s">
        <v>101</v>
      </c>
    </row>
    <row r="64" spans="1:68" ht="15" customHeight="1" x14ac:dyDescent="0.35">
      <c r="A64" s="86" t="e">
        <v>#VALUE!</v>
      </c>
      <c r="B64" s="10" t="e" vm="32">
        <f t="array" ref="B64">_FV(A64,"Símbolo bursátil",TRUE())</f>
        <v>#VALUE!</v>
      </c>
      <c r="C64" s="88" t="s">
        <v>135</v>
      </c>
      <c r="D64" s="88" t="s">
        <v>251</v>
      </c>
      <c r="E64" s="11" t="e" vm="33">
        <f t="array" ref="E64">_FV(A64,"Abreviatura de intercambio",TRUE())</f>
        <v>#VALUE!</v>
      </c>
      <c r="F64" s="11" t="e" vm="34">
        <f t="array" ref="F64">_FV(A64,"Moneda")</f>
        <v>#VALUE!</v>
      </c>
      <c r="G64" s="12" t="e" vm="35">
        <f t="array" ref="G64">_FV(A64,"Precio")</f>
        <v>#VALUE!</v>
      </c>
      <c r="H64" s="13" t="e" vm="36">
        <f t="array" ref="H64">_FV(A64,"Acciones en circulación",TRUE())/1000000</f>
        <v>#VALUE!</v>
      </c>
      <c r="I64" s="14" t="e" vm="37">
        <f>G64*H64</f>
        <v>#VALUE!</v>
      </c>
      <c r="J64" s="90">
        <v>1</v>
      </c>
      <c r="K64" s="90">
        <v>5</v>
      </c>
      <c r="L64" s="90">
        <v>1.5</v>
      </c>
      <c r="M64" s="90">
        <v>0</v>
      </c>
      <c r="N64" s="90">
        <v>-1</v>
      </c>
      <c r="O64" s="90">
        <v>0</v>
      </c>
      <c r="P64" s="90">
        <v>0</v>
      </c>
      <c r="Q64" s="90">
        <v>0</v>
      </c>
      <c r="R64" s="15">
        <f t="shared" si="28"/>
        <v>6.5</v>
      </c>
      <c r="S64" s="16">
        <f t="shared" si="29"/>
        <v>3.82</v>
      </c>
      <c r="T64" s="90">
        <v>11</v>
      </c>
      <c r="U64" s="90">
        <v>5</v>
      </c>
      <c r="V64" s="90">
        <v>12</v>
      </c>
      <c r="W64" s="90">
        <v>6</v>
      </c>
      <c r="X64" s="90">
        <v>5.5</v>
      </c>
      <c r="Y64" s="90">
        <v>7</v>
      </c>
      <c r="Z64" s="90">
        <v>6</v>
      </c>
      <c r="AA64" s="90">
        <v>-25</v>
      </c>
      <c r="AB64" s="15">
        <f t="shared" si="30"/>
        <v>27.5</v>
      </c>
      <c r="AC64" s="16">
        <f t="shared" si="31"/>
        <v>2.75</v>
      </c>
      <c r="AD64" s="90">
        <v>6</v>
      </c>
      <c r="AE64" s="90">
        <v>-10</v>
      </c>
      <c r="AF64" s="90">
        <v>4</v>
      </c>
      <c r="AG64" s="90">
        <v>6</v>
      </c>
      <c r="AH64" s="90">
        <v>-1</v>
      </c>
      <c r="AI64" s="90">
        <v>4</v>
      </c>
      <c r="AJ64" s="90">
        <v>9</v>
      </c>
      <c r="AK64" s="90">
        <v>-12</v>
      </c>
      <c r="AL64" s="15">
        <f t="shared" si="32"/>
        <v>6</v>
      </c>
      <c r="AM64" s="16">
        <f t="shared" si="33"/>
        <v>0.86</v>
      </c>
      <c r="AN64" s="17">
        <f t="shared" si="34"/>
        <v>2.48</v>
      </c>
      <c r="AO64" s="18" t="s">
        <v>78</v>
      </c>
      <c r="AP64" s="19">
        <v>180</v>
      </c>
      <c r="AQ64" s="19">
        <v>280</v>
      </c>
      <c r="AR64" s="19" t="e" vm="37">
        <f>I64-AP64+AQ64</f>
        <v>#VALUE!</v>
      </c>
      <c r="AS64" s="19">
        <v>-50</v>
      </c>
      <c r="AT64" s="19">
        <v>-100</v>
      </c>
      <c r="AU64" s="19">
        <v>-10</v>
      </c>
      <c r="AV64" s="19">
        <v>913</v>
      </c>
      <c r="AW64" s="20" t="e" vm="37">
        <f t="shared" si="35"/>
        <v>#VALUE!</v>
      </c>
      <c r="AX64" s="20" t="e" vm="37">
        <f t="shared" si="36"/>
        <v>#VALUE!</v>
      </c>
      <c r="AY64" s="20" t="e" vm="37">
        <f t="shared" si="37"/>
        <v>#VALUE!</v>
      </c>
      <c r="AZ64" s="21">
        <v>650</v>
      </c>
      <c r="BA64" s="22">
        <f t="shared" si="38"/>
        <v>-0.10952902519167579</v>
      </c>
      <c r="BB64" s="22">
        <f t="shared" si="39"/>
        <v>1.4046153846153846</v>
      </c>
      <c r="BC64" s="23">
        <f t="shared" si="40"/>
        <v>-0.15384615384615383</v>
      </c>
      <c r="BD64" t="s">
        <v>298</v>
      </c>
      <c r="BE64" s="23">
        <f t="shared" si="41"/>
        <v>0</v>
      </c>
      <c r="BF64" t="s">
        <v>299</v>
      </c>
      <c r="BG64" s="23">
        <f t="shared" si="42"/>
        <v>-2.179198639369468</v>
      </c>
      <c r="BH64" s="24">
        <v>12</v>
      </c>
      <c r="BI64" s="24">
        <v>16</v>
      </c>
      <c r="BJ64" s="25" t="e" vm="37">
        <f>(BD64*BH64+$AP64-$AQ64)/$H64</f>
        <v>#VALUE!</v>
      </c>
      <c r="BK64" s="25" t="e" vm="37">
        <f>(BF64*BI64+$AP64-$AQ64)/$H64</f>
        <v>#VALUE!</v>
      </c>
      <c r="BL64" s="23" t="e" vm="37">
        <f t="shared" si="43"/>
        <v>#VALUE!</v>
      </c>
      <c r="BM64" s="23" t="e" vm="37">
        <f t="shared" si="44"/>
        <v>#VALUE!</v>
      </c>
      <c r="BN64" s="93" t="s">
        <v>87</v>
      </c>
      <c r="BO64" s="93" t="s">
        <v>300</v>
      </c>
      <c r="BP64" s="93" t="s">
        <v>101</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tabSelected="1" zoomScaleNormal="100" workbookViewId="0">
      <selection activeCell="D4" sqref="D4:D8"/>
    </sheetView>
  </sheetViews>
  <sheetFormatPr baseColWidth="10" defaultColWidth="8.54296875" defaultRowHeight="14.5" x14ac:dyDescent="0.35"/>
  <cols>
    <col min="1" max="1" width="110" customWidth="1"/>
    <col min="4" max="4" width="11.81640625" customWidth="1"/>
    <col min="5" max="5" width="9.54296875" customWidth="1"/>
  </cols>
  <sheetData>
    <row r="1" spans="1:6" ht="24" customHeight="1" x14ac:dyDescent="0.35">
      <c r="A1" s="95" t="s">
        <v>301</v>
      </c>
      <c r="B1" s="96"/>
      <c r="C1" s="96"/>
      <c r="D1" s="96"/>
      <c r="E1" s="96"/>
      <c r="F1" s="96"/>
    </row>
    <row r="3" spans="1:6" ht="15" customHeight="1" x14ac:dyDescent="0.35">
      <c r="A3" s="27" t="s">
        <v>302</v>
      </c>
    </row>
    <row r="4" spans="1:6" ht="15" customHeight="1" x14ac:dyDescent="0.35">
      <c r="A4" s="28" t="s">
        <v>303</v>
      </c>
      <c r="D4" t="e" vm="38">
        <v>#VALUE!</v>
      </c>
      <c r="E4" s="29">
        <f t="array" aca="1" ref="E4" ca="1">_FV(D4,"Precio")</f>
        <v>186.75</v>
      </c>
    </row>
    <row r="5" spans="1:6" ht="15" customHeight="1" x14ac:dyDescent="0.35">
      <c r="A5" s="28" t="s">
        <v>304</v>
      </c>
      <c r="D5" t="e" vm="39">
        <v>#VALUE!</v>
      </c>
      <c r="E5" s="30">
        <f t="array" aca="1" ref="E5" ca="1">_FV(D5,"Precio")</f>
        <v>1.2734000000000001</v>
      </c>
    </row>
    <row r="6" spans="1:6" ht="15" customHeight="1" x14ac:dyDescent="0.35">
      <c r="A6" s="28" t="s">
        <v>305</v>
      </c>
      <c r="D6" t="e" vm="40">
        <v>#VALUE!</v>
      </c>
      <c r="E6" s="31">
        <f t="array" aca="1" ref="E6" ca="1">_FV(D6,"Precio")</f>
        <v>464.18</v>
      </c>
    </row>
    <row r="7" spans="1:6" ht="15" customHeight="1" x14ac:dyDescent="0.35">
      <c r="D7" t="e" vm="41">
        <v>#VALUE!</v>
      </c>
      <c r="E7" s="30">
        <f t="array" aca="1" ref="E7" ca="1">_FV(D7,"Precio")</f>
        <v>0.73160000000000003</v>
      </c>
    </row>
    <row r="8" spans="1:6" ht="15" customHeight="1" x14ac:dyDescent="0.35">
      <c r="A8" s="27" t="s">
        <v>306</v>
      </c>
      <c r="D8" t="e" vm="42">
        <v>#VALUE!</v>
      </c>
      <c r="E8" s="87">
        <f t="array" aca="1" ref="E8" ca="1">_FV(D8,"Precio")</f>
        <v>0.85319999999999996</v>
      </c>
    </row>
    <row r="9" spans="1:6" ht="15" customHeight="1" x14ac:dyDescent="0.35">
      <c r="A9" s="28" t="s">
        <v>307</v>
      </c>
    </row>
    <row r="10" spans="1:6" ht="15" customHeight="1" x14ac:dyDescent="0.35">
      <c r="A10" s="28" t="s">
        <v>308</v>
      </c>
    </row>
    <row r="11" spans="1:6" ht="15" customHeight="1" x14ac:dyDescent="0.35">
      <c r="A11" s="28" t="s">
        <v>309</v>
      </c>
    </row>
    <row r="12" spans="1:6" ht="15" customHeight="1" x14ac:dyDescent="0.35">
      <c r="A12" s="28" t="s">
        <v>310</v>
      </c>
    </row>
    <row r="13" spans="1:6" ht="15" customHeight="1" x14ac:dyDescent="0.35">
      <c r="A13" s="28" t="s">
        <v>311</v>
      </c>
    </row>
    <row r="14" spans="1:6" ht="15" customHeight="1" x14ac:dyDescent="0.35">
      <c r="A14" s="28" t="s">
        <v>312</v>
      </c>
    </row>
    <row r="15" spans="1:6" ht="15" customHeight="1" x14ac:dyDescent="0.35">
      <c r="A15" s="28" t="s">
        <v>313</v>
      </c>
    </row>
    <row r="16" spans="1:6" ht="15" customHeight="1" x14ac:dyDescent="0.35">
      <c r="A16" s="28" t="s">
        <v>314</v>
      </c>
    </row>
    <row r="18" spans="1:1" ht="15" customHeight="1" x14ac:dyDescent="0.35">
      <c r="A18" s="27" t="s">
        <v>315</v>
      </c>
    </row>
    <row r="19" spans="1:1" ht="15" customHeight="1" x14ac:dyDescent="0.35">
      <c r="A19" s="28" t="s">
        <v>316</v>
      </c>
    </row>
    <row r="20" spans="1:1" ht="15" customHeight="1" x14ac:dyDescent="0.35">
      <c r="A20" s="28" t="s">
        <v>317</v>
      </c>
    </row>
    <row r="21" spans="1:1" ht="15" customHeight="1" x14ac:dyDescent="0.35">
      <c r="A21" s="28" t="s">
        <v>318</v>
      </c>
    </row>
    <row r="22" spans="1:1" ht="15" customHeight="1" x14ac:dyDescent="0.35">
      <c r="A22" s="28" t="s">
        <v>319</v>
      </c>
    </row>
    <row r="23" spans="1:1" ht="15" customHeight="1" x14ac:dyDescent="0.35">
      <c r="A23" s="28" t="s">
        <v>320</v>
      </c>
    </row>
    <row r="24" spans="1:1" ht="15" customHeight="1" x14ac:dyDescent="0.35">
      <c r="A24" s="28" t="s">
        <v>321</v>
      </c>
    </row>
    <row r="25" spans="1:1" ht="15" customHeight="1" x14ac:dyDescent="0.35">
      <c r="A25" s="28" t="s">
        <v>322</v>
      </c>
    </row>
    <row r="26" spans="1:1" ht="15" customHeight="1" x14ac:dyDescent="0.35">
      <c r="A26" s="28" t="s">
        <v>323</v>
      </c>
    </row>
    <row r="28" spans="1:1" ht="15" customHeight="1" x14ac:dyDescent="0.35">
      <c r="A28" s="27" t="s">
        <v>324</v>
      </c>
    </row>
    <row r="29" spans="1:1" ht="15" customHeight="1" x14ac:dyDescent="0.35">
      <c r="A29" s="28" t="s">
        <v>325</v>
      </c>
    </row>
    <row r="30" spans="1:1" ht="15" customHeight="1" x14ac:dyDescent="0.35">
      <c r="A30" s="28" t="s">
        <v>326</v>
      </c>
    </row>
    <row r="31" spans="1:1" ht="15" customHeight="1" x14ac:dyDescent="0.35">
      <c r="A31" s="28" t="s">
        <v>327</v>
      </c>
    </row>
    <row r="32" spans="1:1" ht="15" customHeight="1" x14ac:dyDescent="0.35">
      <c r="A32" s="28" t="s">
        <v>328</v>
      </c>
    </row>
    <row r="33" spans="1:1" ht="15" customHeight="1" x14ac:dyDescent="0.35">
      <c r="A33" s="28" t="s">
        <v>329</v>
      </c>
    </row>
    <row r="34" spans="1:1" ht="15" customHeight="1" x14ac:dyDescent="0.35">
      <c r="A34" s="28" t="s">
        <v>330</v>
      </c>
    </row>
    <row r="35" spans="1:1" ht="15" customHeight="1" x14ac:dyDescent="0.35">
      <c r="A35" s="28" t="s">
        <v>331</v>
      </c>
    </row>
    <row r="36" spans="1:1" ht="15" customHeight="1" x14ac:dyDescent="0.35">
      <c r="A36" s="28" t="s">
        <v>332</v>
      </c>
    </row>
    <row r="38" spans="1:1" ht="15" customHeight="1" x14ac:dyDescent="0.35">
      <c r="A38" s="27" t="s">
        <v>333</v>
      </c>
    </row>
    <row r="39" spans="1:1" ht="15" customHeight="1" x14ac:dyDescent="0.35">
      <c r="A39" s="28" t="s">
        <v>334</v>
      </c>
    </row>
    <row r="40" spans="1:1" ht="15" customHeight="1" x14ac:dyDescent="0.35">
      <c r="A40" s="28" t="s">
        <v>335</v>
      </c>
    </row>
    <row r="42" spans="1:1" ht="15" customHeight="1" x14ac:dyDescent="0.35">
      <c r="A42" s="27" t="s">
        <v>336</v>
      </c>
    </row>
    <row r="43" spans="1:1" ht="15" customHeight="1" x14ac:dyDescent="0.35">
      <c r="A43" s="28" t="s">
        <v>337</v>
      </c>
    </row>
    <row r="44" spans="1:1" ht="15" customHeight="1" x14ac:dyDescent="0.35">
      <c r="A44" s="28" t="s">
        <v>338</v>
      </c>
    </row>
    <row r="45" spans="1:1" ht="15" customHeight="1" x14ac:dyDescent="0.35">
      <c r="A45" s="28" t="s">
        <v>339</v>
      </c>
    </row>
    <row r="46" spans="1:1" ht="15" customHeight="1" x14ac:dyDescent="0.35">
      <c r="A46" s="28" t="s">
        <v>340</v>
      </c>
    </row>
    <row r="47" spans="1:1" ht="15" customHeight="1" x14ac:dyDescent="0.35">
      <c r="A47" s="28" t="s">
        <v>341</v>
      </c>
    </row>
    <row r="49" spans="1:1" ht="15" customHeight="1" x14ac:dyDescent="0.35">
      <c r="A49" s="27" t="s">
        <v>342</v>
      </c>
    </row>
    <row r="50" spans="1:1" ht="15" customHeight="1" x14ac:dyDescent="0.35">
      <c r="A50" s="28" t="s">
        <v>343</v>
      </c>
    </row>
    <row r="51" spans="1:1" ht="15" customHeight="1" x14ac:dyDescent="0.35">
      <c r="A51" s="28" t="s">
        <v>344</v>
      </c>
    </row>
    <row r="52" spans="1:1" ht="15" customHeight="1" x14ac:dyDescent="0.35">
      <c r="A52" s="28" t="s">
        <v>345</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81" activePane="bottomLeft" state="frozen"/>
      <selection pane="bottomLeft" activeCell="P4" sqref="P4"/>
    </sheetView>
  </sheetViews>
  <sheetFormatPr baseColWidth="10" defaultColWidth="10.7265625" defaultRowHeight="14.5" x14ac:dyDescent="0.35"/>
  <cols>
    <col min="1" max="14" width="13.26953125" customWidth="1"/>
    <col min="15" max="16" width="10.7265625" customWidth="1"/>
    <col min="17" max="17" width="16" customWidth="1"/>
    <col min="18" max="29" width="13.26953125" hidden="1" customWidth="1"/>
    <col min="30" max="30" width="2.81640625" customWidth="1"/>
    <col min="31" max="31" width="4.7265625" hidden="1" customWidth="1"/>
    <col min="32" max="32" width="13.26953125" hidden="1" customWidth="1"/>
    <col min="33" max="33" width="10.453125" customWidth="1"/>
    <col min="34" max="43" width="0.1796875" customWidth="1"/>
  </cols>
  <sheetData>
    <row r="1" spans="1:47" ht="45" customHeight="1" x14ac:dyDescent="0.6">
      <c r="A1" s="167" t="s">
        <v>346</v>
      </c>
      <c r="B1" s="96"/>
      <c r="C1" s="96"/>
      <c r="D1" s="96"/>
      <c r="E1" s="96"/>
      <c r="F1" s="96"/>
      <c r="G1" s="96"/>
      <c r="H1" s="96"/>
      <c r="I1" s="96"/>
      <c r="J1" s="96"/>
      <c r="K1" s="96"/>
      <c r="L1" s="96"/>
      <c r="M1" s="32"/>
      <c r="N1" s="32"/>
      <c r="O1" s="32"/>
      <c r="P1" s="32"/>
      <c r="Q1" s="32"/>
      <c r="R1" s="32"/>
    </row>
    <row r="2" spans="1:47" ht="24.75" customHeight="1" x14ac:dyDescent="0.35">
      <c r="A2" s="141" t="s">
        <v>347</v>
      </c>
      <c r="B2" s="142"/>
      <c r="C2" s="142"/>
      <c r="D2" s="142"/>
      <c r="E2" s="142"/>
      <c r="F2" s="142"/>
      <c r="G2" s="142"/>
      <c r="H2" s="142"/>
      <c r="I2" s="142"/>
      <c r="J2" s="142"/>
      <c r="K2" s="142"/>
      <c r="L2" s="142"/>
    </row>
    <row r="3" spans="1:47" ht="24.75" customHeight="1" x14ac:dyDescent="0.35">
      <c r="A3" s="146" t="s">
        <v>348</v>
      </c>
      <c r="B3" s="122"/>
      <c r="C3" s="121" t="s">
        <v>349</v>
      </c>
      <c r="D3" s="122"/>
      <c r="E3" s="123" t="s">
        <v>350</v>
      </c>
      <c r="F3" s="122"/>
      <c r="G3" s="161" t="s">
        <v>351</v>
      </c>
      <c r="H3" s="122"/>
      <c r="I3" s="163" t="s">
        <v>352</v>
      </c>
      <c r="J3" s="122"/>
      <c r="K3" s="137" t="s">
        <v>353</v>
      </c>
      <c r="L3" s="138"/>
    </row>
    <row r="4" spans="1:47" ht="49.5" customHeight="1" x14ac:dyDescent="0.35">
      <c r="A4" s="153">
        <f ca="1">COUNTA('Watchlist Ratings'!B4:B64)</f>
        <v>61</v>
      </c>
      <c r="B4" s="125"/>
      <c r="C4" s="129">
        <f>ROUND(AVERAGE('Watchlist Ratings'!AN4:AN64),2)</f>
        <v>5.96</v>
      </c>
      <c r="D4" s="125"/>
      <c r="E4" s="131" t="str">
        <f>TEXT(AVERAGE('Watchlist Ratings'!BC4:BC64),"0.0%")</f>
        <v>24.5%</v>
      </c>
      <c r="F4" s="125"/>
      <c r="G4" s="131" t="e" vm="37">
        <f ca="1">TEXT(AVERAGE('Watchlist Ratings'!AW4:AW64),"0.0x")</f>
        <v>#VALUE!</v>
      </c>
      <c r="H4" s="125"/>
      <c r="I4" s="131">
        <f ca="1">COUNTIF('Watchlist Ratings'!BM4:BM64,"&gt;0")</f>
        <v>25</v>
      </c>
      <c r="J4" s="125"/>
      <c r="K4" s="168">
        <f>COUNTIF('Watchlist Ratings'!AN4:AN64,"&gt;7.5")</f>
        <v>15</v>
      </c>
      <c r="L4" s="140"/>
    </row>
    <row r="5" spans="1:47" ht="19.5" customHeight="1" x14ac:dyDescent="0.35">
      <c r="A5" s="150" t="s">
        <v>354</v>
      </c>
      <c r="B5" s="125"/>
      <c r="C5" s="124" t="s">
        <v>355</v>
      </c>
      <c r="D5" s="125"/>
      <c r="E5" s="124" t="s">
        <v>356</v>
      </c>
      <c r="F5" s="125"/>
      <c r="G5" s="124" t="s">
        <v>357</v>
      </c>
      <c r="H5" s="125"/>
      <c r="I5" s="124" t="s">
        <v>358</v>
      </c>
      <c r="J5" s="125"/>
      <c r="K5" s="139" t="s">
        <v>359</v>
      </c>
      <c r="L5" s="140"/>
    </row>
    <row r="6" spans="1:47" ht="18" customHeight="1" x14ac:dyDescent="0.35">
      <c r="A6" s="158" t="s">
        <v>360</v>
      </c>
      <c r="B6" s="108"/>
      <c r="C6" s="107" t="s">
        <v>361</v>
      </c>
      <c r="D6" s="108"/>
      <c r="E6" s="107" t="s">
        <v>362</v>
      </c>
      <c r="F6" s="108"/>
      <c r="G6" s="160" t="s">
        <v>363</v>
      </c>
      <c r="H6" s="108"/>
      <c r="I6" s="107" t="s">
        <v>364</v>
      </c>
      <c r="J6" s="108"/>
      <c r="K6" s="135" t="s">
        <v>365</v>
      </c>
      <c r="L6" s="136"/>
      <c r="O6" t="s">
        <v>366</v>
      </c>
      <c r="S6" t="s">
        <v>367</v>
      </c>
      <c r="V6" t="s">
        <v>368</v>
      </c>
      <c r="Y6" t="s">
        <v>369</v>
      </c>
      <c r="AA6" t="s">
        <v>370</v>
      </c>
      <c r="AE6" t="s">
        <v>371</v>
      </c>
      <c r="AF6" t="s">
        <v>372</v>
      </c>
      <c r="AH6" t="s">
        <v>371</v>
      </c>
      <c r="AI6" t="s">
        <v>372</v>
      </c>
      <c r="AJ6" t="s">
        <v>371</v>
      </c>
      <c r="AK6" t="s">
        <v>373</v>
      </c>
      <c r="AL6" t="s">
        <v>374</v>
      </c>
      <c r="AM6" t="s">
        <v>371</v>
      </c>
      <c r="AN6" t="s">
        <v>375</v>
      </c>
      <c r="AO6" t="s">
        <v>371</v>
      </c>
      <c r="AP6" t="s">
        <v>376</v>
      </c>
      <c r="AQ6" t="s">
        <v>377</v>
      </c>
      <c r="AS6" t="s">
        <v>371</v>
      </c>
      <c r="AT6" t="s">
        <v>375</v>
      </c>
      <c r="AU6" t="s">
        <v>377</v>
      </c>
    </row>
    <row r="7" spans="1:47" ht="15.75" customHeight="1" x14ac:dyDescent="0.35">
      <c r="A7" s="33" t="s">
        <v>378</v>
      </c>
      <c r="B7" s="34" t="s">
        <v>371</v>
      </c>
      <c r="C7" s="34" t="s">
        <v>379</v>
      </c>
      <c r="D7" s="34" t="s">
        <v>380</v>
      </c>
      <c r="E7" s="34" t="s">
        <v>381</v>
      </c>
      <c r="F7" s="34" t="s">
        <v>382</v>
      </c>
      <c r="G7" s="34" t="s">
        <v>373</v>
      </c>
      <c r="H7" s="34" t="s">
        <v>383</v>
      </c>
      <c r="I7" s="34" t="s">
        <v>62</v>
      </c>
      <c r="J7" s="35" t="s">
        <v>375</v>
      </c>
      <c r="K7" s="36"/>
      <c r="O7" t="s">
        <v>371</v>
      </c>
      <c r="P7" t="s">
        <v>382</v>
      </c>
      <c r="Q7" t="s">
        <v>384</v>
      </c>
      <c r="S7" t="s">
        <v>371</v>
      </c>
      <c r="T7" t="s">
        <v>62</v>
      </c>
      <c r="V7" t="s">
        <v>371</v>
      </c>
      <c r="W7" t="s">
        <v>373</v>
      </c>
      <c r="X7" t="s">
        <v>374</v>
      </c>
      <c r="Y7" t="s">
        <v>371</v>
      </c>
      <c r="Z7" t="s">
        <v>375</v>
      </c>
      <c r="AA7" t="s">
        <v>371</v>
      </c>
      <c r="AB7" t="s">
        <v>385</v>
      </c>
      <c r="AC7" t="s">
        <v>384</v>
      </c>
      <c r="AE7" t="s">
        <v>386</v>
      </c>
      <c r="AF7">
        <v>83.3333333333333</v>
      </c>
      <c r="AH7" t="s">
        <v>386</v>
      </c>
      <c r="AI7">
        <v>83.3</v>
      </c>
      <c r="AJ7" t="s">
        <v>387</v>
      </c>
      <c r="AK7">
        <v>8</v>
      </c>
      <c r="AL7">
        <v>3</v>
      </c>
      <c r="AM7" t="s">
        <v>388</v>
      </c>
      <c r="AN7">
        <v>52.2</v>
      </c>
      <c r="AO7" t="s">
        <v>387</v>
      </c>
      <c r="AP7">
        <v>4.5</v>
      </c>
      <c r="AQ7">
        <v>33.6</v>
      </c>
      <c r="AS7" t="s">
        <v>387</v>
      </c>
      <c r="AT7">
        <v>20.173600073636401</v>
      </c>
      <c r="AU7">
        <v>33.701681153345</v>
      </c>
    </row>
    <row r="8" spans="1:47" ht="30" customHeight="1" x14ac:dyDescent="0.35">
      <c r="A8" s="159" t="s">
        <v>389</v>
      </c>
      <c r="B8" s="96"/>
      <c r="C8" s="96"/>
      <c r="D8" s="96"/>
      <c r="E8" s="96"/>
      <c r="F8" s="96"/>
      <c r="G8" s="96"/>
      <c r="H8" s="96"/>
      <c r="I8" s="96"/>
      <c r="J8" s="96"/>
      <c r="K8" s="96"/>
      <c r="L8" s="96"/>
      <c r="O8" t="str">
        <f ca="1">'Watchlist Ratings'!B4</f>
        <v>GRMN</v>
      </c>
      <c r="P8" s="37">
        <f>'Watchlist Ratings'!AN4</f>
        <v>8.2799999999999994</v>
      </c>
      <c r="Q8" s="23">
        <f ca="1">'Watchlist Ratings'!BM4</f>
        <v>0.18966923429368165</v>
      </c>
      <c r="S8" t="str">
        <f ca="1">'Watchlist Ratings'!B4</f>
        <v>GRMN</v>
      </c>
      <c r="T8" s="23">
        <f>'Watchlist Ratings'!BC4</f>
        <v>0.53999999999999992</v>
      </c>
      <c r="V8" t="str">
        <f ca="1">'Watchlist Ratings'!B4</f>
        <v>GRMN</v>
      </c>
      <c r="W8" s="38">
        <f>'Watchlist Ratings'!K4</f>
        <v>8</v>
      </c>
      <c r="X8" s="38">
        <f>'Watchlist Ratings'!L4</f>
        <v>2</v>
      </c>
      <c r="Y8" t="str">
        <f ca="1">'Watchlist Ratings'!B4</f>
        <v>GRMN</v>
      </c>
      <c r="Z8">
        <f ca="1">'Watchlist Ratings'!AW4</f>
        <v>34.942988318181818</v>
      </c>
      <c r="AA8" t="str">
        <f ca="1">'Watchlist Ratings'!B4</f>
        <v>GRMN</v>
      </c>
      <c r="AB8">
        <f ca="1">'Watchlist Ratings'!BL4</f>
        <v>-4.719842535992913E-2</v>
      </c>
      <c r="AC8">
        <f ca="1">'Watchlist Ratings'!BM4</f>
        <v>0.18966923429368165</v>
      </c>
      <c r="AE8" t="s">
        <v>390</v>
      </c>
      <c r="AF8">
        <v>83.3333333333333</v>
      </c>
      <c r="AH8" t="s">
        <v>390</v>
      </c>
      <c r="AI8">
        <v>83.3</v>
      </c>
      <c r="AJ8" t="s">
        <v>391</v>
      </c>
      <c r="AK8">
        <v>8</v>
      </c>
      <c r="AL8">
        <v>3</v>
      </c>
      <c r="AM8" t="s">
        <v>392</v>
      </c>
      <c r="AN8">
        <v>51.1</v>
      </c>
      <c r="AO8" t="s">
        <v>393</v>
      </c>
      <c r="AP8">
        <v>3.7</v>
      </c>
      <c r="AQ8">
        <v>32.4</v>
      </c>
      <c r="AS8" t="s">
        <v>391</v>
      </c>
      <c r="AT8">
        <v>44.5724369425714</v>
      </c>
      <c r="AU8">
        <v>10.123218193895701</v>
      </c>
    </row>
    <row r="9" spans="1:47" ht="15" customHeight="1" x14ac:dyDescent="0.35">
      <c r="A9" s="39">
        <v>2</v>
      </c>
      <c r="B9" s="40" t="str">
        <f ca="1">'Watchlist Ratings'!B5</f>
        <v>KRX</v>
      </c>
      <c r="C9" s="41">
        <f>'Watchlist Ratings'!S5</f>
        <v>8.7100000000000009</v>
      </c>
      <c r="D9" s="41">
        <f>'Watchlist Ratings'!AC5</f>
        <v>7.6</v>
      </c>
      <c r="E9" s="41">
        <f>'Watchlist Ratings'!AM5</f>
        <v>7.71</v>
      </c>
      <c r="F9" s="41">
        <f>'Watchlist Ratings'!AN5</f>
        <v>8.01</v>
      </c>
      <c r="G9" s="42">
        <f>'Watchlist Ratings'!K5</f>
        <v>8</v>
      </c>
      <c r="H9" s="42">
        <f>'Watchlist Ratings'!L5</f>
        <v>3</v>
      </c>
      <c r="I9" s="43">
        <f>'Watchlist Ratings'!BC5</f>
        <v>0.3214285714285714</v>
      </c>
      <c r="J9" s="44">
        <f ca="1">'Watchlist Ratings'!AW5</f>
        <v>-0.28284539828571431</v>
      </c>
      <c r="O9" t="str">
        <f ca="1">'Watchlist Ratings'!B5</f>
        <v>KRX</v>
      </c>
      <c r="P9" s="37">
        <f>'Watchlist Ratings'!AN5</f>
        <v>8.01</v>
      </c>
      <c r="Q9" s="23">
        <f ca="1">'Watchlist Ratings'!BM5</f>
        <v>3.3292440932777216</v>
      </c>
      <c r="S9" t="str">
        <f ca="1">'Watchlist Ratings'!B5</f>
        <v>KRX</v>
      </c>
      <c r="T9" s="23">
        <f>'Watchlist Ratings'!BC5</f>
        <v>0.3214285714285714</v>
      </c>
      <c r="V9" t="str">
        <f ca="1">'Watchlist Ratings'!B5</f>
        <v>KRX</v>
      </c>
      <c r="W9" s="38">
        <f>'Watchlist Ratings'!K5</f>
        <v>8</v>
      </c>
      <c r="X9" s="38">
        <f>'Watchlist Ratings'!L5</f>
        <v>3</v>
      </c>
      <c r="Y9" t="str">
        <f ca="1">'Watchlist Ratings'!B5</f>
        <v>KRX</v>
      </c>
      <c r="Z9">
        <f ca="1">'Watchlist Ratings'!AW5</f>
        <v>-0.28284539828571431</v>
      </c>
      <c r="AA9" t="str">
        <f ca="1">'Watchlist Ratings'!B5</f>
        <v>KRX</v>
      </c>
      <c r="AB9">
        <f ca="1">'Watchlist Ratings'!BL5</f>
        <v>1.7536678555065466</v>
      </c>
      <c r="AC9">
        <f ca="1">'Watchlist Ratings'!BM5</f>
        <v>3.3292440932777216</v>
      </c>
      <c r="AE9" t="s">
        <v>394</v>
      </c>
      <c r="AF9">
        <v>59.375</v>
      </c>
      <c r="AH9" t="s">
        <v>394</v>
      </c>
      <c r="AI9">
        <v>59.4</v>
      </c>
      <c r="AJ9" t="s">
        <v>392</v>
      </c>
      <c r="AK9">
        <v>8</v>
      </c>
      <c r="AL9">
        <v>1</v>
      </c>
      <c r="AM9" t="s">
        <v>395</v>
      </c>
      <c r="AN9">
        <v>45.6</v>
      </c>
      <c r="AO9" t="s">
        <v>396</v>
      </c>
      <c r="AP9">
        <v>1.1000000000000001</v>
      </c>
      <c r="AQ9">
        <v>28.4</v>
      </c>
      <c r="AS9" t="s">
        <v>396</v>
      </c>
      <c r="AT9">
        <v>28.571278521519002</v>
      </c>
      <c r="AU9">
        <v>28.414482662692301</v>
      </c>
    </row>
    <row r="10" spans="1:47" ht="15" customHeight="1" x14ac:dyDescent="0.35">
      <c r="A10" s="45">
        <v>3</v>
      </c>
      <c r="B10" s="46" t="str">
        <f ca="1">'Watchlist Ratings'!B6</f>
        <v>KSPI</v>
      </c>
      <c r="C10" s="47">
        <f>'Watchlist Ratings'!S6</f>
        <v>7.49</v>
      </c>
      <c r="D10" s="47">
        <f>'Watchlist Ratings'!AC6</f>
        <v>7.4</v>
      </c>
      <c r="E10" s="47">
        <f>'Watchlist Ratings'!AM6</f>
        <v>8.2899999999999991</v>
      </c>
      <c r="F10" s="47">
        <f>'Watchlist Ratings'!AN6</f>
        <v>7.73</v>
      </c>
      <c r="G10" s="48">
        <f>'Watchlist Ratings'!K6</f>
        <v>7</v>
      </c>
      <c r="H10" s="48">
        <f>'Watchlist Ratings'!L6</f>
        <v>2</v>
      </c>
      <c r="I10" s="49">
        <f>'Watchlist Ratings'!BC6</f>
        <v>0.23999999999999996</v>
      </c>
      <c r="J10" s="50">
        <f ca="1">'Watchlist Ratings'!AW6</f>
        <v>10.213385550632909</v>
      </c>
      <c r="O10" t="str">
        <f ca="1">'Watchlist Ratings'!B6</f>
        <v>KSPI</v>
      </c>
      <c r="P10" s="37">
        <f>'Watchlist Ratings'!AN6</f>
        <v>7.73</v>
      </c>
      <c r="Q10" s="23">
        <f ca="1">'Watchlist Ratings'!BM6</f>
        <v>0.50273572382128195</v>
      </c>
      <c r="S10" t="str">
        <f ca="1">'Watchlist Ratings'!B6</f>
        <v>KSPI</v>
      </c>
      <c r="T10" s="23">
        <f>'Watchlist Ratings'!BC6</f>
        <v>0.23999999999999996</v>
      </c>
      <c r="V10" t="str">
        <f ca="1">'Watchlist Ratings'!B6</f>
        <v>KSPI</v>
      </c>
      <c r="W10" s="38">
        <f>'Watchlist Ratings'!K6</f>
        <v>7</v>
      </c>
      <c r="X10" s="38">
        <f>'Watchlist Ratings'!L6</f>
        <v>2</v>
      </c>
      <c r="Y10" t="str">
        <f ca="1">'Watchlist Ratings'!B6</f>
        <v>KSPI</v>
      </c>
      <c r="Z10">
        <f ca="1">'Watchlist Ratings'!AW6</f>
        <v>10.213385550632909</v>
      </c>
      <c r="AA10" t="str">
        <f ca="1">'Watchlist Ratings'!B6</f>
        <v>KSPI</v>
      </c>
      <c r="AB10">
        <f ca="1">'Watchlist Ratings'!BL6</f>
        <v>0.14677042064195978</v>
      </c>
      <c r="AC10">
        <f ca="1">'Watchlist Ratings'!BM6</f>
        <v>0.50273572382128195</v>
      </c>
      <c r="AE10" t="s">
        <v>387</v>
      </c>
      <c r="AF10">
        <v>54</v>
      </c>
      <c r="AH10" t="s">
        <v>387</v>
      </c>
      <c r="AI10">
        <v>54</v>
      </c>
      <c r="AJ10" t="s">
        <v>388</v>
      </c>
      <c r="AK10">
        <v>8</v>
      </c>
      <c r="AL10">
        <v>3</v>
      </c>
      <c r="AM10" t="s">
        <v>391</v>
      </c>
      <c r="AN10">
        <v>44.8</v>
      </c>
      <c r="AO10" t="s">
        <v>397</v>
      </c>
      <c r="AP10">
        <v>1.8</v>
      </c>
      <c r="AQ10">
        <v>25</v>
      </c>
      <c r="AS10" t="s">
        <v>398</v>
      </c>
      <c r="AT10">
        <v>24.369253736000001</v>
      </c>
      <c r="AU10">
        <v>23.4863412384314</v>
      </c>
    </row>
    <row r="11" spans="1:47" ht="15" customHeight="1" x14ac:dyDescent="0.35">
      <c r="A11" s="39">
        <v>4</v>
      </c>
      <c r="B11" s="40" t="str">
        <f ca="1">'Watchlist Ratings'!B7</f>
        <v>CBAV</v>
      </c>
      <c r="C11" s="41">
        <f>'Watchlist Ratings'!S7</f>
        <v>8.48</v>
      </c>
      <c r="D11" s="41">
        <f>'Watchlist Ratings'!AC7</f>
        <v>7.9</v>
      </c>
      <c r="E11" s="41">
        <f>'Watchlist Ratings'!AM7</f>
        <v>7.57</v>
      </c>
      <c r="F11" s="41">
        <f>'Watchlist Ratings'!AN7</f>
        <v>7.98</v>
      </c>
      <c r="G11" s="42">
        <f>'Watchlist Ratings'!K7</f>
        <v>7</v>
      </c>
      <c r="H11" s="42">
        <f>'Watchlist Ratings'!L7</f>
        <v>3</v>
      </c>
      <c r="I11" s="43">
        <f>'Watchlist Ratings'!BC7</f>
        <v>6.1111111111111109E-2</v>
      </c>
      <c r="J11" s="44">
        <f ca="1">'Watchlist Ratings'!AW7</f>
        <v>1.4124933864285716</v>
      </c>
      <c r="O11" t="str">
        <f ca="1">'Watchlist Ratings'!B7</f>
        <v>CBAV</v>
      </c>
      <c r="P11" s="37">
        <f>'Watchlist Ratings'!AN7</f>
        <v>7.98</v>
      </c>
      <c r="Q11" s="23">
        <f ca="1">'Watchlist Ratings'!BM7</f>
        <v>3.1389694076464876</v>
      </c>
      <c r="S11" t="str">
        <f ca="1">'Watchlist Ratings'!B7</f>
        <v>CBAV</v>
      </c>
      <c r="T11" s="23">
        <f>'Watchlist Ratings'!BC7</f>
        <v>6.1111111111111109E-2</v>
      </c>
      <c r="V11" t="str">
        <f ca="1">'Watchlist Ratings'!B7</f>
        <v>CBAV</v>
      </c>
      <c r="W11" s="38">
        <f>'Watchlist Ratings'!K7</f>
        <v>7</v>
      </c>
      <c r="X11" s="38">
        <f>'Watchlist Ratings'!L7</f>
        <v>3</v>
      </c>
      <c r="Y11" t="str">
        <f ca="1">'Watchlist Ratings'!B7</f>
        <v>CBAV</v>
      </c>
      <c r="Z11">
        <f ca="1">'Watchlist Ratings'!AW7</f>
        <v>1.4124933864285716</v>
      </c>
      <c r="AA11" t="str">
        <f ca="1">'Watchlist Ratings'!B7</f>
        <v>CBAV</v>
      </c>
      <c r="AB11">
        <f ca="1">'Watchlist Ratings'!BL7</f>
        <v>1.6514001676460865</v>
      </c>
      <c r="AC11">
        <f ca="1">'Watchlist Ratings'!BM7</f>
        <v>3.1389694076464876</v>
      </c>
      <c r="AE11" t="s">
        <v>399</v>
      </c>
      <c r="AF11">
        <v>41.6666666666667</v>
      </c>
      <c r="AH11" t="s">
        <v>399</v>
      </c>
      <c r="AI11">
        <v>41.7</v>
      </c>
      <c r="AJ11" t="s">
        <v>400</v>
      </c>
      <c r="AK11">
        <v>8</v>
      </c>
      <c r="AL11">
        <v>2</v>
      </c>
      <c r="AM11" t="s">
        <v>401</v>
      </c>
      <c r="AN11">
        <v>43.6</v>
      </c>
      <c r="AO11" t="s">
        <v>398</v>
      </c>
      <c r="AP11">
        <v>0.6</v>
      </c>
      <c r="AQ11">
        <v>23.3</v>
      </c>
      <c r="AS11" t="s">
        <v>392</v>
      </c>
      <c r="AT11">
        <v>51.179748126470599</v>
      </c>
      <c r="AU11">
        <v>0.80673234994763598</v>
      </c>
    </row>
    <row r="12" spans="1:47" ht="15" customHeight="1" x14ac:dyDescent="0.35">
      <c r="A12" s="45">
        <v>5</v>
      </c>
      <c r="B12" s="46" t="str">
        <f ca="1">'Watchlist Ratings'!B8</f>
        <v>NVDA</v>
      </c>
      <c r="C12" s="47">
        <f>'Watchlist Ratings'!S8</f>
        <v>7.81</v>
      </c>
      <c r="D12" s="47">
        <f>'Watchlist Ratings'!AC8</f>
        <v>7.8</v>
      </c>
      <c r="E12" s="47">
        <f>'Watchlist Ratings'!AM8</f>
        <v>8.43</v>
      </c>
      <c r="F12" s="47">
        <f>'Watchlist Ratings'!AN8</f>
        <v>8.01</v>
      </c>
      <c r="G12" s="48">
        <f>'Watchlist Ratings'!K8</f>
        <v>8</v>
      </c>
      <c r="H12" s="48">
        <f>'Watchlist Ratings'!L8</f>
        <v>1</v>
      </c>
      <c r="I12" s="49">
        <f>'Watchlist Ratings'!BC8</f>
        <v>0.1875</v>
      </c>
      <c r="J12" s="50">
        <f ca="1">'Watchlist Ratings'!AW8</f>
        <v>641.45527289411757</v>
      </c>
      <c r="O12" t="str">
        <f ca="1">'Watchlist Ratings'!B8</f>
        <v>NVDA</v>
      </c>
      <c r="P12" s="37">
        <f>'Watchlist Ratings'!AN8</f>
        <v>8.01</v>
      </c>
      <c r="Q12" s="23">
        <f ca="1">'Watchlist Ratings'!BM8</f>
        <v>-0.46282754555526617</v>
      </c>
      <c r="S12" t="str">
        <f ca="1">'Watchlist Ratings'!B8</f>
        <v>NVDA</v>
      </c>
      <c r="T12" s="23">
        <f>'Watchlist Ratings'!BC8</f>
        <v>0.1875</v>
      </c>
      <c r="V12" t="str">
        <f ca="1">'Watchlist Ratings'!B8</f>
        <v>NVDA</v>
      </c>
      <c r="W12" s="38">
        <f>'Watchlist Ratings'!K8</f>
        <v>8</v>
      </c>
      <c r="X12" s="38">
        <f>'Watchlist Ratings'!L8</f>
        <v>1</v>
      </c>
      <c r="Y12" t="str">
        <f ca="1">'Watchlist Ratings'!B8</f>
        <v>NVDA</v>
      </c>
      <c r="Z12">
        <f ca="1">'Watchlist Ratings'!AW8</f>
        <v>641.45527289411757</v>
      </c>
      <c r="AA12" t="str">
        <f ca="1">'Watchlist Ratings'!B8</f>
        <v>NVDA</v>
      </c>
      <c r="AB12">
        <f ca="1">'Watchlist Ratings'!BL8</f>
        <v>-0.46802905294215036</v>
      </c>
      <c r="AC12">
        <f ca="1">'Watchlist Ratings'!BM8</f>
        <v>-0.46282754555526617</v>
      </c>
      <c r="AE12" t="s">
        <v>402</v>
      </c>
      <c r="AF12">
        <v>38.3333333333333</v>
      </c>
      <c r="AH12" t="s">
        <v>402</v>
      </c>
      <c r="AI12">
        <v>38.299999999999997</v>
      </c>
      <c r="AJ12" t="s">
        <v>396</v>
      </c>
      <c r="AK12">
        <v>7</v>
      </c>
      <c r="AL12">
        <v>3</v>
      </c>
      <c r="AM12" t="s">
        <v>394</v>
      </c>
      <c r="AN12">
        <v>40.299999999999997</v>
      </c>
      <c r="AO12" t="s">
        <v>403</v>
      </c>
      <c r="AP12">
        <v>-0.1</v>
      </c>
      <c r="AQ12">
        <v>20.8</v>
      </c>
      <c r="AS12" t="s">
        <v>403</v>
      </c>
      <c r="AT12">
        <v>25.7039266520833</v>
      </c>
      <c r="AU12">
        <v>20.9506730863196</v>
      </c>
    </row>
    <row r="13" spans="1:47" ht="15" customHeight="1" x14ac:dyDescent="0.35">
      <c r="A13" s="39">
        <v>6</v>
      </c>
      <c r="B13" s="40" t="str">
        <f ca="1">'Watchlist Ratings'!B9</f>
        <v>COR</v>
      </c>
      <c r="C13" s="41">
        <f>'Watchlist Ratings'!S9</f>
        <v>7.24</v>
      </c>
      <c r="D13" s="41">
        <f>'Watchlist Ratings'!AC9</f>
        <v>7.5</v>
      </c>
      <c r="E13" s="41">
        <f>'Watchlist Ratings'!AM9</f>
        <v>8.7100000000000009</v>
      </c>
      <c r="F13" s="41">
        <f>'Watchlist Ratings'!AN9</f>
        <v>7.82</v>
      </c>
      <c r="G13" s="42">
        <f>'Watchlist Ratings'!K9</f>
        <v>7</v>
      </c>
      <c r="H13" s="42">
        <f>'Watchlist Ratings'!L9</f>
        <v>2</v>
      </c>
      <c r="I13" s="43">
        <f>'Watchlist Ratings'!BC9</f>
        <v>0.16842105263157894</v>
      </c>
      <c r="J13" s="44">
        <f ca="1">'Watchlist Ratings'!AW9</f>
        <v>2.3847499999999999</v>
      </c>
      <c r="L13" s="36" t="s">
        <v>404</v>
      </c>
      <c r="M13" t="s">
        <v>405</v>
      </c>
      <c r="O13" t="str">
        <f ca="1">'Watchlist Ratings'!B9</f>
        <v>COR</v>
      </c>
      <c r="P13" s="37">
        <f>'Watchlist Ratings'!AN9</f>
        <v>7.82</v>
      </c>
      <c r="Q13" s="23">
        <f ca="1">'Watchlist Ratings'!BM9</f>
        <v>0.96936263684968993</v>
      </c>
      <c r="S13" t="str">
        <f ca="1">'Watchlist Ratings'!B9</f>
        <v>COR</v>
      </c>
      <c r="T13" s="23">
        <f>'Watchlist Ratings'!BC9</f>
        <v>0.16842105263157894</v>
      </c>
      <c r="V13" t="str">
        <f ca="1">'Watchlist Ratings'!B9</f>
        <v>COR</v>
      </c>
      <c r="W13" s="38">
        <f>'Watchlist Ratings'!K9</f>
        <v>7</v>
      </c>
      <c r="X13" s="38">
        <f>'Watchlist Ratings'!L9</f>
        <v>2</v>
      </c>
      <c r="Y13" t="str">
        <f ca="1">'Watchlist Ratings'!B9</f>
        <v>COR</v>
      </c>
      <c r="Z13">
        <f ca="1">'Watchlist Ratings'!AW9</f>
        <v>2.3847499999999999</v>
      </c>
      <c r="AA13" t="str">
        <f ca="1">'Watchlist Ratings'!B9</f>
        <v>COR</v>
      </c>
      <c r="AB13">
        <f ca="1">'Watchlist Ratings'!BL9</f>
        <v>0.47736486514825094</v>
      </c>
      <c r="AC13">
        <f ca="1">'Watchlist Ratings'!BM9</f>
        <v>0.96936263684968993</v>
      </c>
      <c r="AE13" t="s">
        <v>397</v>
      </c>
      <c r="AF13">
        <v>37.5</v>
      </c>
      <c r="AH13" t="s">
        <v>397</v>
      </c>
      <c r="AI13">
        <v>37.5</v>
      </c>
      <c r="AJ13" t="s">
        <v>398</v>
      </c>
      <c r="AK13">
        <v>7</v>
      </c>
      <c r="AL13">
        <v>3</v>
      </c>
      <c r="AM13" t="s">
        <v>406</v>
      </c>
      <c r="AN13">
        <v>38.9</v>
      </c>
      <c r="AO13" t="s">
        <v>407</v>
      </c>
      <c r="AP13">
        <v>4.7</v>
      </c>
      <c r="AQ13">
        <v>32.9</v>
      </c>
      <c r="AS13" t="s">
        <v>402</v>
      </c>
      <c r="AT13">
        <v>29.589673076923098</v>
      </c>
      <c r="AU13">
        <v>13.4877131347373</v>
      </c>
    </row>
    <row r="14" spans="1:47" ht="15" customHeight="1" x14ac:dyDescent="0.35">
      <c r="A14" s="45">
        <v>7</v>
      </c>
      <c r="B14" s="46" t="str">
        <f ca="1">'Watchlist Ratings'!B10</f>
        <v>TSM</v>
      </c>
      <c r="C14" s="47">
        <f>'Watchlist Ratings'!S10</f>
        <v>8.1300000000000008</v>
      </c>
      <c r="D14" s="47">
        <f>'Watchlist Ratings'!AC10</f>
        <v>7.5</v>
      </c>
      <c r="E14" s="47">
        <f>'Watchlist Ratings'!AM10</f>
        <v>8.2899999999999991</v>
      </c>
      <c r="F14" s="47">
        <f>'Watchlist Ratings'!AN10</f>
        <v>7.97</v>
      </c>
      <c r="G14" s="48">
        <f>'Watchlist Ratings'!K10</f>
        <v>7</v>
      </c>
      <c r="H14" s="48">
        <f>'Watchlist Ratings'!L10</f>
        <v>2</v>
      </c>
      <c r="I14" s="49">
        <f>'Watchlist Ratings'!BC10</f>
        <v>1.5999999999999999</v>
      </c>
      <c r="J14" s="50">
        <f ca="1">'Watchlist Ratings'!AW10</f>
        <v>2035.8284434466023</v>
      </c>
      <c r="L14" t="s">
        <v>408</v>
      </c>
      <c r="M14">
        <f>COUNTIF('Watchlist Ratings'!AN4:AN64,"&gt;=8")</f>
        <v>5</v>
      </c>
      <c r="O14" t="str">
        <f ca="1">'Watchlist Ratings'!B10</f>
        <v>TSM</v>
      </c>
      <c r="P14" s="37">
        <f>'Watchlist Ratings'!AN10</f>
        <v>7.97</v>
      </c>
      <c r="Q14" s="23">
        <f ca="1">'Watchlist Ratings'!BM10</f>
        <v>-0.7183707046686364</v>
      </c>
      <c r="S14" t="str">
        <f ca="1">'Watchlist Ratings'!B10</f>
        <v>TSM</v>
      </c>
      <c r="T14" s="23">
        <f>'Watchlist Ratings'!BC10</f>
        <v>1.5999999999999999</v>
      </c>
      <c r="V14" t="str">
        <f ca="1">'Watchlist Ratings'!B10</f>
        <v>TSM</v>
      </c>
      <c r="W14" s="38">
        <f>'Watchlist Ratings'!K10</f>
        <v>7</v>
      </c>
      <c r="X14" s="38">
        <f>'Watchlist Ratings'!L10</f>
        <v>2</v>
      </c>
      <c r="Y14" t="str">
        <f ca="1">'Watchlist Ratings'!B10</f>
        <v>TSM</v>
      </c>
      <c r="Z14">
        <f ca="1">'Watchlist Ratings'!AW10</f>
        <v>2035.8284434466023</v>
      </c>
      <c r="AA14" t="str">
        <f ca="1">'Watchlist Ratings'!B10</f>
        <v>TSM</v>
      </c>
      <c r="AB14">
        <f ca="1">'Watchlist Ratings'!BL10</f>
        <v>-0.69832466218577849</v>
      </c>
      <c r="AC14">
        <f ca="1">'Watchlist Ratings'!BM10</f>
        <v>-0.7183707046686364</v>
      </c>
      <c r="AE14" t="s">
        <v>409</v>
      </c>
      <c r="AF14">
        <v>37.142857142857103</v>
      </c>
      <c r="AH14" t="s">
        <v>409</v>
      </c>
      <c r="AI14">
        <v>37.1</v>
      </c>
      <c r="AJ14" t="s">
        <v>403</v>
      </c>
      <c r="AK14">
        <v>7</v>
      </c>
      <c r="AL14">
        <v>2</v>
      </c>
      <c r="AM14" t="s">
        <v>400</v>
      </c>
      <c r="AN14">
        <v>38.5</v>
      </c>
      <c r="AO14" t="s">
        <v>410</v>
      </c>
      <c r="AP14">
        <v>-4.2</v>
      </c>
      <c r="AQ14">
        <v>13.7</v>
      </c>
      <c r="AS14" t="s">
        <v>393</v>
      </c>
      <c r="AT14">
        <v>26.244954871232899</v>
      </c>
      <c r="AU14">
        <v>32.575210542620198</v>
      </c>
    </row>
    <row r="15" spans="1:47" ht="15" customHeight="1" x14ac:dyDescent="0.35">
      <c r="A15" s="39">
        <v>8</v>
      </c>
      <c r="B15" s="40" t="str">
        <f ca="1">'Watchlist Ratings'!B11</f>
        <v>SPOT</v>
      </c>
      <c r="C15" s="41">
        <f>'Watchlist Ratings'!S11</f>
        <v>8.07</v>
      </c>
      <c r="D15" s="41">
        <f>'Watchlist Ratings'!AC11</f>
        <v>7</v>
      </c>
      <c r="E15" s="41">
        <f>'Watchlist Ratings'!AM11</f>
        <v>7.29</v>
      </c>
      <c r="F15" s="41">
        <f>'Watchlist Ratings'!AN11</f>
        <v>7.45</v>
      </c>
      <c r="G15" s="42">
        <f>'Watchlist Ratings'!K11</f>
        <v>6</v>
      </c>
      <c r="H15" s="42">
        <f>'Watchlist Ratings'!L11</f>
        <v>2</v>
      </c>
      <c r="I15" s="43">
        <f>'Watchlist Ratings'!BC11</f>
        <v>0.15</v>
      </c>
      <c r="J15" s="44">
        <f ca="1">'Watchlist Ratings'!AW11</f>
        <v>122.25255290684932</v>
      </c>
      <c r="L15" t="s">
        <v>411</v>
      </c>
      <c r="M15">
        <f>COUNTIFS('Watchlist Ratings'!AN4:AN64,"&gt;=7",'Watchlist Ratings'!AN4:AN64,"&lt;8")</f>
        <v>14</v>
      </c>
      <c r="O15" t="str">
        <f ca="1">'Watchlist Ratings'!B11</f>
        <v>SPOT</v>
      </c>
      <c r="P15" s="37">
        <f>'Watchlist Ratings'!AN11</f>
        <v>7.45</v>
      </c>
      <c r="Q15" s="23">
        <f ca="1">'Watchlist Ratings'!BM11</f>
        <v>-7.6701526927437924E-2</v>
      </c>
      <c r="S15" t="str">
        <f ca="1">'Watchlist Ratings'!B11</f>
        <v>SPOT</v>
      </c>
      <c r="T15" s="23">
        <f>'Watchlist Ratings'!BC11</f>
        <v>0.15</v>
      </c>
      <c r="V15" t="str">
        <f ca="1">'Watchlist Ratings'!B11</f>
        <v>SPOT</v>
      </c>
      <c r="W15" s="38">
        <f>'Watchlist Ratings'!K11</f>
        <v>6</v>
      </c>
      <c r="X15" s="38">
        <f>'Watchlist Ratings'!L11</f>
        <v>2</v>
      </c>
      <c r="Y15" t="str">
        <f ca="1">'Watchlist Ratings'!B11</f>
        <v>SPOT</v>
      </c>
      <c r="Z15">
        <f ca="1">'Watchlist Ratings'!AW11</f>
        <v>122.25255290684932</v>
      </c>
      <c r="AA15" t="str">
        <f ca="1">'Watchlist Ratings'!B11</f>
        <v>SPOT</v>
      </c>
      <c r="AB15">
        <f ca="1">'Watchlist Ratings'!BL11</f>
        <v>-0.22320602669300493</v>
      </c>
      <c r="AC15">
        <f ca="1">'Watchlist Ratings'!BM11</f>
        <v>-7.6701526927437924E-2</v>
      </c>
      <c r="AE15" t="s">
        <v>410</v>
      </c>
      <c r="AF15">
        <v>36.1111111111111</v>
      </c>
      <c r="AH15" t="s">
        <v>410</v>
      </c>
      <c r="AI15">
        <v>36.1</v>
      </c>
      <c r="AJ15" t="s">
        <v>402</v>
      </c>
      <c r="AK15">
        <v>7</v>
      </c>
      <c r="AL15">
        <v>2</v>
      </c>
      <c r="AM15" t="s">
        <v>412</v>
      </c>
      <c r="AN15">
        <v>37.700000000000003</v>
      </c>
      <c r="AO15" t="s">
        <v>402</v>
      </c>
      <c r="AP15">
        <v>-8</v>
      </c>
      <c r="AQ15">
        <v>13.5</v>
      </c>
      <c r="AS15" t="s">
        <v>413</v>
      </c>
      <c r="AT15">
        <v>27.905545425233299</v>
      </c>
      <c r="AU15">
        <v>8.8031472249346301</v>
      </c>
    </row>
    <row r="16" spans="1:47" ht="15" customHeight="1" x14ac:dyDescent="0.35">
      <c r="A16" s="45">
        <v>9</v>
      </c>
      <c r="B16" s="46" t="str">
        <f ca="1">'Watchlist Ratings'!B12</f>
        <v>PRY</v>
      </c>
      <c r="C16" s="47">
        <f>'Watchlist Ratings'!S12</f>
        <v>8.1300000000000008</v>
      </c>
      <c r="D16" s="47">
        <f>'Watchlist Ratings'!AC12</f>
        <v>7.6</v>
      </c>
      <c r="E16" s="47">
        <f>'Watchlist Ratings'!AM12</f>
        <v>8.14</v>
      </c>
      <c r="F16" s="47">
        <f>'Watchlist Ratings'!AN12</f>
        <v>7.96</v>
      </c>
      <c r="G16" s="48">
        <f>'Watchlist Ratings'!K12</f>
        <v>7</v>
      </c>
      <c r="H16" s="48">
        <f>'Watchlist Ratings'!L12</f>
        <v>3</v>
      </c>
      <c r="I16" s="49">
        <f>'Watchlist Ratings'!BC12</f>
        <v>0.21874999999999997</v>
      </c>
      <c r="J16" s="50">
        <f ca="1">'Watchlist Ratings'!AW12</f>
        <v>19.840529357265151</v>
      </c>
      <c r="L16" t="s">
        <v>414</v>
      </c>
      <c r="M16">
        <f>COUNTIFS('Watchlist Ratings'!AN4:AN64,"&gt;=6",'Watchlist Ratings'!AN4:AN64,"&lt;7")</f>
        <v>14</v>
      </c>
      <c r="O16" t="str">
        <f ca="1">'Watchlist Ratings'!B12</f>
        <v>PRY</v>
      </c>
      <c r="P16" s="37">
        <f>'Watchlist Ratings'!AN12</f>
        <v>7.96</v>
      </c>
      <c r="Q16" s="23">
        <f ca="1">'Watchlist Ratings'!BM12</f>
        <v>0.16489292359509067</v>
      </c>
      <c r="S16" t="str">
        <f ca="1">'Watchlist Ratings'!B12</f>
        <v>PRY</v>
      </c>
      <c r="T16" s="23">
        <f>'Watchlist Ratings'!BC12</f>
        <v>0.21874999999999997</v>
      </c>
      <c r="V16" t="str">
        <f ca="1">'Watchlist Ratings'!B12</f>
        <v>PRY</v>
      </c>
      <c r="W16" s="38">
        <f>'Watchlist Ratings'!K12</f>
        <v>7</v>
      </c>
      <c r="X16" s="38">
        <f>'Watchlist Ratings'!L12</f>
        <v>3</v>
      </c>
      <c r="Y16" t="str">
        <f ca="1">'Watchlist Ratings'!B12</f>
        <v>PRY</v>
      </c>
      <c r="Z16">
        <f ca="1">'Watchlist Ratings'!AW12</f>
        <v>19.840529357265151</v>
      </c>
      <c r="AA16" t="str">
        <f ca="1">'Watchlist Ratings'!B12</f>
        <v>PRY</v>
      </c>
      <c r="AB16">
        <f ca="1">'Watchlist Ratings'!BL12</f>
        <v>-4.08966412246905E-2</v>
      </c>
      <c r="AC16">
        <f ca="1">'Watchlist Ratings'!BM12</f>
        <v>0.16489292359509067</v>
      </c>
      <c r="AE16" t="s">
        <v>391</v>
      </c>
      <c r="AF16">
        <v>32.142857142857103</v>
      </c>
      <c r="AH16" t="s">
        <v>391</v>
      </c>
      <c r="AI16">
        <v>32.1</v>
      </c>
      <c r="AJ16" t="s">
        <v>413</v>
      </c>
      <c r="AK16">
        <v>7</v>
      </c>
      <c r="AL16">
        <v>3</v>
      </c>
      <c r="AM16" t="s">
        <v>402</v>
      </c>
      <c r="AN16">
        <v>29.6</v>
      </c>
      <c r="AO16" t="s">
        <v>400</v>
      </c>
      <c r="AP16">
        <v>-7.9</v>
      </c>
      <c r="AQ16">
        <v>12.3</v>
      </c>
      <c r="AS16" t="s">
        <v>388</v>
      </c>
      <c r="AT16">
        <v>52.2229498644231</v>
      </c>
      <c r="AU16">
        <v>4.7817205741696798</v>
      </c>
    </row>
    <row r="17" spans="1:47" ht="15" customHeight="1" x14ac:dyDescent="0.35">
      <c r="A17" s="39">
        <v>10</v>
      </c>
      <c r="B17" s="40" t="str">
        <f ca="1">'Watchlist Ratings'!B13</f>
        <v>JFN</v>
      </c>
      <c r="C17" s="41">
        <f>'Watchlist Ratings'!S13</f>
        <v>9.25</v>
      </c>
      <c r="D17" s="41">
        <f>'Watchlist Ratings'!AC13</f>
        <v>7.7</v>
      </c>
      <c r="E17" s="41">
        <f>'Watchlist Ratings'!AM13</f>
        <v>7.29</v>
      </c>
      <c r="F17" s="41">
        <f>'Watchlist Ratings'!AN13</f>
        <v>8.08</v>
      </c>
      <c r="G17" s="42">
        <f>'Watchlist Ratings'!K13</f>
        <v>8</v>
      </c>
      <c r="H17" s="42">
        <f>'Watchlist Ratings'!L13</f>
        <v>3</v>
      </c>
      <c r="I17" s="43">
        <f>'Watchlist Ratings'!BC13</f>
        <v>0.18333333333333335</v>
      </c>
      <c r="J17" s="44">
        <f ca="1">'Watchlist Ratings'!AW13</f>
        <v>-0.26024033653846151</v>
      </c>
      <c r="L17" t="s">
        <v>415</v>
      </c>
      <c r="M17">
        <f>COUNTIF('Watchlist Ratings'!AN4:AN64,"&lt;6")</f>
        <v>28</v>
      </c>
      <c r="O17" t="str">
        <f ca="1">'Watchlist Ratings'!B13</f>
        <v>JFN</v>
      </c>
      <c r="P17" s="37">
        <f>'Watchlist Ratings'!AN13</f>
        <v>8.08</v>
      </c>
      <c r="Q17" s="23">
        <f ca="1">'Watchlist Ratings'!BM13</f>
        <v>5.881847932794261</v>
      </c>
      <c r="S17" t="str">
        <f ca="1">'Watchlist Ratings'!B13</f>
        <v>JFN</v>
      </c>
      <c r="T17" s="23">
        <f>'Watchlist Ratings'!BC13</f>
        <v>0.18333333333333335</v>
      </c>
      <c r="V17" t="str">
        <f ca="1">'Watchlist Ratings'!B13</f>
        <v>JFN</v>
      </c>
      <c r="W17" s="38">
        <f>'Watchlist Ratings'!K13</f>
        <v>8</v>
      </c>
      <c r="X17" s="38">
        <f>'Watchlist Ratings'!L13</f>
        <v>3</v>
      </c>
      <c r="Y17" t="str">
        <f ca="1">'Watchlist Ratings'!B13</f>
        <v>JFN</v>
      </c>
      <c r="Z17">
        <f ca="1">'Watchlist Ratings'!AW13</f>
        <v>-0.26024033653846151</v>
      </c>
      <c r="AA17" t="str">
        <f ca="1">'Watchlist Ratings'!B13</f>
        <v>JFN</v>
      </c>
      <c r="AB17">
        <f ca="1">'Watchlist Ratings'!BL13</f>
        <v>3.0784571440492972</v>
      </c>
      <c r="AC17">
        <f ca="1">'Watchlist Ratings'!BM13</f>
        <v>5.881847932794261</v>
      </c>
      <c r="AS17" t="s">
        <v>412</v>
      </c>
      <c r="AT17">
        <v>37.736707694444398</v>
      </c>
      <c r="AU17">
        <v>5.3744270407932504</v>
      </c>
    </row>
    <row r="18" spans="1:47" ht="15" customHeight="1" x14ac:dyDescent="0.35">
      <c r="A18" s="45">
        <v>11</v>
      </c>
      <c r="B18" s="46" t="str">
        <f ca="1">'Watchlist Ratings'!B14</f>
        <v>CPR</v>
      </c>
      <c r="C18" s="47">
        <f>'Watchlist Ratings'!S14</f>
        <v>8.14</v>
      </c>
      <c r="D18" s="47">
        <f>'Watchlist Ratings'!AC14</f>
        <v>7.7</v>
      </c>
      <c r="E18" s="47">
        <f>'Watchlist Ratings'!AM14</f>
        <v>7.71</v>
      </c>
      <c r="F18" s="47">
        <f>'Watchlist Ratings'!AN14</f>
        <v>7.85</v>
      </c>
      <c r="G18" s="48">
        <f>'Watchlist Ratings'!K14</f>
        <v>7</v>
      </c>
      <c r="H18" s="48">
        <f>'Watchlist Ratings'!L14</f>
        <v>3</v>
      </c>
      <c r="I18" s="49">
        <f>'Watchlist Ratings'!BC14</f>
        <v>0.12631578947368421</v>
      </c>
      <c r="J18" s="50">
        <f ca="1">'Watchlist Ratings'!AW14</f>
        <v>3.478068830222222</v>
      </c>
      <c r="O18" t="str">
        <f ca="1">'Watchlist Ratings'!B14</f>
        <v>CPR</v>
      </c>
      <c r="P18" s="37">
        <f>'Watchlist Ratings'!AN14</f>
        <v>7.85</v>
      </c>
      <c r="Q18" s="23">
        <f ca="1">'Watchlist Ratings'!BM14</f>
        <v>1.3366313355983874</v>
      </c>
      <c r="V18" t="str">
        <f ca="1">'Watchlist Ratings'!B14</f>
        <v>CPR</v>
      </c>
      <c r="W18" s="38">
        <f>'Watchlist Ratings'!K14</f>
        <v>7</v>
      </c>
      <c r="X18" s="38">
        <f>'Watchlist Ratings'!L14</f>
        <v>3</v>
      </c>
      <c r="Y18" t="str">
        <f ca="1">'Watchlist Ratings'!B14</f>
        <v>CPR</v>
      </c>
      <c r="Z18">
        <f ca="1">'Watchlist Ratings'!AW14</f>
        <v>3.478068830222222</v>
      </c>
      <c r="AA18" t="str">
        <f ca="1">'Watchlist Ratings'!B14</f>
        <v>CPR</v>
      </c>
      <c r="AB18">
        <f ca="1">'Watchlist Ratings'!BL14</f>
        <v>0.68929368085501408</v>
      </c>
      <c r="AC18">
        <f ca="1">'Watchlist Ratings'!BM14</f>
        <v>1.3366313355983874</v>
      </c>
      <c r="AS18" t="s">
        <v>410</v>
      </c>
      <c r="AT18">
        <v>24.612029698461502</v>
      </c>
      <c r="AU18">
        <v>13.683807480135</v>
      </c>
    </row>
    <row r="19" spans="1:47" ht="15" customHeight="1" x14ac:dyDescent="0.35">
      <c r="A19" s="39">
        <v>12</v>
      </c>
      <c r="B19" s="40" t="str">
        <f ca="1">'Watchlist Ratings'!B15</f>
        <v>SIKA</v>
      </c>
      <c r="C19" s="41">
        <f>'Watchlist Ratings'!S15</f>
        <v>7.2</v>
      </c>
      <c r="D19" s="41">
        <f>'Watchlist Ratings'!AC15</f>
        <v>7.7</v>
      </c>
      <c r="E19" s="41">
        <f>'Watchlist Ratings'!AM15</f>
        <v>8.14</v>
      </c>
      <c r="F19" s="41">
        <f>'Watchlist Ratings'!AN15</f>
        <v>7.68</v>
      </c>
      <c r="G19" s="42">
        <f>'Watchlist Ratings'!K15</f>
        <v>6.5</v>
      </c>
      <c r="H19" s="42">
        <f>'Watchlist Ratings'!L15</f>
        <v>2</v>
      </c>
      <c r="I19" s="43">
        <f>'Watchlist Ratings'!BC15</f>
        <v>0.36111111111111105</v>
      </c>
      <c r="J19" s="44">
        <f ca="1">'Watchlist Ratings'!AW15</f>
        <v>1.650212776923077</v>
      </c>
      <c r="O19" t="str">
        <f ca="1">'Watchlist Ratings'!B15</f>
        <v>SIKA</v>
      </c>
      <c r="P19" s="37">
        <f>'Watchlist Ratings'!AN15</f>
        <v>7.68</v>
      </c>
      <c r="Q19" s="23">
        <f ca="1">'Watchlist Ratings'!BM15</f>
        <v>0.89467025225495012</v>
      </c>
      <c r="V19" t="str">
        <f ca="1">'Watchlist Ratings'!B15</f>
        <v>SIKA</v>
      </c>
      <c r="W19" s="38">
        <f>'Watchlist Ratings'!K15</f>
        <v>6.5</v>
      </c>
      <c r="X19" s="38">
        <f>'Watchlist Ratings'!L15</f>
        <v>2</v>
      </c>
      <c r="Y19" t="str">
        <f ca="1">'Watchlist Ratings'!B15</f>
        <v>SIKA</v>
      </c>
      <c r="Z19">
        <f ca="1">'Watchlist Ratings'!AW15</f>
        <v>1.650212776923077</v>
      </c>
      <c r="AA19" t="str">
        <f ca="1">'Watchlist Ratings'!B15</f>
        <v>SIKA</v>
      </c>
      <c r="AB19">
        <f ca="1">'Watchlist Ratings'!BL15</f>
        <v>0.44085301659272891</v>
      </c>
      <c r="AC19">
        <f ca="1">'Watchlist Ratings'!BM15</f>
        <v>0.89467025225495012</v>
      </c>
      <c r="AS19" t="s">
        <v>395</v>
      </c>
      <c r="AT19">
        <v>45.617441111111098</v>
      </c>
      <c r="AU19">
        <v>3.6173393375436902</v>
      </c>
    </row>
    <row r="20" spans="1:47" ht="15" customHeight="1" x14ac:dyDescent="0.35">
      <c r="A20" s="45">
        <v>13</v>
      </c>
      <c r="B20" s="46" t="str">
        <f ca="1">'Watchlist Ratings'!B16</f>
        <v>CHKP</v>
      </c>
      <c r="C20" s="47">
        <f>'Watchlist Ratings'!S16</f>
        <v>8.09</v>
      </c>
      <c r="D20" s="47">
        <f>'Watchlist Ratings'!AC16</f>
        <v>7.9</v>
      </c>
      <c r="E20" s="47">
        <f>'Watchlist Ratings'!AM16</f>
        <v>8</v>
      </c>
      <c r="F20" s="47">
        <f>'Watchlist Ratings'!AN16</f>
        <v>8</v>
      </c>
      <c r="G20" s="48">
        <f>'Watchlist Ratings'!K16</f>
        <v>7</v>
      </c>
      <c r="H20" s="48">
        <f>'Watchlist Ratings'!L16</f>
        <v>3</v>
      </c>
      <c r="I20" s="49">
        <f>'Watchlist Ratings'!BC16</f>
        <v>0.20625000000000002</v>
      </c>
      <c r="J20" s="50">
        <f ca="1">'Watchlist Ratings'!AW16</f>
        <v>72.236489077777776</v>
      </c>
      <c r="O20" t="str">
        <f ca="1">'Watchlist Ratings'!B16</f>
        <v>CHKP</v>
      </c>
      <c r="P20" s="37">
        <f>'Watchlist Ratings'!AN16</f>
        <v>8</v>
      </c>
      <c r="Q20" s="23">
        <f ca="1">'Watchlist Ratings'!BM16</f>
        <v>-7.7356634295413174E-2</v>
      </c>
      <c r="V20" t="str">
        <f ca="1">'Watchlist Ratings'!B16</f>
        <v>CHKP</v>
      </c>
      <c r="W20" s="38">
        <f>'Watchlist Ratings'!K16</f>
        <v>7</v>
      </c>
      <c r="X20" s="38">
        <f>'Watchlist Ratings'!L16</f>
        <v>3</v>
      </c>
      <c r="Y20" t="str">
        <f ca="1">'Watchlist Ratings'!B16</f>
        <v>CHKP</v>
      </c>
      <c r="Z20">
        <f ca="1">'Watchlist Ratings'!AW16</f>
        <v>72.236489077777776</v>
      </c>
      <c r="AA20" t="str">
        <f ca="1">'Watchlist Ratings'!B16</f>
        <v>CHKP</v>
      </c>
      <c r="AB20">
        <f ca="1">'Watchlist Ratings'!BL16</f>
        <v>-0.22190194057607671</v>
      </c>
      <c r="AC20">
        <f ca="1">'Watchlist Ratings'!BM16</f>
        <v>-7.7356634295413174E-2</v>
      </c>
      <c r="AS20" t="s">
        <v>401</v>
      </c>
      <c r="AT20">
        <v>43.630936634999998</v>
      </c>
      <c r="AU20">
        <v>4.3482859737552504</v>
      </c>
    </row>
    <row r="21" spans="1:47" ht="15" customHeight="1" x14ac:dyDescent="0.35">
      <c r="A21" s="39">
        <v>14</v>
      </c>
      <c r="B21" s="40" t="str">
        <f ca="1">'Watchlist Ratings'!B17</f>
        <v>TGYM</v>
      </c>
      <c r="C21" s="41">
        <f>'Watchlist Ratings'!S17</f>
        <v>8.15</v>
      </c>
      <c r="D21" s="41">
        <f>'Watchlist Ratings'!AC17</f>
        <v>7.2</v>
      </c>
      <c r="E21" s="41">
        <f>'Watchlist Ratings'!AM17</f>
        <v>8.2899999999999991</v>
      </c>
      <c r="F21" s="41">
        <f>'Watchlist Ratings'!AN17</f>
        <v>7.88</v>
      </c>
      <c r="G21" s="42">
        <f>'Watchlist Ratings'!K17</f>
        <v>6</v>
      </c>
      <c r="H21" s="42">
        <f>'Watchlist Ratings'!L17</f>
        <v>3</v>
      </c>
      <c r="I21" s="43">
        <f>'Watchlist Ratings'!BC17</f>
        <v>0.1761904761904762</v>
      </c>
      <c r="J21" s="44">
        <f ca="1">'Watchlist Ratings'!AW17</f>
        <v>0.85720689375000003</v>
      </c>
      <c r="O21" t="str">
        <f ca="1">'Watchlist Ratings'!B17</f>
        <v>TGYM</v>
      </c>
      <c r="P21" s="37">
        <f>'Watchlist Ratings'!AN17</f>
        <v>7.88</v>
      </c>
      <c r="Q21" s="23">
        <f ca="1">'Watchlist Ratings'!BM17</f>
        <v>3.6665476770227192</v>
      </c>
      <c r="V21" t="str">
        <f ca="1">'Watchlist Ratings'!B17</f>
        <v>TGYM</v>
      </c>
      <c r="W21" s="38">
        <f>'Watchlist Ratings'!K17</f>
        <v>6</v>
      </c>
      <c r="X21" s="38">
        <f>'Watchlist Ratings'!L17</f>
        <v>3</v>
      </c>
      <c r="Y21" t="str">
        <f ca="1">'Watchlist Ratings'!B17</f>
        <v>TGYM</v>
      </c>
      <c r="Z21">
        <f ca="1">'Watchlist Ratings'!AW17</f>
        <v>0.85720689375000003</v>
      </c>
      <c r="AA21" t="str">
        <f ca="1">'Watchlist Ratings'!B17</f>
        <v>TGYM</v>
      </c>
      <c r="AB21">
        <f ca="1">'Watchlist Ratings'!BL17</f>
        <v>1.9067115709661464</v>
      </c>
      <c r="AC21">
        <f ca="1">'Watchlist Ratings'!BM17</f>
        <v>3.6665476770227192</v>
      </c>
      <c r="AS21" t="s">
        <v>400</v>
      </c>
      <c r="AT21">
        <v>38.120501266027397</v>
      </c>
      <c r="AU21">
        <v>12.615575978128</v>
      </c>
    </row>
    <row r="22" spans="1:47" ht="15" customHeight="1" x14ac:dyDescent="0.35">
      <c r="A22" s="51">
        <v>15</v>
      </c>
      <c r="B22" s="52" t="str">
        <f ca="1">'Watchlist Ratings'!B18</f>
        <v>VID</v>
      </c>
      <c r="C22" s="53">
        <f>'Watchlist Ratings'!S18</f>
        <v>6.93</v>
      </c>
      <c r="D22" s="53">
        <f>'Watchlist Ratings'!AC18</f>
        <v>6.5</v>
      </c>
      <c r="E22" s="53">
        <f>'Watchlist Ratings'!AM18</f>
        <v>8.2899999999999991</v>
      </c>
      <c r="F22" s="53">
        <f>'Watchlist Ratings'!AN18</f>
        <v>7.24</v>
      </c>
      <c r="G22" s="54">
        <f>'Watchlist Ratings'!K18</f>
        <v>8</v>
      </c>
      <c r="H22" s="54">
        <f>'Watchlist Ratings'!L18</f>
        <v>2</v>
      </c>
      <c r="I22" s="55">
        <f>'Watchlist Ratings'!BC18</f>
        <v>0.38636363636363641</v>
      </c>
      <c r="J22" s="56">
        <f ca="1">'Watchlist Ratings'!AW18</f>
        <v>5.6988119129411761</v>
      </c>
      <c r="O22" t="str">
        <f ca="1">'Watchlist Ratings'!B18</f>
        <v>VID</v>
      </c>
      <c r="P22" s="37">
        <f>'Watchlist Ratings'!AN18</f>
        <v>7.24</v>
      </c>
      <c r="Q22" s="23">
        <f ca="1">'Watchlist Ratings'!BM18</f>
        <v>0.98706484367068303</v>
      </c>
      <c r="V22" t="str">
        <f ca="1">'Watchlist Ratings'!B18</f>
        <v>VID</v>
      </c>
      <c r="W22" s="38">
        <f>'Watchlist Ratings'!K18</f>
        <v>8</v>
      </c>
      <c r="X22" s="38">
        <f>'Watchlist Ratings'!L18</f>
        <v>2</v>
      </c>
      <c r="Y22" t="str">
        <f ca="1">'Watchlist Ratings'!B18</f>
        <v>VID</v>
      </c>
      <c r="Z22">
        <f ca="1">'Watchlist Ratings'!AW18</f>
        <v>5.6988119129411761</v>
      </c>
      <c r="AA22" t="str">
        <f ca="1">'Watchlist Ratings'!B18</f>
        <v>VID</v>
      </c>
      <c r="AB22">
        <f ca="1">'Watchlist Ratings'!BL18</f>
        <v>0.45284184420111595</v>
      </c>
      <c r="AC22">
        <f ca="1">'Watchlist Ratings'!BM18</f>
        <v>0.98706484367068303</v>
      </c>
    </row>
    <row r="23" spans="1:47" ht="15" customHeight="1" x14ac:dyDescent="0.35">
      <c r="O23" t="str">
        <f ca="1">'Watchlist Ratings'!B19</f>
        <v>TFPM</v>
      </c>
      <c r="P23" s="37">
        <f>'Watchlist Ratings'!AN19</f>
        <v>7.9</v>
      </c>
      <c r="Q23" s="23">
        <f ca="1">'Watchlist Ratings'!BM19</f>
        <v>1.184991416022608</v>
      </c>
    </row>
    <row r="24" spans="1:47" ht="30" customHeight="1" x14ac:dyDescent="0.4">
      <c r="A24" s="166" t="s">
        <v>416</v>
      </c>
      <c r="B24" s="96"/>
      <c r="C24" s="96"/>
      <c r="D24" s="96"/>
      <c r="E24" s="96"/>
      <c r="F24" s="96"/>
      <c r="G24" s="96"/>
      <c r="H24" s="96"/>
      <c r="I24" s="96"/>
      <c r="J24" s="96"/>
      <c r="K24" s="96"/>
      <c r="L24" s="96"/>
      <c r="M24" s="96"/>
      <c r="N24" s="96"/>
      <c r="O24" s="96"/>
      <c r="P24" s="96"/>
      <c r="Q24" s="96"/>
      <c r="R24" s="96"/>
    </row>
    <row r="25" spans="1:47" ht="4.5" customHeight="1" x14ac:dyDescent="0.35">
      <c r="O25" t="str">
        <f ca="1">'Watchlist Ratings'!B21</f>
        <v>NKE</v>
      </c>
      <c r="P25" s="37">
        <f>'Watchlist Ratings'!AN21</f>
        <v>7.44</v>
      </c>
      <c r="Q25">
        <f ca="1">'Watchlist Ratings'!BM21</f>
        <v>2.8048378601251089E-2</v>
      </c>
    </row>
    <row r="26" spans="1:47" ht="19.5" customHeight="1" x14ac:dyDescent="0.35">
      <c r="O26" t="str">
        <f ca="1">'Watchlist Ratings'!B22</f>
        <v>MIPS</v>
      </c>
      <c r="P26" s="37">
        <f>'Watchlist Ratings'!AN22</f>
        <v>7.78</v>
      </c>
      <c r="Q26">
        <f ca="1">'Watchlist Ratings'!BM22</f>
        <v>1.3629378286388421</v>
      </c>
    </row>
    <row r="27" spans="1:47" ht="19.5" customHeight="1" x14ac:dyDescent="0.35">
      <c r="O27" t="str">
        <f ca="1">'Watchlist Ratings'!B23</f>
        <v>FERG</v>
      </c>
      <c r="P27" s="37">
        <f>'Watchlist Ratings'!AN23</f>
        <v>7.39</v>
      </c>
      <c r="Q27">
        <f ca="1">'Watchlist Ratings'!BM23</f>
        <v>-1.6938705862135084E-2</v>
      </c>
    </row>
    <row r="28" spans="1:47" ht="19.5" customHeight="1" x14ac:dyDescent="0.35"/>
    <row r="29" spans="1:47" ht="19.5" customHeight="1" x14ac:dyDescent="0.35"/>
    <row r="30" spans="1:47" ht="19.5" customHeight="1" x14ac:dyDescent="0.35"/>
    <row r="31" spans="1:47" ht="19.5" customHeight="1" x14ac:dyDescent="0.35"/>
    <row r="32" spans="1:47" ht="19.5" customHeight="1" x14ac:dyDescent="0.35"/>
    <row r="33" spans="2:18" ht="19.5" customHeight="1" x14ac:dyDescent="0.35"/>
    <row r="34" spans="2:18" ht="19.5" customHeight="1" x14ac:dyDescent="0.35"/>
    <row r="35" spans="2:18" ht="19.5" customHeight="1" x14ac:dyDescent="0.35"/>
    <row r="36" spans="2:18" ht="19.5" customHeight="1" x14ac:dyDescent="0.35"/>
    <row r="37" spans="2:18" ht="19.5" customHeight="1" x14ac:dyDescent="0.35"/>
    <row r="38" spans="2:18" ht="19.5" customHeight="1" x14ac:dyDescent="0.35"/>
    <row r="39" spans="2:18" ht="19.5" customHeight="1" x14ac:dyDescent="0.35"/>
    <row r="40" spans="2:18" ht="19.5" customHeight="1" x14ac:dyDescent="0.45">
      <c r="L40" s="109"/>
      <c r="M40" s="96"/>
      <c r="N40" s="96"/>
      <c r="O40" s="96"/>
      <c r="P40" s="96"/>
      <c r="Q40" s="96"/>
      <c r="R40" s="96"/>
    </row>
    <row r="41" spans="2:18" ht="19.5" customHeight="1" x14ac:dyDescent="0.35">
      <c r="L41" s="57"/>
      <c r="M41" s="57"/>
      <c r="N41" s="57"/>
      <c r="O41" s="57"/>
      <c r="P41" s="57"/>
      <c r="Q41" s="57"/>
    </row>
    <row r="42" spans="2:18" ht="19.5" customHeight="1" x14ac:dyDescent="0.35">
      <c r="J42" s="120"/>
      <c r="K42" s="96"/>
      <c r="L42" s="96"/>
      <c r="M42" s="96"/>
      <c r="N42" s="96"/>
      <c r="O42" s="96"/>
      <c r="P42" s="96"/>
      <c r="Q42" s="96"/>
    </row>
    <row r="43" spans="2:18" ht="19.5" customHeight="1" x14ac:dyDescent="0.35">
      <c r="B43" s="58"/>
      <c r="C43" s="58"/>
      <c r="D43" s="58"/>
      <c r="E43" s="58"/>
      <c r="F43" s="58"/>
      <c r="G43" s="58"/>
      <c r="H43" s="58"/>
      <c r="J43" s="59"/>
      <c r="K43" s="59"/>
      <c r="L43" s="59"/>
      <c r="M43" s="59"/>
      <c r="N43" s="59"/>
      <c r="O43" s="59"/>
      <c r="P43" s="59"/>
      <c r="Q43" s="59"/>
    </row>
    <row r="44" spans="2:18" ht="19.5" customHeight="1" x14ac:dyDescent="0.35">
      <c r="E44" s="60"/>
      <c r="F44" s="60"/>
      <c r="G44" s="60"/>
    </row>
    <row r="45" spans="2:18" ht="19.5" customHeight="1" x14ac:dyDescent="0.35">
      <c r="E45" s="60"/>
      <c r="F45" s="60"/>
      <c r="G45" s="60"/>
    </row>
    <row r="46" spans="2:18" ht="19.5" customHeight="1" x14ac:dyDescent="0.35">
      <c r="E46" s="60"/>
      <c r="F46" s="60"/>
      <c r="G46" s="60"/>
    </row>
    <row r="47" spans="2:18" ht="19.5" customHeight="1" x14ac:dyDescent="0.35">
      <c r="E47" s="60"/>
      <c r="F47" s="60"/>
      <c r="G47" s="60"/>
    </row>
    <row r="48" spans="2:18" ht="19.5" customHeight="1" x14ac:dyDescent="0.35">
      <c r="E48" s="60"/>
      <c r="F48" s="60"/>
      <c r="G48" s="60"/>
    </row>
    <row r="49" spans="1:17" ht="19.5" customHeight="1" x14ac:dyDescent="0.35">
      <c r="E49" s="60"/>
      <c r="F49" s="60"/>
      <c r="G49" s="60"/>
    </row>
    <row r="50" spans="1:17" ht="19.5" customHeight="1" x14ac:dyDescent="0.35">
      <c r="E50" s="60"/>
      <c r="F50" s="60"/>
      <c r="G50" s="60"/>
    </row>
    <row r="51" spans="1:17" ht="19.5" customHeight="1" x14ac:dyDescent="0.35">
      <c r="E51" s="60"/>
      <c r="F51" s="60"/>
      <c r="G51" s="60"/>
    </row>
    <row r="52" spans="1:17" ht="19.5" customHeight="1" x14ac:dyDescent="0.35">
      <c r="E52" s="60"/>
      <c r="F52" s="60"/>
      <c r="G52" s="60"/>
    </row>
    <row r="53" spans="1:17" ht="19.5" customHeight="1" x14ac:dyDescent="0.35">
      <c r="E53" s="60"/>
      <c r="F53" s="60"/>
      <c r="G53" s="60"/>
    </row>
    <row r="54" spans="1:17" ht="19.5" customHeight="1" x14ac:dyDescent="0.35"/>
    <row r="55" spans="1:17" ht="19.5" customHeight="1" x14ac:dyDescent="0.35"/>
    <row r="56" spans="1:17" ht="4.5" customHeight="1" x14ac:dyDescent="0.35"/>
    <row r="57" spans="1:17" ht="4.5" customHeight="1" x14ac:dyDescent="0.35"/>
    <row r="58" spans="1:17" ht="4.5" customHeight="1" x14ac:dyDescent="0.35"/>
    <row r="59" spans="1:17" ht="4.5" customHeight="1" x14ac:dyDescent="0.35"/>
    <row r="60" spans="1:17" ht="4.5" customHeight="1" x14ac:dyDescent="0.35"/>
    <row r="61" spans="1:17" ht="4.5" customHeight="1" x14ac:dyDescent="0.35"/>
    <row r="62" spans="1:17" ht="4.5" customHeight="1" x14ac:dyDescent="0.45">
      <c r="A62" s="134" t="s">
        <v>417</v>
      </c>
      <c r="B62" s="96"/>
      <c r="C62" s="96"/>
      <c r="D62" s="96"/>
      <c r="E62" s="96"/>
      <c r="F62" s="96"/>
      <c r="G62" s="96"/>
      <c r="H62" s="96"/>
      <c r="J62" s="155" t="s">
        <v>418</v>
      </c>
      <c r="K62" s="96"/>
      <c r="L62" s="96"/>
      <c r="M62" s="96"/>
      <c r="N62" s="96"/>
      <c r="O62" s="96"/>
      <c r="P62" s="96"/>
      <c r="Q62" s="96"/>
    </row>
    <row r="63" spans="1:17" ht="4.5" customHeight="1" x14ac:dyDescent="0.35">
      <c r="A63" s="61" t="s">
        <v>371</v>
      </c>
      <c r="B63" s="61" t="s">
        <v>419</v>
      </c>
      <c r="C63" s="61" t="s">
        <v>420</v>
      </c>
      <c r="D63" s="61" t="s">
        <v>421</v>
      </c>
      <c r="E63" s="61" t="s">
        <v>385</v>
      </c>
      <c r="F63" s="61" t="s">
        <v>384</v>
      </c>
      <c r="G63" s="61" t="s">
        <v>422</v>
      </c>
      <c r="H63" s="61" t="s">
        <v>423</v>
      </c>
      <c r="J63" s="62" t="s">
        <v>371</v>
      </c>
      <c r="K63" s="62" t="s">
        <v>424</v>
      </c>
      <c r="L63" s="62" t="s">
        <v>425</v>
      </c>
      <c r="M63" s="62" t="s">
        <v>426</v>
      </c>
      <c r="N63" s="62" t="s">
        <v>427</v>
      </c>
      <c r="O63" s="62" t="s">
        <v>373</v>
      </c>
      <c r="P63" s="62" t="s">
        <v>428</v>
      </c>
      <c r="Q63" s="62" t="s">
        <v>429</v>
      </c>
    </row>
    <row r="64" spans="1:17" ht="4.5" customHeight="1" x14ac:dyDescent="0.35">
      <c r="A64" s="63" t="str">
        <f ca="1">'Watchlist Ratings'!B4</f>
        <v>GRMN</v>
      </c>
      <c r="B64" s="64">
        <f ca="1">'Watchlist Ratings'!G4</f>
        <v>225.75</v>
      </c>
      <c r="C64" s="64">
        <f ca="1">'Watchlist Ratings'!BJ4</f>
        <v>177.27197777411357</v>
      </c>
      <c r="D64" s="64">
        <f ca="1">'Watchlist Ratings'!BK4</f>
        <v>452.20221076636375</v>
      </c>
      <c r="E64" s="65">
        <f ca="1">'Watchlist Ratings'!BL4</f>
        <v>-4.719842535992913E-2</v>
      </c>
      <c r="F64" s="65">
        <f ca="1">'Watchlist Ratings'!BM4</f>
        <v>0.18966923429368165</v>
      </c>
      <c r="G64" s="65">
        <f t="shared" ref="G64:G71" ca="1" si="0">F64-E64</f>
        <v>0.23686765965361078</v>
      </c>
      <c r="H64" s="63" t="str">
        <f t="shared" ref="H64:H71" ca="1" si="1">IF(E64&gt;0,"🟢 BUY",IF(E64&gt;-0.05,"🟡 HOLD","🔴 PASS"))</f>
        <v>🟡 HOLD</v>
      </c>
      <c r="J64" s="63" t="str">
        <f ca="1">'Watchlist Ratings'!B4</f>
        <v>GRMN</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35">
      <c r="A65" s="63" t="str">
        <f ca="1">'Watchlist Ratings'!B5</f>
        <v>KRX</v>
      </c>
      <c r="B65" s="64">
        <f ca="1">'Watchlist Ratings'!G5</f>
        <v>73.2</v>
      </c>
      <c r="C65" s="64">
        <f ca="1">'Watchlist Ratings'!BJ5</f>
        <v>11589.610905233529</v>
      </c>
      <c r="D65" s="64">
        <f ca="1">'Watchlist Ratings'!BK5</f>
        <v>25713.392159548319</v>
      </c>
      <c r="E65" s="65">
        <f ca="1">'Watchlist Ratings'!BL5</f>
        <v>1.7536678555065466</v>
      </c>
      <c r="F65" s="65">
        <f ca="1">'Watchlist Ratings'!BM5</f>
        <v>3.3292440932777216</v>
      </c>
      <c r="G65" s="65">
        <f t="shared" ca="1" si="0"/>
        <v>1.5755762377711751</v>
      </c>
      <c r="H65" s="63" t="str">
        <f t="shared" ca="1" si="1"/>
        <v>🟢 BUY</v>
      </c>
      <c r="J65" s="63" t="str">
        <f ca="1">'Watchlist Ratings'!B5</f>
        <v>KRX</v>
      </c>
      <c r="K65" s="66">
        <f>'Watchlist Ratings'!AM5</f>
        <v>7.71</v>
      </c>
      <c r="L65" s="67">
        <f>'Watchlist Ratings'!AF5</f>
        <v>5</v>
      </c>
      <c r="M65" s="67">
        <f>'Watchlist Ratings'!AG5</f>
        <v>14</v>
      </c>
      <c r="N65" s="67">
        <f>'Watchlist Ratings'!AK5</f>
        <v>-6</v>
      </c>
      <c r="O65" s="67">
        <f>'Watchlist Ratings'!K5</f>
        <v>8</v>
      </c>
      <c r="P65" s="67">
        <f>'Watchlist Ratings'!L5</f>
        <v>3</v>
      </c>
      <c r="Q65" s="63" t="str">
        <f t="shared" si="2"/>
        <v>🟡 MEDIO</v>
      </c>
    </row>
    <row r="66" spans="1:17" ht="4.5" customHeight="1" x14ac:dyDescent="0.35">
      <c r="A66" s="63" t="str">
        <f ca="1">'Watchlist Ratings'!B6</f>
        <v>KSPI</v>
      </c>
      <c r="B66" s="64">
        <f ca="1">'Watchlist Ratings'!G6</f>
        <v>87.51</v>
      </c>
      <c r="C66" s="64">
        <f ca="1">'Watchlist Ratings'!BJ6</f>
        <v>173.55618524983694</v>
      </c>
      <c r="D66" s="64">
        <f ca="1">'Watchlist Ratings'!BK6</f>
        <v>446.26017054562453</v>
      </c>
      <c r="E66" s="65">
        <f ca="1">'Watchlist Ratings'!BL6</f>
        <v>0.14677042064195978</v>
      </c>
      <c r="F66" s="65">
        <f ca="1">'Watchlist Ratings'!BM6</f>
        <v>0.50273572382128195</v>
      </c>
      <c r="G66" s="65">
        <f t="shared" ca="1" si="0"/>
        <v>0.35596530317932218</v>
      </c>
      <c r="H66" s="63" t="str">
        <f t="shared" ca="1" si="1"/>
        <v>🟢 BUY</v>
      </c>
      <c r="J66" s="63" t="str">
        <f ca="1">'Watchlist Ratings'!B6</f>
        <v>KSPI</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35">
      <c r="A67" s="63" t="str">
        <f ca="1">'Watchlist Ratings'!B7</f>
        <v>CBAV</v>
      </c>
      <c r="B67" s="64">
        <f ca="1">'Watchlist Ratings'!G7</f>
        <v>55.8</v>
      </c>
      <c r="C67" s="64">
        <f ca="1">'Watchlist Ratings'!BJ7</f>
        <v>7311.5692211842588</v>
      </c>
      <c r="D67" s="64">
        <f ca="1">'Watchlist Ratings'!BK7</f>
        <v>16375.820324045626</v>
      </c>
      <c r="E67" s="65">
        <f ca="1">'Watchlist Ratings'!BL7</f>
        <v>1.6514001676460865</v>
      </c>
      <c r="F67" s="65">
        <f ca="1">'Watchlist Ratings'!BM7</f>
        <v>3.1389694076464876</v>
      </c>
      <c r="G67" s="65">
        <f t="shared" ca="1" si="0"/>
        <v>1.487569240000401</v>
      </c>
      <c r="H67" s="63" t="str">
        <f t="shared" ca="1" si="1"/>
        <v>🟢 BUY</v>
      </c>
      <c r="J67" s="63" t="str">
        <f ca="1">'Watchlist Ratings'!B7</f>
        <v>CBAV</v>
      </c>
      <c r="K67" s="66">
        <f>'Watchlist Ratings'!AM7</f>
        <v>7.57</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35">
      <c r="A68" s="63" t="str">
        <f ca="1">'Watchlist Ratings'!B8</f>
        <v>NVDA</v>
      </c>
      <c r="B68" s="64">
        <f ca="1">'Watchlist Ratings'!G8</f>
        <v>225.32</v>
      </c>
      <c r="C68" s="64">
        <f ca="1">'Watchlist Ratings'!BJ8</f>
        <v>9.5992944828209801</v>
      </c>
      <c r="D68" s="64">
        <f ca="1">'Watchlist Ratings'!BK8</f>
        <v>18.760943711801517</v>
      </c>
      <c r="E68" s="65">
        <f ca="1">'Watchlist Ratings'!BL8</f>
        <v>-0.46802905294215036</v>
      </c>
      <c r="F68" s="65">
        <f ca="1">'Watchlist Ratings'!BM8</f>
        <v>-0.46282754555526617</v>
      </c>
      <c r="G68" s="65">
        <f t="shared" ca="1" si="0"/>
        <v>5.2015073868841855E-3</v>
      </c>
      <c r="H68" s="63" t="str">
        <f t="shared" ca="1" si="1"/>
        <v>🔴 PASS</v>
      </c>
      <c r="J68" s="63" t="str">
        <f ca="1">'Watchlist Ratings'!B8</f>
        <v>NVDA</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35">
      <c r="A69" s="63" t="str">
        <f ca="1">'Watchlist Ratings'!B9</f>
        <v>COR</v>
      </c>
      <c r="B69" s="64">
        <f ca="1">'Watchlist Ratings'!G9</f>
        <v>6.98</v>
      </c>
      <c r="C69" s="64">
        <f ca="1">'Watchlist Ratings'!BJ9</f>
        <v>49.124060150375939</v>
      </c>
      <c r="D69" s="64">
        <f ca="1">'Watchlist Ratings'!BK9</f>
        <v>104.99248120300751</v>
      </c>
      <c r="E69" s="65">
        <f ca="1">'Watchlist Ratings'!BL9</f>
        <v>0.47736486514825094</v>
      </c>
      <c r="F69" s="65">
        <f ca="1">'Watchlist Ratings'!BM9</f>
        <v>0.96936263684968993</v>
      </c>
      <c r="G69" s="65">
        <f t="shared" ca="1" si="0"/>
        <v>0.49199777170143899</v>
      </c>
      <c r="H69" s="63" t="str">
        <f t="shared" ca="1" si="1"/>
        <v>🟢 BUY</v>
      </c>
      <c r="J69" s="63" t="str">
        <f ca="1">'Watchlist Ratings'!B9</f>
        <v>COR</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35">
      <c r="A70" s="63" t="str">
        <f ca="1">'Watchlist Ratings'!B10</f>
        <v>TSM</v>
      </c>
      <c r="B70" s="64">
        <f ca="1">'Watchlist Ratings'!G10</f>
        <v>404.35</v>
      </c>
      <c r="C70" s="64">
        <f ca="1">'Watchlist Ratings'!BJ10</f>
        <v>1.0103142675076955</v>
      </c>
      <c r="D70" s="64">
        <f ca="1">'Watchlist Ratings'!BK10</f>
        <v>2.5437168189368369</v>
      </c>
      <c r="E70" s="65">
        <f ca="1">'Watchlist Ratings'!BL10</f>
        <v>-0.69832466218577849</v>
      </c>
      <c r="F70" s="65">
        <f ca="1">'Watchlist Ratings'!BM10</f>
        <v>-0.7183707046686364</v>
      </c>
      <c r="G70" s="65">
        <f t="shared" ca="1" si="0"/>
        <v>-2.0046042482857906E-2</v>
      </c>
      <c r="H70" s="63" t="str">
        <f t="shared" ca="1" si="1"/>
        <v>🔴 PASS</v>
      </c>
      <c r="J70" s="63" t="str">
        <f ca="1">'Watchlist Ratings'!B10</f>
        <v>TSM</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35">
      <c r="A71" s="63" t="str">
        <f ca="1">'Watchlist Ratings'!B11</f>
        <v>SPOT</v>
      </c>
      <c r="B71" s="64">
        <f ca="1">'Watchlist Ratings'!G11</f>
        <v>436.94</v>
      </c>
      <c r="C71" s="64">
        <f ca="1">'Watchlist Ratings'!BJ11</f>
        <v>123.58081121839142</v>
      </c>
      <c r="D71" s="64">
        <f ca="1">'Watchlist Ratings'!BK11</f>
        <v>317.53402882503349</v>
      </c>
      <c r="E71" s="65">
        <f ca="1">'Watchlist Ratings'!BL11</f>
        <v>-0.22320602669300493</v>
      </c>
      <c r="F71" s="65">
        <f ca="1">'Watchlist Ratings'!BM11</f>
        <v>-7.6701526927437924E-2</v>
      </c>
      <c r="G71" s="65">
        <f t="shared" ca="1" si="0"/>
        <v>0.14650449976556701</v>
      </c>
      <c r="H71" s="63" t="str">
        <f t="shared" ca="1" si="1"/>
        <v>🔴 PASS</v>
      </c>
      <c r="J71" s="63" t="str">
        <f ca="1">'Watchlist Ratings'!B11</f>
        <v>SPOT</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35">
      <c r="A72" s="162" t="str">
        <f ca="1">'Watchlist Ratings'!B12</f>
        <v>PRY</v>
      </c>
      <c r="B72" s="111"/>
      <c r="C72" s="111"/>
      <c r="D72" s="111"/>
      <c r="E72" s="111"/>
      <c r="F72" s="111"/>
      <c r="G72" s="111"/>
      <c r="H72" s="111"/>
      <c r="I72" s="112"/>
      <c r="J72" s="110" t="str">
        <f ca="1">'Watchlist Ratings'!B12</f>
        <v>PRY</v>
      </c>
      <c r="K72" s="111"/>
      <c r="L72" s="111"/>
      <c r="M72" s="111"/>
      <c r="N72" s="111"/>
      <c r="O72" s="111"/>
      <c r="P72" s="111"/>
      <c r="Q72" s="112"/>
    </row>
    <row r="73" spans="1:17" ht="19.5" customHeight="1" x14ac:dyDescent="0.35">
      <c r="A73" s="68" t="str">
        <f ca="1">'Watchlist Ratings'!B13</f>
        <v>JFN</v>
      </c>
      <c r="B73" s="69">
        <f ca="1">'Watchlist Ratings'!G13</f>
        <v>251.5</v>
      </c>
      <c r="C73" s="69">
        <f ca="1">'Watchlist Ratings'!BJ13</f>
        <v>283803.34190231364</v>
      </c>
      <c r="D73" s="69">
        <f ca="1">'Watchlist Ratings'!BK13</f>
        <v>564102.8277634962</v>
      </c>
      <c r="E73" s="70">
        <f ca="1">'Watchlist Ratings'!BL13</f>
        <v>3.0784571440492972</v>
      </c>
      <c r="F73" s="70">
        <f ca="1">'Watchlist Ratings'!BM13</f>
        <v>5.881847932794261</v>
      </c>
      <c r="G73" s="70">
        <f ca="1">F73-E73</f>
        <v>2.8033907887449638</v>
      </c>
      <c r="H73" s="71" t="str">
        <f ca="1">IF(E73&gt;0,"🟢 BUY",IF(E73&gt;-0.05,"🟡 HOLD","🔴 PASS"))</f>
        <v>🟢 BUY</v>
      </c>
      <c r="J73" s="72" t="str">
        <f ca="1">'Watchlist Ratings'!B13</f>
        <v>JFN</v>
      </c>
      <c r="K73" s="73">
        <f>'Watchlist Ratings'!AM13</f>
        <v>7.29</v>
      </c>
      <c r="L73" s="74">
        <f>'Watchlist Ratings'!AF13</f>
        <v>4</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35">
      <c r="A74" s="75" t="s">
        <v>387</v>
      </c>
      <c r="B74" s="76" t="e">
        <f ca="1">VLOOKUP(A74,'Watchlist Ratings'!$B$4:$BM$64,4,FALSE())</f>
        <v>#N/A</v>
      </c>
      <c r="C74" s="76" t="e">
        <f ca="1">VLOOKUP(A74,'Watchlist Ratings'!$B$4:$BM$64,59,FALSE())</f>
        <v>#N/A</v>
      </c>
      <c r="D74" s="76" t="e">
        <f ca="1">VLOOKUP(A74,'Watchlist Ratings'!$B$4:$BM$64,60,FALSE())</f>
        <v>#N/A</v>
      </c>
      <c r="E74" s="77" t="e">
        <f ca="1">VLOOKUP(A74,'Watchlist Ratings'!$B$4:$BM$64,61,FALSE())</f>
        <v>#N/A</v>
      </c>
      <c r="F74" s="77" t="e">
        <f ca="1">VLOOKUP(A74,'Watchlist Ratings'!$B$4:$BM$64,64,FALSE())</f>
        <v>#N/A</v>
      </c>
      <c r="G74" s="77" t="e">
        <f ca="1">F74-E74</f>
        <v>#N/A</v>
      </c>
      <c r="H74" s="75" t="e">
        <f ca="1">IF(E74&gt;0,"🟢 BUY",IF(E74&gt;-0.05,"🟡 HOLD","🔴 PASS"))</f>
        <v>#N/A</v>
      </c>
      <c r="J74" s="78" t="s">
        <v>387</v>
      </c>
      <c r="K74" s="78" t="e">
        <f ca="1">VLOOKUP(J74,'Watchlist Ratings'!$B$4:$BM$64,36,FALSE())</f>
        <v>#N/A</v>
      </c>
      <c r="L74" s="78" t="e">
        <f ca="1">VLOOKUP(J74,'Watchlist Ratings'!$B$4:$BM$64,29,FALSE())</f>
        <v>#N/A</v>
      </c>
      <c r="M74" s="78" t="e">
        <f ca="1">VLOOKUP(J74,'Watchlist Ratings'!$B$4:$BM$64,30,FALSE())</f>
        <v>#N/A</v>
      </c>
      <c r="N74" s="78" t="e">
        <f ca="1">VLOOKUP(J74,'Watchlist Ratings'!$B$4:$BM$64,34,FALSE())</f>
        <v>#N/A</v>
      </c>
      <c r="O74" s="78" t="e">
        <f ca="1">VLOOKUP(J74,'Watchlist Ratings'!$B$4:$BM$64,8,FALSE())</f>
        <v>#N/A</v>
      </c>
      <c r="P74" s="78" t="e">
        <f ca="1">VLOOKUP(J74,'Watchlist Ratings'!$B$4:$BM$64,9,FALSE())</f>
        <v>#N/A</v>
      </c>
      <c r="Q74" s="78" t="e">
        <f ca="1">IF(K74&gt;=8.5,"🟢 ALTO",IF(K74&gt;=7.5,"🟡 MEDIO","🔴 BAJO"))</f>
        <v>#N/A</v>
      </c>
    </row>
    <row r="75" spans="1:17" ht="19.5" customHeight="1" x14ac:dyDescent="0.35">
      <c r="A75" s="79" t="s">
        <v>391</v>
      </c>
      <c r="B75" s="80" t="e">
        <f ca="1">VLOOKUP(A75,'Watchlist Ratings'!$B$4:$BM$64,4,FALSE())</f>
        <v>#N/A</v>
      </c>
      <c r="C75" s="80" t="e">
        <f ca="1">VLOOKUP(A75,'Watchlist Ratings'!$B$4:$BM$64,59,FALSE())</f>
        <v>#N/A</v>
      </c>
      <c r="D75" s="80" t="e">
        <f ca="1">VLOOKUP(A75,'Watchlist Ratings'!$B$4:$BM$64,60,FALSE())</f>
        <v>#N/A</v>
      </c>
      <c r="E75" s="81" t="e">
        <f ca="1">VLOOKUP(A75,'Watchlist Ratings'!$B$4:$BM$64,61,FALSE())</f>
        <v>#N/A</v>
      </c>
      <c r="F75" s="81" t="e">
        <f ca="1">VLOOKUP(A75,'Watchlist Ratings'!$B$4:$BM$64,64,FALSE())</f>
        <v>#N/A</v>
      </c>
      <c r="G75" s="81" t="e">
        <f ca="1">F75-E75</f>
        <v>#N/A</v>
      </c>
      <c r="H75" s="79" t="e">
        <f ca="1">IF(E75&gt;0,"🟢 BUY",IF(E75&gt;-0.05,"🟡 HOLD","🔴 PASS"))</f>
        <v>#N/A</v>
      </c>
      <c r="J75" s="79" t="s">
        <v>391</v>
      </c>
      <c r="K75" s="79" t="e">
        <f ca="1">VLOOKUP(J75,'Watchlist Ratings'!$B$4:$BM$64,36,FALSE())</f>
        <v>#N/A</v>
      </c>
      <c r="L75" s="79" t="e">
        <f ca="1">VLOOKUP(J75,'Watchlist Ratings'!$B$4:$BM$64,29,FALSE())</f>
        <v>#N/A</v>
      </c>
      <c r="M75" s="79" t="e">
        <f ca="1">VLOOKUP(J75,'Watchlist Ratings'!$B$4:$BM$64,30,FALSE())</f>
        <v>#N/A</v>
      </c>
      <c r="N75" s="79" t="e">
        <f ca="1">VLOOKUP(J75,'Watchlist Ratings'!$B$4:$BM$64,34,FALSE())</f>
        <v>#N/A</v>
      </c>
      <c r="O75" s="79" t="e">
        <f ca="1">VLOOKUP(J75,'Watchlist Ratings'!$B$4:$BM$64,8,FALSE())</f>
        <v>#N/A</v>
      </c>
      <c r="P75" s="79" t="e">
        <f ca="1">VLOOKUP(J75,'Watchlist Ratings'!$B$4:$BM$64,9,FALSE())</f>
        <v>#N/A</v>
      </c>
      <c r="Q75" s="79" t="e">
        <f ca="1">IF(K75&gt;=8.5,"🟢 ALTO",IF(K75&gt;=7.5,"🟡 MEDIO","🔴 BAJO"))</f>
        <v>#N/A</v>
      </c>
    </row>
    <row r="76" spans="1:17" ht="19.5" customHeight="1" x14ac:dyDescent="0.45">
      <c r="A76" s="151" t="s">
        <v>430</v>
      </c>
      <c r="B76" s="96"/>
      <c r="C76" s="96"/>
      <c r="D76" s="96"/>
      <c r="E76" s="96"/>
      <c r="F76" s="96"/>
      <c r="G76" s="96"/>
      <c r="H76" s="96"/>
      <c r="I76" s="96"/>
      <c r="J76" s="96"/>
      <c r="K76" s="96"/>
      <c r="L76" s="96"/>
      <c r="M76" s="96"/>
      <c r="N76" s="96"/>
      <c r="O76" s="96"/>
      <c r="P76" s="96"/>
      <c r="Q76" s="96"/>
    </row>
    <row r="77" spans="1:17" ht="19.5" customHeight="1" x14ac:dyDescent="0.35">
      <c r="A77" s="79" t="s">
        <v>398</v>
      </c>
      <c r="B77" s="80" t="e">
        <f ca="1">VLOOKUP(A77,'Watchlist Ratings'!$B$4:$BM$64,4,FALSE())</f>
        <v>#N/A</v>
      </c>
      <c r="C77" s="80" t="e">
        <f ca="1">VLOOKUP(A77,'Watchlist Ratings'!$B$4:$BM$64,59,FALSE())</f>
        <v>#N/A</v>
      </c>
      <c r="D77" s="80" t="e">
        <f ca="1">VLOOKUP(A77,'Watchlist Ratings'!$B$4:$BM$64,60,FALSE())</f>
        <v>#N/A</v>
      </c>
      <c r="E77" s="81" t="e">
        <f ca="1">VLOOKUP(A77,'Watchlist Ratings'!$B$4:$BM$64,61,FALSE())</f>
        <v>#N/A</v>
      </c>
      <c r="F77" s="81" t="e">
        <f ca="1">VLOOKUP(A77,'Watchlist Ratings'!$B$4:$BM$64,64,FALSE())</f>
        <v>#N/A</v>
      </c>
      <c r="G77" s="81" t="e">
        <f ca="1">F77-E77</f>
        <v>#N/A</v>
      </c>
      <c r="H77" s="79" t="e">
        <f ca="1">IF(E77&gt;0,"🟢 BUY",IF(E77&gt;-0.05,"🟡 HOLD","🔴 PASS"))</f>
        <v>#N/A</v>
      </c>
      <c r="J77" s="79" t="s">
        <v>398</v>
      </c>
      <c r="K77" s="79" t="e">
        <f ca="1">VLOOKUP(J77,'Watchlist Ratings'!$B$4:$BM$64,36,FALSE())</f>
        <v>#N/A</v>
      </c>
      <c r="L77" s="79" t="e">
        <f ca="1">VLOOKUP(J77,'Watchlist Ratings'!$B$4:$BM$64,29,FALSE())</f>
        <v>#N/A</v>
      </c>
      <c r="M77" s="79" t="e">
        <f ca="1">VLOOKUP(J77,'Watchlist Ratings'!$B$4:$BM$64,30,FALSE())</f>
        <v>#N/A</v>
      </c>
      <c r="N77" s="79" t="e">
        <f ca="1">VLOOKUP(J77,'Watchlist Ratings'!$B$4:$BM$64,34,FALSE())</f>
        <v>#N/A</v>
      </c>
      <c r="O77" s="79" t="e">
        <f ca="1">VLOOKUP(J77,'Watchlist Ratings'!$B$4:$BM$64,8,FALSE())</f>
        <v>#N/A</v>
      </c>
      <c r="P77" s="79" t="e">
        <f ca="1">VLOOKUP(J77,'Watchlist Ratings'!$B$4:$BM$64,9,FALSE())</f>
        <v>#N/A</v>
      </c>
      <c r="Q77" s="79" t="e">
        <f ca="1">IF(K77&gt;=8.5,"🟢 ALTO",IF(K77&gt;=7.5,"🟡 MEDIO","🔴 BAJO"))</f>
        <v>#N/A</v>
      </c>
    </row>
    <row r="78" spans="1:17" ht="19.5" customHeight="1" x14ac:dyDescent="0.35">
      <c r="A78" s="105" t="s">
        <v>431</v>
      </c>
      <c r="B78" s="106"/>
      <c r="C78" s="169" t="s">
        <v>432</v>
      </c>
      <c r="D78" s="106"/>
      <c r="E78" s="145" t="s">
        <v>433</v>
      </c>
      <c r="F78" s="106"/>
      <c r="G78" s="145" t="s">
        <v>434</v>
      </c>
      <c r="H78" s="106"/>
      <c r="I78" s="164" t="s">
        <v>435</v>
      </c>
      <c r="J78" s="96"/>
      <c r="K78" s="105" t="s">
        <v>436</v>
      </c>
      <c r="L78" s="106"/>
      <c r="M78" s="105" t="s">
        <v>437</v>
      </c>
      <c r="N78" s="106"/>
      <c r="O78" s="105" t="s">
        <v>438</v>
      </c>
      <c r="P78" s="106"/>
      <c r="Q78" s="82" t="str">
        <f>IF(K78&gt;=8.5,"🟢 ALTO",IF(K78&gt;=7.5,"🟡 MEDIO","🔴 BAJO"))</f>
        <v>🟢 ALTO</v>
      </c>
    </row>
    <row r="79" spans="1:17" ht="19.5" customHeight="1" x14ac:dyDescent="0.35">
      <c r="A79" s="117" t="str">
        <f ca="1">INDEX('Watchlist Ratings'!B:B,MATCH(MAX('Watchlist Ratings'!AN:AN),'Watchlist Ratings'!AN:AN,0))</f>
        <v>GRMN</v>
      </c>
      <c r="B79" s="106"/>
      <c r="C79" s="116" t="e" vm="37">
        <f ca="1">INDEX('Watchlist Ratings'!B:B,MATCH(MAX('Watchlist Ratings'!BM:BM),'Watchlist Ratings'!BM:BM,0))</f>
        <v>#VALUE!</v>
      </c>
      <c r="D79" s="106"/>
      <c r="E79" s="118" t="str">
        <f ca="1">INDEX('Watchlist Ratings'!B:B,MATCH(MAX('Watchlist Ratings'!BC:BC),'Watchlist Ratings'!BC:BC,0))</f>
        <v>TSM</v>
      </c>
      <c r="F79" s="106"/>
      <c r="G79" s="118" t="str">
        <f ca="1">INDEX('Watchlist Ratings'!B:B,MATCH(MAX('Watchlist Ratings'!K:K),'Watchlist Ratings'!K:K,0))</f>
        <v>GRMN</v>
      </c>
      <c r="H79" s="106"/>
      <c r="I79" s="154" t="str">
        <f ca="1">INDEX('Watchlist Ratings'!B:B,MATCH(MAX('Watchlist Ratings'!L:L),'Watchlist Ratings'!L:L,0))</f>
        <v>KRX</v>
      </c>
      <c r="J79" s="96"/>
      <c r="K79" s="117" t="str">
        <f ca="1">INDEX('Watchlist Ratings'!B:B,MATCH(MAX('Watchlist Ratings'!AM:AM),'Watchlist Ratings'!AM:AM,0))</f>
        <v>COR</v>
      </c>
      <c r="L79" s="106"/>
      <c r="M79" s="117" t="e" vm="37">
        <f t="array" aca="1" ref="M79" ca="1">INDEX('Watchlist Ratings'!B:B,MATCH(MIN('Watchlist Ratings'!AW4:AW64),'Watchlist Ratings'!AW4:AW64,0)+3)</f>
        <v>#VALUE!</v>
      </c>
      <c r="N79" s="106"/>
      <c r="O79" s="117" t="e" vm="37">
        <f t="array" aca="1" ref="O79" ca="1">INDEX('Watchlist Ratings'!B:B,MATCH(MAX('Watchlist Ratings'!BM4:BM64-'Watchlist Ratings'!BL4:BL64),'Watchlist Ratings'!BM4:BM64-'Watchlist Ratings'!BL4:BL64,0)+3)</f>
        <v>#VALUE!</v>
      </c>
      <c r="P79" s="106"/>
      <c r="Q79" s="79" t="str">
        <f ca="1">IF(K79&gt;=8.5,"🟢 ALTO",IF(K79&gt;=7.5,"🟡 MEDIO","🔴 BAJO"))</f>
        <v>🟢 ALTO</v>
      </c>
    </row>
    <row r="80" spans="1:17" ht="19.5" customHeight="1" x14ac:dyDescent="0.35">
      <c r="A80" s="143">
        <f>MAX('Watchlist Ratings'!AN:AN)</f>
        <v>8.2799999999999994</v>
      </c>
      <c r="B80" s="106"/>
      <c r="C80" s="144" t="e" vm="37">
        <f ca="1">MAX('Watchlist Ratings'!BM:BM)</f>
        <v>#VALUE!</v>
      </c>
      <c r="D80" s="106"/>
      <c r="E80" s="149">
        <f>MAX('Watchlist Ratings'!BC:BC)</f>
        <v>1.5999999999999999</v>
      </c>
      <c r="F80" s="106"/>
      <c r="G80" s="149" t="str">
        <f>MAX('Watchlist Ratings'!K:K)&amp;"/8"</f>
        <v>8/8</v>
      </c>
      <c r="H80" s="106"/>
      <c r="I80" s="126" t="str">
        <f>MAX('Watchlist Ratings'!L:L)&amp;"/3"</f>
        <v>3/3</v>
      </c>
      <c r="J80" s="96"/>
      <c r="K80" s="127">
        <f>MAX('Watchlist Ratings'!AM:AM)</f>
        <v>8.7100000000000009</v>
      </c>
      <c r="L80" s="106"/>
      <c r="M80" s="127" t="e" vm="37">
        <f ca="1">MIN('Watchlist Ratings'!AW4:AW64)&amp;"x"</f>
        <v>#VALUE!</v>
      </c>
      <c r="N80" s="106"/>
      <c r="O80" s="127" t="e" vm="37">
        <f t="array" ref="O80" ca="1">TEXT(MAX('Watchlist Ratings'!BM4:BM64-'Watchlist Ratings'!BL4:BL64),"0.0%")</f>
        <v>#VALUE!</v>
      </c>
      <c r="P80" s="106"/>
      <c r="Q80" s="82" t="str">
        <f>IF(K80&gt;=8.5,"🟢 ALTO",IF(K80&gt;=7.5,"🟡 MEDIO","🔴 BAJO"))</f>
        <v>🟢 ALTO</v>
      </c>
    </row>
    <row r="81" spans="1:17" ht="19.5" customHeight="1" x14ac:dyDescent="0.35">
      <c r="A81" s="79" t="s">
        <v>393</v>
      </c>
      <c r="B81" s="80" t="e">
        <f ca="1">VLOOKUP(A81,'Watchlist Ratings'!$B$4:$BM$64,4,FALSE())</f>
        <v>#N/A</v>
      </c>
      <c r="C81" s="80" t="e">
        <f ca="1">VLOOKUP(A81,'Watchlist Ratings'!$B$4:$BM$64,59,FALSE())</f>
        <v>#N/A</v>
      </c>
      <c r="D81" s="80" t="e">
        <f ca="1">VLOOKUP(A81,'Watchlist Ratings'!$B$4:$BM$64,60,FALSE())</f>
        <v>#N/A</v>
      </c>
      <c r="E81" s="81" t="e">
        <f ca="1">VLOOKUP(A81,'Watchlist Ratings'!$B$4:$BM$64,61,FALSE())</f>
        <v>#N/A</v>
      </c>
      <c r="F81" s="81" t="e">
        <f ca="1">VLOOKUP(A81,'Watchlist Ratings'!$B$4:$BM$64,64,FALSE())</f>
        <v>#N/A</v>
      </c>
      <c r="G81" s="81" t="e">
        <f ca="1">F81-E81</f>
        <v>#N/A</v>
      </c>
      <c r="H81" s="79" t="e">
        <f ca="1">IF(E81&gt;0,"🟢 BUY",IF(E81&gt;-0.05,"🟡 HOLD","🔴 PASS"))</f>
        <v>#N/A</v>
      </c>
      <c r="J81" s="79" t="s">
        <v>393</v>
      </c>
      <c r="K81" s="79" t="e">
        <f ca="1">VLOOKUP(J81,'Watchlist Ratings'!$B$4:$BM$64,36,FALSE())</f>
        <v>#N/A</v>
      </c>
      <c r="L81" s="79" t="e">
        <f ca="1">VLOOKUP(J81,'Watchlist Ratings'!$B$4:$BM$64,29,FALSE())</f>
        <v>#N/A</v>
      </c>
      <c r="M81" s="79" t="e">
        <f ca="1">VLOOKUP(J81,'Watchlist Ratings'!$B$4:$BM$64,30,FALSE())</f>
        <v>#N/A</v>
      </c>
      <c r="N81" s="79" t="e">
        <f ca="1">VLOOKUP(J81,'Watchlist Ratings'!$B$4:$BM$64,34,FALSE())</f>
        <v>#N/A</v>
      </c>
      <c r="O81" s="79" t="e">
        <f ca="1">VLOOKUP(J81,'Watchlist Ratings'!$B$4:$BM$64,8,FALSE())</f>
        <v>#N/A</v>
      </c>
      <c r="P81" s="79" t="e">
        <f ca="1">VLOOKUP(J81,'Watchlist Ratings'!$B$4:$BM$64,9,FALSE())</f>
        <v>#N/A</v>
      </c>
      <c r="Q81" s="79" t="e">
        <f ca="1">IF(K81&gt;=8.5,"🟢 ALTO",IF(K81&gt;=7.5,"🟡 MEDIO","🔴 BAJO"))</f>
        <v>#N/A</v>
      </c>
    </row>
    <row r="82" spans="1:17" ht="19.5" customHeight="1" x14ac:dyDescent="0.35">
      <c r="A82" s="128" t="s">
        <v>439</v>
      </c>
      <c r="B82" s="96"/>
      <c r="C82" s="96"/>
      <c r="D82" s="96"/>
      <c r="E82" s="96"/>
      <c r="F82" s="96"/>
      <c r="G82" s="96"/>
      <c r="H82" s="96"/>
      <c r="I82" s="96"/>
      <c r="J82" s="96"/>
      <c r="K82" s="96"/>
      <c r="L82" s="96"/>
      <c r="M82" s="96"/>
      <c r="N82" s="96"/>
      <c r="O82" s="96"/>
      <c r="P82" s="96"/>
      <c r="Q82" s="96"/>
    </row>
    <row r="83" spans="1:17" ht="19.5" customHeight="1" x14ac:dyDescent="0.35">
      <c r="A83" s="83" t="s">
        <v>388</v>
      </c>
      <c r="B83" s="84" t="e">
        <f ca="1">VLOOKUP(A83,'Watchlist Ratings'!$B$4:$BM$64,4,FALSE())</f>
        <v>#N/A</v>
      </c>
      <c r="C83" s="84" t="e">
        <f ca="1">VLOOKUP(A83,'Watchlist Ratings'!$B$4:$BM$64,59,FALSE())</f>
        <v>#N/A</v>
      </c>
      <c r="D83" s="84" t="e">
        <f ca="1">VLOOKUP(A83,'Watchlist Ratings'!$B$4:$BM$64,60,FALSE())</f>
        <v>#N/A</v>
      </c>
      <c r="E83" s="85" t="e">
        <f ca="1">VLOOKUP(A83,'Watchlist Ratings'!$B$4:$BM$64,61,FALSE())</f>
        <v>#N/A</v>
      </c>
      <c r="F83" s="85" t="e">
        <f ca="1">VLOOKUP(A83,'Watchlist Ratings'!$B$4:$BM$64,64,FALSE())</f>
        <v>#N/A</v>
      </c>
      <c r="G83" s="85" t="e">
        <f ca="1">F83-E83</f>
        <v>#N/A</v>
      </c>
      <c r="H83" s="83" t="e">
        <f ca="1">IF(E83&gt;0,"🟢 BUY",IF(E83&gt;-0.05,"🟡 HOLD","🔴 PASS"))</f>
        <v>#N/A</v>
      </c>
      <c r="J83" s="83" t="s">
        <v>388</v>
      </c>
      <c r="K83" s="83" t="e">
        <f ca="1">VLOOKUP(J83,'Watchlist Ratings'!$B$4:$BM$64,36,FALSE())</f>
        <v>#N/A</v>
      </c>
      <c r="L83" s="83" t="e">
        <f ca="1">VLOOKUP(J83,'Watchlist Ratings'!$B$4:$BM$64,29,FALSE())</f>
        <v>#N/A</v>
      </c>
      <c r="M83" s="83" t="e">
        <f ca="1">VLOOKUP(J83,'Watchlist Ratings'!$B$4:$BM$64,30,FALSE())</f>
        <v>#N/A</v>
      </c>
      <c r="N83" s="83" t="e">
        <f ca="1">VLOOKUP(J83,'Watchlist Ratings'!$B$4:$BM$64,34,FALSE())</f>
        <v>#N/A</v>
      </c>
      <c r="O83" s="83" t="e">
        <f ca="1">VLOOKUP(J83,'Watchlist Ratings'!$B$4:$BM$64,8,FALSE())</f>
        <v>#N/A</v>
      </c>
      <c r="P83" s="83" t="e">
        <f ca="1">VLOOKUP(J83,'Watchlist Ratings'!$B$4:$BM$64,9,FALSE())</f>
        <v>#N/A</v>
      </c>
      <c r="Q83" s="83" t="e">
        <f ca="1">IF(K83&gt;=8.5,"🟢 ALTO",IF(K83&gt;=7.5,"🟡 MEDIO","🔴 BAJO"))</f>
        <v>#N/A</v>
      </c>
    </row>
    <row r="84" spans="1:17" ht="19.5" customHeight="1" x14ac:dyDescent="0.35"/>
    <row r="85" spans="1:17" ht="27.75" customHeight="1" x14ac:dyDescent="0.35">
      <c r="A85" s="152" t="s">
        <v>430</v>
      </c>
      <c r="B85" s="96"/>
      <c r="C85" s="96"/>
      <c r="D85" s="96"/>
      <c r="E85" s="96"/>
      <c r="F85" s="96"/>
      <c r="G85" s="96"/>
      <c r="H85" s="96"/>
      <c r="I85" s="96"/>
      <c r="J85" s="96"/>
      <c r="K85" s="96"/>
      <c r="L85" s="96"/>
      <c r="M85" s="96"/>
      <c r="N85" s="96"/>
      <c r="O85" s="96"/>
      <c r="P85" s="96"/>
      <c r="Q85" s="96"/>
    </row>
    <row r="86" spans="1:17" ht="19.5" customHeight="1" x14ac:dyDescent="0.35"/>
    <row r="87" spans="1:17" ht="19.5" customHeight="1" x14ac:dyDescent="0.35">
      <c r="A87" s="130" t="s">
        <v>431</v>
      </c>
      <c r="B87" s="96"/>
      <c r="C87" s="171" t="s">
        <v>432</v>
      </c>
      <c r="D87" s="96"/>
      <c r="E87" s="119" t="s">
        <v>433</v>
      </c>
      <c r="F87" s="96"/>
      <c r="G87" s="147" t="s">
        <v>434</v>
      </c>
      <c r="H87" s="96"/>
      <c r="I87" s="148" t="s">
        <v>435</v>
      </c>
      <c r="J87" s="96"/>
      <c r="K87" s="170" t="s">
        <v>436</v>
      </c>
      <c r="L87" s="96"/>
      <c r="M87" s="133" t="s">
        <v>437</v>
      </c>
      <c r="N87" s="96"/>
      <c r="O87" s="156" t="s">
        <v>438</v>
      </c>
      <c r="P87" s="96"/>
    </row>
    <row r="88" spans="1:17" ht="19.5" customHeight="1" x14ac:dyDescent="0.45">
      <c r="A88" s="115" t="str">
        <f ca="1">INDEX('Watchlist Ratings'!B$4:B$64,MATCH(MAX('Watchlist Ratings'!AN$4:AN$64),'Watchlist Ratings'!AN$4:AN$64,0))</f>
        <v>GRMN</v>
      </c>
      <c r="B88" s="96"/>
      <c r="C88" s="157" t="e" vm="37">
        <f ca="1">INDEX('Watchlist Ratings'!B$4:B$64,MATCH(MAX('Watchlist Ratings'!BM$4:BM$64),'Watchlist Ratings'!BM$4:BM$64,0))</f>
        <v>#VALUE!</v>
      </c>
      <c r="D88" s="96"/>
      <c r="E88" s="115" t="str">
        <f ca="1">INDEX('Watchlist Ratings'!B$4:B$64,MATCH(MAX('Watchlist Ratings'!BC$4:BC$64),'Watchlist Ratings'!BC$4:BC$64,0))</f>
        <v>TSM</v>
      </c>
      <c r="F88" s="96"/>
      <c r="G88" s="115" t="str">
        <f ca="1">INDEX('Watchlist Ratings'!B$4:B$64,MATCH(MAX('Watchlist Ratings'!K$4:K$64),'Watchlist Ratings'!K$4:K$64,0))</f>
        <v>GRMN</v>
      </c>
      <c r="H88" s="96"/>
      <c r="I88" s="115" t="str">
        <f ca="1">INDEX('Watchlist Ratings'!B$4:B$64,MATCH(MAX('Watchlist Ratings'!L$4:L$64),'Watchlist Ratings'!L$4:L$64,0))</f>
        <v>KRX</v>
      </c>
      <c r="J88" s="96"/>
      <c r="K88" s="115" t="str">
        <f ca="1">INDEX('Watchlist Ratings'!B$4:B$64,MATCH(MAX('Watchlist Ratings'!AM$4:AM$64),'Watchlist Ratings'!AM$4:AM$64,0))</f>
        <v>COR</v>
      </c>
      <c r="L88" s="96"/>
      <c r="M88" s="115" t="e" vm="37">
        <f t="array" aca="1" ref="M88" ca="1">INDEX('Watchlist Ratings'!B$4:B$64,MATCH(MIN(IF('Watchlist Ratings'!AW$4:AW$64&gt;0,'Watchlist Ratings'!AW$4:AW$64)),IF('Watchlist Ratings'!AW$4:AW$64&gt;0,'Watchlist Ratings'!AW$4:AW$64),0))</f>
        <v>#VALUE!</v>
      </c>
      <c r="N88" s="96"/>
      <c r="O88" s="115" t="e" vm="37">
        <f t="array" aca="1" ref="O88" ca="1">INDEX('Watchlist Ratings'!B$4:B$64,MATCH(MAX('Watchlist Ratings'!BM$4:BM$64-'Watchlist Ratings'!BL$4:BL$64),'Watchlist Ratings'!BM$4:BM$64-'Watchlist Ratings'!BL$4:BL$64,0))</f>
        <v>#VALUE!</v>
      </c>
      <c r="P88" s="96"/>
    </row>
    <row r="89" spans="1:17" ht="19.5" customHeight="1" x14ac:dyDescent="0.35">
      <c r="A89" s="132">
        <f>MAX('Watchlist Ratings'!AN$4:AN$64)</f>
        <v>8.2799999999999994</v>
      </c>
      <c r="B89" s="96"/>
      <c r="C89" s="114" t="e" vm="37">
        <f ca="1">MAX('Watchlist Ratings'!BM$4:BM$64)</f>
        <v>#VALUE!</v>
      </c>
      <c r="D89" s="96"/>
      <c r="E89" s="114">
        <f>MAX('Watchlist Ratings'!BC$4:BC$64)</f>
        <v>1.5999999999999999</v>
      </c>
      <c r="F89" s="96"/>
      <c r="G89" s="113" t="str">
        <f>MAX('Watchlist Ratings'!K$4:K$64)&amp;"/8"</f>
        <v>8/8</v>
      </c>
      <c r="H89" s="96"/>
      <c r="I89" s="113" t="str">
        <f>MAX('Watchlist Ratings'!L$4:L$64)&amp;"/3"</f>
        <v>3/3</v>
      </c>
      <c r="J89" s="96"/>
      <c r="K89" s="113">
        <f>MAX('Watchlist Ratings'!AM$4:AM$64)</f>
        <v>8.7100000000000009</v>
      </c>
      <c r="L89" s="96"/>
      <c r="M89" s="113" t="e" vm="37">
        <f t="array" aca="1" ref="M89" ca="1">MIN(IF('Watchlist Ratings'!AW$4:AW$64&gt;0,'Watchlist Ratings'!AW$4:AW$64))&amp;"x"</f>
        <v>#VALUE!</v>
      </c>
      <c r="N89" s="96"/>
      <c r="O89" s="113" t="e" vm="37">
        <f t="array" ref="O89" ca="1">MAX('Watchlist Ratings'!BM$4:BM$64-'Watchlist Ratings'!BL$4:BL$64)</f>
        <v>#VALUE!</v>
      </c>
      <c r="P89" s="96"/>
    </row>
    <row r="90" spans="1:17" ht="19.5" customHeight="1" x14ac:dyDescent="0.35"/>
    <row r="91" spans="1:17" ht="19.5" customHeight="1" x14ac:dyDescent="0.35">
      <c r="A91" s="165" t="s">
        <v>439</v>
      </c>
      <c r="B91" s="96"/>
      <c r="C91" s="96"/>
      <c r="D91" s="96"/>
      <c r="E91" s="96"/>
      <c r="F91" s="96"/>
      <c r="G91" s="96"/>
      <c r="H91" s="96"/>
      <c r="I91" s="96"/>
      <c r="J91" s="96"/>
      <c r="K91" s="96"/>
      <c r="L91" s="96"/>
      <c r="M91" s="96"/>
      <c r="N91" s="96"/>
      <c r="O91" s="96"/>
      <c r="P91" s="96"/>
      <c r="Q91" s="96"/>
    </row>
  </sheetData>
  <mergeCells count="86">
    <mergeCell ref="A91:Q91"/>
    <mergeCell ref="A24:R24"/>
    <mergeCell ref="A1:L1"/>
    <mergeCell ref="K4:L4"/>
    <mergeCell ref="C78:D78"/>
    <mergeCell ref="K87:L87"/>
    <mergeCell ref="C87:D87"/>
    <mergeCell ref="A6:B6"/>
    <mergeCell ref="A8:L8"/>
    <mergeCell ref="G6:H6"/>
    <mergeCell ref="G3:H3"/>
    <mergeCell ref="A72:I72"/>
    <mergeCell ref="I3:J3"/>
    <mergeCell ref="G5:H5"/>
    <mergeCell ref="I5:J5"/>
    <mergeCell ref="G4:H4"/>
    <mergeCell ref="I4:J4"/>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C3:D3"/>
    <mergeCell ref="E3:F3"/>
    <mergeCell ref="K78:L78"/>
    <mergeCell ref="I6:J6"/>
    <mergeCell ref="C5:D5"/>
    <mergeCell ref="E5:F5"/>
    <mergeCell ref="C4:D4"/>
    <mergeCell ref="E4:F4"/>
    <mergeCell ref="K6:L6"/>
    <mergeCell ref="K3:L3"/>
    <mergeCell ref="K5:L5"/>
    <mergeCell ref="I78:J78"/>
    <mergeCell ref="A88:B88"/>
    <mergeCell ref="C79:D79"/>
    <mergeCell ref="M79:N79"/>
    <mergeCell ref="K88:L88"/>
    <mergeCell ref="E79:F79"/>
    <mergeCell ref="M88:N88"/>
    <mergeCell ref="E87:F87"/>
    <mergeCell ref="I80:J80"/>
    <mergeCell ref="K80:L80"/>
    <mergeCell ref="A82:Q82"/>
    <mergeCell ref="A79:B79"/>
    <mergeCell ref="K79:L79"/>
    <mergeCell ref="A87:B87"/>
    <mergeCell ref="M80:N80"/>
    <mergeCell ref="O80:P80"/>
    <mergeCell ref="O78:P78"/>
    <mergeCell ref="C6:D6"/>
    <mergeCell ref="L40:R40"/>
    <mergeCell ref="J72:Q72"/>
    <mergeCell ref="I89:J89"/>
    <mergeCell ref="K89:L89"/>
    <mergeCell ref="C89:D89"/>
    <mergeCell ref="O88:P88"/>
    <mergeCell ref="J42:Q42"/>
    <mergeCell ref="O89:P89"/>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5"/>
  <sheetViews>
    <sheetView topLeftCell="B1" workbookViewId="0">
      <selection activeCell="B6" sqref="B6"/>
    </sheetView>
  </sheetViews>
  <sheetFormatPr baseColWidth="10" defaultColWidth="9.1796875" defaultRowHeight="14.5" x14ac:dyDescent="0.35"/>
  <cols>
    <col min="2" max="2" width="10.453125" bestFit="1" customWidth="1"/>
    <col min="3" max="3" width="27.81640625" customWidth="1"/>
    <col min="4" max="4" width="52.81640625" bestFit="1" customWidth="1"/>
    <col min="5" max="5" width="192.26953125" bestFit="1" customWidth="1"/>
  </cols>
  <sheetData>
    <row r="1" spans="1:5" x14ac:dyDescent="0.35">
      <c r="A1" t="s">
        <v>371</v>
      </c>
      <c r="B1" t="s">
        <v>440</v>
      </c>
      <c r="C1" t="s">
        <v>441</v>
      </c>
      <c r="D1" t="s">
        <v>442</v>
      </c>
      <c r="E1" t="s">
        <v>443</v>
      </c>
    </row>
    <row r="2" spans="1:5" x14ac:dyDescent="0.35">
      <c r="A2" t="s">
        <v>444</v>
      </c>
      <c r="B2" t="s">
        <v>81</v>
      </c>
      <c r="C2" t="s">
        <v>445</v>
      </c>
      <c r="D2" t="s">
        <v>446</v>
      </c>
      <c r="E2" t="s">
        <v>447</v>
      </c>
    </row>
    <row r="3" spans="1:5" x14ac:dyDescent="0.35">
      <c r="A3" t="s">
        <v>409</v>
      </c>
      <c r="B3" t="s">
        <v>81</v>
      </c>
      <c r="C3" t="s">
        <v>448</v>
      </c>
      <c r="D3" t="s">
        <v>449</v>
      </c>
      <c r="E3" t="s">
        <v>450</v>
      </c>
    </row>
    <row r="4" spans="1:5" x14ac:dyDescent="0.35">
      <c r="A4" t="s">
        <v>451</v>
      </c>
      <c r="B4" t="s">
        <v>81</v>
      </c>
      <c r="C4" t="s">
        <v>452</v>
      </c>
      <c r="D4" t="s">
        <v>453</v>
      </c>
      <c r="E4" t="s">
        <v>454</v>
      </c>
    </row>
    <row r="5" spans="1:5" x14ac:dyDescent="0.35">
      <c r="A5" t="s">
        <v>455</v>
      </c>
      <c r="B5" t="s">
        <v>81</v>
      </c>
      <c r="C5" t="s">
        <v>456</v>
      </c>
      <c r="D5" t="s">
        <v>457</v>
      </c>
      <c r="E5" t="s">
        <v>458</v>
      </c>
    </row>
    <row r="6" spans="1:5" x14ac:dyDescent="0.35">
      <c r="A6" t="s">
        <v>391</v>
      </c>
      <c r="B6" t="s">
        <v>87</v>
      </c>
      <c r="C6" t="s">
        <v>459</v>
      </c>
      <c r="D6" t="s">
        <v>460</v>
      </c>
      <c r="E6" t="s">
        <v>461</v>
      </c>
    </row>
    <row r="7" spans="1:5" x14ac:dyDescent="0.35">
      <c r="A7" t="s">
        <v>388</v>
      </c>
      <c r="B7" t="s">
        <v>87</v>
      </c>
      <c r="C7" t="s">
        <v>459</v>
      </c>
      <c r="D7" t="s">
        <v>462</v>
      </c>
      <c r="E7" t="s">
        <v>463</v>
      </c>
    </row>
    <row r="8" spans="1:5" x14ac:dyDescent="0.35">
      <c r="A8" t="s">
        <v>464</v>
      </c>
      <c r="B8" t="s">
        <v>87</v>
      </c>
      <c r="C8" t="s">
        <v>459</v>
      </c>
      <c r="D8" t="s">
        <v>465</v>
      </c>
      <c r="E8" t="s">
        <v>466</v>
      </c>
    </row>
    <row r="9" spans="1:5" x14ac:dyDescent="0.35">
      <c r="A9" t="s">
        <v>467</v>
      </c>
      <c r="B9" t="s">
        <v>87</v>
      </c>
      <c r="C9" t="s">
        <v>459</v>
      </c>
      <c r="D9" t="s">
        <v>468</v>
      </c>
      <c r="E9" t="s">
        <v>469</v>
      </c>
    </row>
    <row r="10" spans="1:5" x14ac:dyDescent="0.35">
      <c r="A10" t="s">
        <v>470</v>
      </c>
      <c r="B10" t="s">
        <v>87</v>
      </c>
      <c r="C10" t="s">
        <v>459</v>
      </c>
      <c r="D10" t="s">
        <v>471</v>
      </c>
      <c r="E10" t="s">
        <v>472</v>
      </c>
    </row>
    <row r="11" spans="1:5" x14ac:dyDescent="0.35">
      <c r="A11" t="s">
        <v>473</v>
      </c>
      <c r="B11" t="s">
        <v>87</v>
      </c>
      <c r="C11" t="s">
        <v>459</v>
      </c>
      <c r="D11" t="s">
        <v>474</v>
      </c>
      <c r="E11" t="s">
        <v>475</v>
      </c>
    </row>
    <row r="12" spans="1:5" x14ac:dyDescent="0.35">
      <c r="A12" t="s">
        <v>476</v>
      </c>
      <c r="B12" t="s">
        <v>87</v>
      </c>
      <c r="C12" t="s">
        <v>477</v>
      </c>
      <c r="D12" t="s">
        <v>478</v>
      </c>
      <c r="E12" t="s">
        <v>479</v>
      </c>
    </row>
    <row r="13" spans="1:5" x14ac:dyDescent="0.35">
      <c r="A13" t="s">
        <v>480</v>
      </c>
      <c r="B13" t="s">
        <v>87</v>
      </c>
      <c r="C13" t="s">
        <v>459</v>
      </c>
      <c r="D13" t="s">
        <v>481</v>
      </c>
      <c r="E13" t="s">
        <v>482</v>
      </c>
    </row>
    <row r="14" spans="1:5" x14ac:dyDescent="0.35">
      <c r="A14" t="s">
        <v>483</v>
      </c>
      <c r="B14" t="s">
        <v>87</v>
      </c>
      <c r="C14" t="s">
        <v>484</v>
      </c>
      <c r="D14" t="s">
        <v>485</v>
      </c>
      <c r="E14" t="s">
        <v>486</v>
      </c>
    </row>
    <row r="15" spans="1:5" x14ac:dyDescent="0.35">
      <c r="A15" t="s">
        <v>402</v>
      </c>
      <c r="B15" t="s">
        <v>114</v>
      </c>
      <c r="C15" t="s">
        <v>487</v>
      </c>
      <c r="D15" t="s">
        <v>488</v>
      </c>
      <c r="E15" t="s">
        <v>489</v>
      </c>
    </row>
    <row r="16" spans="1:5" x14ac:dyDescent="0.35">
      <c r="A16" t="s">
        <v>400</v>
      </c>
      <c r="B16" t="s">
        <v>114</v>
      </c>
      <c r="C16" t="s">
        <v>490</v>
      </c>
      <c r="D16" t="s">
        <v>491</v>
      </c>
      <c r="E16" t="s">
        <v>492</v>
      </c>
    </row>
    <row r="17" spans="1:5" x14ac:dyDescent="0.35">
      <c r="A17" t="s">
        <v>493</v>
      </c>
      <c r="B17" t="s">
        <v>114</v>
      </c>
      <c r="C17" t="s">
        <v>487</v>
      </c>
      <c r="D17" t="s">
        <v>494</v>
      </c>
      <c r="E17" t="s">
        <v>495</v>
      </c>
    </row>
    <row r="18" spans="1:5" x14ac:dyDescent="0.35">
      <c r="A18" t="s">
        <v>496</v>
      </c>
      <c r="B18" t="s">
        <v>114</v>
      </c>
      <c r="C18" t="s">
        <v>497</v>
      </c>
      <c r="D18" t="s">
        <v>498</v>
      </c>
      <c r="E18" t="s">
        <v>499</v>
      </c>
    </row>
    <row r="19" spans="1:5" x14ac:dyDescent="0.35">
      <c r="A19" t="s">
        <v>500</v>
      </c>
      <c r="B19" t="s">
        <v>114</v>
      </c>
      <c r="C19" t="s">
        <v>487</v>
      </c>
      <c r="D19" t="s">
        <v>501</v>
      </c>
      <c r="E19" t="s">
        <v>502</v>
      </c>
    </row>
    <row r="20" spans="1:5" x14ac:dyDescent="0.35">
      <c r="A20" t="s">
        <v>503</v>
      </c>
      <c r="B20" t="s">
        <v>114</v>
      </c>
      <c r="C20" t="s">
        <v>459</v>
      </c>
      <c r="D20" t="s">
        <v>504</v>
      </c>
      <c r="E20" t="s">
        <v>505</v>
      </c>
    </row>
    <row r="21" spans="1:5" x14ac:dyDescent="0.35">
      <c r="A21" t="s">
        <v>506</v>
      </c>
      <c r="B21" t="s">
        <v>114</v>
      </c>
      <c r="C21" t="s">
        <v>497</v>
      </c>
      <c r="D21" t="s">
        <v>507</v>
      </c>
      <c r="E21" t="s">
        <v>508</v>
      </c>
    </row>
    <row r="22" spans="1:5" x14ac:dyDescent="0.35">
      <c r="A22" t="s">
        <v>390</v>
      </c>
      <c r="B22" t="s">
        <v>114</v>
      </c>
      <c r="C22" t="s">
        <v>509</v>
      </c>
      <c r="D22" t="s">
        <v>510</v>
      </c>
      <c r="E22" t="s">
        <v>511</v>
      </c>
    </row>
    <row r="23" spans="1:5" x14ac:dyDescent="0.35">
      <c r="A23" t="s">
        <v>512</v>
      </c>
      <c r="B23" t="s">
        <v>114</v>
      </c>
      <c r="C23" t="s">
        <v>487</v>
      </c>
      <c r="D23" t="s">
        <v>513</v>
      </c>
      <c r="E23" t="s">
        <v>514</v>
      </c>
    </row>
    <row r="24" spans="1:5" x14ac:dyDescent="0.35">
      <c r="A24" t="s">
        <v>515</v>
      </c>
      <c r="B24" t="s">
        <v>114</v>
      </c>
      <c r="C24" t="s">
        <v>459</v>
      </c>
      <c r="D24" t="s">
        <v>516</v>
      </c>
      <c r="E24" t="s">
        <v>517</v>
      </c>
    </row>
    <row r="25" spans="1:5" x14ac:dyDescent="0.35">
      <c r="A25" t="s">
        <v>518</v>
      </c>
      <c r="B25" t="s">
        <v>114</v>
      </c>
      <c r="C25" t="s">
        <v>519</v>
      </c>
      <c r="D25" t="s">
        <v>520</v>
      </c>
      <c r="E25" t="s">
        <v>521</v>
      </c>
    </row>
    <row r="26" spans="1:5" x14ac:dyDescent="0.35">
      <c r="A26" t="s">
        <v>522</v>
      </c>
      <c r="B26" t="s">
        <v>114</v>
      </c>
      <c r="C26" t="s">
        <v>487</v>
      </c>
      <c r="D26" t="s">
        <v>523</v>
      </c>
      <c r="E26" t="s">
        <v>524</v>
      </c>
    </row>
    <row r="27" spans="1:5" x14ac:dyDescent="0.35">
      <c r="A27" t="s">
        <v>398</v>
      </c>
      <c r="B27" t="s">
        <v>99</v>
      </c>
      <c r="C27" t="s">
        <v>525</v>
      </c>
      <c r="D27" t="s">
        <v>526</v>
      </c>
      <c r="E27" t="s">
        <v>527</v>
      </c>
    </row>
    <row r="28" spans="1:5" x14ac:dyDescent="0.35">
      <c r="A28" t="s">
        <v>413</v>
      </c>
      <c r="B28" t="s">
        <v>99</v>
      </c>
      <c r="C28" t="s">
        <v>528</v>
      </c>
      <c r="D28" t="s">
        <v>529</v>
      </c>
      <c r="E28" t="s">
        <v>530</v>
      </c>
    </row>
    <row r="29" spans="1:5" x14ac:dyDescent="0.35">
      <c r="A29" t="s">
        <v>394</v>
      </c>
      <c r="B29" t="s">
        <v>99</v>
      </c>
      <c r="C29" t="s">
        <v>531</v>
      </c>
      <c r="D29" t="s">
        <v>532</v>
      </c>
      <c r="E29" t="s">
        <v>533</v>
      </c>
    </row>
    <row r="30" spans="1:5" x14ac:dyDescent="0.35">
      <c r="A30" t="s">
        <v>397</v>
      </c>
      <c r="B30" t="s">
        <v>99</v>
      </c>
      <c r="C30" t="s">
        <v>528</v>
      </c>
      <c r="D30" t="s">
        <v>534</v>
      </c>
      <c r="E30" t="s">
        <v>535</v>
      </c>
    </row>
    <row r="31" spans="1:5" x14ac:dyDescent="0.35">
      <c r="A31" t="s">
        <v>536</v>
      </c>
      <c r="B31" t="s">
        <v>99</v>
      </c>
      <c r="C31" t="s">
        <v>537</v>
      </c>
      <c r="D31" t="s">
        <v>538</v>
      </c>
      <c r="E31" t="s">
        <v>539</v>
      </c>
    </row>
    <row r="32" spans="1:5" x14ac:dyDescent="0.35">
      <c r="A32" t="s">
        <v>540</v>
      </c>
      <c r="B32" t="s">
        <v>99</v>
      </c>
      <c r="C32" t="s">
        <v>541</v>
      </c>
      <c r="D32" t="s">
        <v>542</v>
      </c>
      <c r="E32" t="s">
        <v>543</v>
      </c>
    </row>
    <row r="33" spans="1:5" x14ac:dyDescent="0.35">
      <c r="A33" t="s">
        <v>544</v>
      </c>
      <c r="B33" t="s">
        <v>99</v>
      </c>
      <c r="C33" t="s">
        <v>545</v>
      </c>
      <c r="D33" t="s">
        <v>546</v>
      </c>
      <c r="E33" t="s">
        <v>547</v>
      </c>
    </row>
    <row r="34" spans="1:5" x14ac:dyDescent="0.35">
      <c r="A34" t="s">
        <v>548</v>
      </c>
      <c r="B34" t="s">
        <v>99</v>
      </c>
      <c r="C34" t="s">
        <v>549</v>
      </c>
      <c r="D34" t="s">
        <v>550</v>
      </c>
      <c r="E34" t="s">
        <v>551</v>
      </c>
    </row>
    <row r="35" spans="1:5" x14ac:dyDescent="0.35">
      <c r="A35" t="s">
        <v>552</v>
      </c>
      <c r="B35" t="s">
        <v>99</v>
      </c>
      <c r="C35" t="s">
        <v>553</v>
      </c>
      <c r="D35" t="s">
        <v>554</v>
      </c>
      <c r="E35" t="s">
        <v>555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2026-05-16T06:31:23Z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2026-05-07T18:38:01Z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eb72fcb5-a4b2-467b-954d-4507bd198638</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