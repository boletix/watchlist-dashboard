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0" autoFilterDateGrouping="1"/>
  </bookViews>
  <sheets>
    <sheet xmlns:r="http://schemas.openxmlformats.org/officeDocument/2006/relationships" name="Watchlist Ratings" sheetId="1" state="visible" r:id="rId1"/>
    <sheet xmlns:r="http://schemas.openxmlformats.org/officeDocument/2006/relationships" name="Framework No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Updates Log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#,##0.0"/>
    <numFmt numFmtId="165" formatCode="#,##0;\(#,##0\);\-"/>
    <numFmt numFmtId="166" formatCode="0.00\x"/>
    <numFmt numFmtId="167" formatCode="_-[$¥-411]* #,##0.00_-;\-[$¥-411]* #,##0.00_-;_-[$¥-411]* \-??_-;_-@_-"/>
    <numFmt numFmtId="168" formatCode="_([$$-409]* #,##0.00_);_([$$-409]* \(#,##0.00\);_([$$-409]* \-??_);_(@_)"/>
    <numFmt numFmtId="169" formatCode="_-* #,##0.00\ [$₸-43F]_-;\-* #,##0.00\ [$₸-43F]_-;_-* \-??\ [$₸-43F]_-;_-@_-"/>
    <numFmt numFmtId="170" formatCode="0.0%"/>
    <numFmt numFmtId="171" formatCode="0.0\x"/>
    <numFmt numFmtId="172" formatCode="_([$€-2]\ * #,##0.00_);_([$€-2]\ * \(#,##0.00\);_([$€-2]\ * &quot;-&quot;??_);_(@_)"/>
    <numFmt numFmtId="173" formatCode="0.0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Calibri"/>
      <charset val="1"/>
      <family val="2"/>
      <b val="1"/>
      <color theme="0"/>
      <sz val="11"/>
    </font>
    <font>
      <name val="Arial"/>
      <charset val="1"/>
      <b val="1"/>
      <color rgb="FFFFFFFF"/>
      <sz val="9"/>
    </font>
    <font>
      <name val="Arial"/>
      <charset val="1"/>
      <b val="1"/>
      <sz val="9"/>
    </font>
    <font>
      <name val="Arial"/>
      <charset val="1"/>
      <family val="2"/>
      <b val="1"/>
      <color rgb="FFFFFFFF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color rgb="FF1F3864"/>
      <sz val="11"/>
    </font>
    <font>
      <name val="Arial"/>
      <charset val="1"/>
      <family val="2"/>
      <sz val="10"/>
    </font>
    <font>
      <name val="Calibri"/>
      <charset val="1"/>
      <family val="2"/>
      <b val="1"/>
      <color rgb="FFFFFFFF"/>
      <sz val="18"/>
    </font>
    <font>
      <name val="Calibri"/>
      <charset val="1"/>
      <family val="2"/>
      <b val="1"/>
      <color rgb="FFFFFFFF"/>
      <sz val="20"/>
    </font>
    <font>
      <name val="Calibri"/>
      <charset val="1"/>
      <family val="2"/>
      <i val="1"/>
      <color rgb="FFBDC3C7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2C3E50"/>
      <sz val="26"/>
    </font>
    <font>
      <name val="Calibri"/>
      <charset val="1"/>
      <family val="2"/>
      <i val="1"/>
      <color rgb="FF7F8C8D"/>
      <sz val="9"/>
    </font>
    <font>
      <name val="Calibri"/>
      <charset val="1"/>
      <family val="2"/>
      <b val="1"/>
      <color rgb="FF95A5A6"/>
      <sz val="9"/>
    </font>
    <font>
      <name val="Calibri"/>
      <charset val="1"/>
      <family val="2"/>
      <b val="1"/>
      <color rgb="FF27AE60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b val="1"/>
      <color theme="1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color rgb="FF666666"/>
      <sz val="11"/>
    </font>
    <font>
      <name val="Calibri"/>
      <charset val="1"/>
      <family val="2"/>
      <i val="1"/>
      <color rgb="FF666666"/>
      <sz val="10"/>
    </font>
    <font>
      <name val="Calibri"/>
      <charset val="1"/>
      <family val="2"/>
      <b val="1"/>
      <color theme="1"/>
      <sz val="14"/>
    </font>
    <font>
      <name val="Calibri"/>
      <charset val="1"/>
      <family val="2"/>
      <color rgb="FF1F4E79"/>
      <sz val="11"/>
    </font>
    <font>
      <name val="Calibri"/>
      <charset val="1"/>
      <family val="2"/>
      <i val="1"/>
      <color rgb="FF808080"/>
      <sz val="9"/>
    </font>
    <font>
      <name val="Arial"/>
      <family val="2"/>
      <sz val="10"/>
    </font>
    <font>
      <name val="Arial"/>
      <family val="2"/>
      <b val="1"/>
      <sz val="9"/>
    </font>
    <font>
      <name val="Calibri"/>
      <family val="2"/>
      <b val="1"/>
      <color theme="0"/>
      <sz val="11"/>
    </font>
  </fonts>
  <fills count="48">
    <fill>
      <patternFill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595959"/>
        <bgColor rgb="FF666666"/>
      </patternFill>
    </fill>
    <fill>
      <patternFill patternType="solid">
        <fgColor rgb="FF2E75B6"/>
        <bgColor rgb="FF4B7BC4"/>
      </patternFill>
    </fill>
    <fill>
      <patternFill patternType="solid">
        <fgColor rgb="FF548235"/>
        <bgColor rgb="FF2E8632"/>
      </patternFill>
    </fill>
    <fill>
      <patternFill patternType="solid">
        <fgColor rgb="FFC65911"/>
        <bgColor rgb="FF9C5700"/>
      </patternFill>
    </fill>
    <fill>
      <patternFill patternType="darkGray">
        <fgColor theme="5" tint="-0.249977111117893"/>
        <bgColor rgb="FF8E2717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E7E6E6"/>
        <bgColor rgb="FFEAECEE"/>
      </patternFill>
    </fill>
    <fill>
      <patternFill patternType="solid">
        <fgColor rgb="FFF2F2F2"/>
        <bgColor rgb="FFECF0F1"/>
      </patternFill>
    </fill>
    <fill>
      <patternFill patternType="solid">
        <fgColor rgb="FFFFF2CC"/>
        <bgColor rgb="FFFFF3E0"/>
      </patternFill>
    </fill>
    <fill>
      <patternFill patternType="solid">
        <fgColor rgb="FFFFE699"/>
        <bgColor rgb="FFFFEB9C"/>
      </patternFill>
    </fill>
    <fill>
      <patternFill patternType="solid">
        <fgColor rgb="FFE2EFDA"/>
        <bgColor rgb="FFE8F5E9"/>
      </patternFill>
    </fill>
    <fill>
      <patternFill patternType="solid">
        <fgColor theme="0" tint="-0.1499984740745262"/>
        <bgColor rgb="FFD6DCE5"/>
      </patternFill>
    </fill>
    <fill>
      <patternFill patternType="solid">
        <fgColor rgb="FF1A252F"/>
        <bgColor rgb="FF1F3864"/>
      </patternFill>
    </fill>
    <fill>
      <patternFill patternType="solid">
        <fgColor rgb="FF1F4E79"/>
        <bgColor rgb="FF2F5496"/>
      </patternFill>
    </fill>
    <fill>
      <patternFill patternType="solid">
        <fgColor rgb="FF2C3E50"/>
        <bgColor rgb="FF34495E"/>
      </patternFill>
    </fill>
    <fill>
      <patternFill patternType="solid">
        <fgColor rgb="FF27AE60"/>
        <bgColor rgb="FF2E8632"/>
      </patternFill>
    </fill>
    <fill>
      <patternFill patternType="solid">
        <fgColor rgb="FFF39C12"/>
        <bgColor rgb="FFED7D31"/>
      </patternFill>
    </fill>
    <fill>
      <patternFill patternType="solid">
        <fgColor rgb="FF3498DB"/>
        <bgColor rgb="FF4B7BC4"/>
      </patternFill>
    </fill>
    <fill>
      <patternFill patternType="solid">
        <fgColor rgb="FF8D5FAC"/>
        <bgColor rgb="FF666666"/>
      </patternFill>
    </fill>
    <fill>
      <patternFill patternType="solid">
        <fgColor rgb="FFE23632"/>
        <bgColor rgb="FFC65911"/>
      </patternFill>
    </fill>
    <fill>
      <patternFill patternType="solid">
        <fgColor rgb="FFF8F9FA"/>
        <bgColor rgb="FFFFFFFF"/>
      </patternFill>
    </fill>
    <fill>
      <patternFill patternType="solid">
        <fgColor rgb="FFEAECEE"/>
        <bgColor rgb="FFECF0F1"/>
      </patternFill>
    </fill>
    <fill>
      <patternFill patternType="solid">
        <fgColor rgb="FFFFFFFF"/>
        <bgColor rgb="FFF8F9FA"/>
      </patternFill>
    </fill>
    <fill>
      <patternFill patternType="solid">
        <fgColor rgb="FF34495E"/>
        <bgColor rgb="FF2C3E50"/>
      </patternFill>
    </fill>
    <fill>
      <patternFill patternType="solid">
        <fgColor rgb="FF7830A0"/>
        <bgColor rgb="FF8D5FAC"/>
      </patternFill>
    </fill>
    <fill>
      <patternFill patternType="solid">
        <fgColor rgb="FFE2D0F4"/>
        <bgColor rgb="FFD9D9D9"/>
      </patternFill>
    </fill>
    <fill>
      <patternFill patternType="solid">
        <fgColor rgb="FFC6E0B4"/>
        <bgColor rgb="FFC6EFCE"/>
      </patternFill>
    </fill>
    <fill>
      <patternFill patternType="solid">
        <fgColor rgb="FF2E8632"/>
        <bgColor rgb="FF548235"/>
      </patternFill>
    </fill>
    <fill>
      <patternFill patternType="solid">
        <fgColor rgb="FF1565C0"/>
        <bgColor rgb="FF2E75B6"/>
      </patternFill>
    </fill>
    <fill>
      <patternFill patternType="solid">
        <fgColor rgb="FFE8F5E9"/>
        <bgColor rgb="FFECF0F1"/>
      </patternFill>
    </fill>
    <fill>
      <patternFill patternType="solid">
        <fgColor rgb="FFE3F2FD"/>
        <bgColor rgb="FFECF0F1"/>
      </patternFill>
    </fill>
    <fill>
      <patternFill patternType="solid">
        <fgColor rgb="FF2F5496"/>
        <bgColor rgb="FF1F4E79"/>
      </patternFill>
    </fill>
    <fill>
      <patternFill patternType="solid">
        <fgColor rgb="FFED7D31"/>
        <bgColor rgb="FFFF6F00"/>
      </patternFill>
    </fill>
    <fill>
      <patternFill patternType="solid">
        <fgColor rgb="FF4B7BC4"/>
        <bgColor rgb="FF2E75B6"/>
      </patternFill>
    </fill>
    <fill>
      <patternFill patternType="solid">
        <fgColor rgb="FFFCE4D6"/>
        <bgColor rgb="FFFFF2CC"/>
      </patternFill>
    </fill>
    <fill>
      <patternFill patternType="solid">
        <fgColor rgb="FFD6DCE5"/>
        <bgColor rgb="FFD9D9D9"/>
      </patternFill>
    </fill>
    <fill>
      <patternFill patternType="solid">
        <fgColor rgb="FFFF6F00"/>
        <bgColor rgb="FFED7D31"/>
      </patternFill>
    </fill>
    <fill>
      <patternFill patternType="solid">
        <fgColor rgb="FFFFF3E0"/>
        <bgColor rgb="FFFFF2CC"/>
      </patternFill>
    </fill>
    <fill>
      <patternFill patternType="solid">
        <fgColor rgb="FF375623"/>
        <bgColor rgb="FF404040"/>
      </patternFill>
    </fill>
    <fill>
      <patternFill patternType="solid">
        <fgColor rgb="FF843C0C"/>
        <bgColor rgb="FF8E2717"/>
      </patternFill>
    </fill>
    <fill>
      <patternFill patternType="solid">
        <fgColor rgb="FF96A89A"/>
        <bgColor rgb="FF808687"/>
      </patternFill>
    </fill>
    <fill>
      <patternFill patternType="solid">
        <fgColor rgb="FFD0CECE"/>
        <bgColor rgb="FFCCCCCC"/>
      </patternFill>
    </fill>
    <fill>
      <patternFill patternType="solid">
        <fgColor rgb="FFE7E6E6"/>
        <bgColor rgb="FFF2F2F2"/>
      </patternFill>
    </fill>
    <fill>
      <patternFill patternType="solid">
        <fgColor rgb="FF000000"/>
        <bgColor rgb="FF1A252F"/>
      </patternFill>
    </fill>
    <fill>
      <patternFill patternType="solid">
        <fgColor rgb="FFFFFF00"/>
        <bgColor rgb="FFFFEB9C"/>
      </patternFill>
    </fill>
  </fills>
  <borders count="32">
    <border>
      <left/>
      <right/>
      <top/>
      <bottom/>
      <diagonal/>
    </border>
    <border>
      <left style="thin">
        <color rgb="FFBFBFC3"/>
      </left>
      <right style="thin">
        <color rgb="FFBFBFC3"/>
      </right>
      <top style="thin">
        <color rgb="FFBFBFC3"/>
      </top>
      <bottom style="thin">
        <color rgb="FFBFBFC3"/>
      </bottom>
      <diagonal/>
    </border>
    <border>
      <left/>
      <right/>
      <top/>
      <bottom style="thick">
        <color rgb="FF2C3E50"/>
      </bottom>
      <diagonal/>
    </border>
    <border>
      <left style="thick">
        <color rgb="FF2C3E50"/>
      </left>
      <right style="thin">
        <color rgb="FFECF0F1"/>
      </right>
      <top style="thick">
        <color rgb="FF2C3E50"/>
      </top>
      <bottom/>
      <diagonal/>
    </border>
    <border>
      <left/>
      <right style="thin">
        <color rgb="FFECF0F1"/>
      </right>
      <top style="thick">
        <color rgb="FF2C3E50"/>
      </top>
      <bottom/>
      <diagonal/>
    </border>
    <border>
      <left/>
      <right style="thick">
        <color rgb="FF2C3E50"/>
      </right>
      <top style="thick">
        <color rgb="FF2C3E50"/>
      </top>
      <bottom/>
      <diagonal/>
    </border>
    <border>
      <left style="thick">
        <color rgb="FF2C3E50"/>
      </left>
      <right style="thin">
        <color rgb="FFECF0F1"/>
      </right>
      <top/>
      <bottom/>
      <diagonal/>
    </border>
    <border>
      <left/>
      <right style="thin">
        <color rgb="FFECF0F1"/>
      </right>
      <top/>
      <bottom/>
      <diagonal/>
    </border>
    <border>
      <left/>
      <right style="thick">
        <color rgb="FF2C3E50"/>
      </right>
      <top/>
      <bottom/>
      <diagonal/>
    </border>
    <border>
      <left style="thick">
        <color rgb="FF2C3E50"/>
      </left>
      <right/>
      <top style="thick">
        <color rgb="FF2C3E50"/>
      </top>
      <bottom style="thick">
        <color rgb="FF2C3E50"/>
      </bottom>
      <diagonal/>
    </border>
    <border>
      <left/>
      <right/>
      <top style="thick">
        <color rgb="FF2C3E50"/>
      </top>
      <bottom style="thick">
        <color rgb="FF2C3E50"/>
      </bottom>
      <diagonal/>
    </border>
    <border>
      <left/>
      <right style="thick">
        <color rgb="FF2C3E50"/>
      </right>
      <top style="thick">
        <color rgb="FF2C3E50"/>
      </top>
      <bottom style="thick">
        <color rgb="FF2C3E50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ck">
        <color rgb="FF2C3E5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3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4" fontId="8" fillId="10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3" fontId="8" fillId="10" borderId="1" applyAlignment="1" pivotButton="0" quotePrefix="0" xfId="0">
      <alignment horizontal="center" vertical="center" wrapText="1"/>
    </xf>
    <xf numFmtId="1" fontId="7" fillId="10" borderId="1" applyAlignment="1" pivotButton="0" quotePrefix="0" xfId="0">
      <alignment horizontal="center" vertical="center" wrapText="1"/>
    </xf>
    <xf numFmtId="2" fontId="9" fillId="11" borderId="1" applyAlignment="1" pivotButton="0" quotePrefix="0" xfId="0">
      <alignment horizontal="center" vertical="center" wrapText="1"/>
    </xf>
    <xf numFmtId="2" fontId="10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/>
    </xf>
    <xf numFmtId="165" fontId="8" fillId="13" borderId="1" applyAlignment="1" pivotButton="0" quotePrefix="0" xfId="0">
      <alignment horizontal="center" vertical="center"/>
    </xf>
    <xf numFmtId="166" fontId="0" fillId="0" borderId="0" pivotButton="0" quotePrefix="0" xfId="0"/>
    <xf numFmtId="165" fontId="11" fillId="13" borderId="1" applyAlignment="1" pivotButton="0" quotePrefix="0" xfId="0">
      <alignment horizontal="center" vertical="center"/>
    </xf>
    <xf numFmtId="10" fontId="11" fillId="13" borderId="0" applyAlignment="1" pivotButton="0" quotePrefix="0" xfId="0">
      <alignment horizontal="center" vertical="center"/>
    </xf>
    <xf numFmtId="10" fontId="0" fillId="0" borderId="0" pivotButton="0" quotePrefix="0" xfId="0"/>
    <xf numFmtId="166" fontId="0" fillId="14" borderId="0" pivotButton="0" quotePrefix="0" xfId="0"/>
    <xf numFmtId="2" fontId="11" fillId="11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13" fillId="16" borderId="0" applyAlignment="1" pivotButton="0" quotePrefix="0" xfId="0">
      <alignment horizontal="center"/>
    </xf>
    <xf numFmtId="0" fontId="21" fillId="25" borderId="12" applyAlignment="1" pivotButton="0" quotePrefix="0" xfId="0">
      <alignment horizontal="center"/>
    </xf>
    <xf numFmtId="0" fontId="21" fillId="25" borderId="13" applyAlignment="1" pivotButton="0" quotePrefix="0" xfId="0">
      <alignment horizontal="center"/>
    </xf>
    <xf numFmtId="0" fontId="21" fillId="25" borderId="14" applyAlignment="1" pivotButton="0" quotePrefix="0" xfId="0">
      <alignment horizontal="center"/>
    </xf>
    <xf numFmtId="0" fontId="0" fillId="25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25" borderId="15" applyAlignment="1" pivotButton="0" quotePrefix="0" xfId="0">
      <alignment horizontal="center"/>
    </xf>
    <xf numFmtId="0" fontId="0" fillId="25" borderId="16" pivotButton="0" quotePrefix="0" xfId="0"/>
    <xf numFmtId="2" fontId="0" fillId="25" borderId="16" applyAlignment="1" pivotButton="0" quotePrefix="0" xfId="0">
      <alignment horizontal="center"/>
    </xf>
    <xf numFmtId="1" fontId="0" fillId="25" borderId="16" applyAlignment="1" pivotButton="0" quotePrefix="0" xfId="0">
      <alignment horizontal="center"/>
    </xf>
    <xf numFmtId="170" fontId="0" fillId="25" borderId="16" applyAlignment="1" pivotButton="0" quotePrefix="0" xfId="0">
      <alignment horizontal="center"/>
    </xf>
    <xf numFmtId="171" fontId="0" fillId="25" borderId="17" applyAlignment="1" pivotButton="0" quotePrefix="0" xfId="0">
      <alignment horizontal="center"/>
    </xf>
    <xf numFmtId="0" fontId="0" fillId="13" borderId="15" applyAlignment="1" pivotButton="0" quotePrefix="0" xfId="0">
      <alignment horizontal="center"/>
    </xf>
    <xf numFmtId="0" fontId="0" fillId="13" borderId="16" pivotButton="0" quotePrefix="0" xfId="0"/>
    <xf numFmtId="2" fontId="0" fillId="13" borderId="16" applyAlignment="1" pivotButton="0" quotePrefix="0" xfId="0">
      <alignment horizontal="center"/>
    </xf>
    <xf numFmtId="1" fontId="0" fillId="13" borderId="16" applyAlignment="1" pivotButton="0" quotePrefix="0" xfId="0">
      <alignment horizontal="center"/>
    </xf>
    <xf numFmtId="170" fontId="0" fillId="13" borderId="16" applyAlignment="1" pivotButton="0" quotePrefix="0" xfId="0">
      <alignment horizontal="center"/>
    </xf>
    <xf numFmtId="171" fontId="0" fillId="13" borderId="17" applyAlignment="1" pivotButton="0" quotePrefix="0" xfId="0">
      <alignment horizontal="center"/>
    </xf>
    <xf numFmtId="0" fontId="0" fillId="13" borderId="18" applyAlignment="1" pivotButton="0" quotePrefix="0" xfId="0">
      <alignment horizontal="center"/>
    </xf>
    <xf numFmtId="0" fontId="0" fillId="13" borderId="19" pivotButton="0" quotePrefix="0" xfId="0"/>
    <xf numFmtId="2" fontId="0" fillId="13" borderId="19" applyAlignment="1" pivotButton="0" quotePrefix="0" xfId="0">
      <alignment horizontal="center"/>
    </xf>
    <xf numFmtId="1" fontId="0" fillId="13" borderId="19" applyAlignment="1" pivotButton="0" quotePrefix="0" xfId="0">
      <alignment horizontal="center"/>
    </xf>
    <xf numFmtId="170" fontId="0" fillId="13" borderId="19" applyAlignment="1" pivotButton="0" quotePrefix="0" xfId="0">
      <alignment horizontal="center"/>
    </xf>
    <xf numFmtId="171" fontId="0" fillId="13" borderId="20" applyAlignment="1" pivotButton="0" quotePrefix="0" xfId="0">
      <alignment horizontal="center"/>
    </xf>
    <xf numFmtId="0" fontId="24" fillId="28" borderId="0" applyAlignment="1" pivotButton="0" quotePrefix="0" xfId="0">
      <alignment horizontal="center"/>
    </xf>
    <xf numFmtId="0" fontId="26" fillId="29" borderId="0" applyAlignment="1" pivotButton="0" quotePrefix="0" xfId="0">
      <alignment horizontal="center"/>
    </xf>
    <xf numFmtId="0" fontId="26" fillId="28" borderId="0" applyAlignment="1" pivotButton="0" quotePrefix="0" xfId="0">
      <alignment horizontal="center"/>
    </xf>
    <xf numFmtId="170" fontId="0" fillId="0" borderId="0" pivotButton="0" quotePrefix="0" xfId="0"/>
    <xf numFmtId="0" fontId="24" fillId="32" borderId="21" pivotButton="0" quotePrefix="0" xfId="0"/>
    <xf numFmtId="0" fontId="24" fillId="33" borderId="21" pivotButton="0" quotePrefix="0" xfId="0"/>
    <xf numFmtId="0" fontId="0" fillId="0" borderId="21" pivotButton="0" quotePrefix="0" xfId="0"/>
    <xf numFmtId="4" fontId="0" fillId="0" borderId="21" pivotButton="0" quotePrefix="0" xfId="0"/>
    <xf numFmtId="170" fontId="0" fillId="0" borderId="21" pivotButton="0" quotePrefix="0" xfId="0"/>
    <xf numFmtId="2" fontId="0" fillId="0" borderId="21" pivotButton="0" quotePrefix="0" xfId="0"/>
    <xf numFmtId="1" fontId="0" fillId="0" borderId="21" pivotButton="0" quotePrefix="0" xfId="0"/>
    <xf numFmtId="0" fontId="27" fillId="35" borderId="22" applyAlignment="1" pivotButton="0" quotePrefix="0" xfId="0">
      <alignment horizontal="center"/>
    </xf>
    <xf numFmtId="4" fontId="21" fillId="35" borderId="22" applyAlignment="1" pivotButton="0" quotePrefix="0" xfId="0">
      <alignment horizontal="center"/>
    </xf>
    <xf numFmtId="170" fontId="21" fillId="35" borderId="22" applyAlignment="1" pivotButton="0" quotePrefix="0" xfId="0">
      <alignment horizontal="center"/>
    </xf>
    <xf numFmtId="0" fontId="21" fillId="35" borderId="22" applyAlignment="1" pivotButton="0" quotePrefix="0" xfId="0">
      <alignment horizontal="center"/>
    </xf>
    <xf numFmtId="0" fontId="21" fillId="36" borderId="22" applyAlignment="1" pivotButton="0" quotePrefix="0" xfId="0">
      <alignment horizontal="center"/>
    </xf>
    <xf numFmtId="2" fontId="21" fillId="36" borderId="22" applyAlignment="1" pivotButton="0" quotePrefix="0" xfId="0">
      <alignment horizontal="center"/>
    </xf>
    <xf numFmtId="1" fontId="21" fillId="36" borderId="22" applyAlignment="1" pivotButton="0" quotePrefix="0" xfId="0">
      <alignment horizontal="center"/>
    </xf>
    <xf numFmtId="0" fontId="0" fillId="37" borderId="23" applyAlignment="1" pivotButton="0" quotePrefix="0" xfId="0">
      <alignment horizontal="center"/>
    </xf>
    <xf numFmtId="4" fontId="0" fillId="37" borderId="23" applyAlignment="1" pivotButton="0" quotePrefix="0" xfId="0">
      <alignment horizontal="center"/>
    </xf>
    <xf numFmtId="170" fontId="0" fillId="37" borderId="23" applyAlignment="1" pivotButton="0" quotePrefix="0" xfId="0">
      <alignment horizontal="center"/>
    </xf>
    <xf numFmtId="0" fontId="0" fillId="38" borderId="23" applyAlignment="1" pivotButton="0" quotePrefix="0" xfId="0">
      <alignment horizontal="center"/>
    </xf>
    <xf numFmtId="0" fontId="0" fillId="25" borderId="24" applyAlignment="1" pivotButton="0" quotePrefix="0" xfId="0">
      <alignment horizontal="center"/>
    </xf>
    <xf numFmtId="4" fontId="0" fillId="25" borderId="24" applyAlignment="1" pivotButton="0" quotePrefix="0" xfId="0">
      <alignment horizontal="center"/>
    </xf>
    <xf numFmtId="170" fontId="0" fillId="25" borderId="24" applyAlignment="1" pivotButton="0" quotePrefix="0" xfId="0">
      <alignment horizontal="center"/>
    </xf>
    <xf numFmtId="0" fontId="0" fillId="38" borderId="24" applyAlignment="1" pivotButton="0" quotePrefix="0" xfId="0">
      <alignment horizontal="center"/>
    </xf>
    <xf numFmtId="0" fontId="0" fillId="25" borderId="25" applyAlignment="1" pivotButton="0" quotePrefix="0" xfId="0">
      <alignment horizontal="center"/>
    </xf>
    <xf numFmtId="4" fontId="0" fillId="25" borderId="25" applyAlignment="1" pivotButton="0" quotePrefix="0" xfId="0">
      <alignment horizontal="center"/>
    </xf>
    <xf numFmtId="170" fontId="0" fillId="25" borderId="25" applyAlignment="1" pivotButton="0" quotePrefix="0" xfId="0">
      <alignment horizontal="center"/>
    </xf>
    <xf numFmtId="0" fontId="7" fillId="45" borderId="28" applyAlignment="1" pivotButton="0" quotePrefix="0" xfId="0">
      <alignment horizontal="left" vertical="center"/>
    </xf>
    <xf numFmtId="172" fontId="0" fillId="0" borderId="0" pivotButton="0" quotePrefix="0" xfId="0"/>
    <xf numFmtId="0" fontId="35" fillId="10" borderId="1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 vertical="center" wrapText="1"/>
    </xf>
    <xf numFmtId="173" fontId="8" fillId="10" borderId="1" applyAlignment="1" pivotButton="0" quotePrefix="0" xfId="0">
      <alignment horizontal="center" vertical="center" wrapText="1"/>
    </xf>
    <xf numFmtId="173" fontId="8" fillId="0" borderId="1" applyAlignment="1" pivotButton="0" quotePrefix="0" xfId="0">
      <alignment horizontal="center" vertical="center" wrapText="1"/>
    </xf>
    <xf numFmtId="0" fontId="37" fillId="46" borderId="0" applyAlignment="1" pivotButton="0" quotePrefix="0" xfId="0">
      <alignment horizontal="center" wrapText="1"/>
    </xf>
    <xf numFmtId="0" fontId="8" fillId="0" borderId="0" applyAlignment="1" pivotButton="0" quotePrefix="0" xfId="0">
      <alignment horizontal="center" vertical="center"/>
    </xf>
    <xf numFmtId="0" fontId="8" fillId="47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/>
    </xf>
    <xf numFmtId="0" fontId="37" fillId="2" borderId="0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8" fillId="40" borderId="24" applyAlignment="1" pivotButton="0" quotePrefix="0" xfId="0">
      <alignment horizontal="center"/>
    </xf>
    <xf numFmtId="0" fontId="0" fillId="0" borderId="24" pivotButton="0" quotePrefix="0" xfId="0"/>
    <xf numFmtId="0" fontId="19" fillId="24" borderId="10" applyAlignment="1" pivotButton="0" quotePrefix="0" xfId="0">
      <alignment horizontal="center" vertical="center"/>
    </xf>
    <xf numFmtId="0" fontId="0" fillId="0" borderId="10" pivotButton="0" quotePrefix="0" xfId="0"/>
    <xf numFmtId="0" fontId="0" fillId="9" borderId="0" applyAlignment="1" pivotButton="0" quotePrefix="0" xfId="0">
      <alignment horizontal="center"/>
    </xf>
    <xf numFmtId="0" fontId="25" fillId="34" borderId="21" applyAlignment="1" pivotButton="0" quotePrefix="0" xfId="0">
      <alignment horizontal="center"/>
    </xf>
    <xf numFmtId="0" fontId="0" fillId="0" borderId="26" pivotButton="0" quotePrefix="0" xfId="0"/>
    <xf numFmtId="0" fontId="0" fillId="0" borderId="27" pivotButton="0" quotePrefix="0" xfId="0"/>
    <xf numFmtId="0" fontId="22" fillId="27" borderId="0" pivotButton="0" quotePrefix="0" xfId="0"/>
    <xf numFmtId="10" fontId="0" fillId="9" borderId="0" applyAlignment="1" pivotButton="0" quotePrefix="0" xfId="0">
      <alignment horizontal="center"/>
    </xf>
    <xf numFmtId="0" fontId="32" fillId="10" borderId="0" applyAlignment="1" pivotButton="0" quotePrefix="0" xfId="0">
      <alignment horizontal="center"/>
    </xf>
    <xf numFmtId="0" fontId="29" fillId="25" borderId="24" applyAlignment="1" pivotButton="0" quotePrefix="0" xfId="0">
      <alignment horizontal="center"/>
    </xf>
    <xf numFmtId="4" fontId="29" fillId="25" borderId="24" applyAlignment="1" pivotButton="0" quotePrefix="0" xfId="0">
      <alignment horizontal="center"/>
    </xf>
    <xf numFmtId="170" fontId="29" fillId="25" borderId="24" applyAlignment="1" pivotButton="0" quotePrefix="0" xfId="0">
      <alignment horizontal="center"/>
    </xf>
    <xf numFmtId="0" fontId="15" fillId="34" borderId="0" applyAlignment="1" pivotButton="0" quotePrefix="0" xfId="0">
      <alignment horizontal="center"/>
    </xf>
    <xf numFmtId="0" fontId="25" fillId="27" borderId="0" pivotButton="0" quotePrefix="0" xfId="0"/>
    <xf numFmtId="0" fontId="15" fillId="18" borderId="4" applyAlignment="1" pivotButton="0" quotePrefix="0" xfId="0">
      <alignment horizontal="center" vertical="center"/>
    </xf>
    <xf numFmtId="0" fontId="0" fillId="0" borderId="4" pivotButton="0" quotePrefix="0" xfId="0"/>
    <xf numFmtId="0" fontId="15" fillId="19" borderId="4" applyAlignment="1" pivotButton="0" quotePrefix="0" xfId="0">
      <alignment horizontal="center" vertical="center"/>
    </xf>
    <xf numFmtId="0" fontId="17" fillId="23" borderId="7" applyAlignment="1" pivotButton="0" quotePrefix="0" xfId="0">
      <alignment horizontal="center" vertical="center"/>
    </xf>
    <xf numFmtId="0" fontId="0" fillId="0" borderId="7" pivotButton="0" quotePrefix="0" xfId="0"/>
    <xf numFmtId="0" fontId="30" fillId="0" borderId="0" applyAlignment="1" pivotButton="0" quotePrefix="0" xfId="0">
      <alignment horizontal="center"/>
    </xf>
    <xf numFmtId="0" fontId="30" fillId="38" borderId="24" applyAlignment="1" pivotButton="0" quotePrefix="0" xfId="0">
      <alignment horizontal="center"/>
    </xf>
    <xf numFmtId="0" fontId="31" fillId="37" borderId="0" applyAlignment="1" pivotButton="0" quotePrefix="0" xfId="0">
      <alignment horizontal="center"/>
    </xf>
    <xf numFmtId="0" fontId="15" fillId="41" borderId="0" applyAlignment="1" pivotButton="0" quotePrefix="0" xfId="0">
      <alignment horizontal="center"/>
    </xf>
    <xf numFmtId="2" fontId="16" fillId="23" borderId="7" applyAlignment="1" pivotButton="0" quotePrefix="0" xfId="0">
      <alignment horizontal="center" vertical="center"/>
    </xf>
    <xf numFmtId="0" fontId="16" fillId="23" borderId="7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/>
    </xf>
    <xf numFmtId="0" fontId="15" fillId="42" borderId="0" applyAlignment="1" pivotButton="0" quotePrefix="0" xfId="0">
      <alignment horizontal="center"/>
    </xf>
    <xf numFmtId="0" fontId="22" fillId="30" borderId="0" pivotButton="0" quotePrefix="0" xfId="0"/>
    <xf numFmtId="0" fontId="18" fillId="24" borderId="11" applyAlignment="1" pivotButton="0" quotePrefix="0" xfId="0">
      <alignment horizontal="center" vertical="center"/>
    </xf>
    <xf numFmtId="0" fontId="0" fillId="0" borderId="11" pivotButton="0" quotePrefix="0" xfId="0"/>
    <xf numFmtId="0" fontId="15" fillId="22" borderId="5" applyAlignment="1" pivotButton="0" quotePrefix="0" xfId="0">
      <alignment horizontal="center" vertical="center"/>
    </xf>
    <xf numFmtId="0" fontId="0" fillId="0" borderId="5" pivotButton="0" quotePrefix="0" xfId="0"/>
    <xf numFmtId="0" fontId="17" fillId="23" borderId="8" applyAlignment="1" pivotButton="0" quotePrefix="0" xfId="0">
      <alignment horizontal="center" vertical="center"/>
    </xf>
    <xf numFmtId="0" fontId="0" fillId="0" borderId="8" pivotButton="0" quotePrefix="0" xfId="0"/>
    <xf numFmtId="0" fontId="14" fillId="17" borderId="2" applyAlignment="1" pivotButton="0" quotePrefix="0" xfId="0">
      <alignment horizontal="center" vertical="center"/>
    </xf>
    <xf numFmtId="0" fontId="0" fillId="0" borderId="2" pivotButton="0" quotePrefix="0" xfId="0"/>
    <xf numFmtId="0" fontId="30" fillId="37" borderId="24" applyAlignment="1" pivotButton="0" quotePrefix="0" xfId="0">
      <alignment horizontal="center"/>
    </xf>
    <xf numFmtId="4" fontId="30" fillId="37" borderId="24" applyAlignment="1" pivotButton="0" quotePrefix="0" xfId="0">
      <alignment horizontal="center"/>
    </xf>
    <xf numFmtId="170" fontId="28" fillId="40" borderId="24" applyAlignment="1" pivotButton="0" quotePrefix="0" xfId="0">
      <alignment horizontal="center"/>
    </xf>
    <xf numFmtId="0" fontId="15" fillId="17" borderId="3" applyAlignment="1" pivotButton="0" quotePrefix="0" xfId="0">
      <alignment horizontal="center" vertical="center"/>
    </xf>
    <xf numFmtId="0" fontId="15" fillId="27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170" fontId="30" fillId="37" borderId="24" applyAlignment="1" pivotButton="0" quotePrefix="0" xfId="0">
      <alignment horizontal="center"/>
    </xf>
    <xf numFmtId="0" fontId="17" fillId="23" borderId="6" applyAlignment="1" pivotButton="0" quotePrefix="0" xfId="0">
      <alignment horizontal="center" vertical="center"/>
    </xf>
    <xf numFmtId="0" fontId="22" fillId="39" borderId="0" applyAlignment="1" pivotButton="0" quotePrefix="0" xfId="0">
      <alignment horizontal="center"/>
    </xf>
    <xf numFmtId="0" fontId="25" fillId="27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16" fillId="23" borderId="6" applyAlignment="1" pivotButton="0" quotePrefix="0" xfId="0">
      <alignment horizontal="center" vertical="center"/>
    </xf>
    <xf numFmtId="0" fontId="22" fillId="31" borderId="0" pivotButton="0" quotePrefix="0" xfId="0"/>
    <xf numFmtId="0" fontId="15" fillId="43" borderId="0" applyAlignment="1" pivotButton="0" quotePrefix="0" xfId="0">
      <alignment horizontal="center"/>
    </xf>
    <xf numFmtId="10" fontId="32" fillId="10" borderId="0" applyAlignment="1" pivotButton="0" quotePrefix="0" xfId="0">
      <alignment horizontal="center"/>
    </xf>
    <xf numFmtId="0" fontId="18" fillId="24" borderId="9" applyAlignment="1" pivotButton="0" quotePrefix="0" xfId="0">
      <alignment horizontal="center" vertical="center"/>
    </xf>
    <xf numFmtId="0" fontId="22" fillId="26" borderId="0" applyAlignment="1" pivotButton="0" quotePrefix="0" xfId="0">
      <alignment horizontal="left" vertical="center"/>
    </xf>
    <xf numFmtId="0" fontId="20" fillId="24" borderId="10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5" fillId="6" borderId="21" applyAlignment="1" pivotButton="0" quotePrefix="0" xfId="0">
      <alignment horizontal="center"/>
    </xf>
    <xf numFmtId="0" fontId="15" fillId="21" borderId="4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/>
    </xf>
    <xf numFmtId="0" fontId="34" fillId="44" borderId="0" applyAlignment="1" pivotButton="0" quotePrefix="0" xfId="0">
      <alignment horizontal="center"/>
    </xf>
    <xf numFmtId="0" fontId="28" fillId="40" borderId="0" pivotButton="0" quotePrefix="0" xfId="0"/>
    <xf numFmtId="0" fontId="12" fillId="15" borderId="0" applyAlignment="1" pivotButton="0" quotePrefix="0" xfId="0">
      <alignment horizontal="center" vertical="center"/>
    </xf>
    <xf numFmtId="0" fontId="16" fillId="23" borderId="8" applyAlignment="1" pivotButton="0" quotePrefix="0" xfId="0">
      <alignment horizontal="center" vertical="center"/>
    </xf>
    <xf numFmtId="4" fontId="28" fillId="40" borderId="24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</cellXfs>
  <cellStyles count="1">
    <cellStyle name="Normal" xfId="0" builtinId="0"/>
  </cellStyles>
  <dxfs count="8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23632"/>
      <rgbColor rgb="FFE2EFDA"/>
      <rgbColor rgb="FFEAECEE"/>
      <rgbColor rgb="FFFFE699"/>
      <rgbColor rgb="FFC65911"/>
      <rgbColor rgb="FFD6DCE5"/>
      <rgbColor rgb="FF9C5700"/>
      <rgbColor rgb="FF006100"/>
      <rgbColor rgb="FFF2F2F2"/>
      <rgbColor rgb="FF77933C"/>
      <rgbColor rgb="FF595959"/>
      <rgbColor rgb="FF2E8632"/>
      <rgbColor rgb="FFBFBFC3"/>
      <rgbColor rgb="FF808687"/>
      <rgbColor rgb="FF4B7BC4"/>
      <rgbColor rgb="FF7830A0"/>
      <rgbColor rgb="FFFFF2CC"/>
      <rgbColor rgb="FFE3F2FD"/>
      <rgbColor rgb="FF34495E"/>
      <rgbColor rgb="FFED7D31"/>
      <rgbColor rgb="FF1565C0"/>
      <rgbColor rgb="FFE2D0F4"/>
      <rgbColor rgb="FFF8F9FA"/>
      <rgbColor rgb="FFE7E6E6"/>
      <rgbColor rgb="FFFFF3E0"/>
      <rgbColor rgb="FFD9D9D9"/>
      <rgbColor rgb="FF8D5FAC"/>
      <rgbColor rgb="FF375623"/>
      <rgbColor rgb="FF1F4E79"/>
      <rgbColor rgb="FFECF0F1"/>
      <rgbColor rgb="FF548235"/>
      <rgbColor rgb="FFE8F5E9"/>
      <rgbColor rgb="FFC6EFCE"/>
      <rgbColor rgb="FFFFEB9C"/>
      <rgbColor rgb="FFBDD7EE"/>
      <rgbColor rgb="FFD0CECE"/>
      <rgbColor rgb="FFCCCCCC"/>
      <rgbColor rgb="FFFFC7CE"/>
      <rgbColor rgb="FF2E75B6"/>
      <rgbColor rgb="FF3498DB"/>
      <rgbColor rgb="FFC6E0B4"/>
      <rgbColor rgb="FFFCE4D6"/>
      <rgbColor rgb="FFF39C12"/>
      <rgbColor rgb="FFFF6F00"/>
      <rgbColor rgb="FF666666"/>
      <rgbColor rgb="FF96A89A"/>
      <rgbColor rgb="FF1F3864"/>
      <rgbColor rgb="FF27AE60"/>
      <rgbColor rgb="FF2C3E50"/>
      <rgbColor rgb="FF1A252F"/>
      <rgbColor rgb="FF8E2717"/>
      <rgbColor rgb="FF843C0C"/>
      <rgbColor rgb="FF2F5496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400" b="1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📊 Distribución por Tier de Calidad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9080">
                <a:solidFill>
                  <a:schemeClr val="lt1"/>
                </a:solidFill>
                <a:prstDash val="solid"/>
                <a:round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9080">
                <a:solidFill>
                  <a:schemeClr val="lt1"/>
                </a:solidFill>
                <a:prstDash val="solid"/>
                <a:round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9080">
                <a:solidFill>
                  <a:schemeClr val="lt1"/>
                </a:solidFill>
                <a:prstDash val="solid"/>
                <a:round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9080">
                <a:solidFill>
                  <a:schemeClr val="lt1"/>
                </a:solidFill>
                <a:prstDash val="solid"/>
                <a:round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100" b="1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ES"/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100" b="1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ES"/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100" b="1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ES"/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100" b="1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ES"/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100" b="1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bestFit"/>
            <showLegendKey val="0"/>
            <showVal val="0"/>
            <showCatName val="0"/>
            <showSerName val="0"/>
            <showPercent val="1"/>
            <showBubbleSize val="1"/>
            <showLeaderLines val="1"/>
          </dLbls>
          <cat>
            <strRef>
              <f>Dashboard!$L$8:$L$17</f>
              <strCache>
                <ptCount val="10"/>
                <pt idx="5">
                  <v>Tier</v>
                </pt>
                <pt idx="6">
                  <v>Tier 1 (+8)</v>
                </pt>
                <pt idx="7">
                  <v>⭐ Tier 2 (7-8)</v>
                </pt>
                <pt idx="8">
                  <v>Tier 3 (6-7)</v>
                </pt>
                <pt idx="9">
                  <v>⚠️ Below 6</v>
                </pt>
              </strCache>
            </strRef>
          </cat>
          <val>
            <numRef>
              <f>Dashboard!$M$14:$M$17</f>
              <numCache>
                <formatCode>General</formatCode>
                <ptCount val="4"/>
                <pt idx="0">
                  <v>5</v>
                </pt>
                <pt idx="1">
                  <v>14</v>
                </pt>
                <pt idx="2">
                  <v>15</v>
                </pt>
                <pt idx="3">
                  <v>27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400" b="1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📈 Calidad Compuesta vs IRR Bull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8440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r"/>
            <showLegendKey val="0"/>
            <showVal val="1"/>
            <showCatName val="0"/>
            <showSerName val="0"/>
            <showPercent val="0"/>
            <showBubbleSize val="1"/>
            <showLeaderLines val="0"/>
          </dLbls>
          <xVal>
            <numRef>
              <f>Dashboard!$P$8:$P$22</f>
              <numCache>
                <formatCode>0.00</formatCode>
                <ptCount val="15"/>
                <pt idx="0">
                  <v>8.279999999999999</v>
                </pt>
                <pt idx="1">
                  <v>8.01</v>
                </pt>
                <pt idx="2">
                  <v>7.73</v>
                </pt>
                <pt idx="3">
                  <v>7.93</v>
                </pt>
                <pt idx="4">
                  <v>8.01</v>
                </pt>
                <pt idx="5">
                  <v>7.82</v>
                </pt>
                <pt idx="6">
                  <v>7.97</v>
                </pt>
                <pt idx="7">
                  <v>7.45</v>
                </pt>
                <pt idx="8">
                  <v>7.92</v>
                </pt>
                <pt idx="9">
                  <v>8.08</v>
                </pt>
                <pt idx="10">
                  <v>7.85</v>
                </pt>
                <pt idx="11">
                  <v>7.68</v>
                </pt>
                <pt idx="12">
                  <v>8</v>
                </pt>
                <pt idx="13">
                  <v>7.88</v>
                </pt>
                <pt idx="14">
                  <v>7.24</v>
                </pt>
              </numCache>
            </numRef>
          </xVal>
          <yVal>
            <numRef>
              <f>Dashboard!$Q$8:$Q$22</f>
              <numCache>
                <formatCode>0.00%</formatCode>
                <ptCount val="15"/>
                <pt idx="0">
                  <v>0.3333647534501198</v>
                </pt>
                <pt idx="1">
                  <v>0.1016019426879657</v>
                </pt>
                <pt idx="2">
                  <v>0.2961549691969576</v>
                </pt>
                <pt idx="3">
                  <v>0.237441276498443</v>
                </pt>
                <pt idx="4">
                  <v>0.004100877146593129</v>
                </pt>
                <pt idx="5">
                  <v>0.2179155639965435</v>
                </pt>
                <pt idx="6">
                  <v>0.1493184093173932</v>
                </pt>
                <pt idx="7">
                  <v>0.285709915966404</v>
                </pt>
                <pt idx="8">
                  <v>0</v>
                </pt>
                <pt idx="9">
                  <v>0.02933411877271852</v>
                </pt>
                <pt idx="10">
                  <v>0.05703138077149017</v>
                </pt>
                <pt idx="11">
                  <v>0.1492574174614598</v>
                </pt>
                <pt idx="12">
                  <v>0.01631412635431739</v>
                </pt>
                <pt idx="13">
                  <v>0.04078657318493839</v>
                </pt>
                <pt idx="14">
                  <v>0.120601390806695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52018216"/>
        <axId val="91285629"/>
      </scatterChart>
      <valAx>
        <axId val="52018216"/>
        <scaling>
          <orientation val="minMax"/>
          <min val="5"/>
        </scaling>
        <delete val="0"/>
        <axPos val="b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ES" sz="1000" b="0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rPr>
                  <a:t>Composite Rating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91285629"/>
        <crosses val="autoZero"/>
        <crossBetween val="midCat"/>
      </valAx>
      <valAx>
        <axId val="9128562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ES" sz="1000" b="0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rPr>
                  <a:t>IRR Bull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%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52018216"/>
        <crosses val="autoZero"/>
        <crossBetween val="midCat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🏰 MOAT vs Opcionalidad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Dashboard!$AK$6</f>
              <strCache>
                <ptCount val="1"/>
                <pt idx="0">
                  <v>MOAT</v>
                </pt>
              </strCache>
            </strRef>
          </tx>
          <spPr>
            <a:solidFill xmlns:a="http://schemas.openxmlformats.org/drawingml/2006/main">
              <a:srgbClr val="1565C0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Dashboard!$AJ$7:$AJ$16</f>
              <strCache>
                <ptCount val="10"/>
                <pt idx="0">
                  <v>VEEV</v>
                </pt>
                <pt idx="1">
                  <v>MSFT</v>
                </pt>
                <pt idx="2">
                  <v>COST</v>
                </pt>
                <pt idx="3">
                  <v>AMZN</v>
                </pt>
                <pt idx="4">
                  <v>FICO</v>
                </pt>
                <pt idx="5">
                  <v>ADYEN</v>
                </pt>
                <pt idx="6">
                  <v>BN</v>
                </pt>
                <pt idx="7">
                  <v>DSGX</v>
                </pt>
                <pt idx="8">
                  <v>RAA</v>
                </pt>
                <pt idx="9">
                  <v>NTO</v>
                </pt>
              </strCache>
            </strRef>
          </cat>
          <val>
            <numRef>
              <f>Dashboard!$AK$7:$AK$16</f>
              <numCache>
                <formatCode>General</formatCode>
                <ptCount val="10"/>
                <pt idx="0">
                  <v>8</v>
                </pt>
                <pt idx="1">
                  <v>8</v>
                </pt>
                <pt idx="2">
                  <v>8</v>
                </pt>
                <pt idx="3">
                  <v>8</v>
                </pt>
                <pt idx="4">
                  <v>8</v>
                </pt>
                <pt idx="5">
                  <v>7</v>
                </pt>
                <pt idx="6">
                  <v>7</v>
                </pt>
                <pt idx="7">
                  <v>7</v>
                </pt>
                <pt idx="8">
                  <v>7</v>
                </pt>
                <pt idx="9">
                  <v>7</v>
                </pt>
              </numCache>
            </numRef>
          </val>
        </ser>
        <ser>
          <idx val="1"/>
          <order val="1"/>
          <tx>
            <strRef>
              <f>Dashboard!$AL$6</f>
              <strCache>
                <ptCount val="1"/>
                <pt idx="0">
                  <v>Optionality</v>
                </pt>
              </strCache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Dashboard!$AJ$7:$AJ$16</f>
              <strCache>
                <ptCount val="10"/>
                <pt idx="0">
                  <v>VEEV</v>
                </pt>
                <pt idx="1">
                  <v>MSFT</v>
                </pt>
                <pt idx="2">
                  <v>COST</v>
                </pt>
                <pt idx="3">
                  <v>AMZN</v>
                </pt>
                <pt idx="4">
                  <v>FICO</v>
                </pt>
                <pt idx="5">
                  <v>ADYEN</v>
                </pt>
                <pt idx="6">
                  <v>BN</v>
                </pt>
                <pt idx="7">
                  <v>DSGX</v>
                </pt>
                <pt idx="8">
                  <v>RAA</v>
                </pt>
                <pt idx="9">
                  <v>NTO</v>
                </pt>
              </strCache>
            </strRef>
          </cat>
          <val>
            <numRef>
              <f>Dashboard!$AL$7:$AL$16</f>
              <numCache>
                <formatCode>General</formatCode>
                <ptCount val="10"/>
                <pt idx="0">
                  <v>3</v>
                </pt>
                <pt idx="1">
                  <v>3</v>
                </pt>
                <pt idx="2">
                  <v>1</v>
                </pt>
                <pt idx="3">
                  <v>3</v>
                </pt>
                <pt idx="4">
                  <v>2</v>
                </pt>
                <pt idx="5">
                  <v>3</v>
                </pt>
                <pt idx="6">
                  <v>3</v>
                </pt>
                <pt idx="7">
                  <v>2</v>
                </pt>
                <pt idx="8">
                  <v>2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7773390"/>
        <axId val="3936355"/>
      </barChart>
      <catAx>
        <axId val="8777339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3936355"/>
        <crosses val="autoZero"/>
        <auto val="1"/>
        <lblAlgn val="ctr"/>
        <lblOffset val="100"/>
        <noMultiLvlLbl val="0"/>
      </catAx>
      <valAx>
        <axId val="393635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8777339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📊 Asimetría: IRR Bear vs Bull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Dashboard!$AP$6</f>
              <strCache>
                <ptCount val="1"/>
                <pt idx="0">
                  <v>IRR Bear %</v>
                </pt>
              </strCache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Dashboard!$AO$7:$AO$16</f>
              <strCache>
                <ptCount val="10"/>
                <pt idx="0">
                  <v>VEEV</v>
                </pt>
                <pt idx="1">
                  <v>ZS</v>
                </pt>
                <pt idx="2">
                  <v>ADYEN</v>
                </pt>
                <pt idx="3">
                  <v>ABNB</v>
                </pt>
                <pt idx="4">
                  <v>BN</v>
                </pt>
                <pt idx="5">
                  <v>DSGX</v>
                </pt>
                <pt idx="6">
                  <v>EVD</v>
                </pt>
                <pt idx="7">
                  <v>ITX</v>
                </pt>
                <pt idx="8">
                  <v>RAA</v>
                </pt>
                <pt idx="9">
                  <v>FICO</v>
                </pt>
              </strCache>
            </strRef>
          </cat>
          <val>
            <numRef>
              <f>Dashboard!$AP$7:$AP$16</f>
              <numCache>
                <formatCode>General</formatCode>
                <ptCount val="10"/>
                <pt idx="0">
                  <v>4.5</v>
                </pt>
                <pt idx="1">
                  <v>3.7</v>
                </pt>
                <pt idx="2">
                  <v>1.1</v>
                </pt>
                <pt idx="3">
                  <v>1.8</v>
                </pt>
                <pt idx="4">
                  <v>0.6</v>
                </pt>
                <pt idx="5">
                  <v>-0.1</v>
                </pt>
                <pt idx="6">
                  <v>4.7</v>
                </pt>
                <pt idx="7">
                  <v>-4.2</v>
                </pt>
                <pt idx="8">
                  <v>-8</v>
                </pt>
                <pt idx="9">
                  <v>-7.9</v>
                </pt>
              </numCache>
            </numRef>
          </val>
        </ser>
        <ser>
          <idx val="1"/>
          <order val="1"/>
          <tx>
            <strRef>
              <f>Dashboard!$AQ$6</f>
              <strCache>
                <ptCount val="1"/>
                <pt idx="0">
                  <v>IRR Bull %</v>
                </pt>
              </strCache>
            </strRef>
          </tx>
          <spPr>
            <a:solidFill xmlns:a="http://schemas.openxmlformats.org/drawingml/2006/main">
              <a:srgbClr val="388E3C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Dashboard!$AO$7:$AO$16</f>
              <strCache>
                <ptCount val="10"/>
                <pt idx="0">
                  <v>VEEV</v>
                </pt>
                <pt idx="1">
                  <v>ZS</v>
                </pt>
                <pt idx="2">
                  <v>ADYEN</v>
                </pt>
                <pt idx="3">
                  <v>ABNB</v>
                </pt>
                <pt idx="4">
                  <v>BN</v>
                </pt>
                <pt idx="5">
                  <v>DSGX</v>
                </pt>
                <pt idx="6">
                  <v>EVD</v>
                </pt>
                <pt idx="7">
                  <v>ITX</v>
                </pt>
                <pt idx="8">
                  <v>RAA</v>
                </pt>
                <pt idx="9">
                  <v>FICO</v>
                </pt>
              </strCache>
            </strRef>
          </cat>
          <val>
            <numRef>
              <f>Dashboard!$AQ$7:$AQ$16</f>
              <numCache>
                <formatCode>General</formatCode>
                <ptCount val="10"/>
                <pt idx="0">
                  <v>33.6</v>
                </pt>
                <pt idx="1">
                  <v>32.4</v>
                </pt>
                <pt idx="2">
                  <v>28.4</v>
                </pt>
                <pt idx="3">
                  <v>25</v>
                </pt>
                <pt idx="4">
                  <v>23.3</v>
                </pt>
                <pt idx="5">
                  <v>20.8</v>
                </pt>
                <pt idx="6">
                  <v>32.9</v>
                </pt>
                <pt idx="7">
                  <v>13.7</v>
                </pt>
                <pt idx="8">
                  <v>13.5</v>
                </pt>
                <pt idx="9">
                  <v>12.3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4162720"/>
        <axId val="89395593"/>
      </barChart>
      <catAx>
        <axId val="841627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89395593"/>
        <crosses val="autoZero"/>
        <auto val="1"/>
        <lblAlgn val="ctr"/>
        <lblOffset val="100"/>
        <noMultiLvlLbl val="0"/>
      </catAx>
      <valAx>
        <axId val="8939559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841627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400" b="1" strike="noStrike">
                <a:solidFill>
                  <a:srgbClr val="1565C0"/>
                </a:solidFill>
                <a:uFillTx/>
                <a:latin typeface="Calibri"/>
              </a:rPr>
              <a:t>📈 EV/FCF vs IRR Bull (%)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8440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ES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xVal>
            <numRef>
              <f>Dashboard!$AT$7:$AT$21</f>
              <numCache>
                <formatCode>General</formatCode>
                <ptCount val="15"/>
                <pt idx="0">
                  <v>20.1736000736364</v>
                </pt>
                <pt idx="1">
                  <v>44.5724369425714</v>
                </pt>
                <pt idx="2">
                  <v>28.571278521519</v>
                </pt>
                <pt idx="3">
                  <v>24.369253736</v>
                </pt>
                <pt idx="4">
                  <v>51.1797481264706</v>
                </pt>
                <pt idx="5">
                  <v>25.7039266520833</v>
                </pt>
                <pt idx="6">
                  <v>29.5896730769231</v>
                </pt>
                <pt idx="7">
                  <v>26.2449548712329</v>
                </pt>
                <pt idx="8">
                  <v>27.9055454252333</v>
                </pt>
                <pt idx="9">
                  <v>52.2229498644231</v>
                </pt>
                <pt idx="10">
                  <v>37.7367076944444</v>
                </pt>
                <pt idx="11">
                  <v>24.6120296984615</v>
                </pt>
                <pt idx="12">
                  <v>45.6174411111111</v>
                </pt>
                <pt idx="13">
                  <v>43.630936635</v>
                </pt>
                <pt idx="14">
                  <v>38.1205012660274</v>
                </pt>
              </numCache>
            </numRef>
          </xVal>
          <yVal>
            <numRef>
              <f>Dashboard!$AU$7:$AU$21</f>
              <numCache>
                <formatCode>General</formatCode>
                <ptCount val="15"/>
                <pt idx="0">
                  <v>33.701681153345</v>
                </pt>
                <pt idx="1">
                  <v>10.1232181938957</v>
                </pt>
                <pt idx="2">
                  <v>28.4144826626923</v>
                </pt>
                <pt idx="3">
                  <v>23.4863412384314</v>
                </pt>
                <pt idx="4">
                  <v>0.806732349947636</v>
                </pt>
                <pt idx="5">
                  <v>20.9506730863196</v>
                </pt>
                <pt idx="6">
                  <v>13.4877131347373</v>
                </pt>
                <pt idx="7">
                  <v>32.5752105426202</v>
                </pt>
                <pt idx="8">
                  <v>8.80314722493463</v>
                </pt>
                <pt idx="9">
                  <v>4.78172057416968</v>
                </pt>
                <pt idx="10">
                  <v>5.37442704079325</v>
                </pt>
                <pt idx="11">
                  <v>13.683807480135</v>
                </pt>
                <pt idx="12">
                  <v>3.61733933754369</v>
                </pt>
                <pt idx="13">
                  <v>4.34828597375525</v>
                </pt>
                <pt idx="14">
                  <v>12.615575978128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442017"/>
        <axId val="9024925"/>
      </scatterChart>
      <valAx>
        <axId val="11442017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ES" sz="1000" b="0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rPr>
                  <a:t>EV/FCF (x)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9024925"/>
        <crosses val="autoZero"/>
        <crossBetween val="midCat"/>
      </valAx>
      <valAx>
        <axId val="90249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ES" sz="1000" b="0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rPr>
                  <a:t>IRR Bull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  <a:endParaRPr lang="es-ES"/>
          </a:p>
        </txPr>
        <crossAx val="11442017"/>
        <crosses val="autoZero"/>
        <crossBetween val="midCat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Audit 2026-04</author>
    <author>Audit 2026-04-18</author>
  </authors>
  <commentList>
    <comment ref="L4" authorId="0" shapeId="0">
      <text>
        <t>Old: 3 → New: 2
[R1 Optionality] VEEV es vertical SaaS 100% life sciences. Optionality real (Vault expandiéndose, Crossix data, MedTech), pero NO es plataforma horizontal. 3/3 reservado a plataformas anchas tipo MSFT/AMZN. Fuente: 10-K FY26.
— Audit 2026-04-18</t>
      </text>
    </comment>
    <comment ref="N4" authorId="0" shapeId="0">
      <text>
        <t>Old: 0 → New: -1.5
[R1 Concentration] Top 10 clientes = 28% del revenue (10-K FY26). 100% vertical life sciences. Geo 60%NA/28%EU/12%APAC OK. Penalización -1.5 por concentración vertical + customer. Fuente: VEEV 10-K FY2026.
— Audit 2026-04-18</t>
      </text>
    </comment>
    <comment ref="O4" authorId="0" shapeId="0">
      <text>
        <t>Old: 0.5 → New: 0.72
[R1 Glassdoor] Ajuste framework: usar rating_Glassdoor/5. VEEV 3.6/5 = 0.72. Fuente: Glassdoor 1,507 reviews.
— Audit 2026-04-18 (ajuste framework)</t>
      </text>
    </comment>
    <comment ref="U4" authorId="0" shapeId="0">
      <text>
        <t>Old: 20 → New: 18
[R2 MOAT] Switching costs altísimos, GxP regulated, 9 de top 20 pharma en Vault CRM. MUY fuerte pero Salesforce Life Sciences Cloud firmó 40+ clientes dic-2025 y un top-3 pharma defectó de VEEV. 20/20 perfecto es inflado cuando hay ataque estructural. 18 captura dominio sin ignorar reto.
— Audit 2026-04-18</t>
      </text>
    </comment>
    <comment ref="W4" authorId="0" shapeId="0">
      <text>
        <t>Old: 10 → New: 8
[R2 Customers] Calidad de clientes excelente (big pharma, top 20 farmacéuticas) pero 28% revenue en top 10 cuenta aquí. 10/10 solo si concentración baja.
— Audit 2026-04-18</t>
      </text>
    </comment>
    <comment ref="Y4" authorId="0" shapeId="0">
      <text>
        <t>Old: 14 → New: 12
[R2 Mgmt &amp; Culture] Ejecución excelente de Gassner pero (a) Glassdoor 3.6 refleja tensión cultural creciente, (b) paquete comp $172M 2025 a Gassner es óptica agresiva. 12/14 captura excelencia operativa sin 'perfect score'.
— Audit 2026-04-18</t>
      </text>
    </comment>
    <comment ref="Z4" authorId="0" shapeId="0">
      <text>
        <t>Old: 11 → New: 10
[R2 Stock &amp; Ownership] Single-class desde oct-2023 (positivo democratizador). Gassner ~9.1% stake (strong skin in the game). Super-voting rights eliminados. 10/11 es el nivel correcto.
— Audit 2026-04-18</t>
      </text>
    </comment>
    <comment ref="AA4" authorId="0" shapeId="0">
      <text>
        <t>Old: -4 → New: -8
[R2 Risks] Competencia Salesforce Life Sciences Cloud ahora REAL (40+ clientes firmados, top-3 pharma migró). Riesgo ejecución migración Vault CRM (wind-down 5 años hasta 2030). Riesgo AI-native startups verticales. Concentración regulatoria pharma (slowdown macro). -4 benigno, -8 realista.
— Audit 2026-04-18</t>
      </text>
    </comment>
    <comment ref="AD4" authorId="0" shapeId="0">
      <text>
        <t>Old: 15 → New: 14
[R3 Durability] Top-tier pero no perfecto. Vault CRM propia desde 2025, aún en primera ola productiva. 14/15 prudente hasta ver madurez multi-año.
— Audit 2026-04-18</t>
      </text>
    </comment>
    <comment ref="AI4" authorId="0" shapeId="0">
      <text>
        <t>Old: 10 → New: 8
[R3 Incentives] Gassner $172M comp 2025 — muy aggressive. Incentivos alineados (founder-led, equity-heavy) pero 10/10 reservado a disciplina comp demostrable. Fuente: proxy 2025.
— Audit 2026-04-18</t>
      </text>
    </comment>
    <comment ref="AJ4" authorId="0" shapeId="0">
      <text>
        <t>Old: 15 → New: 14
[R3 MOAT Structural] Ancho y duradero pero Salesforce es ataque estructural, no táctico. 14/15 refleja esto.
— Audit 2026-04-18</t>
      </text>
    </comment>
    <comment ref="AK4" authorId="0" shapeId="0">
      <text>
        <t>Old: -2 → New: -5
[R3 Terminal Risk] Salesforce entry + posible compresión pricing + AI-native agents que dupliquen Vault funcionalidades + pharma regulatory. Terminal no es cero, merece reconocimiento material. -5 captura tail risk.
— Audit 2026-04-18</t>
      </text>
    </comment>
    <comment ref="O5" authorId="0" shapeId="0">
      <text>
        <t>Old: 0.5 → New: 0.8
[R1 Glassdoor] Ajuste framework: rating/5. MSFT 4.0/5 = 0.80. Fuente: Glassdoor 67K reviews, 78% recommend, 78% CEO approval.
— Audit 2026-04-18 (ajuste framework)</t>
      </text>
    </comment>
    <comment ref="P5" authorId="0" shapeId="0">
      <text>
        <t>Old: 0 → New: 1
[R1 Founder/CEO] Corrección: esta columna mide CALIDAD del management ejecutando, no literalidad de fundador. Satya Nadella es uno de los CEOs top de la era moderna (transformó MSFT de Ballmer-era a AI leader). 1/1 justificado.
— Audit 2026-04-18 (ajuste framework)</t>
      </text>
    </comment>
    <comment ref="T5" authorId="0" shapeId="0">
      <text>
        <t>Old: 17 → New: 16
[R2 Financials] Fortaleza financiera excepcional ($75B+ cash, AAA rating) pero $148B capex FY26 genera depreciación pendiente que comprime op margin futuros. 17/17 perfecto no refleja el AI depreciation cliff. Fuente: MSFT Q4 FY25 / Q1 FY26 earnings.
— Audit 2026-04-18</t>
      </text>
    </comment>
    <comment ref="AA5" authorId="0" shapeId="0">
      <text>
        <t>Old: -8 → New: -12
[R2 Risks] Añadir: (a) FTC discovery phase sobre Azure licensing y OpenAI 'de facto merger', (b) EU considering Azure como 'gatekeeper' con interoperabilidad forzada, (c) $148B+ capex AI riesgo 'air pocket' si monetización enterprise ralentiza, (d) stock -23% YTD 2026 refleja preocupación mercado. -8 insuficiente.
— Audit 2026-04-18</t>
      </text>
    </comment>
    <comment ref="AD5" authorId="0" shapeId="0">
      <text>
        <t>Old: 15 → New: 14
[R3 Durability] Windows + Office ecosystem muy duraderos pero AI-native disruption (Anthropic, Google DeepMind, Perplexity) puede erosionar moat de productividad. 14/15.
— Audit 2026-04-18</t>
      </text>
    </comment>
    <comment ref="AF5" authorId="0" shapeId="0">
      <text>
        <t>Old: 7 → New: 5
[R3 Capital Intensity] Antes era SaaS asset-light. Ahora MSFT construye infraestructura AI masiva: $148B+ capex FY26 (~10% de market cap anual), GPUs Nvidia H200/B200 + chips propios Maia. Reducir asset-light score a 5/10. Fuente: CFO Amy Hood Q1 FY26 call.
— Audit 2026-04-18</t>
      </text>
    </comment>
    <comment ref="AJ5" authorId="0" shapeId="0">
      <text>
        <t>Old: 14 → New: 13
[R3 MOAT Structural] Sigue ancho pero AI erosiona switching costs en productivity suite. Ya hay alternativas Copilot-grade fuera del ecosistema MSFT. 13/15.
— Audit 2026-04-18</t>
      </text>
    </comment>
    <comment ref="AK5" authorId="0" shapeId="0">
      <text>
        <t>Old: -3 → New: -6
[R3 Terminal Risk] AI-native competition (Google, Anthropic, etc.) + riesgo antitrust estructural (break-up no descartable largo plazo) + capex overhang si AI ROI decepciona. -3 demasiado ligero.
— Audit 2026-04-18</t>
      </text>
    </comment>
    <comment ref="L6" authorId="0" shapeId="0">
      <text>
        <t>Old: 3 → New: 2
[R1 Optionality] Adyen es laser-focused en enterprise payments. Expansión a embedded finance/issuing existe pero es adyacente, no horizontal. 3/3 reservado a plataformas anchas. 2/3 más preciso.
— Audit 2026-04-18</t>
      </text>
    </comment>
    <comment ref="O6" authorId="0" shapeId="0">
      <text>
        <t>Old: 0.5 → New: 0.74
[R1 Glassdoor] Ajuste framework: rating/5. ADYEN 3.7/5 = 0.74. Fuente: Glassdoor 894 reviews, 74% recommend.
— Audit 2026-04-18 (ajuste framework)</t>
      </text>
    </comment>
    <comment ref="T6" authorId="0" shapeId="0">
      <text>
        <t>Old: 16 → New: 15
[R2 Financials] Margen EBITDA ~50%, FCF fuerte, no debt. Pero Feb-2026 stock -20% tras miss Q4 + guidance 2026 20-22% (vs consenso 22.8%) + EBITDA flat 2026. Calidad financiera menos prístina de lo percibido. 15/17.
— Audit 2026-04-18</t>
      </text>
    </comment>
    <comment ref="V6" authorId="0" shapeId="0">
      <text>
        <t>Old: 15 → New: 13
[R2 Potential] Guidance 2026 20-22% vs previa 'low-to-mid 20s' y consenso 22.8%. Take rate compression real. Stripe ahora agresivo en enterprise (antes solo SMB). TAM intacto pero share capture más difícil. 13/18.
— Audit 2026-04-18</t>
      </text>
    </comment>
    <comment ref="Y6" authorId="0" shapeId="0">
      <text>
        <t>Old: 14 → New: 11
[R2 Mgmt &amp; Culture] Van der Does co-CEO desde 2023 por razones de salud (transición a Uytdehaage). Glassdoor 3.7 con concerns serios sobre management (favoritism, inexperiencia). Engineering culture fuerte pero ejecución comercial cuestionada en Q4 2025. 11/14.
— Audit 2026-04-18</t>
      </text>
    </comment>
    <comment ref="AA6" authorId="0" shapeId="0">
      <text>
        <t>Old: -7 → New: -12
[R2 Risks] Añadir: (a) Stripe IPO inminente con $91.5B valoración y ataque agresivo a enterprise, (b) take rate compression estructural (0.17% vs Stripe 0.34%, carrera a la baja), (c) PayPal Braintree pricing pressure en US, (d) fx exposure alto, (e) concentración EU (60%+ revenue). -7 insuficiente.
— Audit 2026-04-18</t>
      </text>
    </comment>
    <comment ref="AD6" authorId="0" shapeId="0">
      <text>
        <t>Old: 14 → New: 13
[R3 Durability] Single platform + banking licenses son MOAT real pero 'payments race-to-zero' structural risk subestimado. Adyen resiste mejor que peers pero no es inmune. 13/15.
— Audit 2026-04-18</t>
      </text>
    </comment>
    <comment ref="AK6" authorId="0" shapeId="0">
      <text>
        <t>Old: -3 → New: -6
[R3 Terminal Risk] Stripe con $91B financiación + IPO inminente es competidor estructural. Checkout.com, Worldpay/FIS, legacy processors bundling. Terminal = 0 no pero compresión de valor a largo plazo es plausible. -6/-20.
— Audit 2026-04-18</t>
      </text>
    </comment>
    <comment ref="M7" authorId="0" shapeId="0">
      <text>
        <t>Old: 1 → New: 0.5
[R1 Financials] Balance sheet complejo por diseño: deuda non-recourse a nivel activo, múltiples entidades listadas (BN, BAM, BEP, BIP, BWS). Buen principio pero $8B debt de oficinas refinanciando 2026-2027 y $3B+ en US office cedido a prestamistas en 3 años. 0.5 refleja complejidad + real estate overhang.
— Audit 2026-04-18</t>
      </text>
    </comment>
    <comment ref="O7" authorId="0" shapeId="0">
      <text>
        <t>Old: -0.5 → New: 0.66
[R1 Glassdoor] Ajuste framework: rating/5. BN 3.3/5 = 0.66. Fuente: Glassdoor 571 reviews.
— Audit 2026-04-18 (ajuste framework)</t>
      </text>
    </comment>
    <comment ref="P7" authorId="0" shapeId="0">
      <text>
        <t>Old: 0.5 → New: 1
[R1 Founder/CEO] Corrección: calidad del management. Bruce Flatt es uno de los grandes capital allocators de la era (Buffett-level en real assets). Track record 20y IRR 16%+. 1/1 justificado aunque no sea fundador técnicamente. Sucesión Teskey a BAM disciplinada.
— Audit 2026-04-18 (ajuste framework)</t>
      </text>
    </comment>
    <comment ref="T7" authorId="0" shapeId="0">
      <text>
        <t>Old: 14 → New: 13
[R2 Financials] Fee-bearing capital $500B+ es stellar pero complejidad + real estate writedowns ($3B+ cedido a lenders en 3 años) + $8B office debt refinanciando son friction material. 13/17.
— Audit 2026-04-18</t>
      </text>
    </comment>
    <comment ref="Y7" authorId="0" shapeId="0">
      <text>
        <t>Old: 14 → New: 13
[R2 Mgmt &amp; Culture] Flatt es uno de los grandes CEOs de la industria pero US office fue un error estratégico claro (overexposición pre-COVID, downgrades masivos post). Sucesión Teskey a BAM también es transición sensible. 13/14.
— Audit 2026-04-18</t>
      </text>
    </comment>
    <comment ref="AA7" authorId="0" shapeId="0">
      <text>
        <t>Old: -8 → New: -10
[R2 Risks] Office RE overhang: $10B activos a desinvertir hasta 2030, $8B deuda oficina refinanciando. Wealth Solutions insurance en crecimiento rápido con leverage creciente (riesgo ALM mismatch). Complejidad estructural vs peers (Blackstone trading 24x vs BN 13x por complejidad). -10 razonable.
— Audit 2026-04-18</t>
      </text>
    </comment>
    <comment ref="AD7" authorId="0" shapeId="0">
      <text>
        <t>Old: 15 → New: 14
[R3 Durability] Compounder histórico real (20y IRR 16%, 10y 17%, 5y 22% per Flatt) pero el office miss demuestra que no es invulnerable. 14/15.
— Audit 2026-04-18</t>
      </text>
    </comment>
    <comment ref="AK7" authorId="0" shapeId="0">
      <text>
        <t>Old: -4 → New: -5
[R3 Terminal Risk] Office RE + insurance leverage tail risk + private credit bubble potencial. Terminal muy improbable pero tail risk justifica -5 vs -4.
— Audit 2026-04-18</t>
      </text>
    </comment>
    <comment ref="O8" authorId="0" shapeId="0">
      <text>
        <t>Old: 1 → New: 0.78
[R1 Glassdoor] 3.9/5 con 72% recommend, 68% outlook positivo (18,552 reviews). Compensation 4.2/5 (uno de los mejores). WLB 3.3, culture 3.6. Aplicar fórmula: 3.9/5 = 0.78.
— Audit 2026-04-18</t>
      </text>
    </comment>
    <comment ref="AA8" authorId="0" shapeId="0">
      <text>
        <t>Old: -5 → New: -7
[R2 Risks] Añadir riesgos tariff (importación masiva Asia/China), wage inflation persistente en US (COST paga premium $19+/h base), saturación de mercados maduros NA. -5 era ligero.
— Audit 2026-04-18</t>
      </text>
    </comment>
    <comment ref="AK8" authorId="0" shapeId="0">
      <text>
        <t>Old: -2 → New: -3
[R3 Terminal Risk] Amazon + e-commerce shift estructural largo plazo + cambio generacional preferences (Gen Z menos warehouse-shopping). Membership defiende pero terminal 25-30y horizon merece -3 vs -2.
— Audit 2026-04-18</t>
      </text>
    </comment>
    <comment ref="O9" authorId="1" shapeId="0">
      <text>
        <t>Old: 1 → New: 0.8
Glassdoor 4.0/5 → 0.80 (formula rating/5). 85% recommend, WLB 4.2. Source: Glassdoor Descartes Systems reviews.</t>
      </text>
    </comment>
    <comment ref="P9" authorId="1" shapeId="0">
      <text>
        <t>Old: 0 → New: 0.5
Ed Ryan CEO desde 2013. Ejecutor sólido pero no top-tier (vs. Nadella/Flatt). Entrega M&amp;A disciplinada (8 adq. desde FY25) + márgenes 46% EBITDA. Source: DSGX FY26 earnings release.</t>
      </text>
    </comment>
    <comment ref="V9" authorId="1" shapeId="0">
      <text>
        <t>Old: 13 → New: 11
Potential baja: crecimiento ~11% (FY26 Q4 +15%, pero organic ~5-8%). Fuerte dependencia de M&amp;A para crecer. TAM logistics software con competencia agresiva (Project44, FourKites, Trimble). Source: DSGX Q4 FY26 + Motley Fool Q2 transcript.</t>
      </text>
    </comment>
    <comment ref="AA9" authorId="1" shapeId="0">
      <text>
        <t>Old: -5 → New: -7
Risks underscored: ejecución M&amp;A (8 adq. recientes), valoración 53x PE/28x EV/EBITDA, y AI/automation podría desintermediar network. Source: DSGX FY26 release + Morningstar.</t>
      </text>
    </comment>
    <comment ref="AK9" authorId="1" shapeId="0">
      <text>
        <t>Old: -2 → New: -3
Terminal risk: AI/GenAI amenaza workflows de global trade/classification (HS codes, documentation) que son core DSGX. Horizonte 10+ años material. Source: propio análisis + Substack Opportunity Costs DSGX.</t>
      </text>
    </comment>
    <comment ref="O10" authorId="1" shapeId="0">
      <text>
        <t>Old: 1 → New: 0.82
Glassdoor 4.1/5 → 0.82 (formula rating/5). 84% recommend, 4.1 WLB, 4.2 culture. Source: Glassdoor RATIONAL reviews.</t>
      </text>
    </comment>
    <comment ref="P10" authorId="1" shapeId="0">
      <text>
        <t>Old: 0 → New: 1
CORRECCIÓN: Peter Stadelmann CEO desde 2014 (contrato hasta 2027), ejecutor excelente. Familia Meister controla &gt;50% con visión a largo plazo. Calidad management = 1. Source: RATIONAL AG Annual Report FY25.</t>
      </text>
    </comment>
    <comment ref="V10" authorId="1" shapeId="0">
      <text>
        <t>Old: 11 → New: 10
Potential ajustado: FY25 +6% revenue, +8% FX-adj. Asia -11% (China softness material). 50% share combi ovens límite; crecimiento iVario incremental. Source: RATIONAL AG Annual Report FY25.</t>
      </text>
    </comment>
    <comment ref="AA10" authorId="1" shapeId="0">
      <text>
        <t>Old: -6 → New: -7
Risks: Asia -11% (China/Japón), exposición cíclica restauración, commodities (acero), costes energía en Alemania. Source: EQS News Q2 2025 + Annual Report.</t>
      </text>
    </comment>
    <comment ref="K11" authorId="1" shapeId="0">
      <text>
        <t>Old: 7 → New: 6
MOAT R1 ajustado: presión platformización real. PANW Prisma Access ARR $5.6B +32% y MSFT bundling (Entra/Purview) comprimen pricing power. Zscaler sigue siendo líder SSE pero moat -1. Source: PANW + Zscaler Q1 FY26 + TechI cybersecurity 2026.</t>
      </text>
    </comment>
    <comment ref="O11" authorId="1" shapeId="0">
      <text>
        <t>Old: 0 → New: 0.72
Glassdoor 3.6/5 → 0.72 (formula rating/5). Nota bajó 5% en 12 meses. Cultura agresiva metrics-driven criticada. WLB 3.3. Source: Glassdoor Zscaler reviews.</t>
      </text>
    </comment>
    <comment ref="U11" authorId="1" shapeId="0">
      <text>
        <t>Old: 17 → New: 15
R2 MOAT: network cloud inline masivo (Fortune 500 40%) pero competencia platform-wide comprime diferenciación. No es dominante como antes 2022. Source: TechI + peerspot Zscaler alternatives 2026.</t>
      </text>
    </comment>
    <comment ref="AA11" authorId="1" shapeId="0">
      <text>
        <t>Old: -8 → New: -11
Risks inflado inicialmente: PANW platformization + MSFT bundling + CRWD Falcon Flex (+120% YoY ARR $1.69B) + BTIG downgrade reciente. Net new ARR decelerando. Source: CRWD FY25 + PANW FY25 + BTIG notes.</t>
      </text>
    </comment>
    <comment ref="AJ11" authorId="1" shapeId="0">
      <text>
        <t>Old: 13 → New: 12
MOAT structural: cloud-native single-proxy architecture sigue siendo diferenciada, pero platformización reduce ventaja estructural. Source: peerspot alternatives + PANW SASE comparison page.</t>
      </text>
    </comment>
    <comment ref="AK11" authorId="1" shapeId="0">
      <text>
        <t>Old: -4 → New: -5
Terminal risk: AI agent security pivot incierto; SASE commoditizándose con PANW/CRWD/MSFT. Riesgo 5-10y de absorción por plataforma más amplia. Source: propio análisis + QZ AI agent security.</t>
      </text>
    </comment>
    <comment ref="O12" authorId="1" shapeId="0">
      <text>
        <t>Old: 1 → New: 0.82
Glassdoor 4.1/5 → 0.82 (formula). Nintendo of America 4.2/5 = 0.84. Culture 4.2, buena WLB para Japón. Source: Glassdoor Nintendo reviews.</t>
      </text>
    </comment>
    <comment ref="P12" authorId="1" shapeId="0">
      <text>
        <t>Old: 0 → New: 1
CORRECCIÓN: Furukawa-san CEO desde 2018, ejecutó lanzamiento Switch 2 impecable (17.4M unidades Q3 FY26, revenue +99% YoY). Management institucional de altísima calidad. Source: Nintendo Q3 FY26 results + CNBC.</t>
      </text>
    </comment>
    <comment ref="V12" authorId="1" shapeId="0">
      <text>
        <t>Old: 13 → New: 14
Potential upgrade: Switch 2 momentum mejor que esperado (forecast 19M, sw upgrade a 48M), ciclo largo (10+ años), IP monetization fuera de hardware (pelis, Universal Studios). Source: Nintendo Q3 FY26 + Wikipedia Switch 2.</t>
      </text>
    </comment>
    <comment ref="AA12" authorId="1" shapeId="0">
      <text>
        <t>Old: -7 → New: -8
Risks cíclico: dependencia ciclo hardware (cash flow concentrado 2-3 años), posible fatiga post-Switch 2, competencia mobile/cloud gaming. Yen volatility. Source: Nintendo IR + GameWorld Observer.</t>
      </text>
    </comment>
    <comment ref="O13" authorId="1" shapeId="0">
      <text>
        <t>Old: 0 → New: 0.72
Glassdoor 3.6/5 → 0.72 (formula). WLB 3.1, culture 3.3, 60% recommend. Reputación dual: tech roles OK, warehouse workers conflict. Source: Glassdoor Amazon reviews (207k reviews).</t>
      </text>
    </comment>
    <comment ref="Q13" authorId="1" shapeId="0">
      <text>
        <t>Old: 0 → New: 0.5
Ownership: Bezos retiene ~8.6% stake + Exec Chair activo. Alineación founder aún presente aunque diluida. 0 subestimaba. Adjust 0 → 0.5. Source: AMZN proxy statement 2025.</t>
      </text>
    </comment>
    <comment ref="AA13" authorId="1" shapeId="0">
      <text>
        <t>Old: -10 → New: -12
Risks FTC: juicio fijado Feb 9 2027 (confirmado, federal). Base case 50% consent decree; worst case 25% separación marketplace/fulfillment (rev -10-15%). EU DMA overhang adicional. AWS capex $200B+ AI arms race. Source: MLex + Retail Dive + WaPo FTC v Amazon.</t>
      </text>
    </comment>
    <comment ref="AK13" authorId="1" shapeId="0">
      <text>
        <t>Old: -4 → New: -5
Terminal risk: antitrust separación estructural + AI eroding AWS competitive edge (hyperscaler arms race, Trainium vs Nvidia incierto). Source: FinancialContent AMZN AI utility + FTC case.</t>
      </text>
    </comment>
    <comment ref="L14" authorId="1" shapeId="0">
      <text>
        <t>Old: 2 → New: 3
Optionality upgrade: AI datacenter growth triple-dígito en Q4 2025, electrification supercycle multi-década, EV charging, grid modernization. Real option. Source: SE Q3 2025 release + Facilities Dive datacenter.</t>
      </text>
    </comment>
    <comment ref="O14" authorId="1" shapeId="0">
      <text>
        <t>Old: 1 → New: 0.84
Glassdoor 4.2/5 → 0.84 (formula). 87% recommend — de los más altos de la watchlist. Source: Glassdoor Schneider Electric.</t>
      </text>
    </comment>
    <comment ref="V14" authorId="1" shapeId="0">
      <text>
        <t>Old: 14 → New: 15
Potential upgrade: FY25 +8.9% organic, +15% NA, datacenter triple-dígito. Electrification structural 10-20y tailwind. Source: SE FY25 annual results.</t>
      </text>
    </comment>
    <comment ref="L15" authorId="1" shapeId="0">
      <text>
        <t>Old: 1 → New: 2
Optionality upgrade: online 27% de ventas (€10.7B), Zara Try-on IA en 43 markets, adjacencies (Zara Home, Pull&amp;Bear, Massimo Dutti). Source: ITX FY25 results.</t>
      </text>
    </comment>
    <comment ref="O15" authorId="1" shapeId="0">
      <text>
        <t>Old: 0 → New: 0.74
Glassdoor 3.7/5 → 0.74 (formula). 64% recommend. Retail WLB típico pero culture Ortega OK. Source: Glassdoor Inditex.</t>
      </text>
    </comment>
    <comment ref="AA15" authorId="1" shapeId="0">
      <text>
        <t>Old: -6 → New: -8
Risks elevados: Shein/Temu Chinese fast fashion ataque real, discrecional consumo, sostenibilidad backlash. Source: ITX FY25 + Modaes takeaways.</t>
      </text>
    </comment>
    <comment ref="AK15" authorId="1" shapeId="0">
      <text>
        <t>Old: -3 → New: -4
Terminal risk: fast fashion Chinese AI-driven (Shein algorithm + Temu) amenaza estructural 5-10y sobre modelo Zara. Source: industry analysis.</t>
      </text>
    </comment>
    <comment ref="L16" authorId="1" shapeId="0">
      <text>
        <t>Old: 2 → New: 3
Optionality real demostrada: Nákd, TREK, BEAR (acquisiciones exitosas), Thailand plant (Chonburi), US Mebane expansion. Source: LOTB FY25 press + ESM Magazine.</t>
      </text>
    </comment>
    <comment ref="O16" authorId="1" shapeId="0">
      <text>
        <t>Old: 0 → New: 0.76
Glassdoor 3.8/5 → 0.76 (formula). Culture small-company Boone family aligned. Source: Glassdoor Lotus Bakeries.</t>
      </text>
    </comment>
    <comment ref="T16" authorId="1" shapeId="0">
      <text>
        <t>Old: 15 → New: 16
R2 Fin upgrade: 10% revenue growth 2025 (€1.355B), 20%+ EBITDA margin, net cash strong. Source: LOTB Annual Results 2025.</t>
      </text>
    </comment>
    <comment ref="V16" authorId="1" shapeId="0">
      <text>
        <t>Old: 11 → New: 13
Potential upgrade material: US BEAR +17% growth outstanding, Biscoff +13% organic, Thailand plant starting, India potential sin tapar. Source: LOTB FY25 press release.</t>
      </text>
    </comment>
    <comment ref="AA16" authorId="1" shapeId="0">
      <text>
        <t>Old: -6 → New: -7
Risks: Biscoff 57% de branded revenue — concentración producto real. Commodity (butter, sugar) exposure. Source: LOTB Annual Report 2025.</t>
      </text>
    </comment>
    <comment ref="AG16" authorId="1" shapeId="0">
      <text>
        <t>Old: 12 → New: 13
Capital Allocation upgrade: M&amp;A disciplinado (Nákd 2015, TREK 2019, BEAR 2018) todos integrados bien. Source: LOTB track record.</t>
      </text>
    </comment>
    <comment ref="L17" authorId="1" shapeId="0">
      <text>
        <t>Old: 2 → New: 3
Optionality upgrade: M&amp;A serial optionality probada, 2 adquisiciones FY26 YTD por £129M (Safetec €73M + Brownline €150M). 40+ companies portfolio. Source: Halma press releases 2025/26.</t>
      </text>
    </comment>
    <comment ref="O17" authorId="1" shapeId="0">
      <text>
        <t>Old: 1 → New: 0.86
Glassdoor 4.3/5 → 0.86 (formula). De los más altos del mercado. 4.0 compensation. Source: Glassdoor Halma.</t>
      </text>
    </comment>
    <comment ref="P17" authorId="1" shapeId="0">
      <text>
        <t>Old: 0 → New: 1
CORRECCIÓN: Marc Ronchetti CEO desde 2023 ejecutando modelo descentralizado top-tier (47 años consecutivos record profit). Calidad management = 1. Source: Halma FY2024/25.</t>
      </text>
    </comment>
    <comment ref="O18" authorId="1" shapeId="0">
      <text>
        <t>Old: 0 → New: 0.78
Glassdoor 3.9/5 → 0.78 (formula). Culture software sólida. Source: Glassdoor FICO.</t>
      </text>
    </comment>
    <comment ref="V18" authorId="1" shapeId="0">
      <text>
        <t>Old: 12 → New: 10
Potential DOWNGRADE: FY26 guidance $2.35B vs consensus $2.44B lagged. Pricing hikes ($4.95→$10/score) alcanzaron límite regulatorio. Source: FICO Q1 FY26 + National Mortgage News.</t>
      </text>
    </comment>
    <comment ref="AA18" authorId="1" shapeId="0">
      <text>
        <t>Old: -10 → New: -15
Risks materiales: CFPB investigation + Senator Hawley investigation + DOJ antitrust probe sobre tying software/score. Stock -50% desde 2025 highs. Source: Hawley press release + FinancialContent.</t>
      </text>
    </comment>
    <comment ref="AD18" authorId="1" shapeId="0">
      <text>
        <t>Old: 15 → New: 14
Durability ligero ajuste: regulatory reset material posible. Credit scoring sigue siendo core pero monopolio puede ser atacado. Source: DOJ + CFPB scrutiny.</t>
      </text>
    </comment>
    <comment ref="AJ18" authorId="1" shapeId="0">
      <text>
        <t>Old: 15 → New: 13
MOAT Structural: VantageScore gaining + AI-based alternative models + DOJ tying probe comprimen dominio 90%+. Source: FinancialContent + Yahoo Finance FICO.</t>
      </text>
    </comment>
    <comment ref="AK18" authorId="1" shapeId="0">
      <text>
        <t>Old: -3 → New: -6
Terminal Risk: combinación DOJ antitrust (forced separation potential) + AI alternative scoring multiplies 10y tail risk. Source: Hawley + Ballard Spahr mortgage update.</t>
      </text>
    </comment>
    <comment ref="K19" authorId="1" shapeId="0">
      <text>
        <t>Old: 6 → New: 7
MOAT upgrade: 275 companies niche leaders (dental + demolition + systems) con moat estructural en cada vertical, similar a Halma. Source: Lifco FY2025 Year-end Report.</t>
      </text>
    </comment>
    <comment ref="L19" authorId="1" shapeId="0">
      <text>
        <t>Old: 2 → New: 3
Optionality upgrade: 17 adquisiciones en 2025 (3,913 MSEK EV, ~598 MSEK EBITA added). Serial acquirer model probado. Source: Lifco FY2025 + Substack Compounding Tortoise.</t>
      </text>
    </comment>
    <comment ref="O19" authorId="1" shapeId="0">
      <text>
        <t>Old: 1 → New: 0.7
Glassdoor 3.5/5 → 0.70 (formula). N=20 reviews Lifco Group (limited sample). Source: Glassdoor.</t>
      </text>
    </comment>
    <comment ref="P19" authorId="1" shapeId="0">
      <text>
        <t>Old: 0 → New: 0.5
Per Waldemarson CEO desde 2019 (Fredrik Karlsson salió a fundar Röko 2019). Management sólido pero no star level. Adj 0→0.5. Source: Lifco IR.</t>
      </text>
    </comment>
    <comment ref="T19" authorId="1" shapeId="0">
      <text>
        <t>Old: 14 → New: 15
R2 Fin upgrade: EBITA margin 22.4% en 2025 (record), FCF sólido, net sales 28.3B SEK. Source: Lifco FY2025 Year-end Report.</t>
      </text>
    </comment>
    <comment ref="AA19" authorId="1" shapeId="0">
      <text>
        <t>Old: -6 → New: -7
Risks: valoración premium (35x PE), Karlsson departure legacy risk, rate sensitivity M&amp;A. Source: Substack deep dives + Ad-hoc news.</t>
      </text>
    </comment>
    <comment ref="AJ19" authorId="1" shapeId="0">
      <text>
        <t>Old: 12 → New: 13
MOAT Structural: 275 companies diversifican, portfolio structural advantage comparable a Halma. Source: Lifco Annual Report.</t>
      </text>
    </comment>
    <comment ref="AK19" authorId="1" shapeId="0">
      <text>
        <t>Old: -4 → New: -3
Terminal Risk lower: portfolio 275 companies 37 countries reduce tail risk individual. Adj -4→-3. Source: portfolio analysis.</t>
      </text>
    </comment>
    <comment ref="K20" authorId="1" shapeId="0">
      <text>
        <t>Old: 6 → New: 7
MOAT upgrade: network effects ticketing (178M tickets 2025, 9B EUR GTV) + promoter relationships (Ocesa, France). European #1. Source: CTS Eventim FY2025.</t>
      </text>
    </comment>
    <comment ref="O20" authorId="1" shapeId="0">
      <text>
        <t>Old: 0 → New: 0.5
Glassdoor: sin data robusta encontrada; estimación conservadora 0.5. Schulenberg founder culture sólida. Source: conservative estimate.</t>
      </text>
    </comment>
    <comment ref="V20" authorId="1" shapeId="0">
      <text>
        <t>Old: 11 → New: 12
Potential upgrade: revenue €3B+ por primera vez (+9.6%), Live Entertainment exceeded €2B. Expansion geográfica ongoing (France, Mexico, Italy). Source: CTS Eventim FY2025 release.</t>
      </text>
    </comment>
    <comment ref="L21" authorId="1" shapeId="0">
      <text>
        <t>Old: 1 → New: 2
Optionality upgrade: int'l sales +23% Q3 2025 (43% of total, record). Strategic brands 57 countries. Coke distribution partnership. Source: MNST Q3 2025 + Simply Wall St.</t>
      </text>
    </comment>
    <comment ref="O21" authorId="1" shapeId="0">
      <text>
        <t>Old: 0 → New: 0.78
Glassdoor 3.9/5 → 0.78 (formula). Culture MAT team energy sólida. Source: Glassdoor Monster Energy.</t>
      </text>
    </comment>
    <comment ref="AA21" authorId="1" shapeId="0">
      <text>
        <t>Old: -7 → New: -9
Risks aumentados: Celsius (CELH) atacando share (CELH growth &gt;30% YoY), GLP-1 obesidad headwind incierto, private label erosión. Source: MNST 10-K 2025 + industry analysis.</t>
      </text>
    </comment>
    <comment ref="AK21" authorId="1" shapeId="0">
      <text>
        <t>Old: -3 → New: -4
Terminal Risk: combinación Celsius attacker + GLP-1 potencial hit energy beverages + Sacks/Schlosberg succession. Source: DCF model MNST + 10-K.</t>
      </text>
    </comment>
    <comment ref="K22" authorId="1" shapeId="0">
      <text>
        <t>Old: 6 → New: 7
MOAT upgrade: two-sided network efecto real — 5M+ active listings, 2B+ guest arrivals histórico. Barrera entrada masiva. Source: ABNB 10-K 2025.</t>
      </text>
    </comment>
    <comment ref="L22" authorId="1" shapeId="0">
      <text>
        <t>Old: 2 → New: 3
Optionality upgrade: Airbnb Services + Experiences (May 2025 launch, ~50% experiences bookings not attached to stay), hoteles boutique (NYC, LA, Madrid, SF). Source: ABNB Q4 2025 release.</t>
      </text>
    </comment>
    <comment ref="O22" authorId="1" shapeId="0">
      <text>
        <t>Old: 1 → New: 0.82
Glassdoor 4.1/5 → 0.82 (formula). 78% recommend. Compensation 4.2. Source: Glassdoor Airbnb.</t>
      </text>
    </comment>
    <comment ref="U22" authorId="1" shapeId="0">
      <text>
        <t>Old: 15 → New: 16
R2 MOAT upgrade: network effect más potente de lo reconocido — 5M listings imposibles de replicar, guest data asset. Source: ABNB analysis.</t>
      </text>
    </comment>
    <comment ref="V22" authorId="1" shapeId="0">
      <text>
        <t>Old: 13 → New: 14
Potential upgrade: Services + Experiences + hoteles partnerships abren TAM más allá de alquileres corto plazo. Source: ABNB Q4 2025 + Chesky narrativa.</t>
      </text>
    </comment>
    <comment ref="Y22" authorId="1" shapeId="0">
      <text>
        <t>Old: 11 → New: 12
Mgmt upgrade: Chesky founder-CEO visionario top-tier, managing product-led transformation. Source: Fortune interview + Airbnb exec team.</t>
      </text>
    </comment>
    <comment ref="AJ22" authorId="1" shapeId="0">
      <text>
        <t>Old: 11 → New: 12
MOAT structural: two-sided network = structural advantage robusto. Source: network effects analysis.</t>
      </text>
    </comment>
    <comment ref="L23" authorId="1" shapeId="0">
      <text>
        <t>Old: 1 → New: 2
Optionality: plan doblar stores a 5,000 (desde 2,746 H1 2025). Eastern Poland sin penetrar, land cheap. 20%/año store growth target. Source: DNP H1 2025 + Substack deep dives.</t>
      </text>
    </comment>
    <comment ref="O23" authorId="1" shapeId="0">
      <text>
        <t>Old: 0 → New: 0.3
Glassdoor DNP: sin rating Glassdoor directo; Indeed Polish retail reviews reportan condiciones duras (9h+, min wage, no benefits). Estimación conservadora 0.3. Source: Indeed Dino Polska reviews.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 editAs="oneCell">
    <from>
      <col>0</col>
      <colOff>28440</colOff>
      <row>24</row>
      <rowOff>9360</rowOff>
    </from>
    <to>
      <col>5</col>
      <colOff>41400</colOff>
      <row>39</row>
      <rowOff>38160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66600</colOff>
      <row>25</row>
      <rowOff>228600</rowOff>
    </from>
    <to>
      <col>10</col>
      <colOff>79560</colOff>
      <row>40</row>
      <rowOff>66960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43</row>
      <rowOff>0</rowOff>
    </from>
    <to>
      <col>5</col>
      <colOff>12960</colOff>
      <row>65</row>
      <rowOff>9720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43</row>
      <rowOff>0</rowOff>
    </from>
    <to>
      <col>16</col>
      <colOff>356040</colOff>
      <row>65</row>
      <rowOff>9720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0</col>
      <colOff>0</colOff>
      <row>39</row>
      <rowOff>0</rowOff>
    </from>
    <to>
      <col>7</col>
      <colOff>932760</colOff>
      <row>57</row>
      <rowOff>53280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64"/>
  <sheetViews>
    <sheetView tabSelected="1" zoomScaleNormal="100" workbookViewId="0">
      <pane xSplit="2" ySplit="3" topLeftCell="I34" activePane="bottomRight" state="frozen"/>
      <selection pane="topRight" activeCell="C1" sqref="C1"/>
      <selection pane="bottomLeft" activeCell="A4" sqref="A4"/>
      <selection pane="bottomRight" activeCell="T55" sqref="T55"/>
    </sheetView>
  </sheetViews>
  <sheetFormatPr baseColWidth="10" defaultColWidth="8.5703125" defaultRowHeight="15"/>
  <cols>
    <col width="27" customWidth="1" style="96" min="1" max="1"/>
    <col width="10" customWidth="1" style="96" min="2" max="2"/>
    <col width="12.140625" bestFit="1" customWidth="1" style="96" min="3" max="3"/>
    <col width="14.7109375" bestFit="1" customWidth="1" style="96" min="4" max="4"/>
    <col width="22" customWidth="1" style="96" min="5" max="5"/>
    <col width="9" customWidth="1" style="96" min="6" max="6"/>
    <col width="11" customWidth="1" style="96" min="7" max="7"/>
    <col width="14" customWidth="1" style="96" min="8" max="9"/>
    <col width="9" customWidth="1" style="96" min="10" max="10"/>
    <col width="7" customWidth="1" style="96" min="11" max="11"/>
    <col width="10" customWidth="1" style="96" min="12" max="13"/>
    <col width="12" customWidth="1" style="96" min="14" max="14"/>
    <col width="10" customWidth="1" style="96" min="15" max="17"/>
    <col width="8" customWidth="1" style="96" min="18" max="18"/>
    <col width="10" customWidth="1" style="96" min="19" max="20"/>
    <col width="7" customWidth="1" style="96" min="21" max="21"/>
    <col width="10" customWidth="1" style="96" min="22" max="23"/>
    <col width="12" customWidth="1" style="96" min="24" max="26"/>
    <col width="8" customWidth="1" style="96" min="27" max="28"/>
    <col width="10" customWidth="1" style="96" min="29" max="30"/>
    <col width="12" customWidth="1" style="96" min="31" max="31"/>
    <col width="11" customWidth="1" style="96" min="32" max="32"/>
    <col width="12" customWidth="1" style="96" min="33" max="33"/>
    <col width="11" customWidth="1" style="96" min="34" max="34"/>
    <col width="10" customWidth="1" style="96" min="35" max="35"/>
    <col width="11" customWidth="1" style="96" min="36" max="37"/>
    <col width="8" customWidth="1" style="96" min="38" max="38"/>
    <col width="10" customWidth="1" style="96" min="39" max="39"/>
    <col width="11" customWidth="1" style="96" min="40" max="40"/>
    <col width="7.85546875" customWidth="1" style="96" min="41" max="41"/>
    <col width="9.140625" customWidth="1" style="96" min="42" max="42"/>
    <col width="7.5703125" customWidth="1" style="96" min="43" max="43"/>
    <col width="10.28515625" customWidth="1" style="96" min="44" max="44"/>
    <col width="7.5703125" customWidth="1" style="96" min="46" max="47"/>
    <col width="9.140625" customWidth="1" style="96" min="48" max="48"/>
    <col width="10.140625" bestFit="1" customWidth="1" style="96" min="49" max="49"/>
    <col width="11.85546875" customWidth="1" style="96" min="50" max="50"/>
    <col width="9.140625" customWidth="1" style="96" min="52" max="52"/>
    <col width="10" customWidth="1" style="96" min="56" max="56"/>
    <col width="7.85546875" customWidth="1" style="96" min="57" max="57"/>
    <col width="9.140625" customWidth="1" style="96" min="58" max="58"/>
    <col width="8.85546875" bestFit="1" customWidth="1" style="96" min="59" max="59"/>
    <col width="11.28515625" customWidth="1" style="96" min="60" max="61"/>
    <col width="9.5703125" customWidth="1" style="96" min="62" max="62"/>
    <col width="10.5703125" customWidth="1" style="96" min="63" max="63"/>
    <col width="10.140625" bestFit="1" customWidth="1" style="96" min="64" max="65"/>
    <col width="9.5703125" customWidth="1" style="96" min="66" max="66"/>
    <col width="11.85546875" customWidth="1" style="96" min="67" max="67"/>
  </cols>
  <sheetData>
    <row r="1" ht="27.75" customHeight="1" s="96">
      <c r="A1" s="95" t="inlineStr">
        <is>
          <t>WATCHLIST RATINGS — JP Morgan Equity Research Framework | Long-Term Investor View</t>
        </is>
      </c>
    </row>
    <row r="2" ht="21.75" customHeight="1" s="96">
      <c r="A2" s="99" t="inlineStr">
        <is>
          <t>MARKET DATA</t>
        </is>
      </c>
      <c r="J2" s="104" t="inlineStr">
        <is>
          <t>RATING 1 — STRUCTURAL QUALITY (Normalized 0–10)</t>
        </is>
      </c>
      <c r="T2" s="103" t="inlineStr">
        <is>
          <t>RATING 2 — ECONOMIC QUALITY &amp; VALUE CREATION (Normalized 0–10)</t>
        </is>
      </c>
      <c r="AD2" s="97" t="inlineStr">
        <is>
          <t>RATING 3 — DURABILITY &amp; EXISTENTIAL RISK (Normalized 0–10)</t>
        </is>
      </c>
      <c r="AN2" s="102" t="inlineStr">
        <is>
          <t>COMPOSITE RATING
(0–10 avg)</t>
        </is>
      </c>
      <c r="AO2" s="100" t="inlineStr">
        <is>
          <t>Financials information</t>
        </is>
      </c>
      <c r="BG2" s="100" t="n"/>
      <c r="BH2" s="100" t="n"/>
      <c r="BI2" s="100" t="n"/>
      <c r="BJ2" s="98" t="inlineStr">
        <is>
          <t>Future valuation range</t>
        </is>
      </c>
      <c r="BN2" s="101" t="inlineStr">
        <is>
          <t>Actualizaciones y resultados</t>
        </is>
      </c>
    </row>
    <row r="3" ht="45" customHeight="1" s="96">
      <c r="A3" s="3" t="inlineStr">
        <is>
          <t>Company Name
Name</t>
        </is>
      </c>
      <c r="B3" s="3" t="inlineStr">
        <is>
          <t>Ticker
Symbol</t>
        </is>
      </c>
      <c r="C3" s="3" t="inlineStr">
        <is>
          <t>Category</t>
        </is>
      </c>
      <c r="D3" s="89" t="inlineStr">
        <is>
          <t>Estilo inversión</t>
        </is>
      </c>
      <c r="E3" s="3" t="inlineStr">
        <is>
          <t>Exchange
Listing</t>
        </is>
      </c>
      <c r="F3" s="3" t="inlineStr">
        <is>
          <t>Currency</t>
        </is>
      </c>
      <c r="G3" s="3" t="inlineStr">
        <is>
          <t>Price
Local ccy</t>
        </is>
      </c>
      <c r="H3" s="3" t="inlineStr">
        <is>
          <t>Shares Outstanding
millions</t>
        </is>
      </c>
      <c r="I3" s="3" t="inlineStr">
        <is>
          <t>Market Cap
local ccy, m</t>
        </is>
      </c>
      <c r="J3" s="4" t="inlineStr">
        <is>
          <t>Mission
(-1 to 2)</t>
        </is>
      </c>
      <c r="K3" s="4" t="inlineStr">
        <is>
          <t>MOAT
(0 to 8)</t>
        </is>
      </c>
      <c r="L3" s="4" t="inlineStr">
        <is>
          <t>Optionality
(0 to 3)</t>
        </is>
      </c>
      <c r="M3" s="4" t="inlineStr">
        <is>
          <t>Financials
(-1 to 1)</t>
        </is>
      </c>
      <c r="N3" s="4" t="inlineStr">
        <is>
          <t>Concentration
(-3 to 0)</t>
        </is>
      </c>
      <c r="O3" s="4" t="inlineStr">
        <is>
          <t>Glassdoor
(-1 to 1)</t>
        </is>
      </c>
      <c r="P3" s="4" t="inlineStr">
        <is>
          <t>Founder/CEO
(0 to 1)</t>
        </is>
      </c>
      <c r="Q3" s="4" t="inlineStr">
        <is>
          <t>Ownership
(-1 to 1)</t>
        </is>
      </c>
      <c r="R3" s="4" t="inlineStr">
        <is>
          <t>R1 Sum
(max 17)</t>
        </is>
      </c>
      <c r="S3" s="4" t="inlineStr">
        <is>
          <t>RATING 1
0–10</t>
        </is>
      </c>
      <c r="T3" s="5" t="inlineStr">
        <is>
          <t>Financials
(0 to 17)</t>
        </is>
      </c>
      <c r="U3" s="5" t="inlineStr">
        <is>
          <t>MOAT
(0 to 20)</t>
        </is>
      </c>
      <c r="V3" s="5" t="inlineStr">
        <is>
          <t>Potential
(0 to 18)</t>
        </is>
      </c>
      <c r="W3" s="5" t="inlineStr">
        <is>
          <t>Customers
(0 to 10)</t>
        </is>
      </c>
      <c r="X3" s="5" t="inlineStr">
        <is>
          <t>Revenue Quality
(0 to 10)</t>
        </is>
      </c>
      <c r="Y3" s="5" t="inlineStr">
        <is>
          <t>Mgmt &amp; Culture
(0 to 14)</t>
        </is>
      </c>
      <c r="Z3" s="5" t="inlineStr">
        <is>
          <t>Stock &amp; Ownership
(0 to 11)</t>
        </is>
      </c>
      <c r="AA3" s="5" t="inlineStr">
        <is>
          <t>Risks
(-44 to 0)</t>
        </is>
      </c>
      <c r="AB3" s="5" t="inlineStr">
        <is>
          <t>R2 Sum
(max 100)</t>
        </is>
      </c>
      <c r="AC3" s="5" t="inlineStr">
        <is>
          <t>RATING 2
0–10</t>
        </is>
      </c>
      <c r="AD3" s="6" t="inlineStr">
        <is>
          <t>Durability
(0 to 15)</t>
        </is>
      </c>
      <c r="AE3" s="6" t="inlineStr">
        <is>
          <t>Risk of Disappearance
(-20 to 0)</t>
        </is>
      </c>
      <c r="AF3" s="6" t="inlineStr">
        <is>
          <t>Capital Intensity
(0 to 10)</t>
        </is>
      </c>
      <c r="AG3" s="6" t="inlineStr">
        <is>
          <t>Capital Allocation
(0 to 15)</t>
        </is>
      </c>
      <c r="AH3" s="6" t="inlineStr">
        <is>
          <t>Financing Source
(-10 to 5)</t>
        </is>
      </c>
      <c r="AI3" s="6" t="inlineStr">
        <is>
          <t>Incentives
(0 to 10)</t>
        </is>
      </c>
      <c r="AJ3" s="6" t="inlineStr">
        <is>
          <t>MOAT Structural
(0 to 15)</t>
        </is>
      </c>
      <c r="AK3" s="6" t="inlineStr">
        <is>
          <t>Terminal Risk
(-20 to 0)</t>
        </is>
      </c>
      <c r="AL3" s="6" t="inlineStr">
        <is>
          <t>R3 Sum
(max 70)</t>
        </is>
      </c>
      <c r="AM3" s="6" t="inlineStr">
        <is>
          <t>RATING 3
0–10</t>
        </is>
      </c>
      <c r="AO3" s="7" t="inlineStr">
        <is>
          <t>FX Reporting</t>
        </is>
      </c>
      <c r="AP3" s="7" t="inlineStr">
        <is>
          <t>Cash &amp; Equivalents</t>
        </is>
      </c>
      <c r="AQ3" s="7" t="inlineStr">
        <is>
          <t>Total Debt</t>
        </is>
      </c>
      <c r="AR3" s="7" t="inlineStr">
        <is>
          <t>Enterprise Value</t>
        </is>
      </c>
      <c r="AS3" s="8" t="inlineStr">
        <is>
          <t>FCF LTM (unlevered)</t>
        </is>
      </c>
      <c r="AT3" s="8" t="inlineStr">
        <is>
          <t>NOPAT LTM</t>
        </is>
      </c>
      <c r="AU3" s="8" t="inlineStr">
        <is>
          <t>EBITDA LTM</t>
        </is>
      </c>
      <c r="AV3" s="8" t="inlineStr">
        <is>
          <t>Revenue LTM</t>
        </is>
      </c>
      <c r="AW3" s="7" t="inlineStr">
        <is>
          <t>EV / FCF</t>
        </is>
      </c>
      <c r="AX3" s="7" t="inlineStr">
        <is>
          <t>EV / EBITDA</t>
        </is>
      </c>
      <c r="AY3" s="7" t="inlineStr">
        <is>
          <t>EV / Sales</t>
        </is>
      </c>
      <c r="AZ3" s="7" t="inlineStr">
        <is>
          <t>Capital Employed</t>
        </is>
      </c>
      <c r="BA3" s="8" t="inlineStr">
        <is>
          <t>NOPAT M%</t>
        </is>
      </c>
      <c r="BB3" s="8" t="inlineStr">
        <is>
          <t>Asset Turnover</t>
        </is>
      </c>
      <c r="BC3" s="7" t="inlineStr">
        <is>
          <t>ROIC</t>
        </is>
      </c>
      <c r="BD3" s="7" t="inlineStr">
        <is>
          <t>FCF @5y Min</t>
        </is>
      </c>
      <c r="BE3" s="8" t="inlineStr">
        <is>
          <t>FCF min CAGR</t>
        </is>
      </c>
      <c r="BF3" s="7" t="inlineStr">
        <is>
          <t>FCF @5y Max</t>
        </is>
      </c>
      <c r="BG3" s="8" t="inlineStr">
        <is>
          <t>FCF max CAGR</t>
        </is>
      </c>
      <c r="BH3" s="7" t="inlineStr">
        <is>
          <t>Exit Mult Min</t>
        </is>
      </c>
      <c r="BI3" s="7" t="inlineStr">
        <is>
          <t>Exit Mult Max</t>
        </is>
      </c>
      <c r="BJ3" s="9" t="inlineStr">
        <is>
          <t>FVE min</t>
        </is>
      </c>
      <c r="BK3" s="9" t="inlineStr">
        <is>
          <t>FVE max</t>
        </is>
      </c>
      <c r="BL3" s="9" t="inlineStr">
        <is>
          <t>Worst IRR</t>
        </is>
      </c>
      <c r="BM3" s="98" t="inlineStr">
        <is>
          <t>Best IRR</t>
        </is>
      </c>
      <c r="BN3" s="92" t="inlineStr">
        <is>
          <t>Última actualización</t>
        </is>
      </c>
      <c r="BO3" s="92" t="inlineStr">
        <is>
          <t>Últimos resultados</t>
        </is>
      </c>
      <c r="BP3" s="92" t="inlineStr">
        <is>
          <t>Próximos resultados</t>
        </is>
      </c>
    </row>
    <row r="4" ht="15" customHeight="1" s="96">
      <c r="A4" s="86" t="e">
        <v>#VALUE!</v>
      </c>
      <c r="B4" s="10">
        <f t="array" ref="B4">_FV(A4,"Símbolo bursátil",TRUE())</f>
        <v/>
      </c>
      <c r="C4" s="88" t="inlineStr">
        <is>
          <t>Vertical Saas</t>
        </is>
      </c>
      <c r="D4" s="88" t="inlineStr">
        <is>
          <t>Compounder</t>
        </is>
      </c>
      <c r="E4" s="11">
        <f t="array" ref="E4">_FV(A4,"Abreviatura de intercambio",TRUE())</f>
        <v/>
      </c>
      <c r="F4" s="11">
        <f t="array" ref="F4">_FV(A4,"Moneda")</f>
        <v/>
      </c>
      <c r="G4" s="12">
        <f t="array" ref="G4">_FV(A4,"Precio")</f>
        <v/>
      </c>
      <c r="H4" s="13">
        <f t="array" ref="H4">_FV(A4,"Acciones en circulación",TRUE())/1000000</f>
        <v/>
      </c>
      <c r="I4" s="14">
        <f>G4*H4</f>
        <v/>
      </c>
      <c r="J4" s="90" t="n">
        <v>1.5</v>
      </c>
      <c r="K4" s="90" t="n">
        <v>8</v>
      </c>
      <c r="L4" s="90" t="n">
        <v>2</v>
      </c>
      <c r="M4" s="90" t="n">
        <v>1</v>
      </c>
      <c r="N4" s="90" t="n">
        <v>-1.5</v>
      </c>
      <c r="O4" s="90" t="n">
        <v>0.72</v>
      </c>
      <c r="P4" s="90" t="n">
        <v>1</v>
      </c>
      <c r="Q4" s="90" t="n">
        <v>1</v>
      </c>
      <c r="R4" s="15">
        <f>SUM(J4:Q4)</f>
        <v/>
      </c>
      <c r="S4" s="16">
        <f>ROUND(R4/17*10,2)</f>
        <v/>
      </c>
      <c r="T4" s="90" t="n">
        <v>17</v>
      </c>
      <c r="U4" s="90" t="n">
        <v>18</v>
      </c>
      <c r="V4" s="90" t="n">
        <v>16</v>
      </c>
      <c r="W4" s="90" t="n">
        <v>8</v>
      </c>
      <c r="X4" s="90" t="n">
        <v>9</v>
      </c>
      <c r="Y4" s="90" t="n">
        <v>12</v>
      </c>
      <c r="Z4" s="90" t="n">
        <v>10</v>
      </c>
      <c r="AA4" s="90" t="n">
        <v>-8</v>
      </c>
      <c r="AB4" s="15">
        <f>SUM(T4:AA4)</f>
        <v/>
      </c>
      <c r="AC4" s="16">
        <f>ROUND(AB4/10,2)</f>
        <v/>
      </c>
      <c r="AD4" s="90" t="n">
        <v>14</v>
      </c>
      <c r="AE4" s="90" t="n">
        <v>0</v>
      </c>
      <c r="AF4" s="90" t="n">
        <v>10</v>
      </c>
      <c r="AG4" s="90" t="n">
        <v>14</v>
      </c>
      <c r="AH4" s="90" t="n">
        <v>5</v>
      </c>
      <c r="AI4" s="90" t="n">
        <v>8</v>
      </c>
      <c r="AJ4" s="90" t="n">
        <v>14</v>
      </c>
      <c r="AK4" s="90" t="n">
        <v>-5</v>
      </c>
      <c r="AL4" s="15">
        <f>SUM(AD4:AK4)</f>
        <v/>
      </c>
      <c r="AM4" s="16">
        <f>ROUND(AL4/70*10,2)</f>
        <v/>
      </c>
      <c r="AN4" s="17">
        <f>ROUND((S4+AC4+AM4)/3,2)</f>
        <v/>
      </c>
      <c r="AO4" s="18" t="inlineStr">
        <is>
          <t>USD</t>
        </is>
      </c>
      <c r="AP4" s="19" t="n">
        <v>5100</v>
      </c>
      <c r="AQ4" s="19" t="n">
        <v>0</v>
      </c>
      <c r="AR4" s="19">
        <f>I4-AP4+AQ4</f>
        <v/>
      </c>
      <c r="AS4" s="19" t="n">
        <v>1100</v>
      </c>
      <c r="AT4" s="19" t="n">
        <v>810</v>
      </c>
      <c r="AU4" s="19" t="n">
        <v>1050</v>
      </c>
      <c r="AV4" s="19" t="n">
        <v>3200</v>
      </c>
      <c r="AW4" s="20">
        <f>AR4/AS4</f>
        <v/>
      </c>
      <c r="AX4" s="20">
        <f>AR4/AU4</f>
        <v/>
      </c>
      <c r="AY4" s="20">
        <f>AR4/AV4</f>
        <v/>
      </c>
      <c r="AZ4" s="21" t="n">
        <v>1500</v>
      </c>
      <c r="BA4" s="22">
        <f>AT4/AV4</f>
        <v/>
      </c>
      <c r="BB4" s="22">
        <f>AV4/AZ4</f>
        <v/>
      </c>
      <c r="BC4" s="23">
        <f>BA4*BB4</f>
        <v/>
      </c>
      <c r="BD4" t="inlineStr">
        <is>
          <t>1,616</t>
        </is>
      </c>
      <c r="BE4" s="23">
        <f>(BD4/AS4)^(1/5)-1</f>
        <v/>
      </c>
      <c r="BF4" t="inlineStr">
        <is>
          <t>2,737</t>
        </is>
      </c>
      <c r="BG4" s="23">
        <f>(BF4/AS4)^(1/5)-1</f>
        <v/>
      </c>
      <c r="BH4" s="24" t="n">
        <v>18</v>
      </c>
      <c r="BI4" s="24" t="n">
        <v>30</v>
      </c>
      <c r="BJ4" s="25">
        <f>(BD4*BH4+$AP4-$AQ4)/$H4</f>
        <v/>
      </c>
      <c r="BK4" s="25">
        <f>(BF4*BI4+$AP4-$AQ4)/$H4</f>
        <v/>
      </c>
      <c r="BL4" s="23">
        <f>($BJ4/G4)^(1/5)-1</f>
        <v/>
      </c>
      <c r="BM4" s="23">
        <f>(BK4/G4)^(1/4)-1</f>
        <v/>
      </c>
      <c r="BN4" s="93" t="inlineStr">
        <is>
          <t>2026-04-26</t>
        </is>
      </c>
      <c r="BO4" s="93" t="inlineStr">
        <is>
          <t>04/03/2026</t>
        </is>
      </c>
      <c r="BP4" s="93" t="inlineStr">
        <is>
          <t>27/05/2026</t>
        </is>
      </c>
    </row>
    <row r="5" ht="15" customHeight="1" s="96">
      <c r="A5" s="86" t="e">
        <v>#VALUE!</v>
      </c>
      <c r="B5" s="10">
        <f t="array" ref="B5">_FV(A5,"Símbolo bursátil",TRUE())</f>
        <v/>
      </c>
      <c r="C5" s="88" t="inlineStr">
        <is>
          <t>Mag 7</t>
        </is>
      </c>
      <c r="D5" s="88" t="inlineStr">
        <is>
          <t>Compounder</t>
        </is>
      </c>
      <c r="E5" s="11">
        <f t="array" ref="E5">_FV(A5,"Abreviatura de intercambio",TRUE())</f>
        <v/>
      </c>
      <c r="F5" s="11">
        <f t="array" ref="F5">_FV(A5,"Moneda")</f>
        <v/>
      </c>
      <c r="G5" s="12">
        <f t="array" ref="G5">_FV(A5,"Precio")</f>
        <v/>
      </c>
      <c r="H5" s="13">
        <f t="array" ref="H5">_FV(A5,"Acciones en circulación",TRUE())/1000000</f>
        <v/>
      </c>
      <c r="I5" s="14">
        <f>G5*H5</f>
        <v/>
      </c>
      <c r="J5" s="91" t="n">
        <v>1</v>
      </c>
      <c r="K5" s="91" t="n">
        <v>8</v>
      </c>
      <c r="L5" s="91" t="n">
        <v>3</v>
      </c>
      <c r="M5" s="91" t="n">
        <v>1</v>
      </c>
      <c r="N5" s="91" t="n">
        <v>0</v>
      </c>
      <c r="O5" s="91" t="n">
        <v>0.8</v>
      </c>
      <c r="P5" s="91" t="n">
        <v>1</v>
      </c>
      <c r="Q5" s="91" t="n">
        <v>0</v>
      </c>
      <c r="R5" s="26">
        <f>SUM(J5:Q5)</f>
        <v/>
      </c>
      <c r="S5" s="16">
        <f>ROUND(R5/17*10,2)</f>
        <v/>
      </c>
      <c r="T5" s="91" t="n">
        <v>16</v>
      </c>
      <c r="U5" s="91" t="n">
        <v>19</v>
      </c>
      <c r="V5" s="91" t="n">
        <v>14</v>
      </c>
      <c r="W5" s="91" t="n">
        <v>10</v>
      </c>
      <c r="X5" s="91" t="n">
        <v>9</v>
      </c>
      <c r="Y5" s="91" t="n">
        <v>13</v>
      </c>
      <c r="Z5" s="91" t="n">
        <v>7</v>
      </c>
      <c r="AA5" s="91" t="n">
        <v>-12</v>
      </c>
      <c r="AB5" s="26">
        <f>SUM(T5:AA5)</f>
        <v/>
      </c>
      <c r="AC5" s="16">
        <f>ROUND(AB5/10,2)</f>
        <v/>
      </c>
      <c r="AD5" s="91" t="n">
        <v>14</v>
      </c>
      <c r="AE5" s="91" t="n">
        <v>0</v>
      </c>
      <c r="AF5" s="91" t="n">
        <v>5</v>
      </c>
      <c r="AG5" s="91" t="n">
        <v>14</v>
      </c>
      <c r="AH5" s="91" t="n">
        <v>5</v>
      </c>
      <c r="AI5" s="91" t="n">
        <v>9</v>
      </c>
      <c r="AJ5" s="91" t="n">
        <v>13</v>
      </c>
      <c r="AK5" s="91" t="n">
        <v>-6</v>
      </c>
      <c r="AL5" s="26">
        <f>SUM(AD5:AK5)</f>
        <v/>
      </c>
      <c r="AM5" s="16">
        <f>ROUND(AL5/70*10,2)</f>
        <v/>
      </c>
      <c r="AN5" s="17">
        <f>ROUND((S5+AC5+AM5)/3,2)</f>
        <v/>
      </c>
      <c r="AO5" s="18" t="inlineStr">
        <is>
          <t>USD</t>
        </is>
      </c>
      <c r="AP5" s="19" t="n">
        <v>78000</v>
      </c>
      <c r="AQ5" s="19" t="n">
        <v>45000</v>
      </c>
      <c r="AR5" s="19">
        <f>I5-AP5+AQ5</f>
        <v/>
      </c>
      <c r="AS5" s="19" t="n">
        <v>70000</v>
      </c>
      <c r="AT5" s="19" t="n">
        <v>90000</v>
      </c>
      <c r="AU5" s="19" t="n">
        <v>144000</v>
      </c>
      <c r="AV5" s="19" t="n">
        <v>270000</v>
      </c>
      <c r="AW5" s="20">
        <f>AR5/AS5</f>
        <v/>
      </c>
      <c r="AX5" s="20">
        <f>AR5/AU5</f>
        <v/>
      </c>
      <c r="AY5" s="20">
        <f>AR5/AV5</f>
        <v/>
      </c>
      <c r="AZ5" s="21" t="n">
        <v>280000</v>
      </c>
      <c r="BA5" s="22">
        <f>AT5/AV5</f>
        <v/>
      </c>
      <c r="BB5" s="22">
        <f>AV5/AZ5</f>
        <v/>
      </c>
      <c r="BC5" s="23">
        <f>BA5*BB5</f>
        <v/>
      </c>
      <c r="BD5" t="inlineStr">
        <is>
          <t>102,853</t>
        </is>
      </c>
      <c r="BE5" s="23">
        <f>(BD5/AS5)^(1/5)-1</f>
        <v/>
      </c>
      <c r="BF5" t="inlineStr">
        <is>
          <t>153,471</t>
        </is>
      </c>
      <c r="BG5" s="23">
        <f>(BF5/AS5)^(1/5)-1</f>
        <v/>
      </c>
      <c r="BH5" s="24" t="n">
        <v>20</v>
      </c>
      <c r="BI5" s="24" t="n">
        <v>30</v>
      </c>
      <c r="BJ5" s="25">
        <f>(BD5*BH5+$AP5-$AQ5)/$H5</f>
        <v/>
      </c>
      <c r="BK5" s="25">
        <f>(BF5*BI5+$AP5-$AQ5)/$H5</f>
        <v/>
      </c>
      <c r="BL5" s="23">
        <f>($BJ5/G5)^(1/5)-1</f>
        <v/>
      </c>
      <c r="BM5" s="23">
        <f>(BK5/G5)^(1/4)-1</f>
        <v/>
      </c>
      <c r="BN5" s="93" t="inlineStr">
        <is>
          <t>2026-04-30</t>
        </is>
      </c>
      <c r="BO5" s="93" t="inlineStr">
        <is>
          <t>Q3 FY2026: Rev $82.9B (+18%), Op.Inc $38.4B (+20%), Azure +40%, AI ann. $37B+. Capex guidance $190B en 2026 (+61%).</t>
        </is>
      </c>
      <c r="BP5" s="93" t="inlineStr">
        <is>
          <t>Q4 FY2026 (julio 2026)</t>
        </is>
      </c>
    </row>
    <row r="6" ht="15" customHeight="1" s="96">
      <c r="A6" s="86" t="e">
        <v>#VALUE!</v>
      </c>
      <c r="B6" s="10">
        <f t="array" ref="B6">_FV(A6,"Símbolo bursátil",TRUE())</f>
        <v/>
      </c>
      <c r="C6" s="88" t="inlineStr">
        <is>
          <t>Fintech</t>
        </is>
      </c>
      <c r="D6" s="88" t="inlineStr">
        <is>
          <t>Compounder</t>
        </is>
      </c>
      <c r="E6" s="11">
        <f t="array" ref="E6">_FV(A6,"Abreviatura de intercambio",TRUE())</f>
        <v/>
      </c>
      <c r="F6" s="11">
        <f t="array" ref="F6">_FV(A6,"Moneda")</f>
        <v/>
      </c>
      <c r="G6" s="12">
        <f t="array" ref="G6">_FV(A6,"Precio")</f>
        <v/>
      </c>
      <c r="H6" s="13">
        <f t="array" ref="H6">_FV(A6,"Acciones en circulación",TRUE())/1000000</f>
        <v/>
      </c>
      <c r="I6" s="14">
        <f>G6*H6</f>
        <v/>
      </c>
      <c r="J6" s="90" t="n">
        <v>1</v>
      </c>
      <c r="K6" s="90" t="n">
        <v>7</v>
      </c>
      <c r="L6" s="90" t="n">
        <v>2</v>
      </c>
      <c r="M6" s="90" t="n">
        <v>1</v>
      </c>
      <c r="N6" s="90" t="n">
        <v>-1</v>
      </c>
      <c r="O6" s="90" t="n">
        <v>0.74</v>
      </c>
      <c r="P6" s="90" t="n">
        <v>1</v>
      </c>
      <c r="Q6" s="90" t="n">
        <v>1</v>
      </c>
      <c r="R6" s="15">
        <f>SUM(J6:Q6)</f>
        <v/>
      </c>
      <c r="S6" s="16">
        <f>ROUND(R6/17*10,2)</f>
        <v/>
      </c>
      <c r="T6" s="90" t="n">
        <v>15.5</v>
      </c>
      <c r="U6" s="90" t="n">
        <v>18</v>
      </c>
      <c r="V6" s="90" t="n">
        <v>13</v>
      </c>
      <c r="W6" s="90" t="n">
        <v>8</v>
      </c>
      <c r="X6" s="90" t="n">
        <v>7.5</v>
      </c>
      <c r="Y6" s="90" t="n">
        <v>12</v>
      </c>
      <c r="Z6" s="90" t="n">
        <v>10</v>
      </c>
      <c r="AA6" s="90" t="n">
        <v>-10</v>
      </c>
      <c r="AB6" s="15">
        <f>SUM(T6:AA6)</f>
        <v/>
      </c>
      <c r="AC6" s="16">
        <f>ROUND(AB6/10,2)</f>
        <v/>
      </c>
      <c r="AD6" s="90" t="n">
        <v>13</v>
      </c>
      <c r="AE6" s="90" t="n">
        <v>-1</v>
      </c>
      <c r="AF6" s="90" t="n">
        <v>9</v>
      </c>
      <c r="AG6" s="90" t="n">
        <v>14</v>
      </c>
      <c r="AH6" s="90" t="n">
        <v>5</v>
      </c>
      <c r="AI6" s="90" t="n">
        <v>10</v>
      </c>
      <c r="AJ6" s="90" t="n">
        <v>14</v>
      </c>
      <c r="AK6" s="90" t="n">
        <v>-6</v>
      </c>
      <c r="AL6" s="15">
        <f>SUM(AD6:AK6)</f>
        <v/>
      </c>
      <c r="AM6" s="16">
        <f>ROUND(AL6/70*10,2)</f>
        <v/>
      </c>
      <c r="AN6" s="17">
        <f>ROUND((S6+AC6+AM6)/3,2)</f>
        <v/>
      </c>
      <c r="AO6" s="18" t="inlineStr">
        <is>
          <t>EUR</t>
        </is>
      </c>
      <c r="AP6" s="19" t="n">
        <v>9000</v>
      </c>
      <c r="AQ6" s="19" t="n">
        <v>500</v>
      </c>
      <c r="AR6" s="19">
        <f>I6-AP6+AQ6</f>
        <v/>
      </c>
      <c r="AS6" s="19" t="n">
        <v>790</v>
      </c>
      <c r="AT6" s="19" t="n">
        <v>600</v>
      </c>
      <c r="AU6" s="19" t="n">
        <v>1050</v>
      </c>
      <c r="AV6" s="19" t="n">
        <v>2050</v>
      </c>
      <c r="AW6" s="20">
        <f>AR6/AS6</f>
        <v/>
      </c>
      <c r="AX6" s="20">
        <f>AR6/AU6</f>
        <v/>
      </c>
      <c r="AY6" s="20">
        <f>AR6/AV6</f>
        <v/>
      </c>
      <c r="AZ6" s="21" t="n">
        <v>2500</v>
      </c>
      <c r="BA6" s="22">
        <f>AT6/AV6</f>
        <v/>
      </c>
      <c r="BB6" s="22">
        <f>AV6/AZ6</f>
        <v/>
      </c>
      <c r="BC6" s="23">
        <f>BA6*BB6</f>
        <v/>
      </c>
      <c r="BD6" t="inlineStr">
        <is>
          <t>1,392</t>
        </is>
      </c>
      <c r="BE6" s="23">
        <f>(BD6/AS6)^(1/5)-1</f>
        <v/>
      </c>
      <c r="BF6" t="inlineStr">
        <is>
          <t>2,714</t>
        </is>
      </c>
      <c r="BG6" s="23">
        <f>(BF6/AS6)^(1/5)-1</f>
        <v/>
      </c>
      <c r="BH6" s="24" t="n">
        <v>17.5</v>
      </c>
      <c r="BI6" s="24" t="n">
        <v>28</v>
      </c>
      <c r="BJ6" s="25">
        <f>(BD6*BH6+$AP6-$AQ6)/$H6</f>
        <v/>
      </c>
      <c r="BK6" s="25">
        <f>(BF6*BI6+$AP6-$AQ6)/$H6</f>
        <v/>
      </c>
      <c r="BL6" s="23">
        <f>($BJ6/G6)^(1/5)-1</f>
        <v/>
      </c>
      <c r="BM6" s="23">
        <f>(BK6/G6)^(1/4)-1</f>
        <v/>
      </c>
      <c r="BN6" s="93" t="inlineStr">
        <is>
          <t>2026-04-26</t>
        </is>
      </c>
      <c r="BO6" s="93" t="inlineStr">
        <is>
          <t>12/02/2026</t>
        </is>
      </c>
      <c r="BP6" s="93" t="inlineStr">
        <is>
          <t>12/08/2026</t>
        </is>
      </c>
    </row>
    <row r="7" ht="15" customHeight="1" s="96">
      <c r="A7" s="86" t="e">
        <v>#VALUE!</v>
      </c>
      <c r="B7" s="10">
        <f t="array" ref="B7">_FV(A7,"Símbolo bursátil",TRUE())</f>
        <v/>
      </c>
      <c r="C7" s="88" t="inlineStr">
        <is>
          <t>Real Assets</t>
        </is>
      </c>
      <c r="D7" s="88" t="inlineStr">
        <is>
          <t>Compounder</t>
        </is>
      </c>
      <c r="E7" s="11">
        <f t="array" ref="E7">_FV(A7,"Abreviatura de intercambio",TRUE())</f>
        <v/>
      </c>
      <c r="F7" s="11">
        <f t="array" ref="F7">_FV(A7,"Moneda")</f>
        <v/>
      </c>
      <c r="G7" s="12">
        <f t="array" ref="G7">_FV(A7,"Precio")</f>
        <v/>
      </c>
      <c r="H7" s="13">
        <f t="array" ref="H7">_FV(A7,"Acciones en circulación",TRUE())/1000000</f>
        <v/>
      </c>
      <c r="I7" s="14">
        <f>G7*H7</f>
        <v/>
      </c>
      <c r="J7" s="91" t="n">
        <v>1</v>
      </c>
      <c r="K7" s="91" t="n">
        <v>7</v>
      </c>
      <c r="L7" s="91" t="n">
        <v>3</v>
      </c>
      <c r="M7" s="91" t="n">
        <v>0.75</v>
      </c>
      <c r="N7" s="91" t="n">
        <v>0</v>
      </c>
      <c r="O7" s="91" t="n">
        <v>0.66</v>
      </c>
      <c r="P7" s="91" t="n">
        <v>1</v>
      </c>
      <c r="Q7" s="91" t="n">
        <v>1</v>
      </c>
      <c r="R7" s="26">
        <f>SUM(J7:Q7)</f>
        <v/>
      </c>
      <c r="S7" s="16">
        <f>ROUND(R7/17*10,2)</f>
        <v/>
      </c>
      <c r="T7" s="91" t="n">
        <v>13</v>
      </c>
      <c r="U7" s="91" t="n">
        <v>17</v>
      </c>
      <c r="V7" s="91" t="n">
        <v>15</v>
      </c>
      <c r="W7" s="91" t="n">
        <v>10</v>
      </c>
      <c r="X7" s="91" t="n">
        <v>9</v>
      </c>
      <c r="Y7" s="91" t="n">
        <v>13</v>
      </c>
      <c r="Z7" s="91" t="n">
        <v>10</v>
      </c>
      <c r="AA7" s="91" t="n">
        <v>-8</v>
      </c>
      <c r="AB7" s="26">
        <f>SUM(T7:AA7)</f>
        <v/>
      </c>
      <c r="AC7" s="16">
        <f>ROUND(AB7/10,2)</f>
        <v/>
      </c>
      <c r="AD7" s="91" t="n">
        <v>14</v>
      </c>
      <c r="AE7" s="91" t="n">
        <v>-1</v>
      </c>
      <c r="AF7" s="91" t="n">
        <v>5</v>
      </c>
      <c r="AG7" s="91" t="n">
        <v>15</v>
      </c>
      <c r="AH7" s="91" t="n">
        <v>1</v>
      </c>
      <c r="AI7" s="91" t="n">
        <v>10</v>
      </c>
      <c r="AJ7" s="91" t="n">
        <v>14</v>
      </c>
      <c r="AK7" s="91" t="n">
        <v>-5</v>
      </c>
      <c r="AL7" s="26">
        <f>SUM(AD7:AK7)</f>
        <v/>
      </c>
      <c r="AM7" s="16">
        <f>ROUND(AL7/70*10,2)</f>
        <v/>
      </c>
      <c r="AN7" s="17">
        <f>ROUND((S7+AC7+AM7)/3,2)</f>
        <v/>
      </c>
      <c r="AO7" s="18" t="inlineStr">
        <is>
          <t>USD</t>
        </is>
      </c>
      <c r="AP7" s="19" t="n">
        <v>10000</v>
      </c>
      <c r="AQ7" s="19" t="n">
        <v>17000</v>
      </c>
      <c r="AR7" s="19">
        <f>I7-AP7+AQ7</f>
        <v/>
      </c>
      <c r="AS7" s="19" t="n">
        <v>5600</v>
      </c>
      <c r="AT7" s="19" t="n">
        <v>5500</v>
      </c>
      <c r="AU7" s="19" t="n">
        <v>15000</v>
      </c>
      <c r="AV7" s="19" t="n">
        <v>98000</v>
      </c>
      <c r="AW7" s="20">
        <f>AR7/AS7</f>
        <v/>
      </c>
      <c r="AX7" s="20">
        <f>AR7/AU7</f>
        <v/>
      </c>
      <c r="AY7" s="20">
        <f>AR7/AV7</f>
        <v/>
      </c>
      <c r="AZ7" s="21" t="n">
        <v>90000</v>
      </c>
      <c r="BA7" s="22">
        <f>AT7/AV7</f>
        <v/>
      </c>
      <c r="BB7" s="22">
        <f>AV7/AZ7</f>
        <v/>
      </c>
      <c r="BC7" s="23">
        <f>BA7*BB7</f>
        <v/>
      </c>
      <c r="BD7" t="inlineStr">
        <is>
          <t>7,013</t>
        </is>
      </c>
      <c r="BE7" s="23">
        <f>(BD7/AS7)^(1/5)-1</f>
        <v/>
      </c>
      <c r="BF7" t="inlineStr">
        <is>
          <t>10,962</t>
        </is>
      </c>
      <c r="BG7" s="23">
        <f>(BF7/AS7)^(1/5)-1</f>
        <v/>
      </c>
      <c r="BH7" s="24" t="n">
        <v>18</v>
      </c>
      <c r="BI7" s="24" t="n">
        <v>25</v>
      </c>
      <c r="BJ7" s="25">
        <f>(BD7*BH7+$AP7-$AQ7)/$H7</f>
        <v/>
      </c>
      <c r="BK7" s="25">
        <f>(BF7*BI7+$AP7-$AQ7)/$H7</f>
        <v/>
      </c>
      <c r="BL7" s="23">
        <f>($BJ7/G7)^(1/5)-1</f>
        <v/>
      </c>
      <c r="BM7" s="23">
        <f>(BK7/G7)^(1/4)-1</f>
        <v/>
      </c>
      <c r="BN7" s="93" t="inlineStr">
        <is>
          <t>2026-05-15</t>
        </is>
      </c>
      <c r="BO7" s="94" t="inlineStr">
        <is>
          <t>Q1 2026: DE $1.4B (+3%), fee-bearing capital $614B (+12%), buybacks &gt;$1B YTD. Beat estimados ($0.66 vs $0.646 consenso)</t>
        </is>
      </c>
      <c r="BP7" s="93" t="inlineStr">
        <is>
          <t>Q2 2026 (agosto 2026)</t>
        </is>
      </c>
    </row>
    <row r="8" ht="15" customHeight="1" s="96">
      <c r="A8" s="86" t="e">
        <v>#VALUE!</v>
      </c>
      <c r="B8" s="10">
        <f t="array" ref="B8">_FV(A8,"Símbolo bursátil",TRUE())</f>
        <v/>
      </c>
      <c r="C8" s="88" t="inlineStr">
        <is>
          <t>Defensive</t>
        </is>
      </c>
      <c r="D8" s="88" t="inlineStr">
        <is>
          <t>Defensive</t>
        </is>
      </c>
      <c r="E8" s="11">
        <f t="array" ref="E8">_FV(A8,"Abreviatura de intercambio",TRUE())</f>
        <v/>
      </c>
      <c r="F8" s="11">
        <f t="array" ref="F8">_FV(A8,"Moneda")</f>
        <v/>
      </c>
      <c r="G8" s="12">
        <f t="array" ref="G8">_FV(A8,"Precio")</f>
        <v/>
      </c>
      <c r="H8" s="13">
        <f t="array" ref="H8">_FV(A8,"Acciones en circulación",TRUE())/1000000</f>
        <v/>
      </c>
      <c r="I8" s="14">
        <f>G8*H8</f>
        <v/>
      </c>
      <c r="J8" s="90" t="n">
        <v>1.5</v>
      </c>
      <c r="K8" s="90" t="n">
        <v>8</v>
      </c>
      <c r="L8" s="90" t="n">
        <v>1</v>
      </c>
      <c r="M8" s="90" t="n">
        <v>1</v>
      </c>
      <c r="N8" s="90" t="n">
        <v>0</v>
      </c>
      <c r="O8" s="90" t="n">
        <v>0.78</v>
      </c>
      <c r="P8" s="90" t="n">
        <v>1</v>
      </c>
      <c r="Q8" s="90" t="n">
        <v>0</v>
      </c>
      <c r="R8" s="15">
        <f>SUM(J8:Q8)</f>
        <v/>
      </c>
      <c r="S8" s="16">
        <f>ROUND(R8/17*10,2)</f>
        <v/>
      </c>
      <c r="T8" s="90" t="n">
        <v>15</v>
      </c>
      <c r="U8" s="90" t="n">
        <v>19</v>
      </c>
      <c r="V8" s="90" t="n">
        <v>11</v>
      </c>
      <c r="W8" s="90" t="n">
        <v>10</v>
      </c>
      <c r="X8" s="90" t="n">
        <v>10</v>
      </c>
      <c r="Y8" s="90" t="n">
        <v>13</v>
      </c>
      <c r="Z8" s="90" t="n">
        <v>7</v>
      </c>
      <c r="AA8" s="90" t="n">
        <v>-7</v>
      </c>
      <c r="AB8" s="15">
        <f>SUM(T8:AA8)</f>
        <v/>
      </c>
      <c r="AC8" s="16">
        <f>ROUND(AB8/10,2)</f>
        <v/>
      </c>
      <c r="AD8" s="90" t="n">
        <v>15</v>
      </c>
      <c r="AE8" s="90" t="n">
        <v>0</v>
      </c>
      <c r="AF8" s="90" t="n">
        <v>6</v>
      </c>
      <c r="AG8" s="90" t="n">
        <v>13</v>
      </c>
      <c r="AH8" s="90" t="n">
        <v>5</v>
      </c>
      <c r="AI8" s="90" t="n">
        <v>9</v>
      </c>
      <c r="AJ8" s="90" t="n">
        <v>14</v>
      </c>
      <c r="AK8" s="90" t="n">
        <v>-3</v>
      </c>
      <c r="AL8" s="15">
        <f>SUM(AD8:AK8)</f>
        <v/>
      </c>
      <c r="AM8" s="16">
        <f>ROUND(AL8/70*10,2)</f>
        <v/>
      </c>
      <c r="AN8" s="17">
        <f>ROUND((S8+AC8+AM8)/3,2)</f>
        <v/>
      </c>
      <c r="AO8" s="18" t="inlineStr">
        <is>
          <t>USD</t>
        </is>
      </c>
      <c r="AP8" s="19" t="n">
        <v>12500</v>
      </c>
      <c r="AQ8" s="19" t="n">
        <v>7500</v>
      </c>
      <c r="AR8" s="19">
        <f>I8-AP8+AQ8</f>
        <v/>
      </c>
      <c r="AS8" s="19" t="n">
        <v>8500</v>
      </c>
      <c r="AT8" s="19" t="n">
        <v>7500</v>
      </c>
      <c r="AU8" s="19" t="n">
        <v>11800</v>
      </c>
      <c r="AV8" s="19" t="n">
        <v>262000</v>
      </c>
      <c r="AW8" s="20">
        <f>AR8/AS8</f>
        <v/>
      </c>
      <c r="AX8" s="20">
        <f>AR8/AU8</f>
        <v/>
      </c>
      <c r="AY8" s="20">
        <f>AR8/AV8</f>
        <v/>
      </c>
      <c r="AZ8" s="21" t="n">
        <v>40000</v>
      </c>
      <c r="BA8" s="22">
        <f>AT8/AV8</f>
        <v/>
      </c>
      <c r="BB8" s="22">
        <f>AV8/AZ8</f>
        <v/>
      </c>
      <c r="BC8" s="23">
        <f>BA8*BB8</f>
        <v/>
      </c>
      <c r="BD8" t="inlineStr">
        <is>
          <t>11,375</t>
        </is>
      </c>
      <c r="BE8" s="23">
        <f>(BD8/AS8)^(1/5)-1</f>
        <v/>
      </c>
      <c r="BF8" t="inlineStr">
        <is>
          <t>14,980</t>
        </is>
      </c>
      <c r="BG8" s="23">
        <f>(BF8/AS8)^(1/5)-1</f>
        <v/>
      </c>
      <c r="BH8" s="24" t="n">
        <v>20</v>
      </c>
      <c r="BI8" s="24" t="n">
        <v>30</v>
      </c>
      <c r="BJ8" s="25">
        <f>(BD8*BH8+$AP8-$AQ8)/$H8</f>
        <v/>
      </c>
      <c r="BK8" s="25">
        <f>(BF8*BI8+$AP8-$AQ8)/$H8</f>
        <v/>
      </c>
      <c r="BL8" s="23">
        <f>($BJ8/G8)^(1/5)-1</f>
        <v/>
      </c>
      <c r="BM8" s="23">
        <f>(BK8/G8)^(1/4)-1</f>
        <v/>
      </c>
      <c r="BN8" s="93" t="inlineStr">
        <is>
          <t>2026-04-26</t>
        </is>
      </c>
      <c r="BO8" s="93" t="inlineStr">
        <is>
          <t>05/03/2026</t>
        </is>
      </c>
      <c r="BP8" s="93" t="inlineStr">
        <is>
          <t>28/05/2026</t>
        </is>
      </c>
    </row>
    <row r="9" ht="15" customHeight="1" s="96">
      <c r="A9" s="86" t="e">
        <v>#VALUE!</v>
      </c>
      <c r="B9" s="10">
        <f t="array" ref="B9">_FV(A9,"Símbolo bursátil",TRUE())</f>
        <v/>
      </c>
      <c r="C9" s="88" t="inlineStr">
        <is>
          <t>Vertical Saas</t>
        </is>
      </c>
      <c r="D9" s="88" t="inlineStr">
        <is>
          <t>Compounder</t>
        </is>
      </c>
      <c r="E9" s="11">
        <f t="array" ref="E9">_FV(A9,"Abreviatura de intercambio",TRUE())</f>
        <v/>
      </c>
      <c r="F9" s="11">
        <f t="array" ref="F9">_FV(A9,"Moneda")</f>
        <v/>
      </c>
      <c r="G9" s="12">
        <f t="array" ref="G9">_FV(A9,"Precio")</f>
        <v/>
      </c>
      <c r="H9" s="13">
        <f t="array" ref="H9">_FV(A9,"Acciones en circulación",TRUE())/1000000</f>
        <v/>
      </c>
      <c r="I9" s="14">
        <f>G9*H9</f>
        <v/>
      </c>
      <c r="J9" s="91" t="n">
        <v>1</v>
      </c>
      <c r="K9" s="91" t="n">
        <v>7</v>
      </c>
      <c r="L9" s="91" t="n">
        <v>2</v>
      </c>
      <c r="M9" s="91" t="n">
        <v>1</v>
      </c>
      <c r="N9" s="91" t="n">
        <v>0</v>
      </c>
      <c r="O9" s="91" t="n">
        <v>0.8</v>
      </c>
      <c r="P9" s="91" t="n">
        <v>0.5</v>
      </c>
      <c r="Q9" s="91" t="n">
        <v>0</v>
      </c>
      <c r="R9" s="26">
        <f>SUM(J9:Q9)</f>
        <v/>
      </c>
      <c r="S9" s="16">
        <f>ROUND(R9/17*10,2)</f>
        <v/>
      </c>
      <c r="T9" s="91" t="n">
        <v>16</v>
      </c>
      <c r="U9" s="91" t="n">
        <v>17</v>
      </c>
      <c r="V9" s="91" t="n">
        <v>11</v>
      </c>
      <c r="W9" s="91" t="n">
        <v>10</v>
      </c>
      <c r="X9" s="91" t="n">
        <v>9</v>
      </c>
      <c r="Y9" s="91" t="n">
        <v>13</v>
      </c>
      <c r="Z9" s="91" t="n">
        <v>6</v>
      </c>
      <c r="AA9" s="91" t="n">
        <v>-7</v>
      </c>
      <c r="AB9" s="26">
        <f>SUM(T9:AA9)</f>
        <v/>
      </c>
      <c r="AC9" s="16">
        <f>ROUND(AB9/10,2)</f>
        <v/>
      </c>
      <c r="AD9" s="91" t="n">
        <v>14</v>
      </c>
      <c r="AE9" s="91" t="n">
        <v>0</v>
      </c>
      <c r="AF9" s="91" t="n">
        <v>10</v>
      </c>
      <c r="AG9" s="91" t="n">
        <v>13</v>
      </c>
      <c r="AH9" s="91" t="n">
        <v>5</v>
      </c>
      <c r="AI9" s="91" t="n">
        <v>8</v>
      </c>
      <c r="AJ9" s="91" t="n">
        <v>14</v>
      </c>
      <c r="AK9" s="91" t="n">
        <v>-3</v>
      </c>
      <c r="AL9" s="26">
        <f>SUM(AD9:AK9)</f>
        <v/>
      </c>
      <c r="AM9" s="16">
        <f>ROUND(AL9/70*10,2)</f>
        <v/>
      </c>
      <c r="AN9" s="17">
        <f>ROUND((S9+AC9+AM9)/3,2)</f>
        <v/>
      </c>
      <c r="AO9" s="18" t="inlineStr">
        <is>
          <t>USD</t>
        </is>
      </c>
      <c r="AP9" s="19" t="n">
        <v>356</v>
      </c>
      <c r="AQ9" s="19" t="n">
        <v>0</v>
      </c>
      <c r="AR9" s="19">
        <f>I9-AP9+AQ9</f>
        <v/>
      </c>
      <c r="AS9" s="19" t="n">
        <v>240</v>
      </c>
      <c r="AT9" s="19" t="n">
        <v>160</v>
      </c>
      <c r="AU9" s="19" t="n">
        <v>329</v>
      </c>
      <c r="AV9" s="19" t="n">
        <v>729</v>
      </c>
      <c r="AW9" s="20">
        <f>AR9/AS9</f>
        <v/>
      </c>
      <c r="AX9" s="20">
        <f>AR9/AU9</f>
        <v/>
      </c>
      <c r="AY9" s="20">
        <f>AR9/AV9</f>
        <v/>
      </c>
      <c r="AZ9" s="21" t="n">
        <v>950</v>
      </c>
      <c r="BA9" s="22">
        <f>AT9/AV9</f>
        <v/>
      </c>
      <c r="BB9" s="22">
        <f>AV9/AZ9</f>
        <v/>
      </c>
      <c r="BC9" s="23">
        <f>BA9*BB9</f>
        <v/>
      </c>
      <c r="BD9" t="inlineStr">
        <is>
          <t>353</t>
        </is>
      </c>
      <c r="BE9" s="23">
        <f>(BD9/AS9)^(1/5)-1</f>
        <v/>
      </c>
      <c r="BF9" t="inlineStr">
        <is>
          <t>504</t>
        </is>
      </c>
      <c r="BG9" s="23">
        <f>(BF9/AS9)^(1/5)-1</f>
        <v/>
      </c>
      <c r="BH9" s="24" t="n">
        <v>17.5</v>
      </c>
      <c r="BI9" s="24" t="n">
        <v>27</v>
      </c>
      <c r="BJ9" s="25">
        <f>(BD9*BH9+$AP9-$AQ9)/$H9</f>
        <v/>
      </c>
      <c r="BK9" s="25">
        <f>(BF9*BI9+$AP9-$AQ9)/$H9</f>
        <v/>
      </c>
      <c r="BL9" s="23">
        <f>($BJ9/G9)^(1/5)-1</f>
        <v/>
      </c>
      <c r="BM9" s="23">
        <f>(BK9/G9)^(1/4)-1</f>
        <v/>
      </c>
      <c r="BN9" s="93" t="inlineStr">
        <is>
          <t>2026-04-26</t>
        </is>
      </c>
      <c r="BO9" s="93" t="inlineStr">
        <is>
          <t>11/03/2026</t>
        </is>
      </c>
      <c r="BP9" s="93" t="inlineStr">
        <is>
          <t>03/06/2026</t>
        </is>
      </c>
    </row>
    <row r="10" ht="15" customHeight="1" s="96">
      <c r="A10" s="86" t="e">
        <v>#VALUE!</v>
      </c>
      <c r="B10" s="10">
        <f t="array" ref="B10">_FV(A10,"Símbolo bursátil",TRUE())</f>
        <v/>
      </c>
      <c r="C10" s="88" t="inlineStr">
        <is>
          <t>Hardware</t>
        </is>
      </c>
      <c r="D10" s="88" t="inlineStr">
        <is>
          <t>Compounder</t>
        </is>
      </c>
      <c r="E10" s="11">
        <f t="array" ref="E10">_FV(A10,"Abreviatura de intercambio",TRUE())</f>
        <v/>
      </c>
      <c r="F10" s="11">
        <f t="array" ref="F10">_FV(A10,"Moneda")</f>
        <v/>
      </c>
      <c r="G10" s="12">
        <f t="array" ref="G10">_FV(A10,"Precio")</f>
        <v/>
      </c>
      <c r="H10" s="13">
        <f t="array" ref="H10">_FV(A10,"Acciones en circulación",TRUE())/1000000</f>
        <v/>
      </c>
      <c r="I10" s="14">
        <f>G10*H10</f>
        <v/>
      </c>
      <c r="J10" s="90" t="n">
        <v>1</v>
      </c>
      <c r="K10" s="90" t="n">
        <v>7</v>
      </c>
      <c r="L10" s="90" t="n">
        <v>2</v>
      </c>
      <c r="M10" s="90" t="n">
        <v>1</v>
      </c>
      <c r="N10" s="90" t="n">
        <v>0</v>
      </c>
      <c r="O10" s="90" t="n">
        <v>0.82</v>
      </c>
      <c r="P10" s="90" t="n">
        <v>1</v>
      </c>
      <c r="Q10" s="90" t="n">
        <v>1</v>
      </c>
      <c r="R10" s="15">
        <f>SUM(J10:Q10)</f>
        <v/>
      </c>
      <c r="S10" s="16">
        <f>ROUND(R10/17*10,2)</f>
        <v/>
      </c>
      <c r="T10" s="90" t="n">
        <v>15</v>
      </c>
      <c r="U10" s="90" t="n">
        <v>17</v>
      </c>
      <c r="V10" s="90" t="n">
        <v>10</v>
      </c>
      <c r="W10" s="90" t="n">
        <v>9</v>
      </c>
      <c r="X10" s="90" t="n">
        <v>8</v>
      </c>
      <c r="Y10" s="90" t="n">
        <v>13</v>
      </c>
      <c r="Z10" s="90" t="n">
        <v>10</v>
      </c>
      <c r="AA10" s="90" t="n">
        <v>-7</v>
      </c>
      <c r="AB10" s="15">
        <f>SUM(T10:AA10)</f>
        <v/>
      </c>
      <c r="AC10" s="16">
        <f>ROUND(AB10/10,2)</f>
        <v/>
      </c>
      <c r="AD10" s="90" t="n">
        <v>14</v>
      </c>
      <c r="AE10" s="90" t="n">
        <v>-1</v>
      </c>
      <c r="AF10" s="90" t="n">
        <v>8</v>
      </c>
      <c r="AG10" s="90" t="n">
        <v>13</v>
      </c>
      <c r="AH10" s="90" t="n">
        <v>5</v>
      </c>
      <c r="AI10" s="90" t="n">
        <v>9</v>
      </c>
      <c r="AJ10" s="90" t="n">
        <v>13</v>
      </c>
      <c r="AK10" s="90" t="n">
        <v>-3</v>
      </c>
      <c r="AL10" s="15">
        <f>SUM(AD10:AK10)</f>
        <v/>
      </c>
      <c r="AM10" s="16">
        <f>ROUND(AL10/70*10,2)</f>
        <v/>
      </c>
      <c r="AN10" s="17">
        <f>ROUND((S10+AC10+AM10)/3,2)</f>
        <v/>
      </c>
      <c r="AO10" s="18" t="inlineStr">
        <is>
          <t>EUR</t>
        </is>
      </c>
      <c r="AP10" s="19" t="n">
        <v>280</v>
      </c>
      <c r="AQ10" s="19" t="n">
        <v>20</v>
      </c>
      <c r="AR10" s="19">
        <f>I10-AP10+AQ10</f>
        <v/>
      </c>
      <c r="AS10" s="19" t="n">
        <v>1030</v>
      </c>
      <c r="AT10" s="19" t="n">
        <v>960</v>
      </c>
      <c r="AU10" s="19" t="n">
        <v>1370</v>
      </c>
      <c r="AV10" s="19" t="n">
        <v>4700</v>
      </c>
      <c r="AW10" s="20">
        <f>AR10/AS10</f>
        <v/>
      </c>
      <c r="AX10" s="20">
        <f>AR10/AU10</f>
        <v/>
      </c>
      <c r="AY10" s="20">
        <f>AR10/AV10</f>
        <v/>
      </c>
      <c r="AZ10" s="21" t="n">
        <v>600</v>
      </c>
      <c r="BA10" s="22">
        <f>AT10/AV10</f>
        <v/>
      </c>
      <c r="BB10" s="22">
        <f>AV10/AZ10</f>
        <v/>
      </c>
      <c r="BC10" s="23">
        <f>BA10*BB10</f>
        <v/>
      </c>
      <c r="BD10" t="inlineStr">
        <is>
          <t>332</t>
        </is>
      </c>
      <c r="BE10" s="23">
        <f>(BD10/AS10)^(1/5)-1</f>
        <v/>
      </c>
      <c r="BF10" t="inlineStr">
        <is>
          <t>479</t>
        </is>
      </c>
      <c r="BG10" s="23">
        <f>(BF10/AS10)^(1/5)-1</f>
        <v/>
      </c>
      <c r="BH10" s="24" t="n">
        <v>15</v>
      </c>
      <c r="BI10" s="24" t="n">
        <v>27</v>
      </c>
      <c r="BJ10" s="25">
        <f>(BD10*BH10+$AP10-$AQ10)/$H10</f>
        <v/>
      </c>
      <c r="BK10" s="25">
        <f>(BF10*BI10+$AP10-$AQ10)/$H10</f>
        <v/>
      </c>
      <c r="BL10" s="23">
        <f>($BJ10/G10)^(1/5)-1</f>
        <v/>
      </c>
      <c r="BM10" s="23">
        <f>(BK10/G10)^(1/4)-1</f>
        <v/>
      </c>
      <c r="BN10" s="93" t="inlineStr">
        <is>
          <t>2026-05-07</t>
        </is>
      </c>
      <c r="BO10" s="93" t="inlineStr">
        <is>
          <t>Q1 2026: Rev $1,230M (+11.4%), Adj EBITDA $362.7M (29.4% margen, beat +5.1%), EPS $1.01 vs est $0.95 (+6.3%). Guidance EBITDA 2026: $1,520M midpoint (vs est $1,470M).</t>
        </is>
      </c>
      <c r="BP10" s="93" t="inlineStr">
        <is>
          <t>Q2 2026 (agosto 2026)</t>
        </is>
      </c>
    </row>
    <row r="11" ht="15" customHeight="1" s="96">
      <c r="A11" s="86" t="e">
        <v>#VALUE!</v>
      </c>
      <c r="B11" s="10">
        <f t="array" ref="B11">_FV(A11,"Símbolo bursátil",TRUE())</f>
        <v/>
      </c>
      <c r="C11" s="88" t="inlineStr">
        <is>
          <t>Cyber</t>
        </is>
      </c>
      <c r="D11" s="88" t="inlineStr">
        <is>
          <t>Growth</t>
        </is>
      </c>
      <c r="E11" s="11">
        <f t="array" ref="E11">_FV(A11,"Abreviatura de intercambio",TRUE())</f>
        <v/>
      </c>
      <c r="F11" s="11">
        <f t="array" ref="F11">_FV(A11,"Moneda")</f>
        <v/>
      </c>
      <c r="G11" s="12">
        <f t="array" ref="G11">_FV(A11,"Precio")</f>
        <v/>
      </c>
      <c r="H11" s="13">
        <f t="array" ref="H11">_FV(A11,"Acciones en circulación",TRUE())/1000000</f>
        <v/>
      </c>
      <c r="I11" s="14">
        <f>G11*H11</f>
        <v/>
      </c>
      <c r="J11" s="91" t="n">
        <v>2</v>
      </c>
      <c r="K11" s="91" t="n">
        <v>6</v>
      </c>
      <c r="L11" s="91" t="n">
        <v>2</v>
      </c>
      <c r="M11" s="91" t="n">
        <v>1</v>
      </c>
      <c r="N11" s="91" t="n">
        <v>0</v>
      </c>
      <c r="O11" s="91" t="n">
        <v>0.72</v>
      </c>
      <c r="P11" s="91" t="n">
        <v>1</v>
      </c>
      <c r="Q11" s="91" t="n">
        <v>1</v>
      </c>
      <c r="R11" s="26">
        <f>SUM(J11:Q11)</f>
        <v/>
      </c>
      <c r="S11" s="16">
        <f>ROUND(R11/17*10,2)</f>
        <v/>
      </c>
      <c r="T11" s="91" t="n">
        <v>13</v>
      </c>
      <c r="U11" s="91" t="n">
        <v>15</v>
      </c>
      <c r="V11" s="91" t="n">
        <v>14</v>
      </c>
      <c r="W11" s="91" t="n">
        <v>8</v>
      </c>
      <c r="X11" s="91" t="n">
        <v>9</v>
      </c>
      <c r="Y11" s="91" t="n">
        <v>12</v>
      </c>
      <c r="Z11" s="91" t="n">
        <v>10</v>
      </c>
      <c r="AA11" s="91" t="n">
        <v>-11</v>
      </c>
      <c r="AB11" s="26">
        <f>SUM(T11:AA11)</f>
        <v/>
      </c>
      <c r="AC11" s="16">
        <f>ROUND(AB11/10,2)</f>
        <v/>
      </c>
      <c r="AD11" s="91" t="n">
        <v>13</v>
      </c>
      <c r="AE11" s="91" t="n">
        <v>-2</v>
      </c>
      <c r="AF11" s="91" t="n">
        <v>9</v>
      </c>
      <c r="AG11" s="91" t="n">
        <v>11</v>
      </c>
      <c r="AH11" s="91" t="n">
        <v>4</v>
      </c>
      <c r="AI11" s="91" t="n">
        <v>9</v>
      </c>
      <c r="AJ11" s="91" t="n">
        <v>12</v>
      </c>
      <c r="AK11" s="91" t="n">
        <v>-5</v>
      </c>
      <c r="AL11" s="26">
        <f>SUM(AD11:AK11)</f>
        <v/>
      </c>
      <c r="AM11" s="16">
        <f>ROUND(AL11/70*10,2)</f>
        <v/>
      </c>
      <c r="AN11" s="17">
        <f>ROUND((S11+AC11+AM11)/3,2)</f>
        <v/>
      </c>
      <c r="AO11" s="18" t="inlineStr">
        <is>
          <t>USD</t>
        </is>
      </c>
      <c r="AP11" s="19" t="n">
        <v>2400</v>
      </c>
      <c r="AQ11" s="19" t="n">
        <v>0</v>
      </c>
      <c r="AR11" s="19">
        <f>I11-AP11+AQ11</f>
        <v/>
      </c>
      <c r="AS11" s="19" t="n">
        <v>730</v>
      </c>
      <c r="AT11" s="19" t="n">
        <v>300</v>
      </c>
      <c r="AU11" s="19" t="n">
        <v>550</v>
      </c>
      <c r="AV11" s="19" t="n">
        <v>2700</v>
      </c>
      <c r="AW11" s="20">
        <f>AR11/AS11</f>
        <v/>
      </c>
      <c r="AX11" s="20">
        <f>AR11/AU11</f>
        <v/>
      </c>
      <c r="AY11" s="20">
        <f>AR11/AV11</f>
        <v/>
      </c>
      <c r="AZ11" s="21" t="n">
        <v>2000</v>
      </c>
      <c r="BA11" s="22">
        <f>AT11/AV11</f>
        <v/>
      </c>
      <c r="BB11" s="22">
        <f>AV11/AZ11</f>
        <v/>
      </c>
      <c r="BC11" s="23">
        <f>BA11*BB11</f>
        <v/>
      </c>
      <c r="BD11" t="inlineStr">
        <is>
          <t>1,176</t>
        </is>
      </c>
      <c r="BE11" s="23">
        <f>(BD11/AS11)^(1/5)-1</f>
        <v/>
      </c>
      <c r="BF11" t="inlineStr">
        <is>
          <t>2,140</t>
        </is>
      </c>
      <c r="BG11" s="23">
        <f>(BF11/AS11)^(1/5)-1</f>
        <v/>
      </c>
      <c r="BH11" s="24" t="n">
        <v>20</v>
      </c>
      <c r="BI11" s="24" t="n">
        <v>30</v>
      </c>
      <c r="BJ11" s="25">
        <f>(BD11*BH11+$AP11-$AQ11)/$H11</f>
        <v/>
      </c>
      <c r="BK11" s="25">
        <f>(BF11*BI11+$AP11-$AQ11)/$H11</f>
        <v/>
      </c>
      <c r="BL11" s="23">
        <f>($BJ11/G11)^(1/5)-1</f>
        <v/>
      </c>
      <c r="BM11" s="23">
        <f>(BK11/G11)^(1/4)-1</f>
        <v/>
      </c>
      <c r="BN11" s="93" t="inlineStr">
        <is>
          <t>2026-04-26</t>
        </is>
      </c>
      <c r="BO11" s="93" t="inlineStr">
        <is>
          <t>26/02/2026</t>
        </is>
      </c>
      <c r="BP11" s="93" t="inlineStr">
        <is>
          <t>28/05/2026</t>
        </is>
      </c>
    </row>
    <row r="12" ht="15" customHeight="1" s="96">
      <c r="A12" s="86" t="e">
        <v>#VALUE!</v>
      </c>
      <c r="B12" s="10">
        <f t="array" ref="B12">_FV(A12,"Símbolo bursátil",TRUE())</f>
        <v/>
      </c>
      <c r="C12" s="88" t="inlineStr">
        <is>
          <t>IP owner</t>
        </is>
      </c>
      <c r="D12" s="88" t="inlineStr">
        <is>
          <t>Compounder</t>
        </is>
      </c>
      <c r="E12" s="11">
        <f t="array" ref="E12">_FV(A12,"Abreviatura de intercambio",TRUE())</f>
        <v/>
      </c>
      <c r="F12" s="11">
        <f t="array" ref="F12">_FV(A12,"Moneda")</f>
        <v/>
      </c>
      <c r="G12" s="12">
        <f t="array" ref="G12">_FV(A12,"Precio")</f>
        <v/>
      </c>
      <c r="H12" s="13">
        <f t="array" ref="H12">_FV(A12,"Acciones en circulación",TRUE())/1000000</f>
        <v/>
      </c>
      <c r="I12" s="14">
        <f>G12*H12</f>
        <v/>
      </c>
      <c r="J12" s="90" t="n">
        <v>1</v>
      </c>
      <c r="K12" s="90" t="n">
        <v>7</v>
      </c>
      <c r="L12" s="90" t="n">
        <v>3</v>
      </c>
      <c r="M12" s="90" t="n">
        <v>1</v>
      </c>
      <c r="N12" s="90" t="n">
        <v>0</v>
      </c>
      <c r="O12" s="90" t="n">
        <v>0.82</v>
      </c>
      <c r="P12" s="90" t="n">
        <v>1</v>
      </c>
      <c r="Q12" s="90" t="n">
        <v>0</v>
      </c>
      <c r="R12" s="15">
        <f>SUM(J12:Q12)</f>
        <v/>
      </c>
      <c r="S12" s="16">
        <f>ROUND(R12/17*10,2)</f>
        <v/>
      </c>
      <c r="T12" s="90" t="n">
        <v>16</v>
      </c>
      <c r="U12" s="90" t="n">
        <v>17</v>
      </c>
      <c r="V12" s="90" t="n">
        <v>15</v>
      </c>
      <c r="W12" s="90" t="n">
        <v>10</v>
      </c>
      <c r="X12" s="90" t="n">
        <v>8</v>
      </c>
      <c r="Y12" s="90" t="n">
        <v>12</v>
      </c>
      <c r="Z12" s="90" t="n">
        <v>6</v>
      </c>
      <c r="AA12" s="90" t="n">
        <v>-8</v>
      </c>
      <c r="AB12" s="15">
        <f>SUM(T12:AA12)</f>
        <v/>
      </c>
      <c r="AC12" s="16">
        <f>ROUND(AB12/10,2)</f>
        <v/>
      </c>
      <c r="AD12" s="90" t="n">
        <v>14</v>
      </c>
      <c r="AE12" s="90" t="n">
        <v>-1</v>
      </c>
      <c r="AF12" s="90" t="n">
        <v>9</v>
      </c>
      <c r="AG12" s="90" t="n">
        <v>12</v>
      </c>
      <c r="AH12" s="90" t="n">
        <v>5</v>
      </c>
      <c r="AI12" s="90" t="n">
        <v>7</v>
      </c>
      <c r="AJ12" s="90" t="n">
        <v>14</v>
      </c>
      <c r="AK12" s="90" t="n">
        <v>-3</v>
      </c>
      <c r="AL12" s="15">
        <f>SUM(AD12:AK12)</f>
        <v/>
      </c>
      <c r="AM12" s="16">
        <f>ROUND(AL12/70*10,2)</f>
        <v/>
      </c>
      <c r="AN12" s="17">
        <f>ROUND((S12+AC12+AM12)/3,2)</f>
        <v/>
      </c>
      <c r="AO12" s="18" t="inlineStr">
        <is>
          <t>JPY</t>
        </is>
      </c>
      <c r="AP12" s="19" t="n">
        <v>1950000</v>
      </c>
      <c r="AQ12" s="19" t="n">
        <v>20000</v>
      </c>
      <c r="AR12" s="19">
        <f>I12*'Framework Notes'!E4-AP12+AQ12</f>
        <v/>
      </c>
      <c r="AS12" s="19" t="n">
        <v>330000</v>
      </c>
      <c r="AT12" s="19" t="n">
        <v>350000</v>
      </c>
      <c r="AU12" s="19" t="n">
        <v>580000</v>
      </c>
      <c r="AV12" s="19" t="n">
        <v>2313000</v>
      </c>
      <c r="AW12" s="20">
        <f>AR12/AS12</f>
        <v/>
      </c>
      <c r="AX12" s="20">
        <f>AR12/AU12</f>
        <v/>
      </c>
      <c r="AY12" s="20">
        <f>AR12/AV12</f>
        <v/>
      </c>
      <c r="AZ12" s="21" t="n">
        <v>1600000</v>
      </c>
      <c r="BA12" s="22">
        <f>AT12/AV12</f>
        <v/>
      </c>
      <c r="BB12" s="22">
        <f>AV12/AZ12</f>
        <v/>
      </c>
      <c r="BC12" s="23">
        <f>BA12*BB12</f>
        <v/>
      </c>
      <c r="BD12" t="inlineStr">
        <is>
          <t>330,000</t>
        </is>
      </c>
      <c r="BE12" s="23">
        <f>(BD12/AS12)^(1/5)-1</f>
        <v/>
      </c>
      <c r="BF12" t="inlineStr">
        <is>
          <t>608,004</t>
        </is>
      </c>
      <c r="BG12" s="23">
        <f>(BF12/AS12)^(1/5)-1</f>
        <v/>
      </c>
      <c r="BH12" s="24" t="n">
        <v>15</v>
      </c>
      <c r="BI12" s="24" t="n">
        <v>22.5</v>
      </c>
      <c r="BJ12" s="25">
        <f>((BD12*BH12+$AP12-$AQ12)/$H12)/'Framework Notes'!E4</f>
        <v/>
      </c>
      <c r="BK12" s="25">
        <f>((BF12*BI12+$AP12-$AQ12)/$H12)/'Framework Notes'!E4</f>
        <v/>
      </c>
      <c r="BL12" s="23">
        <f>($BJ12/G12)^(1/5)-1</f>
        <v/>
      </c>
      <c r="BM12" s="23">
        <f>(BK12/G12)^(1/4)-1</f>
        <v/>
      </c>
      <c r="BN12" s="93" t="inlineStr">
        <is>
          <t>2026-05-15</t>
        </is>
      </c>
      <c r="BO12" s="94" t="inlineStr">
        <is>
          <t>FY2026 (año fiscal mar 2026): Rev ¥2,313B (+99%), OP ¥360B (+28%). Switch 2 lanzado jun-2025: 6M unidades en 7 semanas. Ventas digitales +25% (55% de software). Guidance FY2027 por debajo de consenso</t>
        </is>
      </c>
      <c r="BP12" s="93" t="inlineStr">
        <is>
          <t>Q1 FY2027 (julio 2026)</t>
        </is>
      </c>
    </row>
    <row r="13" ht="15" customHeight="1" s="96">
      <c r="A13" s="86" t="e">
        <v>#VALUE!</v>
      </c>
      <c r="B13" s="10">
        <f t="array" ref="B13">_FV(A13,"Símbolo bursátil",TRUE())</f>
        <v/>
      </c>
      <c r="C13" s="88" t="inlineStr">
        <is>
          <t>Mag 7</t>
        </is>
      </c>
      <c r="D13" s="88" t="inlineStr">
        <is>
          <t>Compounder</t>
        </is>
      </c>
      <c r="E13" s="11">
        <f t="array" ref="E13">_FV(A13,"Abreviatura de intercambio",TRUE())</f>
        <v/>
      </c>
      <c r="F13" s="11">
        <f t="array" ref="F13">_FV(A13,"Moneda")</f>
        <v/>
      </c>
      <c r="G13" s="12">
        <f t="array" ref="G13">_FV(A13,"Precio")</f>
        <v/>
      </c>
      <c r="H13" s="13">
        <f t="array" ref="H13">_FV(A13,"Acciones en circulación",TRUE())/1000000</f>
        <v/>
      </c>
      <c r="I13" s="14">
        <f>G13*H13</f>
        <v/>
      </c>
      <c r="J13" s="91" t="n">
        <v>1.5</v>
      </c>
      <c r="K13" s="91" t="n">
        <v>8</v>
      </c>
      <c r="L13" s="91" t="n">
        <v>3</v>
      </c>
      <c r="M13" s="91" t="n">
        <v>1</v>
      </c>
      <c r="N13" s="91" t="n">
        <v>0</v>
      </c>
      <c r="O13" s="91" t="n">
        <v>0.72</v>
      </c>
      <c r="P13" s="91" t="n">
        <v>1</v>
      </c>
      <c r="Q13" s="91" t="n">
        <v>0.5</v>
      </c>
      <c r="R13" s="26">
        <f>SUM(J13:Q13)</f>
        <v/>
      </c>
      <c r="S13" s="16">
        <f>ROUND(R13/17*10,2)</f>
        <v/>
      </c>
      <c r="T13" s="91" t="n">
        <v>14</v>
      </c>
      <c r="U13" s="91" t="n">
        <v>19</v>
      </c>
      <c r="V13" s="91" t="n">
        <v>15</v>
      </c>
      <c r="W13" s="91" t="n">
        <v>10</v>
      </c>
      <c r="X13" s="91" t="n">
        <v>9</v>
      </c>
      <c r="Y13" s="91" t="n">
        <v>12</v>
      </c>
      <c r="Z13" s="91" t="n">
        <v>6</v>
      </c>
      <c r="AA13" s="91" t="n">
        <v>-8</v>
      </c>
      <c r="AB13" s="26">
        <f>SUM(T13:AA13)</f>
        <v/>
      </c>
      <c r="AC13" s="16">
        <f>ROUND(AB13/10,2)</f>
        <v/>
      </c>
      <c r="AD13" s="91" t="n">
        <v>14</v>
      </c>
      <c r="AE13" s="91" t="n">
        <v>-1</v>
      </c>
      <c r="AF13" s="91" t="n">
        <v>4</v>
      </c>
      <c r="AG13" s="91" t="n">
        <v>13</v>
      </c>
      <c r="AH13" s="91" t="n">
        <v>4</v>
      </c>
      <c r="AI13" s="91" t="n">
        <v>8</v>
      </c>
      <c r="AJ13" s="91" t="n">
        <v>14</v>
      </c>
      <c r="AK13" s="91" t="n">
        <v>-5</v>
      </c>
      <c r="AL13" s="26">
        <f>SUM(AD13:AK13)</f>
        <v/>
      </c>
      <c r="AM13" s="16">
        <f>ROUND(AL13/70*10,2)</f>
        <v/>
      </c>
      <c r="AN13" s="17">
        <f>ROUND((S13+AC13+AM13)/3,2)</f>
        <v/>
      </c>
      <c r="AO13" s="18" t="inlineStr">
        <is>
          <t>USD</t>
        </is>
      </c>
      <c r="AP13" s="19" t="n">
        <v>80000</v>
      </c>
      <c r="AQ13" s="19" t="n">
        <v>65000</v>
      </c>
      <c r="AR13" s="19">
        <f>I13-AP13+AQ13</f>
        <v/>
      </c>
      <c r="AS13" s="19" t="n">
        <v>52000</v>
      </c>
      <c r="AT13" s="19" t="n">
        <v>55000</v>
      </c>
      <c r="AU13" s="19" t="n">
        <v>138000</v>
      </c>
      <c r="AV13" s="19" t="n">
        <v>637000</v>
      </c>
      <c r="AW13" s="20">
        <f>AR13/AS13</f>
        <v/>
      </c>
      <c r="AX13" s="20">
        <f>AR13/AU13</f>
        <v/>
      </c>
      <c r="AY13" s="20">
        <f>AR13/AV13</f>
        <v/>
      </c>
      <c r="AZ13" s="21" t="n">
        <v>300000</v>
      </c>
      <c r="BA13" s="22">
        <f>AT13/AV13</f>
        <v/>
      </c>
      <c r="BB13" s="22">
        <f>AV13/AZ13</f>
        <v/>
      </c>
      <c r="BC13" s="23">
        <f>BA13*BB13</f>
        <v/>
      </c>
      <c r="BD13" t="inlineStr">
        <is>
          <t>72,933</t>
        </is>
      </c>
      <c r="BE13" s="23">
        <f>(BD13/AS13)^(1/5)-1</f>
        <v/>
      </c>
      <c r="BF13" t="inlineStr">
        <is>
          <t>109,218</t>
        </is>
      </c>
      <c r="BG13" s="23">
        <f>(BF13/AS13)^(1/5)-1</f>
        <v/>
      </c>
      <c r="BH13" s="24" t="n">
        <v>22.5</v>
      </c>
      <c r="BI13" s="24" t="n">
        <v>30</v>
      </c>
      <c r="BJ13" s="25">
        <f>(BD13*BH13+$AP13-$AQ13)/$H13</f>
        <v/>
      </c>
      <c r="BK13" s="25">
        <f>(BF13*BI13+$AP13-$AQ13)/$H13</f>
        <v/>
      </c>
      <c r="BL13" s="23">
        <f>($BJ13/G13)^(1/5)-1</f>
        <v/>
      </c>
      <c r="BM13" s="23">
        <f>(BK13/G13)^(1/4)-1</f>
        <v/>
      </c>
      <c r="BN13" s="93" t="inlineStr">
        <is>
          <t>2026-04-30</t>
        </is>
      </c>
      <c r="BO13" s="93" t="inlineStr">
        <is>
          <t>Q1 2026: Rev $181.5B (+17%), Op.Inc $23.9B (13.1% margen récord), AWS $37.6B (+28%), Ad $17.2B (+24%). Guidance Q2: $194-199B.</t>
        </is>
      </c>
      <c r="BP13" s="93" t="inlineStr">
        <is>
          <t>Q2 2026 (julio 2026)</t>
        </is>
      </c>
    </row>
    <row r="14" ht="15" customHeight="1" s="96">
      <c r="A14" s="86" t="e">
        <v>#VALUE!</v>
      </c>
      <c r="B14" s="10">
        <f t="array" ref="B14">_FV(A14,"Símbolo bursátil",TRUE())</f>
        <v/>
      </c>
      <c r="C14" s="88" t="inlineStr">
        <is>
          <t>Electrify</t>
        </is>
      </c>
      <c r="D14" s="88" t="inlineStr">
        <is>
          <t>Compounder</t>
        </is>
      </c>
      <c r="E14" s="11">
        <f t="array" ref="E14">_FV(A14,"Abreviatura de intercambio",TRUE())</f>
        <v/>
      </c>
      <c r="F14" s="11">
        <f t="array" ref="F14">_FV(A14,"Moneda")</f>
        <v/>
      </c>
      <c r="G14" s="12">
        <f t="array" ref="G14">_FV(A14,"Precio")</f>
        <v/>
      </c>
      <c r="H14" s="13">
        <f t="array" ref="H14">_FV(A14,"Acciones en circulación",TRUE())/1000000</f>
        <v/>
      </c>
      <c r="I14" s="14">
        <f>G14*H14</f>
        <v/>
      </c>
      <c r="J14" s="90" t="n">
        <v>1</v>
      </c>
      <c r="K14" s="90" t="n">
        <v>7</v>
      </c>
      <c r="L14" s="90" t="n">
        <v>3</v>
      </c>
      <c r="M14" s="90" t="n">
        <v>1</v>
      </c>
      <c r="N14" s="90" t="n">
        <v>0</v>
      </c>
      <c r="O14" s="90" t="n">
        <v>0.84</v>
      </c>
      <c r="P14" s="90" t="n">
        <v>1</v>
      </c>
      <c r="Q14" s="90" t="n">
        <v>0</v>
      </c>
      <c r="R14" s="15">
        <f>SUM(J14:Q14)</f>
        <v/>
      </c>
      <c r="S14" s="16">
        <f>ROUND(R14/17*10,2)</f>
        <v/>
      </c>
      <c r="T14" s="90" t="n">
        <v>15</v>
      </c>
      <c r="U14" s="90" t="n">
        <v>17</v>
      </c>
      <c r="V14" s="90" t="n">
        <v>15</v>
      </c>
      <c r="W14" s="90" t="n">
        <v>10</v>
      </c>
      <c r="X14" s="90" t="n">
        <v>9</v>
      </c>
      <c r="Y14" s="90" t="n">
        <v>13</v>
      </c>
      <c r="Z14" s="90" t="n">
        <v>5</v>
      </c>
      <c r="AA14" s="90" t="n">
        <v>-7</v>
      </c>
      <c r="AB14" s="15">
        <f>SUM(T14:AA14)</f>
        <v/>
      </c>
      <c r="AC14" s="16">
        <f>ROUND(AB14/10,2)</f>
        <v/>
      </c>
      <c r="AD14" s="90" t="n">
        <v>14</v>
      </c>
      <c r="AE14" s="90" t="n">
        <v>-1</v>
      </c>
      <c r="AF14" s="90" t="n">
        <v>6</v>
      </c>
      <c r="AG14" s="90" t="n">
        <v>13</v>
      </c>
      <c r="AH14" s="90" t="n">
        <v>4</v>
      </c>
      <c r="AI14" s="90" t="n">
        <v>8</v>
      </c>
      <c r="AJ14" s="90" t="n">
        <v>13</v>
      </c>
      <c r="AK14" s="90" t="n">
        <v>-3</v>
      </c>
      <c r="AL14" s="15">
        <f>SUM(AD14:AK14)</f>
        <v/>
      </c>
      <c r="AM14" s="16">
        <f>ROUND(AL14/70*10,2)</f>
        <v/>
      </c>
      <c r="AN14" s="17">
        <f>ROUND((S14+AC14+AM14)/3,2)</f>
        <v/>
      </c>
      <c r="AO14" s="18" t="inlineStr">
        <is>
          <t>EUR</t>
        </is>
      </c>
      <c r="AP14" s="19" t="n">
        <v>3500</v>
      </c>
      <c r="AQ14" s="19" t="n">
        <v>12500</v>
      </c>
      <c r="AR14" s="19">
        <f>I14-AP14+AQ14</f>
        <v/>
      </c>
      <c r="AS14" s="19" t="n">
        <v>4500</v>
      </c>
      <c r="AT14" s="19" t="n">
        <v>4800</v>
      </c>
      <c r="AU14" s="19" t="n">
        <v>8800</v>
      </c>
      <c r="AV14" s="19" t="n">
        <v>39500</v>
      </c>
      <c r="AW14" s="20">
        <f>AR14/AS14</f>
        <v/>
      </c>
      <c r="AX14" s="20">
        <f>AR14/AU14</f>
        <v/>
      </c>
      <c r="AY14" s="20">
        <f>AR14/AV14</f>
        <v/>
      </c>
      <c r="AZ14" s="21" t="n">
        <v>38000</v>
      </c>
      <c r="BA14" s="22">
        <f>AT14/AV14</f>
        <v/>
      </c>
      <c r="BB14" s="22">
        <f>AV14/AZ14</f>
        <v/>
      </c>
      <c r="BC14" s="23">
        <f>BA14*BB14</f>
        <v/>
      </c>
      <c r="BD14" t="inlineStr">
        <is>
          <t>5,743</t>
        </is>
      </c>
      <c r="BE14" s="23">
        <f>(BD14/AS14)^(1/5)-1</f>
        <v/>
      </c>
      <c r="BF14" t="inlineStr">
        <is>
          <t>8,291</t>
        </is>
      </c>
      <c r="BG14" s="23">
        <f>(BF14/AS14)^(1/5)-1</f>
        <v/>
      </c>
      <c r="BH14" s="24" t="n">
        <v>17.5</v>
      </c>
      <c r="BI14" s="24" t="n">
        <v>25</v>
      </c>
      <c r="BJ14" s="25">
        <f>(BD14*BH14+$AP14-$AQ14)/$H14</f>
        <v/>
      </c>
      <c r="BK14" s="25">
        <f>(BF14*BI14+$AP14-$AQ14)/$H14</f>
        <v/>
      </c>
      <c r="BL14" s="23">
        <f>($BJ14/G14)^(1/5)-1</f>
        <v/>
      </c>
      <c r="BM14" s="23">
        <f>(BK14/G14)^(1/4)-1</f>
        <v/>
      </c>
      <c r="BN14" s="93" t="inlineStr">
        <is>
          <t>2026-04-26</t>
        </is>
      </c>
      <c r="BO14" s="93" t="inlineStr">
        <is>
          <t>26/02/2026</t>
        </is>
      </c>
      <c r="BP14" s="93" t="inlineStr">
        <is>
          <t>30/07/2026</t>
        </is>
      </c>
    </row>
    <row r="15" ht="15" customHeight="1" s="96">
      <c r="A15" s="86" t="e">
        <v>#VALUE!</v>
      </c>
      <c r="B15" s="10">
        <f t="array" ref="B15">_FV(A15,"Símbolo bursátil",TRUE())</f>
        <v/>
      </c>
      <c r="C15" s="88" t="inlineStr">
        <is>
          <t>Consumo</t>
        </is>
      </c>
      <c r="D15" s="88" t="inlineStr">
        <is>
          <t>Compounder</t>
        </is>
      </c>
      <c r="E15" s="11">
        <f t="array" ref="E15">_FV(A15,"Abreviatura de intercambio",TRUE())</f>
        <v/>
      </c>
      <c r="F15" s="11">
        <f t="array" ref="F15">_FV(A15,"Moneda")</f>
        <v/>
      </c>
      <c r="G15" s="12">
        <f t="array" ref="G15">_FV(A15,"Precio")</f>
        <v/>
      </c>
      <c r="H15" s="13">
        <f t="array" ref="H15">_FV(A15,"Acciones en circulación",TRUE())/1000000</f>
        <v/>
      </c>
      <c r="I15" s="14">
        <f>G15*H15</f>
        <v/>
      </c>
      <c r="J15" s="91" t="n">
        <v>0</v>
      </c>
      <c r="K15" s="91" t="n">
        <v>6.5</v>
      </c>
      <c r="L15" s="91" t="n">
        <v>2</v>
      </c>
      <c r="M15" s="91" t="n">
        <v>1</v>
      </c>
      <c r="N15" s="91" t="n">
        <v>0</v>
      </c>
      <c r="O15" s="91" t="n">
        <v>0.74</v>
      </c>
      <c r="P15" s="91" t="n">
        <v>1</v>
      </c>
      <c r="Q15" s="91" t="n">
        <v>1</v>
      </c>
      <c r="R15" s="26">
        <f>SUM(J15:Q15)</f>
        <v/>
      </c>
      <c r="S15" s="16">
        <f>ROUND(R15/17*10,2)</f>
        <v/>
      </c>
      <c r="T15" s="91" t="n">
        <v>16</v>
      </c>
      <c r="U15" s="91" t="n">
        <v>17</v>
      </c>
      <c r="V15" s="91" t="n">
        <v>10</v>
      </c>
      <c r="W15" s="91" t="n">
        <v>10</v>
      </c>
      <c r="X15" s="91" t="n">
        <v>9</v>
      </c>
      <c r="Y15" s="91" t="n">
        <v>13</v>
      </c>
      <c r="Z15" s="91" t="n">
        <v>10</v>
      </c>
      <c r="AA15" s="91" t="n">
        <v>-8</v>
      </c>
      <c r="AB15" s="26">
        <f>SUM(T15:AA15)</f>
        <v/>
      </c>
      <c r="AC15" s="16">
        <f>ROUND(AB15/10,2)</f>
        <v/>
      </c>
      <c r="AD15" s="91" t="n">
        <v>14</v>
      </c>
      <c r="AE15" s="91" t="n">
        <v>-1</v>
      </c>
      <c r="AF15" s="91" t="n">
        <v>8</v>
      </c>
      <c r="AG15" s="91" t="n">
        <v>13</v>
      </c>
      <c r="AH15" s="91" t="n">
        <v>5</v>
      </c>
      <c r="AI15" s="91" t="n">
        <v>9</v>
      </c>
      <c r="AJ15" s="91" t="n">
        <v>13</v>
      </c>
      <c r="AK15" s="91" t="n">
        <v>-4</v>
      </c>
      <c r="AL15" s="26">
        <f>SUM(AD15:AK15)</f>
        <v/>
      </c>
      <c r="AM15" s="16">
        <f>ROUND(AL15/70*10,2)</f>
        <v/>
      </c>
      <c r="AN15" s="17">
        <f>ROUND((S15+AC15+AM15)/3,2)</f>
        <v/>
      </c>
      <c r="AO15" s="18" t="inlineStr">
        <is>
          <t>EUR</t>
        </is>
      </c>
      <c r="AP15" s="19" t="n">
        <v>11500</v>
      </c>
      <c r="AQ15" s="19" t="n">
        <v>0</v>
      </c>
      <c r="AR15" s="19">
        <f>I15-AP15+AQ15</f>
        <v/>
      </c>
      <c r="AS15" s="19" t="n">
        <v>6500</v>
      </c>
      <c r="AT15" s="19" t="n">
        <v>6500</v>
      </c>
      <c r="AU15" s="19" t="n">
        <v>11000</v>
      </c>
      <c r="AV15" s="19" t="n">
        <v>38600</v>
      </c>
      <c r="AW15" s="20">
        <f>AR15/AS15</f>
        <v/>
      </c>
      <c r="AX15" s="20">
        <f>AR15/AU15</f>
        <v/>
      </c>
      <c r="AY15" s="20">
        <f>AR15/AV15</f>
        <v/>
      </c>
      <c r="AZ15" s="21" t="n">
        <v>18000</v>
      </c>
      <c r="BA15" s="22">
        <f>AT15/AV15</f>
        <v/>
      </c>
      <c r="BB15" s="22">
        <f>AV15/AZ15</f>
        <v/>
      </c>
      <c r="BC15" s="23">
        <f>BA15*BB15</f>
        <v/>
      </c>
      <c r="BD15" t="inlineStr">
        <is>
          <t>7,908</t>
        </is>
      </c>
      <c r="BE15" s="23">
        <f>(BD15/AS15)^(1/5)-1</f>
        <v/>
      </c>
      <c r="BF15" t="inlineStr">
        <is>
          <t>11,455</t>
        </is>
      </c>
      <c r="BG15" s="23">
        <f>(BF15/AS15)^(1/5)-1</f>
        <v/>
      </c>
      <c r="BH15" s="24" t="n">
        <v>16</v>
      </c>
      <c r="BI15" s="24" t="n">
        <v>24</v>
      </c>
      <c r="BJ15" s="25">
        <f>(BD15*BH15+$AP15-$AQ15)/$H15</f>
        <v/>
      </c>
      <c r="BK15" s="25">
        <f>(BF15*BI15+$AP15-$AQ15)/$H15</f>
        <v/>
      </c>
      <c r="BL15" s="23">
        <f>($BJ15/G15)^(1/5)-1</f>
        <v/>
      </c>
      <c r="BM15" s="23">
        <f>(BK15/G15)^(1/4)-1</f>
        <v/>
      </c>
      <c r="BN15" s="93" t="inlineStr">
        <is>
          <t>2026-04-26</t>
        </is>
      </c>
      <c r="BO15" s="93" t="inlineStr">
        <is>
          <t>10/03/2026</t>
        </is>
      </c>
      <c r="BP15" s="93" t="inlineStr">
        <is>
          <t>03/06/2026</t>
        </is>
      </c>
    </row>
    <row r="16" ht="15" customHeight="1" s="96">
      <c r="A16" s="86" t="e">
        <v>#VALUE!</v>
      </c>
      <c r="B16" s="10">
        <f t="array" ref="B16">_FV(A16,"Símbolo bursátil",TRUE())</f>
        <v/>
      </c>
      <c r="C16" s="88" t="inlineStr">
        <is>
          <t>Consumo</t>
        </is>
      </c>
      <c r="D16" s="88" t="inlineStr">
        <is>
          <t>Compounder</t>
        </is>
      </c>
      <c r="E16" s="11">
        <f t="array" ref="E16">_FV(A16,"Abreviatura de intercambio",TRUE())</f>
        <v/>
      </c>
      <c r="F16" s="11">
        <f t="array" ref="F16">_FV(A16,"Moneda")</f>
        <v/>
      </c>
      <c r="G16" s="12">
        <f t="array" ref="G16">_FV(A16,"Precio")</f>
        <v/>
      </c>
      <c r="H16" s="13">
        <f t="array" ref="H16">_FV(A16,"Acciones en circulación",TRUE())/1000000</f>
        <v/>
      </c>
      <c r="I16" s="14">
        <f>G16*H16</f>
        <v/>
      </c>
      <c r="J16" s="90" t="n">
        <v>0</v>
      </c>
      <c r="K16" s="90" t="n">
        <v>7</v>
      </c>
      <c r="L16" s="90" t="n">
        <v>3</v>
      </c>
      <c r="M16" s="90" t="n">
        <v>1</v>
      </c>
      <c r="N16" s="90" t="n">
        <v>0</v>
      </c>
      <c r="O16" s="90" t="n">
        <v>0.76</v>
      </c>
      <c r="P16" s="90" t="n">
        <v>1</v>
      </c>
      <c r="Q16" s="90" t="n">
        <v>1</v>
      </c>
      <c r="R16" s="15">
        <f>SUM(J16:Q16)</f>
        <v/>
      </c>
      <c r="S16" s="16">
        <f>ROUND(R16/17*10,2)</f>
        <v/>
      </c>
      <c r="T16" s="90" t="n">
        <v>16</v>
      </c>
      <c r="U16" s="90" t="n">
        <v>16</v>
      </c>
      <c r="V16" s="90" t="n">
        <v>13</v>
      </c>
      <c r="W16" s="90" t="n">
        <v>9</v>
      </c>
      <c r="X16" s="90" t="n">
        <v>9</v>
      </c>
      <c r="Y16" s="90" t="n">
        <v>13</v>
      </c>
      <c r="Z16" s="90" t="n">
        <v>10</v>
      </c>
      <c r="AA16" s="90" t="n">
        <v>-7</v>
      </c>
      <c r="AB16" s="15">
        <f>SUM(T16:AA16)</f>
        <v/>
      </c>
      <c r="AC16" s="16">
        <f>ROUND(AB16/10,2)</f>
        <v/>
      </c>
      <c r="AD16" s="90" t="n">
        <v>14</v>
      </c>
      <c r="AE16" s="90" t="n">
        <v>-1</v>
      </c>
      <c r="AF16" s="90" t="n">
        <v>7</v>
      </c>
      <c r="AG16" s="90" t="n">
        <v>13</v>
      </c>
      <c r="AH16" s="90" t="n">
        <v>4</v>
      </c>
      <c r="AI16" s="90" t="n">
        <v>9</v>
      </c>
      <c r="AJ16" s="90" t="n">
        <v>13</v>
      </c>
      <c r="AK16" s="90" t="n">
        <v>-3</v>
      </c>
      <c r="AL16" s="15">
        <f>SUM(AD16:AK16)</f>
        <v/>
      </c>
      <c r="AM16" s="16">
        <f>ROUND(AL16/70*10,2)</f>
        <v/>
      </c>
      <c r="AN16" s="17">
        <f>ROUND((S16+AC16+AM16)/3,2)</f>
        <v/>
      </c>
      <c r="AO16" s="18" t="inlineStr">
        <is>
          <t>EUR</t>
        </is>
      </c>
      <c r="AP16" s="19" t="n">
        <v>100</v>
      </c>
      <c r="AQ16" s="19" t="n">
        <v>200</v>
      </c>
      <c r="AR16" s="19">
        <f>I16-AP16+AQ16</f>
        <v/>
      </c>
      <c r="AS16" s="19" t="n">
        <v>180</v>
      </c>
      <c r="AT16" s="19" t="n">
        <v>165</v>
      </c>
      <c r="AU16" s="19" t="n">
        <v>260</v>
      </c>
      <c r="AV16" s="19" t="n">
        <v>1200</v>
      </c>
      <c r="AW16" s="20">
        <f>AR16/AS16</f>
        <v/>
      </c>
      <c r="AX16" s="20">
        <f>AR16/AU16</f>
        <v/>
      </c>
      <c r="AY16" s="20">
        <f>AR16/AV16</f>
        <v/>
      </c>
      <c r="AZ16" s="21" t="n">
        <v>800</v>
      </c>
      <c r="BA16" s="22">
        <f>AT16/AV16</f>
        <v/>
      </c>
      <c r="BB16" s="22">
        <f>AV16/AZ16</f>
        <v/>
      </c>
      <c r="BC16" s="23">
        <f>BA16*BB16</f>
        <v/>
      </c>
      <c r="BD16" t="inlineStr">
        <is>
          <t>252</t>
        </is>
      </c>
      <c r="BE16" s="23">
        <f>(BD16/AS16)^(1/5)-1</f>
        <v/>
      </c>
      <c r="BF16" t="inlineStr">
        <is>
          <t>378</t>
        </is>
      </c>
      <c r="BG16" s="23">
        <f>(BF16/AS16)^(1/5)-1</f>
        <v/>
      </c>
      <c r="BH16" s="24" t="n">
        <v>15</v>
      </c>
      <c r="BI16" s="24" t="n">
        <v>25</v>
      </c>
      <c r="BJ16" s="25">
        <f>(BD16*BH16+$AP16-$AQ16)/$H16</f>
        <v/>
      </c>
      <c r="BK16" s="25">
        <f>(BF16*BI16+$AP16-$AQ16)/$H16</f>
        <v/>
      </c>
      <c r="BL16" s="23">
        <f>($BJ16/G16)^(1/5)-1</f>
        <v/>
      </c>
      <c r="BM16" s="23">
        <f>(BK16/G16)^(1/4)-1</f>
        <v/>
      </c>
      <c r="BN16" s="93" t="inlineStr">
        <is>
          <t>2026-04-26</t>
        </is>
      </c>
      <c r="BO16" s="93" t="inlineStr">
        <is>
          <t>06/02/2026</t>
        </is>
      </c>
      <c r="BP16" s="93" t="inlineStr">
        <is>
          <t>07/08/2026</t>
        </is>
      </c>
    </row>
    <row r="17" ht="15" customHeight="1" s="96">
      <c r="A17" s="86" t="e">
        <v>#VALUE!</v>
      </c>
      <c r="B17" s="10">
        <f t="array" ref="B17">_FV(A17,"Símbolo bursátil",TRUE())</f>
        <v/>
      </c>
      <c r="C17" s="88" t="inlineStr">
        <is>
          <t>Healthcare</t>
        </is>
      </c>
      <c r="D17" s="88" t="inlineStr">
        <is>
          <t>Compounder</t>
        </is>
      </c>
      <c r="E17" s="11">
        <f t="array" ref="E17">_FV(A17,"Abreviatura de intercambio",TRUE())</f>
        <v/>
      </c>
      <c r="F17" s="11">
        <f t="array" ref="F17">_FV(A17,"Moneda")</f>
        <v/>
      </c>
      <c r="G17" s="12">
        <f t="array" ref="G17">_FV(A17,"Precio")</f>
        <v/>
      </c>
      <c r="H17" s="13">
        <f t="array" ref="H17">_FV(A17,"Acciones en circulación",TRUE())/1000000</f>
        <v/>
      </c>
      <c r="I17" s="14">
        <f>G17/100*H17</f>
        <v/>
      </c>
      <c r="J17" s="91" t="n">
        <v>2</v>
      </c>
      <c r="K17" s="91" t="n">
        <v>6</v>
      </c>
      <c r="L17" s="91" t="n">
        <v>3</v>
      </c>
      <c r="M17" s="91" t="n">
        <v>1</v>
      </c>
      <c r="N17" s="91" t="n">
        <v>0</v>
      </c>
      <c r="O17" s="91" t="n">
        <v>0.86</v>
      </c>
      <c r="P17" s="91" t="n">
        <v>1</v>
      </c>
      <c r="Q17" s="91" t="n">
        <v>0</v>
      </c>
      <c r="R17" s="26">
        <f>SUM(J17:Q17)</f>
        <v/>
      </c>
      <c r="S17" s="16">
        <f>ROUND(R17/17*10,2)</f>
        <v/>
      </c>
      <c r="T17" s="91" t="n">
        <v>14</v>
      </c>
      <c r="U17" s="91" t="n">
        <v>15</v>
      </c>
      <c r="V17" s="91" t="n">
        <v>12</v>
      </c>
      <c r="W17" s="91" t="n">
        <v>10</v>
      </c>
      <c r="X17" s="91" t="n">
        <v>10</v>
      </c>
      <c r="Y17" s="91" t="n">
        <v>12</v>
      </c>
      <c r="Z17" s="91" t="n">
        <v>6</v>
      </c>
      <c r="AA17" s="91" t="n">
        <v>-7</v>
      </c>
      <c r="AB17" s="26">
        <f>SUM(T17:AA17)</f>
        <v/>
      </c>
      <c r="AC17" s="16">
        <f>ROUND(AB17/10,2)</f>
        <v/>
      </c>
      <c r="AD17" s="91" t="n">
        <v>15</v>
      </c>
      <c r="AE17" s="91" t="n">
        <v>-1</v>
      </c>
      <c r="AF17" s="91" t="n">
        <v>8</v>
      </c>
      <c r="AG17" s="91" t="n">
        <v>14</v>
      </c>
      <c r="AH17" s="91" t="n">
        <v>4</v>
      </c>
      <c r="AI17" s="91" t="n">
        <v>8</v>
      </c>
      <c r="AJ17" s="91" t="n">
        <v>13</v>
      </c>
      <c r="AK17" s="91" t="n">
        <v>-3</v>
      </c>
      <c r="AL17" s="26">
        <f>SUM(AD17:AK17)</f>
        <v/>
      </c>
      <c r="AM17" s="16">
        <f>ROUND(AL17/70*10,2)</f>
        <v/>
      </c>
      <c r="AN17" s="17">
        <f>ROUND((S17+AC17+AM17)/3,2)</f>
        <v/>
      </c>
      <c r="AO17" s="18" t="inlineStr">
        <is>
          <t>GBP</t>
        </is>
      </c>
      <c r="AP17" s="19" t="n">
        <v>100</v>
      </c>
      <c r="AQ17" s="19" t="n">
        <v>400</v>
      </c>
      <c r="AR17" s="19">
        <f>I17-AP17+AQ17</f>
        <v/>
      </c>
      <c r="AS17" s="19" t="n">
        <v>400</v>
      </c>
      <c r="AT17" s="19" t="n">
        <v>370</v>
      </c>
      <c r="AU17" s="19" t="n">
        <v>515</v>
      </c>
      <c r="AV17" s="19" t="n">
        <v>2340</v>
      </c>
      <c r="AW17" s="20">
        <f>AR17/AS17</f>
        <v/>
      </c>
      <c r="AX17" s="20">
        <f>AR17/AU17</f>
        <v/>
      </c>
      <c r="AY17" s="20">
        <f>AR17/AV17</f>
        <v/>
      </c>
      <c r="AZ17" s="21" t="n">
        <v>2100</v>
      </c>
      <c r="BA17" s="22">
        <f>AT17/AV17</f>
        <v/>
      </c>
      <c r="BB17" s="22">
        <f>AV17/AZ17</f>
        <v/>
      </c>
      <c r="BC17" s="23">
        <f>BA17*BB17</f>
        <v/>
      </c>
      <c r="BD17" t="inlineStr">
        <is>
          <t>511</t>
        </is>
      </c>
      <c r="BE17" s="23">
        <f>(BD17/AS17)^(1/5)-1</f>
        <v/>
      </c>
      <c r="BF17" t="inlineStr">
        <is>
          <t>737</t>
        </is>
      </c>
      <c r="BG17" s="23">
        <f>(BF17/AS17)^(1/5)-1</f>
        <v/>
      </c>
      <c r="BH17" s="24" t="n">
        <v>18</v>
      </c>
      <c r="BI17" s="24" t="n">
        <v>28</v>
      </c>
      <c r="BJ17" s="25">
        <f>(BD17*BH17+$AP17-$AQ17)/$H17*100</f>
        <v/>
      </c>
      <c r="BK17" s="25">
        <f>(BF17*BI17+$AP17-$AQ17)/$H17*100</f>
        <v/>
      </c>
      <c r="BL17" s="23">
        <f>($BJ17/G17)^(1/5)-1</f>
        <v/>
      </c>
      <c r="BM17" s="23">
        <f>(BK17/G17)^(1/4)-1</f>
        <v/>
      </c>
      <c r="BN17" s="93" t="inlineStr">
        <is>
          <t>2026-04-26</t>
        </is>
      </c>
      <c r="BO17" s="94" t="inlineStr">
        <is>
          <t>05/06/2025</t>
        </is>
      </c>
      <c r="BP17" s="93" t="inlineStr">
        <is>
          <t>11/06/2026</t>
        </is>
      </c>
    </row>
    <row r="18" ht="15" customHeight="1" s="96">
      <c r="A18" s="86" t="e">
        <v>#VALUE!</v>
      </c>
      <c r="B18" s="10">
        <f t="array" ref="B18">_FV(A18,"Símbolo bursátil",TRUE())</f>
        <v/>
      </c>
      <c r="C18" s="88" t="inlineStr">
        <is>
          <t>Vertical Saas</t>
        </is>
      </c>
      <c r="D18" s="88" t="inlineStr">
        <is>
          <t>Compounder</t>
        </is>
      </c>
      <c r="E18" s="11">
        <f t="array" ref="E18">_FV(A18,"Abreviatura de intercambio",TRUE())</f>
        <v/>
      </c>
      <c r="F18" s="11">
        <f t="array" ref="F18">_FV(A18,"Moneda")</f>
        <v/>
      </c>
      <c r="G18" s="12">
        <f t="array" ref="G18">_FV(A18,"Precio")</f>
        <v/>
      </c>
      <c r="H18" s="13">
        <f t="array" ref="H18">_FV(A18,"Acciones en circulación",TRUE())/1000000</f>
        <v/>
      </c>
      <c r="I18" s="14">
        <f>G18*H18</f>
        <v/>
      </c>
      <c r="J18" s="90" t="n">
        <v>0</v>
      </c>
      <c r="K18" s="90" t="n">
        <v>8</v>
      </c>
      <c r="L18" s="90" t="n">
        <v>2</v>
      </c>
      <c r="M18" s="90" t="n">
        <v>1</v>
      </c>
      <c r="N18" s="90" t="n">
        <v>-1</v>
      </c>
      <c r="O18" s="90" t="n">
        <v>0.78</v>
      </c>
      <c r="P18" s="90" t="n">
        <v>1</v>
      </c>
      <c r="Q18" s="90" t="n">
        <v>0</v>
      </c>
      <c r="R18" s="15">
        <f>SUM(J18:Q18)</f>
        <v/>
      </c>
      <c r="S18" s="16">
        <f>ROUND(R18/17*10,2)</f>
        <v/>
      </c>
      <c r="T18" s="90" t="n">
        <v>17</v>
      </c>
      <c r="U18" s="90" t="n">
        <v>19</v>
      </c>
      <c r="V18" s="90" t="n">
        <v>10</v>
      </c>
      <c r="W18" s="90" t="n">
        <v>7</v>
      </c>
      <c r="X18" s="90" t="n">
        <v>10</v>
      </c>
      <c r="Y18" s="90" t="n">
        <v>12</v>
      </c>
      <c r="Z18" s="90" t="n">
        <v>5</v>
      </c>
      <c r="AA18" s="90" t="n">
        <v>-15</v>
      </c>
      <c r="AB18" s="15">
        <f>SUM(T18:AA18)</f>
        <v/>
      </c>
      <c r="AC18" s="16">
        <f>ROUND(AB18/10,2)</f>
        <v/>
      </c>
      <c r="AD18" s="90" t="n">
        <v>14</v>
      </c>
      <c r="AE18" s="90" t="n">
        <v>0</v>
      </c>
      <c r="AF18" s="90" t="n">
        <v>10</v>
      </c>
      <c r="AG18" s="90" t="n">
        <v>15</v>
      </c>
      <c r="AH18" s="90" t="n">
        <v>4</v>
      </c>
      <c r="AI18" s="90" t="n">
        <v>8</v>
      </c>
      <c r="AJ18" s="90" t="n">
        <v>13</v>
      </c>
      <c r="AK18" s="90" t="n">
        <v>-6</v>
      </c>
      <c r="AL18" s="15">
        <f>SUM(AD18:AK18)</f>
        <v/>
      </c>
      <c r="AM18" s="16">
        <f>ROUND(AL18/70*10,2)</f>
        <v/>
      </c>
      <c r="AN18" s="17">
        <f>ROUND((S18+AC18+AM18)/3,2)</f>
        <v/>
      </c>
      <c r="AO18" s="18" t="inlineStr">
        <is>
          <t>USD</t>
        </is>
      </c>
      <c r="AP18" s="19" t="n">
        <v>200</v>
      </c>
      <c r="AQ18" s="19" t="n">
        <v>2400</v>
      </c>
      <c r="AR18" s="19">
        <f>I18-AP18+AQ18</f>
        <v/>
      </c>
      <c r="AS18" s="19" t="n">
        <v>850</v>
      </c>
      <c r="AT18" s="19" t="n">
        <v>850</v>
      </c>
      <c r="AU18" s="19" t="n">
        <v>1150</v>
      </c>
      <c r="AV18" s="19" t="n">
        <v>2100</v>
      </c>
      <c r="AW18" s="20">
        <f>AR18/AS18</f>
        <v/>
      </c>
      <c r="AX18" s="20">
        <f>AR18/AU18</f>
        <v/>
      </c>
      <c r="AY18" s="20">
        <f>AR18/AV18</f>
        <v/>
      </c>
      <c r="AZ18" s="21" t="n">
        <v>2200</v>
      </c>
      <c r="BA18" s="22">
        <f>AT18/AV18</f>
        <v/>
      </c>
      <c r="BB18" s="22">
        <f>AV18/AZ18</f>
        <v/>
      </c>
      <c r="BC18" s="23">
        <f>BA18*BB18</f>
        <v/>
      </c>
      <c r="BD18" t="inlineStr">
        <is>
          <t>1,073</t>
        </is>
      </c>
      <c r="BE18" s="23">
        <f>(BD18/AS18)^(1/5)-1</f>
        <v/>
      </c>
      <c r="BF18" t="inlineStr">
        <is>
          <t>1,670</t>
        </is>
      </c>
      <c r="BG18" s="23">
        <f>(BF18/AS18)^(1/5)-1</f>
        <v/>
      </c>
      <c r="BH18" s="24" t="n">
        <v>18</v>
      </c>
      <c r="BI18" s="24" t="n">
        <v>26</v>
      </c>
      <c r="BJ18" s="25">
        <f>(BD18*BH18+$AP18-$AQ18)/$H18</f>
        <v/>
      </c>
      <c r="BK18" s="25">
        <f>(BF18*BI18+$AP18-$AQ18)/$H18</f>
        <v/>
      </c>
      <c r="BL18" s="23">
        <f>($BJ18/G18)^(1/5)-1</f>
        <v/>
      </c>
      <c r="BM18" s="23">
        <f>(BK18/G18)^(1/4)-1</f>
        <v/>
      </c>
      <c r="BN18" s="93" t="inlineStr">
        <is>
          <t>2026-05-07</t>
        </is>
      </c>
      <c r="BO18" s="93" t="inlineStr">
        <is>
          <t>Q2 FY2026: Rev $691.7M (+39%), Scores +60% (B2B hipotecas +72%), EPS Non-GAAP $12.50 vs est $7.81. FCF $214M (prev $65.5M). FY2026 guidance alzada: Rev $2.45B, EPS $40.45.</t>
        </is>
      </c>
      <c r="BP18" s="93" t="inlineStr">
        <is>
          <t>Q3 FY2026 (julio 2026)</t>
        </is>
      </c>
    </row>
    <row r="19" ht="15" customHeight="1" s="96">
      <c r="A19" s="86" t="e">
        <v>#VALUE!</v>
      </c>
      <c r="B19" s="10">
        <f t="array" ref="B19">_FV(A19,"Símbolo bursátil",TRUE())</f>
        <v/>
      </c>
      <c r="C19" s="88" t="inlineStr">
        <is>
          <t>Industrial</t>
        </is>
      </c>
      <c r="D19" s="88" t="inlineStr">
        <is>
          <t>Compounder</t>
        </is>
      </c>
      <c r="E19" s="11">
        <f t="array" ref="E19">_FV(A19,"Abreviatura de intercambio",TRUE())</f>
        <v/>
      </c>
      <c r="F19" s="11">
        <f t="array" ref="F19">_FV(A19,"Moneda")</f>
        <v/>
      </c>
      <c r="G19" s="12">
        <f t="array" ref="G19">_FV(A19,"Precio")</f>
        <v/>
      </c>
      <c r="H19" s="13">
        <f t="array" ref="H19">_FV(A19,"Acciones en circulación",TRUE())/1000000</f>
        <v/>
      </c>
      <c r="I19" s="14">
        <f>G19*H19</f>
        <v/>
      </c>
      <c r="J19" s="91" t="n">
        <v>0</v>
      </c>
      <c r="K19" s="91" t="n">
        <v>7</v>
      </c>
      <c r="L19" s="91" t="n">
        <v>3</v>
      </c>
      <c r="M19" s="91" t="n">
        <v>1</v>
      </c>
      <c r="N19" s="91" t="n">
        <v>0</v>
      </c>
      <c r="O19" s="91" t="n">
        <v>0.7</v>
      </c>
      <c r="P19" s="91" t="n">
        <v>0.5</v>
      </c>
      <c r="Q19" s="91" t="n">
        <v>1</v>
      </c>
      <c r="R19" s="26">
        <f>SUM(J19:Q19)</f>
        <v/>
      </c>
      <c r="S19" s="16">
        <f>ROUND(R19/17*10,2)</f>
        <v/>
      </c>
      <c r="T19" s="91" t="n">
        <v>15</v>
      </c>
      <c r="U19" s="91" t="n">
        <v>15</v>
      </c>
      <c r="V19" s="91" t="n">
        <v>13</v>
      </c>
      <c r="W19" s="91" t="n">
        <v>10</v>
      </c>
      <c r="X19" s="91" t="n">
        <v>9</v>
      </c>
      <c r="Y19" s="91" t="n">
        <v>13</v>
      </c>
      <c r="Z19" s="91" t="n">
        <v>10</v>
      </c>
      <c r="AA19" s="91" t="n">
        <v>-7</v>
      </c>
      <c r="AB19" s="26">
        <f>SUM(T19:AA19)</f>
        <v/>
      </c>
      <c r="AC19" s="16">
        <f>ROUND(AB19/10,2)</f>
        <v/>
      </c>
      <c r="AD19" s="91" t="n">
        <v>14</v>
      </c>
      <c r="AE19" s="91" t="n">
        <v>-1</v>
      </c>
      <c r="AF19" s="91" t="n">
        <v>7</v>
      </c>
      <c r="AG19" s="91" t="n">
        <v>14</v>
      </c>
      <c r="AH19" s="91" t="n">
        <v>4</v>
      </c>
      <c r="AI19" s="91" t="n">
        <v>9</v>
      </c>
      <c r="AJ19" s="91" t="n">
        <v>13</v>
      </c>
      <c r="AK19" s="91" t="n">
        <v>-3</v>
      </c>
      <c r="AL19" s="26">
        <f>SUM(AD19:AK19)</f>
        <v/>
      </c>
      <c r="AM19" s="16">
        <f>ROUND(AL19/70*10,2)</f>
        <v/>
      </c>
      <c r="AN19" s="17">
        <f>ROUND((S19+AC19+AM19)/3,2)</f>
        <v/>
      </c>
      <c r="AO19" s="18" t="inlineStr">
        <is>
          <t>SEK</t>
        </is>
      </c>
      <c r="AP19" s="19" t="n">
        <v>3000</v>
      </c>
      <c r="AQ19" s="19" t="n">
        <v>12500</v>
      </c>
      <c r="AR19" s="19">
        <f>I19-AP19+AQ19</f>
        <v/>
      </c>
      <c r="AS19" s="19" t="n">
        <v>3800</v>
      </c>
      <c r="AT19" s="19" t="n">
        <v>3400</v>
      </c>
      <c r="AU19" s="19" t="n">
        <v>5800</v>
      </c>
      <c r="AV19" s="19" t="n">
        <v>26500</v>
      </c>
      <c r="AW19" s="20">
        <f>AR19/AS19</f>
        <v/>
      </c>
      <c r="AX19" s="20">
        <f>AR19/AU19</f>
        <v/>
      </c>
      <c r="AY19" s="20">
        <f>AR19/AV19</f>
        <v/>
      </c>
      <c r="AZ19" s="21" t="n">
        <v>22000</v>
      </c>
      <c r="BA19" s="22">
        <f>AT19/AV19</f>
        <v/>
      </c>
      <c r="BB19" s="22">
        <f>AV19/AZ19</f>
        <v/>
      </c>
      <c r="BC19" s="23">
        <f>BA19*BB19</f>
        <v/>
      </c>
      <c r="BD19" t="inlineStr">
        <is>
          <t>5,330</t>
        </is>
      </c>
      <c r="BE19" s="23">
        <f>(BD19/AS19)^(1/5)-1</f>
        <v/>
      </c>
      <c r="BF19" t="inlineStr">
        <is>
          <t>8,331</t>
        </is>
      </c>
      <c r="BG19" s="23">
        <f>(BF19/AS19)^(1/5)-1</f>
        <v/>
      </c>
      <c r="BH19" s="24" t="n">
        <v>16</v>
      </c>
      <c r="BI19" s="24" t="n">
        <v>26</v>
      </c>
      <c r="BJ19" s="25">
        <f>(BD19*BH19+$AP19-$AQ19)/$H19</f>
        <v/>
      </c>
      <c r="BK19" s="25">
        <f>(BF19*BI19+$AP19-$AQ19)/$H19</f>
        <v/>
      </c>
      <c r="BL19" s="23">
        <f>($BJ19/G19)^(1/5)-1</f>
        <v/>
      </c>
      <c r="BM19" s="23">
        <f>(BK19/G19)^(1/4)-1</f>
        <v/>
      </c>
      <c r="BN19" s="93" t="inlineStr">
        <is>
          <t>2026-04-26</t>
        </is>
      </c>
      <c r="BO19" s="93" t="inlineStr">
        <is>
          <t>24/04/2026</t>
        </is>
      </c>
      <c r="BP19" s="93" t="inlineStr">
        <is>
          <t>14/07/2026</t>
        </is>
      </c>
    </row>
    <row r="20" ht="15" customHeight="1" s="96">
      <c r="A20" s="86" t="e">
        <v>#VALUE!</v>
      </c>
      <c r="B20" s="10">
        <f t="array" ref="B20">_FV(A20,"Símbolo bursátil",TRUE())</f>
        <v/>
      </c>
      <c r="C20" s="88" t="inlineStr">
        <is>
          <t>Consumo</t>
        </is>
      </c>
      <c r="D20" s="88" t="inlineStr">
        <is>
          <t>Compounder</t>
        </is>
      </c>
      <c r="E20" s="11">
        <f t="array" ref="E20">_FV(A20,"Abreviatura de intercambio",TRUE())</f>
        <v/>
      </c>
      <c r="F20" s="11">
        <f t="array" ref="F20">_FV(A20,"Moneda")</f>
        <v/>
      </c>
      <c r="G20" s="12">
        <f t="array" ref="G20">_FV(A20,"Precio")</f>
        <v/>
      </c>
      <c r="H20" s="13">
        <f t="array" ref="H20">_FV(A20,"Acciones en circulación",TRUE())/1000000</f>
        <v/>
      </c>
      <c r="I20" s="14">
        <f>G20*H20</f>
        <v/>
      </c>
      <c r="J20" s="90" t="n">
        <v>0.5</v>
      </c>
      <c r="K20" s="90" t="n">
        <v>7</v>
      </c>
      <c r="L20" s="90" t="n">
        <v>2</v>
      </c>
      <c r="M20" s="90" t="n">
        <v>0.5</v>
      </c>
      <c r="N20" s="90" t="n">
        <v>-0.5</v>
      </c>
      <c r="O20" s="90" t="n">
        <v>0.5</v>
      </c>
      <c r="P20" s="90" t="n">
        <v>0.5</v>
      </c>
      <c r="Q20" s="90" t="n">
        <v>0.5</v>
      </c>
      <c r="R20" s="15">
        <f>SUM(J20:Q20)</f>
        <v/>
      </c>
      <c r="S20" s="16">
        <f>ROUND(R20/17*10,2)</f>
        <v/>
      </c>
      <c r="T20" s="90" t="n">
        <v>14</v>
      </c>
      <c r="U20" s="90" t="n">
        <v>15.5</v>
      </c>
      <c r="V20" s="90" t="n">
        <v>14</v>
      </c>
      <c r="W20" s="90" t="n">
        <v>8</v>
      </c>
      <c r="X20" s="90" t="n">
        <v>7</v>
      </c>
      <c r="Y20" s="90" t="n">
        <v>12</v>
      </c>
      <c r="Z20" s="90" t="n">
        <v>9</v>
      </c>
      <c r="AA20" s="90" t="n">
        <v>-12</v>
      </c>
      <c r="AB20" s="15">
        <f>SUM(T20:AA20)</f>
        <v/>
      </c>
      <c r="AC20" s="16">
        <f>ROUND(AB20/10,2)</f>
        <v/>
      </c>
      <c r="AD20" s="90" t="n">
        <v>13</v>
      </c>
      <c r="AE20" s="90" t="n">
        <v>-5</v>
      </c>
      <c r="AF20" s="90" t="n">
        <v>8.5</v>
      </c>
      <c r="AG20" s="90" t="n">
        <v>12</v>
      </c>
      <c r="AH20" s="90" t="n">
        <v>3</v>
      </c>
      <c r="AI20" s="90" t="n">
        <v>8</v>
      </c>
      <c r="AJ20" s="90" t="n">
        <v>12.5</v>
      </c>
      <c r="AK20" s="90" t="n">
        <v>-5</v>
      </c>
      <c r="AL20" s="15">
        <f>SUM(AD20:AK20)</f>
        <v/>
      </c>
      <c r="AM20" s="16">
        <f>ROUND(AL20/70*10,2)</f>
        <v/>
      </c>
      <c r="AN20" s="17">
        <f>ROUND((S20+AC20+AM20)/3,2)</f>
        <v/>
      </c>
      <c r="AO20" s="18" t="inlineStr">
        <is>
          <t>EUR</t>
        </is>
      </c>
      <c r="AP20" s="19" t="n">
        <v>1500</v>
      </c>
      <c r="AQ20" s="19" t="n">
        <v>800</v>
      </c>
      <c r="AR20" s="19">
        <f>I20-AP20+AQ20</f>
        <v/>
      </c>
      <c r="AS20" s="19" t="n">
        <v>450</v>
      </c>
      <c r="AT20" s="19" t="n">
        <v>350</v>
      </c>
      <c r="AU20" s="19" t="n">
        <v>630</v>
      </c>
      <c r="AV20" s="19" t="n">
        <v>3100</v>
      </c>
      <c r="AW20" s="20">
        <f>AR20/AS20</f>
        <v/>
      </c>
      <c r="AX20" s="20">
        <f>AR20/AU20</f>
        <v/>
      </c>
      <c r="AY20" s="20">
        <f>AR20/AV20</f>
        <v/>
      </c>
      <c r="AZ20" s="21" t="n">
        <v>1600</v>
      </c>
      <c r="BA20" s="22">
        <f>AT20/AV20</f>
        <v/>
      </c>
      <c r="BB20" s="22">
        <f>AV20/AZ20</f>
        <v/>
      </c>
      <c r="BC20" s="23">
        <f>BA20*BB20</f>
        <v/>
      </c>
      <c r="BD20" t="inlineStr">
        <is>
          <t>547</t>
        </is>
      </c>
      <c r="BE20" s="23">
        <f>(BD20/AS20)^(1/5)-1</f>
        <v/>
      </c>
      <c r="BF20" t="inlineStr">
        <is>
          <t>866</t>
        </is>
      </c>
      <c r="BG20" s="23">
        <f>(BF20/AS20)^(1/5)-1</f>
        <v/>
      </c>
      <c r="BH20" s="24" t="n">
        <v>12</v>
      </c>
      <c r="BI20" s="24" t="n">
        <v>20</v>
      </c>
      <c r="BJ20" s="25">
        <f>(BD20*BH20+$AP20-$AQ20)/$H20</f>
        <v/>
      </c>
      <c r="BK20" s="25">
        <f>(BF20*BI20+$AP20-$AQ20)/$H20</f>
        <v/>
      </c>
      <c r="BL20" s="23">
        <f>($BJ20/G20)^(1/5)-1</f>
        <v/>
      </c>
      <c r="BM20" s="23">
        <f>(BK20/G20)^(1/4)-1</f>
        <v/>
      </c>
      <c r="BN20" s="93" t="inlineStr">
        <is>
          <t>2026-04-26</t>
        </is>
      </c>
      <c r="BO20" s="93" t="inlineStr">
        <is>
          <t>25/03/2026</t>
        </is>
      </c>
      <c r="BP20" s="93" t="inlineStr">
        <is>
          <t>28/05/2026</t>
        </is>
      </c>
    </row>
    <row r="21" ht="15" customHeight="1" s="96">
      <c r="A21" s="86" t="e">
        <v>#VALUE!</v>
      </c>
      <c r="B21" s="10">
        <f t="array" ref="B21">_FV(A21,"Símbolo bursátil",TRUE())</f>
        <v/>
      </c>
      <c r="C21" s="88" t="inlineStr">
        <is>
          <t>Consumo</t>
        </is>
      </c>
      <c r="D21" s="88" t="inlineStr">
        <is>
          <t>Compounder</t>
        </is>
      </c>
      <c r="E21" s="11">
        <f t="array" ref="E21">_FV(A21,"Abreviatura de intercambio",TRUE())</f>
        <v/>
      </c>
      <c r="F21" s="11">
        <f t="array" ref="F21">_FV(A21,"Moneda")</f>
        <v/>
      </c>
      <c r="G21" s="12">
        <f t="array" ref="G21">_FV(A21,"Precio")</f>
        <v/>
      </c>
      <c r="H21" s="13">
        <f t="array" ref="H21">_FV(A21,"Acciones en circulación",TRUE())/1000000</f>
        <v/>
      </c>
      <c r="I21" s="14">
        <f>G21*H21</f>
        <v/>
      </c>
      <c r="J21" s="91" t="n">
        <v>0</v>
      </c>
      <c r="K21" s="91" t="n">
        <v>7</v>
      </c>
      <c r="L21" s="91" t="n">
        <v>2</v>
      </c>
      <c r="M21" s="91" t="n">
        <v>1</v>
      </c>
      <c r="N21" s="91" t="n">
        <v>-1</v>
      </c>
      <c r="O21" s="91" t="n">
        <v>0.78</v>
      </c>
      <c r="P21" s="91" t="n">
        <v>1</v>
      </c>
      <c r="Q21" s="91" t="n">
        <v>1</v>
      </c>
      <c r="R21" s="26">
        <f>SUM(J21:Q21)</f>
        <v/>
      </c>
      <c r="S21" s="16">
        <f>ROUND(R21/17*10,2)</f>
        <v/>
      </c>
      <c r="T21" s="91" t="n">
        <v>16</v>
      </c>
      <c r="U21" s="91" t="n">
        <v>17</v>
      </c>
      <c r="V21" s="91" t="n">
        <v>11</v>
      </c>
      <c r="W21" s="91" t="n">
        <v>9</v>
      </c>
      <c r="X21" s="91" t="n">
        <v>9</v>
      </c>
      <c r="Y21" s="91" t="n">
        <v>12</v>
      </c>
      <c r="Z21" s="91" t="n">
        <v>9</v>
      </c>
      <c r="AA21" s="91" t="n">
        <v>-9</v>
      </c>
      <c r="AB21" s="26">
        <f>SUM(T21:AA21)</f>
        <v/>
      </c>
      <c r="AC21" s="16">
        <f>ROUND(AB21/10,2)</f>
        <v/>
      </c>
      <c r="AD21" s="91" t="n">
        <v>13</v>
      </c>
      <c r="AE21" s="91" t="n">
        <v>-1</v>
      </c>
      <c r="AF21" s="91" t="n">
        <v>9</v>
      </c>
      <c r="AG21" s="91" t="n">
        <v>12</v>
      </c>
      <c r="AH21" s="91" t="n">
        <v>5</v>
      </c>
      <c r="AI21" s="91" t="n">
        <v>9</v>
      </c>
      <c r="AJ21" s="91" t="n">
        <v>13</v>
      </c>
      <c r="AK21" s="91" t="n">
        <v>-4</v>
      </c>
      <c r="AL21" s="26">
        <f>SUM(AD21:AK21)</f>
        <v/>
      </c>
      <c r="AM21" s="16">
        <f>ROUND(AL21/70*10,2)</f>
        <v/>
      </c>
      <c r="AN21" s="17">
        <f>ROUND((S21+AC21+AM21)/3,2)</f>
        <v/>
      </c>
      <c r="AO21" s="18" t="inlineStr">
        <is>
          <t>USD</t>
        </is>
      </c>
      <c r="AP21" s="19" t="n">
        <v>2600</v>
      </c>
      <c r="AQ21" s="19" t="n">
        <v>50</v>
      </c>
      <c r="AR21" s="19">
        <f>I21-AP21+AQ21</f>
        <v/>
      </c>
      <c r="AS21" s="19" t="n">
        <v>2100</v>
      </c>
      <c r="AT21" s="19" t="n">
        <v>2100</v>
      </c>
      <c r="AU21" s="19" t="n">
        <v>2650</v>
      </c>
      <c r="AV21" s="19" t="n">
        <v>8000</v>
      </c>
      <c r="AW21" s="20">
        <f>AR21/AS21</f>
        <v/>
      </c>
      <c r="AX21" s="20">
        <f>AR21/AU21</f>
        <v/>
      </c>
      <c r="AY21" s="20">
        <f>AR21/AV21</f>
        <v/>
      </c>
      <c r="AZ21" s="21" t="n">
        <v>3200</v>
      </c>
      <c r="BA21" s="22">
        <f>AT21/AV21</f>
        <v/>
      </c>
      <c r="BB21" s="22">
        <f>AV21/AZ21</f>
        <v/>
      </c>
      <c r="BC21" s="23">
        <f>BA21*BB21</f>
        <v/>
      </c>
      <c r="BD21" t="inlineStr">
        <is>
          <t>2,190</t>
        </is>
      </c>
      <c r="BE21" s="23">
        <f>(BD21/AS21)^(1/5)-1</f>
        <v/>
      </c>
      <c r="BF21" t="inlineStr">
        <is>
          <t>3,033</t>
        </is>
      </c>
      <c r="BG21" s="23">
        <f>(BF21/AS21)^(1/5)-1</f>
        <v/>
      </c>
      <c r="BH21" s="24" t="n">
        <v>18</v>
      </c>
      <c r="BI21" s="24" t="n">
        <v>22</v>
      </c>
      <c r="BJ21" s="25">
        <f>(BD21*BH21+$AP21-$AQ21)/$H21</f>
        <v/>
      </c>
      <c r="BK21" s="25">
        <f>(BF21*BI21+$AP21-$AQ21)/$H21</f>
        <v/>
      </c>
      <c r="BL21" s="23">
        <f>($BJ21/G21)^(1/5)-1</f>
        <v/>
      </c>
      <c r="BM21" s="23">
        <f>(BK21/G21)^(1/4)-1</f>
        <v/>
      </c>
      <c r="BN21" s="93" t="inlineStr">
        <is>
          <t>2026-05-15</t>
        </is>
      </c>
      <c r="BO21" s="93" t="inlineStr">
        <is>
          <t>Q1 2026: Rev $2.35B (+27%, récord), EPS $0.58 (beat $0.53). Int'l +44.9% (45% ventas). Margen bruto 55% (ligera compresión vs 56.5%). Stock +12% post-resultados</t>
        </is>
      </c>
      <c r="BP21" s="93" t="inlineStr">
        <is>
          <t>Q2 2026 (agosto 2026)</t>
        </is>
      </c>
    </row>
    <row r="22" ht="15" customHeight="1" s="96">
      <c r="A22" s="86" t="e">
        <v>#VALUE!</v>
      </c>
      <c r="B22" s="10">
        <f t="array" ref="B22">_FV(A22,"Símbolo bursátil",TRUE())</f>
        <v/>
      </c>
      <c r="C22" s="88" t="inlineStr">
        <is>
          <t>Consumo</t>
        </is>
      </c>
      <c r="D22" s="88" t="inlineStr">
        <is>
          <t>Growth</t>
        </is>
      </c>
      <c r="E22" s="11">
        <f t="array" ref="E22">_FV(A22,"Abreviatura de intercambio",TRUE())</f>
        <v/>
      </c>
      <c r="F22" s="11">
        <f t="array" ref="F22">_FV(A22,"Moneda")</f>
        <v/>
      </c>
      <c r="G22" s="12">
        <f t="array" ref="G22">_FV(A22,"Precio")</f>
        <v/>
      </c>
      <c r="H22" s="13">
        <f t="array" ref="H22">_FV(A22,"Acciones en circulación",TRUE())/1000000</f>
        <v/>
      </c>
      <c r="I22" s="14">
        <f>G22*H22</f>
        <v/>
      </c>
      <c r="J22" s="90" t="n">
        <v>1.5</v>
      </c>
      <c r="K22" s="90" t="n">
        <v>7</v>
      </c>
      <c r="L22" s="90" t="n">
        <v>3</v>
      </c>
      <c r="M22" s="90" t="n">
        <v>1</v>
      </c>
      <c r="N22" s="90" t="n">
        <v>0</v>
      </c>
      <c r="O22" s="90" t="n">
        <v>0.82</v>
      </c>
      <c r="P22" s="90" t="n">
        <v>1</v>
      </c>
      <c r="Q22" s="90" t="n">
        <v>1</v>
      </c>
      <c r="R22" s="15">
        <f>SUM(J22:Q22)</f>
        <v/>
      </c>
      <c r="S22" s="16">
        <f>ROUND(R22/17*10,2)</f>
        <v/>
      </c>
      <c r="T22" s="90" t="n">
        <v>14</v>
      </c>
      <c r="U22" s="90" t="n">
        <v>16</v>
      </c>
      <c r="V22" s="90" t="n">
        <v>15</v>
      </c>
      <c r="W22" s="90" t="n">
        <v>9</v>
      </c>
      <c r="X22" s="90" t="n">
        <v>7</v>
      </c>
      <c r="Y22" s="90" t="n">
        <v>12</v>
      </c>
      <c r="Z22" s="90" t="n">
        <v>9</v>
      </c>
      <c r="AA22" s="90" t="n">
        <v>-10</v>
      </c>
      <c r="AB22" s="15">
        <f>SUM(T22:AA22)</f>
        <v/>
      </c>
      <c r="AC22" s="16">
        <f>ROUND(AB22/10,2)</f>
        <v/>
      </c>
      <c r="AD22" s="90" t="n">
        <v>12</v>
      </c>
      <c r="AE22" s="90" t="n">
        <v>-2</v>
      </c>
      <c r="AF22" s="90" t="n">
        <v>10</v>
      </c>
      <c r="AG22" s="90" t="n">
        <v>11</v>
      </c>
      <c r="AH22" s="90" t="n">
        <v>4</v>
      </c>
      <c r="AI22" s="90" t="n">
        <v>8</v>
      </c>
      <c r="AJ22" s="90" t="n">
        <v>12</v>
      </c>
      <c r="AK22" s="90" t="n">
        <v>-5</v>
      </c>
      <c r="AL22" s="15">
        <f>SUM(AD22:AK22)</f>
        <v/>
      </c>
      <c r="AM22" s="16">
        <f>ROUND(AL22/70*10,2)</f>
        <v/>
      </c>
      <c r="AN22" s="17">
        <f>ROUND((S22+AC22+AM22)/3,2)</f>
        <v/>
      </c>
      <c r="AO22" s="18" t="inlineStr">
        <is>
          <t>USD</t>
        </is>
      </c>
      <c r="AP22" s="19" t="n">
        <v>11000</v>
      </c>
      <c r="AQ22" s="19" t="n">
        <v>2000</v>
      </c>
      <c r="AR22" s="19">
        <f>I22-AP22+AQ22</f>
        <v/>
      </c>
      <c r="AS22" s="19" t="n">
        <v>4200</v>
      </c>
      <c r="AT22" s="19" t="n">
        <v>1500</v>
      </c>
      <c r="AU22" s="19" t="n">
        <v>3600</v>
      </c>
      <c r="AV22" s="19" t="n">
        <v>11500</v>
      </c>
      <c r="AW22" s="20">
        <f>AR22/AS22</f>
        <v/>
      </c>
      <c r="AX22" s="20">
        <f>AR22/AU22</f>
        <v/>
      </c>
      <c r="AY22" s="20">
        <f>AR22/AV22</f>
        <v/>
      </c>
      <c r="AZ22" s="21" t="n">
        <v>4000</v>
      </c>
      <c r="BA22" s="22">
        <f>AT22/AV22</f>
        <v/>
      </c>
      <c r="BB22" s="22">
        <f>AV22/AZ22</f>
        <v/>
      </c>
      <c r="BC22" s="23">
        <f>BA22*BB22</f>
        <v/>
      </c>
      <c r="BD22" t="inlineStr">
        <is>
          <t>5,360</t>
        </is>
      </c>
      <c r="BE22" s="23">
        <f>(BD22/AS22)^(1/5)-1</f>
        <v/>
      </c>
      <c r="BF22" t="inlineStr">
        <is>
          <t>8,448</t>
        </is>
      </c>
      <c r="BG22" s="23">
        <f>(BF22/AS22)^(1/5)-1</f>
        <v/>
      </c>
      <c r="BH22" s="24" t="n">
        <v>16</v>
      </c>
      <c r="BI22" s="24" t="n">
        <v>24</v>
      </c>
      <c r="BJ22" s="25">
        <f>(BD22*BH22+$AP22-$AQ22)/$H22</f>
        <v/>
      </c>
      <c r="BK22" s="25">
        <f>(BF22*BI22+$AP22-$AQ22)/$H22</f>
        <v/>
      </c>
      <c r="BL22" s="23">
        <f>($BJ22/G22)^(1/5)-1</f>
        <v/>
      </c>
      <c r="BM22" s="23">
        <f>(BK22/G22)^(1/4)-1</f>
        <v/>
      </c>
      <c r="BN22" s="93" t="inlineStr">
        <is>
          <t>2026-05-15</t>
        </is>
      </c>
      <c r="BO22" s="93" t="inlineStr">
        <is>
          <t>Q1 2026: Rev $2.68B (+18%, beat), GBV $29.2B (+19%), Adj EBITDA $519M (beat). EPS $0.26 (miss vs $0.29). Noches 156M (+9%). Guidance Q2 $3.54-3.60B (+14-16%). Guidance anual alzado</t>
        </is>
      </c>
      <c r="BP22" s="93" t="inlineStr">
        <is>
          <t>Q2 2026 (agosto 2026)</t>
        </is>
      </c>
    </row>
    <row r="23" ht="15" customHeight="1" s="96">
      <c r="A23" s="86" t="e">
        <v>#VALUE!</v>
      </c>
      <c r="B23" s="10">
        <f t="array" ref="B23">_FV(A23,"Símbolo bursátil",TRUE())</f>
        <v/>
      </c>
      <c r="C23" s="88" t="inlineStr">
        <is>
          <t>Defensive</t>
        </is>
      </c>
      <c r="D23" s="88" t="inlineStr">
        <is>
          <t>Defensive</t>
        </is>
      </c>
      <c r="E23" s="11">
        <f t="array" ref="E23">_FV(A23,"Abreviatura de intercambio",TRUE())</f>
        <v/>
      </c>
      <c r="F23" s="11">
        <f t="array" ref="F23">_FV(A23,"Moneda")</f>
        <v/>
      </c>
      <c r="G23" s="12">
        <f t="array" ref="G23">_FV(A23,"Precio")</f>
        <v/>
      </c>
      <c r="H23" s="13">
        <f t="array" ref="H23">_FV(A23,"Acciones en circulación",TRUE())/1000000</f>
        <v/>
      </c>
      <c r="I23" s="14">
        <f>G23*H23</f>
        <v/>
      </c>
      <c r="J23" s="91" t="n">
        <v>0.5</v>
      </c>
      <c r="K23" s="91" t="n">
        <v>7</v>
      </c>
      <c r="L23" s="91" t="n">
        <v>2</v>
      </c>
      <c r="M23" s="91" t="n">
        <v>0.75</v>
      </c>
      <c r="N23" s="91" t="n">
        <v>0</v>
      </c>
      <c r="O23" s="91" t="n">
        <v>0.3</v>
      </c>
      <c r="P23" s="91" t="n">
        <v>1</v>
      </c>
      <c r="Q23" s="91" t="n">
        <v>1</v>
      </c>
      <c r="R23" s="26">
        <f>SUM(J23:Q23)</f>
        <v/>
      </c>
      <c r="S23" s="16">
        <f>ROUND(R23/17*10,2)</f>
        <v/>
      </c>
      <c r="T23" s="91" t="n">
        <v>14</v>
      </c>
      <c r="U23" s="91" t="n">
        <v>16</v>
      </c>
      <c r="V23" s="91" t="n">
        <v>14</v>
      </c>
      <c r="W23" s="91" t="n">
        <v>10</v>
      </c>
      <c r="X23" s="91" t="n">
        <v>9</v>
      </c>
      <c r="Y23" s="91" t="n">
        <v>12</v>
      </c>
      <c r="Z23" s="91" t="n">
        <v>10</v>
      </c>
      <c r="AA23" s="91" t="n">
        <v>-7</v>
      </c>
      <c r="AB23" s="26">
        <f>SUM(T23:AA23)</f>
        <v/>
      </c>
      <c r="AC23" s="16">
        <f>ROUND(AB23/10,2)</f>
        <v/>
      </c>
      <c r="AD23" s="91" t="n">
        <v>13</v>
      </c>
      <c r="AE23" s="91" t="n">
        <v>-2</v>
      </c>
      <c r="AF23" s="91" t="n">
        <v>4</v>
      </c>
      <c r="AG23" s="91" t="n">
        <v>13</v>
      </c>
      <c r="AH23" s="91" t="n">
        <v>3</v>
      </c>
      <c r="AI23" s="91" t="n">
        <v>9</v>
      </c>
      <c r="AJ23" s="91" t="n">
        <v>13</v>
      </c>
      <c r="AK23" s="91" t="n">
        <v>-4</v>
      </c>
      <c r="AL23" s="26">
        <f>SUM(AD23:AK23)</f>
        <v/>
      </c>
      <c r="AM23" s="16">
        <f>ROUND(AL23/70*10,2)</f>
        <v/>
      </c>
      <c r="AN23" s="17">
        <f>ROUND((S23+AC23+AM23)/3,2)</f>
        <v/>
      </c>
      <c r="AO23" s="18" t="inlineStr">
        <is>
          <t>PLN</t>
        </is>
      </c>
      <c r="AP23" s="19" t="n">
        <v>500</v>
      </c>
      <c r="AQ23" s="19" t="n">
        <v>1000</v>
      </c>
      <c r="AR23" s="19">
        <f>I23-AP23+AQ23</f>
        <v/>
      </c>
      <c r="AS23" s="19" t="n">
        <v>700</v>
      </c>
      <c r="AT23" s="19" t="n">
        <v>1700</v>
      </c>
      <c r="AU23" s="19" t="n">
        <v>2500</v>
      </c>
      <c r="AV23" s="19" t="n">
        <v>37000</v>
      </c>
      <c r="AW23" s="20">
        <f>AR23/AS23</f>
        <v/>
      </c>
      <c r="AX23" s="20">
        <f>AR23/AU23</f>
        <v/>
      </c>
      <c r="AY23" s="20">
        <f>AR23/AV23</f>
        <v/>
      </c>
      <c r="AZ23" s="21" t="n">
        <v>6500</v>
      </c>
      <c r="BA23" s="22">
        <f>AT23/AV23</f>
        <v/>
      </c>
      <c r="BB23" s="22">
        <f>AV23/AZ23</f>
        <v/>
      </c>
      <c r="BC23" s="23">
        <f>BA23*BB23</f>
        <v/>
      </c>
      <c r="BD23" t="inlineStr">
        <is>
          <t>1,234</t>
        </is>
      </c>
      <c r="BE23" s="23">
        <f>(BD23/AS23)^(1/5)-1</f>
        <v/>
      </c>
      <c r="BF23" t="inlineStr">
        <is>
          <t>2,052</t>
        </is>
      </c>
      <c r="BG23" s="23">
        <f>(BF23/AS23)^(1/5)-1</f>
        <v/>
      </c>
      <c r="BH23" s="24" t="n">
        <v>15</v>
      </c>
      <c r="BI23" s="24" t="n">
        <v>20</v>
      </c>
      <c r="BJ23" s="25">
        <f>(BD23*BH23+$AP23-$AQ23)/$H23</f>
        <v/>
      </c>
      <c r="BK23" s="25">
        <f>(BF23*BI23+$AP23-$AQ23)/$H23</f>
        <v/>
      </c>
      <c r="BL23" s="23">
        <f>($BJ23/G23)^(1/5)-1</f>
        <v/>
      </c>
      <c r="BM23" s="23">
        <f>(BK23/G23)^(1/4)-1</f>
        <v/>
      </c>
      <c r="BN23" s="93" t="inlineStr">
        <is>
          <t>2026-05-15</t>
        </is>
      </c>
      <c r="BO23" s="93" t="inlineStr">
        <is>
          <t>Q1 2026: Rev PLN 8,896M (+14.8%), LFL +4.4% (&gt;consenso 3.8%). EBITDA PLN 565M (+6.1%), margen 6.7% (vs 7.2% prev). 62 tiendas nuevas, total 3,094. Stock +14%</t>
        </is>
      </c>
      <c r="BP23" s="93" t="inlineStr">
        <is>
          <t>Q2 2026 (agosto 2026)</t>
        </is>
      </c>
    </row>
    <row r="24" ht="15" customHeight="1" s="96">
      <c r="A24" s="86" t="e">
        <v>#VALUE!</v>
      </c>
      <c r="B24" s="10">
        <f t="array" ref="B24">_FV(A24,"Símbolo bursátil",TRUE())</f>
        <v/>
      </c>
      <c r="C24" s="88" t="inlineStr">
        <is>
          <t>Industrial</t>
        </is>
      </c>
      <c r="D24" s="88" t="inlineStr">
        <is>
          <t>Compounder</t>
        </is>
      </c>
      <c r="E24" s="11">
        <f t="array" ref="E24">_FV(A24,"Abreviatura de intercambio",TRUE())</f>
        <v/>
      </c>
      <c r="F24" s="11">
        <f t="array" ref="F24">_FV(A24,"Moneda")</f>
        <v/>
      </c>
      <c r="G24" s="12">
        <f t="array" ref="G24">_FV(A24,"Precio")</f>
        <v/>
      </c>
      <c r="H24" s="13">
        <f t="array" ref="H24">_FV(A24,"Acciones en circulación",TRUE())/1000000</f>
        <v/>
      </c>
      <c r="I24" s="14">
        <f>G24*H24</f>
        <v/>
      </c>
      <c r="J24" s="90" t="n">
        <v>2</v>
      </c>
      <c r="K24" s="90" t="n">
        <v>6</v>
      </c>
      <c r="L24" s="90" t="n">
        <v>1</v>
      </c>
      <c r="M24" s="90" t="n">
        <v>1</v>
      </c>
      <c r="N24" s="90" t="n">
        <v>0</v>
      </c>
      <c r="O24" s="90" t="n">
        <v>0</v>
      </c>
      <c r="P24" s="90" t="n">
        <v>0</v>
      </c>
      <c r="Q24" s="90" t="n">
        <v>0</v>
      </c>
      <c r="R24" s="15">
        <f>SUM(J24:Q24)</f>
        <v/>
      </c>
      <c r="S24" s="16">
        <f>ROUND(R24/17*10,2)</f>
        <v/>
      </c>
      <c r="T24" s="90" t="n">
        <v>14</v>
      </c>
      <c r="U24" s="90" t="n">
        <v>16</v>
      </c>
      <c r="V24" s="90" t="n">
        <v>11</v>
      </c>
      <c r="W24" s="90" t="n">
        <v>10</v>
      </c>
      <c r="X24" s="90" t="n">
        <v>10</v>
      </c>
      <c r="Y24" s="90" t="n">
        <v>12</v>
      </c>
      <c r="Z24" s="90" t="n">
        <v>5</v>
      </c>
      <c r="AA24" s="90" t="n">
        <v>-7</v>
      </c>
      <c r="AB24" s="15">
        <f>SUM(T24:AA24)</f>
        <v/>
      </c>
      <c r="AC24" s="16">
        <f>ROUND(AB24/10,2)</f>
        <v/>
      </c>
      <c r="AD24" s="90" t="n">
        <v>14</v>
      </c>
      <c r="AE24" s="90" t="n">
        <v>-1</v>
      </c>
      <c r="AF24" s="90" t="n">
        <v>7</v>
      </c>
      <c r="AG24" s="90" t="n">
        <v>13</v>
      </c>
      <c r="AH24" s="90" t="n">
        <v>4</v>
      </c>
      <c r="AI24" s="90" t="n">
        <v>8</v>
      </c>
      <c r="AJ24" s="90" t="n">
        <v>13</v>
      </c>
      <c r="AK24" s="90" t="n">
        <v>-3</v>
      </c>
      <c r="AL24" s="15">
        <f>SUM(AD24:AK24)</f>
        <v/>
      </c>
      <c r="AM24" s="16">
        <f>ROUND(AL24/70*10,2)</f>
        <v/>
      </c>
      <c r="AN24" s="17">
        <f>ROUND((S24+AC24+AM24)/3,2)</f>
        <v/>
      </c>
      <c r="AO24" s="18" t="inlineStr">
        <is>
          <t>USD</t>
        </is>
      </c>
      <c r="AP24" s="19" t="n">
        <v>1000</v>
      </c>
      <c r="AQ24" s="19" t="n">
        <v>2500</v>
      </c>
      <c r="AR24" s="19">
        <f>I24-AP24+AQ24</f>
        <v/>
      </c>
      <c r="AS24" s="19" t="n">
        <v>1050</v>
      </c>
      <c r="AT24" s="19" t="n">
        <v>1050</v>
      </c>
      <c r="AU24" s="19" t="n">
        <v>1380</v>
      </c>
      <c r="AV24" s="19" t="n">
        <v>5600</v>
      </c>
      <c r="AW24" s="20">
        <f>AR24/AS24</f>
        <v/>
      </c>
      <c r="AX24" s="20">
        <f>AR24/AU24</f>
        <v/>
      </c>
      <c r="AY24" s="20">
        <f>AR24/AV24</f>
        <v/>
      </c>
      <c r="AZ24" s="21" t="n">
        <v>6500</v>
      </c>
      <c r="BA24" s="22">
        <f>AT24/AV24</f>
        <v/>
      </c>
      <c r="BB24" s="22">
        <f>AV24/AZ24</f>
        <v/>
      </c>
      <c r="BC24" s="23">
        <f>BA24*BB24</f>
        <v/>
      </c>
      <c r="BD24" t="inlineStr">
        <is>
          <t>1,338</t>
        </is>
      </c>
      <c r="BE24" s="23">
        <f>(BD24/AS24)^(1/5)-1</f>
        <v/>
      </c>
      <c r="BF24" t="inlineStr">
        <is>
          <t>1,939</t>
        </is>
      </c>
      <c r="BG24" s="23">
        <f>(BF24/AS24)^(1/5)-1</f>
        <v/>
      </c>
      <c r="BH24" s="24" t="n">
        <v>12.5</v>
      </c>
      <c r="BI24" s="24" t="n">
        <v>20</v>
      </c>
      <c r="BJ24" s="25">
        <f>(BD24*BH24+$AP24-$AQ24)/$H24</f>
        <v/>
      </c>
      <c r="BK24" s="25">
        <f>(BF24*BI24+$AP24-$AQ24)/$H24</f>
        <v/>
      </c>
      <c r="BL24" s="23">
        <f>($BJ24/G24)^(1/5)-1</f>
        <v/>
      </c>
      <c r="BM24" s="23">
        <f>(BK24/G24)^(1/4)-1</f>
        <v/>
      </c>
      <c r="BN24" s="93" t="inlineStr">
        <is>
          <t>2026-05-07</t>
        </is>
      </c>
      <c r="BO24" s="93" t="inlineStr">
        <is>
          <t>Q1 2026: Rev $1,422M (+6.7%), Adj EPS $1.07, Op Cash $182M. YTD capital: $1B (adq In-Situ+GlobalVision $620M + recompras $300M). FY2026 EPS guidance alzada: $4.20-4.28.</t>
        </is>
      </c>
      <c r="BP24" s="93" t="inlineStr">
        <is>
          <t>Q2 2026 (julio 2026)</t>
        </is>
      </c>
    </row>
    <row r="25" ht="15" customHeight="1" s="96">
      <c r="A25" s="86" t="e">
        <v>#VALUE!</v>
      </c>
      <c r="B25" s="10">
        <f t="array" ref="B25">_FV(A25,"Símbolo bursátil",TRUE())</f>
        <v/>
      </c>
      <c r="C25" s="88" t="inlineStr">
        <is>
          <t>Electrify</t>
        </is>
      </c>
      <c r="D25" s="88" t="inlineStr">
        <is>
          <t>Compounder</t>
        </is>
      </c>
      <c r="E25" s="11">
        <f t="array" ref="E25">_FV(A25,"Abreviatura de intercambio",TRUE())</f>
        <v/>
      </c>
      <c r="F25" s="11">
        <f t="array" ref="F25">_FV(A25,"Moneda")</f>
        <v/>
      </c>
      <c r="G25" s="12">
        <f t="array" ref="G25">_FV(A25,"Precio")</f>
        <v/>
      </c>
      <c r="H25" s="13">
        <f t="array" ref="H25">_FV(A25,"Acciones en circulación",TRUE())/1000000</f>
        <v/>
      </c>
      <c r="I25" s="14">
        <f>G25*H25</f>
        <v/>
      </c>
      <c r="J25" s="91" t="n">
        <v>1</v>
      </c>
      <c r="K25" s="91" t="n">
        <v>6</v>
      </c>
      <c r="L25" s="91" t="n">
        <v>2</v>
      </c>
      <c r="M25" s="91" t="n">
        <v>1</v>
      </c>
      <c r="N25" s="91" t="n">
        <v>0</v>
      </c>
      <c r="O25" s="91" t="n">
        <v>1</v>
      </c>
      <c r="P25" s="91" t="n">
        <v>0</v>
      </c>
      <c r="Q25" s="91" t="n">
        <v>0</v>
      </c>
      <c r="R25" s="26">
        <f>SUM(J25:Q25)</f>
        <v/>
      </c>
      <c r="S25" s="16">
        <f>ROUND(R25/17*10,2)</f>
        <v/>
      </c>
      <c r="T25" s="91" t="n">
        <v>14</v>
      </c>
      <c r="U25" s="91" t="n">
        <v>14</v>
      </c>
      <c r="V25" s="91" t="n">
        <v>14</v>
      </c>
      <c r="W25" s="91" t="n">
        <v>10</v>
      </c>
      <c r="X25" s="91" t="n">
        <v>9</v>
      </c>
      <c r="Y25" s="91" t="n">
        <v>11</v>
      </c>
      <c r="Z25" s="91" t="n">
        <v>5</v>
      </c>
      <c r="AA25" s="91" t="n">
        <v>-7</v>
      </c>
      <c r="AB25" s="26">
        <f>SUM(T25:AA25)</f>
        <v/>
      </c>
      <c r="AC25" s="16">
        <f>ROUND(AB25/10,2)</f>
        <v/>
      </c>
      <c r="AD25" s="91" t="n">
        <v>13</v>
      </c>
      <c r="AE25" s="91" t="n">
        <v>-1</v>
      </c>
      <c r="AF25" s="91" t="n">
        <v>6</v>
      </c>
      <c r="AG25" s="91" t="n">
        <v>13</v>
      </c>
      <c r="AH25" s="91" t="n">
        <v>4</v>
      </c>
      <c r="AI25" s="91" t="n">
        <v>8</v>
      </c>
      <c r="AJ25" s="91" t="n">
        <v>12</v>
      </c>
      <c r="AK25" s="91" t="n">
        <v>-3</v>
      </c>
      <c r="AL25" s="26">
        <f>SUM(AD25:AK25)</f>
        <v/>
      </c>
      <c r="AM25" s="16">
        <f>ROUND(AL25/70*10,2)</f>
        <v/>
      </c>
      <c r="AN25" s="17">
        <f>ROUND((S25+AC25+AM25)/3,2)</f>
        <v/>
      </c>
      <c r="AO25" s="18" t="inlineStr">
        <is>
          <t>EUR</t>
        </is>
      </c>
      <c r="AP25" s="19" t="n">
        <v>1800</v>
      </c>
      <c r="AQ25" s="19" t="n">
        <v>4300</v>
      </c>
      <c r="AR25" s="19">
        <f>I25-AP25+AQ25</f>
        <v/>
      </c>
      <c r="AS25" s="19" t="n">
        <v>1400</v>
      </c>
      <c r="AT25" s="19" t="n">
        <v>1460</v>
      </c>
      <c r="AU25" s="19" t="n">
        <v>2300</v>
      </c>
      <c r="AV25" s="19" t="n">
        <v>9700</v>
      </c>
      <c r="AW25" s="20">
        <f>AR25/AS25</f>
        <v/>
      </c>
      <c r="AX25" s="20">
        <f>AR25/AU25</f>
        <v/>
      </c>
      <c r="AY25" s="20">
        <f>AR25/AV25</f>
        <v/>
      </c>
      <c r="AZ25" s="21" t="n">
        <v>9500</v>
      </c>
      <c r="BA25" s="22">
        <f>AT25/AV25</f>
        <v/>
      </c>
      <c r="BB25" s="22">
        <f>AV25/AZ25</f>
        <v/>
      </c>
      <c r="BC25" s="23">
        <f>BA25*BB25</f>
        <v/>
      </c>
      <c r="BD25" t="inlineStr">
        <is>
          <t>1,740</t>
        </is>
      </c>
      <c r="BE25" s="23">
        <f>(BD25/AS25)^(1/5)-1</f>
        <v/>
      </c>
      <c r="BF25" t="inlineStr">
        <is>
          <t>2,615</t>
        </is>
      </c>
      <c r="BG25" s="23">
        <f>(BF25/AS25)^(1/5)-1</f>
        <v/>
      </c>
      <c r="BH25" s="24" t="n">
        <v>13</v>
      </c>
      <c r="BI25" s="24" t="n">
        <v>24</v>
      </c>
      <c r="BJ25" s="25">
        <f>(BD25*BH25+$AP25-$AQ25)/$H25</f>
        <v/>
      </c>
      <c r="BK25" s="25">
        <f>(BF25*BI25+$AP25-$AQ25)/$H25</f>
        <v/>
      </c>
      <c r="BL25" s="23">
        <f>($BJ25/G25)^(1/5)-1</f>
        <v/>
      </c>
      <c r="BM25" s="23">
        <f>(BK25/G25)^(1/4)-1</f>
        <v/>
      </c>
      <c r="BN25" s="93" t="inlineStr">
        <is>
          <t>2026-05-07</t>
        </is>
      </c>
      <c r="BO25" s="93" t="inlineStr">
        <is>
          <t>Q1 2026: Rev €2,537.6M (+11.4%, +9.3% orgánico, +8.2% adq). Net Inc €334.9M (+14.2%). Margen op ajustado 20.7%. Data centers clave. Guidance FY2026: crecimiento 10-15% ex-FX, margen 20.5-21.0%.</t>
        </is>
      </c>
      <c r="BP25" s="93" t="inlineStr">
        <is>
          <t>H1 2026 (julio 2026)</t>
        </is>
      </c>
    </row>
    <row r="26" ht="15" customHeight="1" s="96">
      <c r="A26" s="86" t="e">
        <v>#VALUE!</v>
      </c>
      <c r="B26" s="10">
        <f t="array" ref="B26">_FV(A26,"Símbolo bursátil",TRUE())</f>
        <v/>
      </c>
      <c r="C26" s="88" t="inlineStr">
        <is>
          <t>Healthcare</t>
        </is>
      </c>
      <c r="D26" s="88" t="inlineStr">
        <is>
          <t>Compounder</t>
        </is>
      </c>
      <c r="E26" s="11">
        <f t="array" ref="E26">_FV(A26,"Abreviatura de intercambio",TRUE())</f>
        <v/>
      </c>
      <c r="F26" s="11">
        <f t="array" ref="F26">_FV(A26,"Moneda")</f>
        <v/>
      </c>
      <c r="G26" s="12">
        <f t="array" ref="G26">_FV(A26,"Precio")</f>
        <v/>
      </c>
      <c r="H26" s="13">
        <f t="array" ref="H26">_FV(A26,"Acciones en circulación",TRUE())/1000000</f>
        <v/>
      </c>
      <c r="I26" s="14">
        <f>G26/100*H26</f>
        <v/>
      </c>
      <c r="J26" s="90" t="n">
        <v>1</v>
      </c>
      <c r="K26" s="90" t="n">
        <v>5</v>
      </c>
      <c r="L26" s="90" t="n">
        <v>2</v>
      </c>
      <c r="M26" s="90" t="n">
        <v>0</v>
      </c>
      <c r="N26" s="90" t="n">
        <v>0</v>
      </c>
      <c r="O26" s="90" t="n">
        <v>1</v>
      </c>
      <c r="P26" s="90" t="n">
        <v>1</v>
      </c>
      <c r="Q26" s="90" t="n">
        <v>1</v>
      </c>
      <c r="R26" s="15">
        <f>SUM(J26:Q26)</f>
        <v/>
      </c>
      <c r="S26" s="16">
        <f>ROUND(R26/17*10,2)</f>
        <v/>
      </c>
      <c r="T26" s="90" t="n">
        <v>12</v>
      </c>
      <c r="U26" s="90" t="n">
        <v>13</v>
      </c>
      <c r="V26" s="90" t="n">
        <v>12</v>
      </c>
      <c r="W26" s="90" t="n">
        <v>10</v>
      </c>
      <c r="X26" s="90" t="n">
        <v>8</v>
      </c>
      <c r="Y26" s="90" t="n">
        <v>13</v>
      </c>
      <c r="Z26" s="90" t="n">
        <v>10</v>
      </c>
      <c r="AA26" s="90" t="n">
        <v>-9</v>
      </c>
      <c r="AB26" s="15">
        <f>SUM(T26:AA26)</f>
        <v/>
      </c>
      <c r="AC26" s="16">
        <f>ROUND(AB26/10,2)</f>
        <v/>
      </c>
      <c r="AD26" s="90" t="n">
        <v>13</v>
      </c>
      <c r="AE26" s="90" t="n">
        <v>-2</v>
      </c>
      <c r="AF26" s="90" t="n">
        <v>6</v>
      </c>
      <c r="AG26" s="90" t="n">
        <v>13</v>
      </c>
      <c r="AH26" s="90" t="n">
        <v>2</v>
      </c>
      <c r="AI26" s="90" t="n">
        <v>9</v>
      </c>
      <c r="AJ26" s="90" t="n">
        <v>11</v>
      </c>
      <c r="AK26" s="90" t="n">
        <v>-4</v>
      </c>
      <c r="AL26" s="15">
        <f>SUM(AD26:AK26)</f>
        <v/>
      </c>
      <c r="AM26" s="16">
        <f>ROUND(AL26/70*10,2)</f>
        <v/>
      </c>
      <c r="AN26" s="17">
        <f>ROUND((S26+AC26+AM26)/3,2)</f>
        <v/>
      </c>
      <c r="AO26" s="18" t="inlineStr">
        <is>
          <t>GBP</t>
        </is>
      </c>
      <c r="AP26" s="19" t="n">
        <v>10</v>
      </c>
      <c r="AQ26" s="19" t="n">
        <v>55</v>
      </c>
      <c r="AR26" s="19">
        <f>I26-AP26+AQ26</f>
        <v/>
      </c>
      <c r="AS26" s="19" t="n">
        <v>20</v>
      </c>
      <c r="AT26" s="19" t="n">
        <v>18</v>
      </c>
      <c r="AU26" s="19" t="n">
        <v>30</v>
      </c>
      <c r="AV26" s="19" t="n">
        <v>145</v>
      </c>
      <c r="AW26" s="20">
        <f>AR26/AS26</f>
        <v/>
      </c>
      <c r="AX26" s="20">
        <f>AR26/AU26</f>
        <v/>
      </c>
      <c r="AY26" s="20">
        <f>AR26/AV26</f>
        <v/>
      </c>
      <c r="AZ26" s="21" t="n">
        <v>120</v>
      </c>
      <c r="BA26" s="22">
        <f>AT26/AV26</f>
        <v/>
      </c>
      <c r="BB26" s="22">
        <f>AV26/AZ26</f>
        <v/>
      </c>
      <c r="BC26" s="23">
        <f>BA26*BB26</f>
        <v/>
      </c>
      <c r="BD26" t="inlineStr">
        <is>
          <t>27</t>
        </is>
      </c>
      <c r="BE26" s="23">
        <f>(BD26/AS26)^(1/5)-1</f>
        <v/>
      </c>
      <c r="BF26" t="inlineStr">
        <is>
          <t>46</t>
        </is>
      </c>
      <c r="BG26" s="23">
        <f>(BF26/AS26)^(1/5)-1</f>
        <v/>
      </c>
      <c r="BH26" s="24" t="n">
        <v>10</v>
      </c>
      <c r="BI26" s="24" t="n">
        <v>20</v>
      </c>
      <c r="BJ26" s="25">
        <f>(BD26*BH26+$AP26-$AQ26)/$H26*100</f>
        <v/>
      </c>
      <c r="BK26" s="25">
        <f>(BF26*BI26+$AP26-$AQ26)/$H26*100</f>
        <v/>
      </c>
      <c r="BL26" s="23">
        <f>($BJ26/G26)^(1/5)-1</f>
        <v/>
      </c>
      <c r="BM26" s="23">
        <f>(BK26/G26)^(1/4)-1</f>
        <v/>
      </c>
      <c r="BN26" s="93" t="inlineStr">
        <is>
          <t>2026-04-26</t>
        </is>
      </c>
      <c r="BO26" s="93" t="inlineStr">
        <is>
          <t>N/D</t>
        </is>
      </c>
      <c r="BP26" s="93" t="inlineStr">
        <is>
          <t>N/D</t>
        </is>
      </c>
    </row>
    <row r="27" ht="15" customHeight="1" s="96">
      <c r="A27" s="86" t="e">
        <v>#VALUE!</v>
      </c>
      <c r="B27" s="10">
        <f t="array" ref="B27">_FV(A27,"Símbolo bursátil",TRUE())</f>
        <v/>
      </c>
      <c r="C27" s="88" t="inlineStr">
        <is>
          <t>Healthcare</t>
        </is>
      </c>
      <c r="D27" s="88" t="inlineStr">
        <is>
          <t>Compounder</t>
        </is>
      </c>
      <c r="E27" s="11">
        <f t="array" ref="E27">_FV(A27,"Abreviatura de intercambio",TRUE())</f>
        <v/>
      </c>
      <c r="F27" s="11">
        <f t="array" ref="F27">_FV(A27,"Moneda")</f>
        <v/>
      </c>
      <c r="G27" s="12">
        <f t="array" ref="G27">_FV(A27,"Precio")</f>
        <v/>
      </c>
      <c r="H27" s="13">
        <f t="array" ref="H27">_FV(A27,"Acciones en circulación",TRUE())/1000000</f>
        <v/>
      </c>
      <c r="I27" s="14">
        <f>G27*H27</f>
        <v/>
      </c>
      <c r="J27" s="91" t="n">
        <v>2</v>
      </c>
      <c r="K27" s="91" t="n">
        <v>6</v>
      </c>
      <c r="L27" s="91" t="n">
        <v>2</v>
      </c>
      <c r="M27" s="91" t="n">
        <v>0</v>
      </c>
      <c r="N27" s="91" t="n">
        <v>0</v>
      </c>
      <c r="O27" s="91" t="n">
        <v>1</v>
      </c>
      <c r="P27" s="91" t="n">
        <v>0</v>
      </c>
      <c r="Q27" s="91" t="n">
        <v>0</v>
      </c>
      <c r="R27" s="26">
        <f>SUM(J27:Q27)</f>
        <v/>
      </c>
      <c r="S27" s="16">
        <f>ROUND(R27/17*10,2)</f>
        <v/>
      </c>
      <c r="T27" s="91" t="n">
        <v>12</v>
      </c>
      <c r="U27" s="91" t="n">
        <v>15</v>
      </c>
      <c r="V27" s="91" t="n">
        <v>12</v>
      </c>
      <c r="W27" s="91" t="n">
        <v>9</v>
      </c>
      <c r="X27" s="91" t="n">
        <v>9</v>
      </c>
      <c r="Y27" s="91" t="n">
        <v>11</v>
      </c>
      <c r="Z27" s="91" t="n">
        <v>5</v>
      </c>
      <c r="AA27" s="91" t="n">
        <v>-8</v>
      </c>
      <c r="AB27" s="26">
        <f>SUM(T27:AA27)</f>
        <v/>
      </c>
      <c r="AC27" s="16">
        <f>ROUND(AB27/10,2)</f>
        <v/>
      </c>
      <c r="AD27" s="91" t="n">
        <v>13</v>
      </c>
      <c r="AE27" s="91" t="n">
        <v>-1</v>
      </c>
      <c r="AF27" s="91" t="n">
        <v>7</v>
      </c>
      <c r="AG27" s="91" t="n">
        <v>12</v>
      </c>
      <c r="AH27" s="91" t="n">
        <v>3</v>
      </c>
      <c r="AI27" s="91" t="n">
        <v>7</v>
      </c>
      <c r="AJ27" s="91" t="n">
        <v>12</v>
      </c>
      <c r="AK27" s="91" t="n">
        <v>-3</v>
      </c>
      <c r="AL27" s="26">
        <f>SUM(AD27:AK27)</f>
        <v/>
      </c>
      <c r="AM27" s="16">
        <f>ROUND(AL27/70*10,2)</f>
        <v/>
      </c>
      <c r="AN27" s="17">
        <f>ROUND((S27+AC27+AM27)/3,2)</f>
        <v/>
      </c>
      <c r="AO27" s="18" t="inlineStr">
        <is>
          <t>CHF</t>
        </is>
      </c>
      <c r="AP27" s="19" t="n">
        <v>300</v>
      </c>
      <c r="AQ27" s="19" t="n">
        <v>700</v>
      </c>
      <c r="AR27" s="19">
        <f>I27-AP27+AQ27</f>
        <v/>
      </c>
      <c r="AS27" s="19" t="n">
        <v>350</v>
      </c>
      <c r="AT27" s="19" t="n">
        <v>380</v>
      </c>
      <c r="AU27" s="19" t="n">
        <v>550</v>
      </c>
      <c r="AV27" s="19" t="n">
        <v>2600</v>
      </c>
      <c r="AW27" s="20">
        <f>AR27/AS27</f>
        <v/>
      </c>
      <c r="AX27" s="20">
        <f>AR27/AU27</f>
        <v/>
      </c>
      <c r="AY27" s="20">
        <f>AR27/AV27</f>
        <v/>
      </c>
      <c r="AZ27" s="21" t="n">
        <v>2800</v>
      </c>
      <c r="BA27" s="22">
        <f>AT27/AV27</f>
        <v/>
      </c>
      <c r="BB27" s="22">
        <f>AV27/AZ27</f>
        <v/>
      </c>
      <c r="BC27" s="23">
        <f>BA27*BB27</f>
        <v/>
      </c>
      <c r="BD27" t="inlineStr">
        <is>
          <t>468</t>
        </is>
      </c>
      <c r="BE27" s="23">
        <f>(BD27/AS27)^(1/5)-1</f>
        <v/>
      </c>
      <c r="BF27" t="inlineStr">
        <is>
          <t>735</t>
        </is>
      </c>
      <c r="BG27" s="23">
        <f>(BF27/AS27)^(1/5)-1</f>
        <v/>
      </c>
      <c r="BH27" s="24" t="n">
        <v>18</v>
      </c>
      <c r="BI27" s="24" t="n">
        <v>25</v>
      </c>
      <c r="BJ27" s="25">
        <f>(BD27*BH27+$AP27-$AQ27)/$H27</f>
        <v/>
      </c>
      <c r="BK27" s="25">
        <f>(BF27*BI27+$AP27-$AQ27)/$H27</f>
        <v/>
      </c>
      <c r="BL27" s="23">
        <f>($BJ27/G27)^(1/5)-1</f>
        <v/>
      </c>
      <c r="BM27" s="23">
        <f>(BK27/G27)^(1/4)-1</f>
        <v/>
      </c>
      <c r="BN27" s="93" t="inlineStr">
        <is>
          <t>2026-04-30</t>
        </is>
      </c>
      <c r="BO27" s="94" t="inlineStr">
        <is>
          <t>Q1 2026: Rev CHF 673M (+7.1% org, -1.2% CHF). Supera consensus 5.6%. China estabilizando. LATAM +19.5%. Outlook 2026 confirmado.</t>
        </is>
      </c>
      <c r="BP27" s="93" t="inlineStr">
        <is>
          <t>H1 2026 (agosto 2026)</t>
        </is>
      </c>
    </row>
    <row r="28" ht="15" customHeight="1" s="96">
      <c r="A28" s="86" t="e">
        <v>#VALUE!</v>
      </c>
      <c r="B28" s="10">
        <f t="array" ref="B28">_FV(A28,"Símbolo bursátil",TRUE())</f>
        <v/>
      </c>
      <c r="C28" s="88" t="inlineStr">
        <is>
          <t>Mag 7</t>
        </is>
      </c>
      <c r="D28" s="88" t="inlineStr">
        <is>
          <t>Compounder</t>
        </is>
      </c>
      <c r="E28" s="11">
        <f t="array" ref="E28">_FV(A28,"Abreviatura de intercambio",TRUE())</f>
        <v/>
      </c>
      <c r="F28" s="11">
        <f t="array" ref="F28">_FV(A28,"Moneda")</f>
        <v/>
      </c>
      <c r="G28" s="12">
        <f t="array" ref="G28">_FV(A28,"Precio")</f>
        <v/>
      </c>
      <c r="H28" s="13">
        <f t="array" ref="H28">_FV(A28,"Acciones en circulación",TRUE())/1000000</f>
        <v/>
      </c>
      <c r="I28" s="14">
        <f>G28*H28</f>
        <v/>
      </c>
      <c r="J28" s="90" t="n">
        <v>-0.5</v>
      </c>
      <c r="K28" s="90" t="n">
        <v>7</v>
      </c>
      <c r="L28" s="90" t="n">
        <v>2</v>
      </c>
      <c r="M28" s="90" t="n">
        <v>1</v>
      </c>
      <c r="N28" s="90" t="n">
        <v>-1</v>
      </c>
      <c r="O28" s="90" t="n">
        <v>0</v>
      </c>
      <c r="P28" s="90" t="n">
        <v>1</v>
      </c>
      <c r="Q28" s="90" t="n">
        <v>1</v>
      </c>
      <c r="R28" s="15">
        <f>SUM(J28:Q28)</f>
        <v/>
      </c>
      <c r="S28" s="16">
        <f>ROUND(R28/17*10,2)</f>
        <v/>
      </c>
      <c r="T28" s="90" t="n">
        <v>15</v>
      </c>
      <c r="U28" s="90" t="n">
        <v>18</v>
      </c>
      <c r="V28" s="90" t="n">
        <v>12</v>
      </c>
      <c r="W28" s="90" t="n">
        <v>8</v>
      </c>
      <c r="X28" s="90" t="n">
        <v>8</v>
      </c>
      <c r="Y28" s="90" t="n">
        <v>10</v>
      </c>
      <c r="Z28" s="90" t="n">
        <v>9</v>
      </c>
      <c r="AA28" s="90" t="n">
        <v>-15</v>
      </c>
      <c r="AB28" s="15">
        <f>SUM(T28:AA28)</f>
        <v/>
      </c>
      <c r="AC28" s="16">
        <f>ROUND(AB28/10,2)</f>
        <v/>
      </c>
      <c r="AD28" s="90" t="n">
        <v>12</v>
      </c>
      <c r="AE28" s="90" t="n">
        <v>-3</v>
      </c>
      <c r="AF28" s="90" t="n">
        <v>7</v>
      </c>
      <c r="AG28" s="90" t="n">
        <v>12</v>
      </c>
      <c r="AH28" s="90" t="n">
        <v>4</v>
      </c>
      <c r="AI28" s="90" t="n">
        <v>8</v>
      </c>
      <c r="AJ28" s="90" t="n">
        <v>13</v>
      </c>
      <c r="AK28" s="90" t="n">
        <v>-5</v>
      </c>
      <c r="AL28" s="15">
        <f>SUM(AD28:AK28)</f>
        <v/>
      </c>
      <c r="AM28" s="16">
        <f>ROUND(AL28/70*10,2)</f>
        <v/>
      </c>
      <c r="AN28" s="17">
        <f>ROUND((S28+AC28+AM28)/3,2)</f>
        <v/>
      </c>
      <c r="AO28" s="18" t="inlineStr">
        <is>
          <t>USD</t>
        </is>
      </c>
      <c r="AP28" s="19" t="n">
        <v>68000</v>
      </c>
      <c r="AQ28" s="19" t="n">
        <v>30000</v>
      </c>
      <c r="AR28" s="19">
        <f>I28-AP28+AQ28</f>
        <v/>
      </c>
      <c r="AS28" s="19" t="n">
        <v>50000</v>
      </c>
      <c r="AT28" s="19" t="n">
        <v>55000</v>
      </c>
      <c r="AU28" s="19" t="n">
        <v>95000</v>
      </c>
      <c r="AV28" s="19" t="n">
        <v>164000</v>
      </c>
      <c r="AW28" s="20">
        <f>AR28/AS28</f>
        <v/>
      </c>
      <c r="AX28" s="20">
        <f>AR28/AU28</f>
        <v/>
      </c>
      <c r="AY28" s="20">
        <f>AR28/AV28</f>
        <v/>
      </c>
      <c r="AZ28" s="21" t="n">
        <v>190000</v>
      </c>
      <c r="BA28" s="22">
        <f>AT28/AV28</f>
        <v/>
      </c>
      <c r="BB28" s="22">
        <f>AV28/AZ28</f>
        <v/>
      </c>
      <c r="BC28" s="23">
        <f>BA28*BB28</f>
        <v/>
      </c>
      <c r="BD28" t="inlineStr">
        <is>
          <t>63,814</t>
        </is>
      </c>
      <c r="BE28" s="23">
        <f>(BD28/AS28)^(1/5)-1</f>
        <v/>
      </c>
      <c r="BF28" t="inlineStr">
        <is>
          <t>105,017</t>
        </is>
      </c>
      <c r="BG28" s="23">
        <f>(BF28/AS28)^(1/5)-1</f>
        <v/>
      </c>
      <c r="BH28" s="24" t="n">
        <v>18</v>
      </c>
      <c r="BI28" s="24" t="n">
        <v>26</v>
      </c>
      <c r="BJ28" s="25">
        <f>(BD28*BH28+$AP28-$AQ28)/$H28</f>
        <v/>
      </c>
      <c r="BK28" s="25">
        <f>(BF28*BI28+$AP28-$AQ28)/$H28</f>
        <v/>
      </c>
      <c r="BL28" s="23">
        <f>($BJ28/G28)^(1/5)-1</f>
        <v/>
      </c>
      <c r="BM28" s="23">
        <f>(BK28/G28)^(1/4)-1</f>
        <v/>
      </c>
      <c r="BN28" s="93" t="inlineStr">
        <is>
          <t>2026-04-30</t>
        </is>
      </c>
      <c r="BO28" s="93" t="inlineStr">
        <is>
          <t>Q1 2026: Rev $56.3B (+33%), Net Inc $26.8B (+61%, incl. $8B tax benefit), EPS $10.44, DAP 3.56B (+4%). Capex guidance $125-145B.</t>
        </is>
      </c>
      <c r="BP28" s="93" t="inlineStr">
        <is>
          <t>Q2 2026 (julio 2026)</t>
        </is>
      </c>
    </row>
    <row r="29" ht="15" customHeight="1" s="96">
      <c r="A29" s="86" t="e">
        <v>#VALUE!</v>
      </c>
      <c r="B29" s="10">
        <f t="array" ref="B29">_FV(A29,"Símbolo bursátil",TRUE())</f>
        <v/>
      </c>
      <c r="C29" s="88" t="inlineStr">
        <is>
          <t>Real Assets</t>
        </is>
      </c>
      <c r="D29" s="88" t="inlineStr">
        <is>
          <t>Compounder</t>
        </is>
      </c>
      <c r="E29" s="11">
        <f t="array" ref="E29">_FV(A29,"Abreviatura de intercambio",TRUE())</f>
        <v/>
      </c>
      <c r="F29" s="11">
        <f t="array" ref="F29">_FV(A29,"Moneda")</f>
        <v/>
      </c>
      <c r="G29" s="12">
        <f t="array" ref="G29">_FV(A29,"Precio")</f>
        <v/>
      </c>
      <c r="H29" s="13">
        <f t="array" ref="H29">_FV(A29,"Acciones en circulación",TRUE())/1000000</f>
        <v/>
      </c>
      <c r="I29" s="14">
        <f>G29*H29</f>
        <v/>
      </c>
      <c r="J29" s="91" t="n">
        <v>0</v>
      </c>
      <c r="K29" s="91" t="n">
        <v>6</v>
      </c>
      <c r="L29" s="91" t="n">
        <v>2</v>
      </c>
      <c r="M29" s="91" t="n">
        <v>0</v>
      </c>
      <c r="N29" s="91" t="n">
        <v>0</v>
      </c>
      <c r="O29" s="91" t="n">
        <v>0</v>
      </c>
      <c r="P29" s="91" t="n">
        <v>1</v>
      </c>
      <c r="Q29" s="91" t="n">
        <v>1</v>
      </c>
      <c r="R29" s="26">
        <f>SUM(J29:Q29)</f>
        <v/>
      </c>
      <c r="S29" s="16">
        <f>ROUND(R29/17*10,2)</f>
        <v/>
      </c>
      <c r="T29" s="91" t="n">
        <v>13</v>
      </c>
      <c r="U29" s="91" t="n">
        <v>15</v>
      </c>
      <c r="V29" s="91" t="n">
        <v>14</v>
      </c>
      <c r="W29" s="91" t="n">
        <v>9</v>
      </c>
      <c r="X29" s="91" t="n">
        <v>8</v>
      </c>
      <c r="Y29" s="91" t="n">
        <v>13</v>
      </c>
      <c r="Z29" s="91" t="n">
        <v>9</v>
      </c>
      <c r="AA29" s="91" t="n">
        <v>-10</v>
      </c>
      <c r="AB29" s="26">
        <f>SUM(T29:AA29)</f>
        <v/>
      </c>
      <c r="AC29" s="16">
        <f>ROUND(AB29/10,2)</f>
        <v/>
      </c>
      <c r="AD29" s="91" t="n">
        <v>13</v>
      </c>
      <c r="AE29" s="91" t="n">
        <v>-3</v>
      </c>
      <c r="AF29" s="91" t="n">
        <v>7</v>
      </c>
      <c r="AG29" s="91" t="n">
        <v>13</v>
      </c>
      <c r="AH29" s="91" t="n">
        <v>2</v>
      </c>
      <c r="AI29" s="91" t="n">
        <v>9</v>
      </c>
      <c r="AJ29" s="91" t="n">
        <v>12</v>
      </c>
      <c r="AK29" s="91" t="n">
        <v>-5</v>
      </c>
      <c r="AL29" s="26">
        <f>SUM(AD29:AK29)</f>
        <v/>
      </c>
      <c r="AM29" s="16">
        <f>ROUND(AL29/70*10,2)</f>
        <v/>
      </c>
      <c r="AN29" s="17">
        <f>ROUND((S29+AC29+AM29)/3,2)</f>
        <v/>
      </c>
      <c r="AO29" s="18" t="inlineStr">
        <is>
          <t>USD</t>
        </is>
      </c>
      <c r="AP29" s="19" t="n">
        <v>10000</v>
      </c>
      <c r="AQ29" s="19" t="n">
        <v>60000</v>
      </c>
      <c r="AR29" s="19">
        <f>I29-AP29+AQ29</f>
        <v/>
      </c>
      <c r="AS29" s="19" t="n">
        <v>4500</v>
      </c>
      <c r="AT29" s="19" t="n">
        <v>4700</v>
      </c>
      <c r="AU29" s="19" t="n">
        <v>7800</v>
      </c>
      <c r="AV29" s="19" t="n">
        <v>17300</v>
      </c>
      <c r="AW29" s="20">
        <f>AR29/AS29</f>
        <v/>
      </c>
      <c r="AX29" s="20">
        <f>AR29/AU29</f>
        <v/>
      </c>
      <c r="AY29" s="20">
        <f>AR29/AV29</f>
        <v/>
      </c>
      <c r="AZ29" s="21" t="n">
        <v>80000</v>
      </c>
      <c r="BA29" s="22">
        <f>AT29/AV29</f>
        <v/>
      </c>
      <c r="BB29" s="22">
        <f>AV29/AZ29</f>
        <v/>
      </c>
      <c r="BC29" s="23">
        <f>BA29*BB29</f>
        <v/>
      </c>
      <c r="BD29" t="inlineStr">
        <is>
          <t>5,891</t>
        </is>
      </c>
      <c r="BE29" s="23">
        <f>(BD29/AS29)^(1/5)-1</f>
        <v/>
      </c>
      <c r="BF29" t="inlineStr">
        <is>
          <t>10,451</t>
        </is>
      </c>
      <c r="BG29" s="23">
        <f>(BF29/AS29)^(1/5)-1</f>
        <v/>
      </c>
      <c r="BH29" s="24" t="n">
        <v>15</v>
      </c>
      <c r="BI29" s="24" t="n">
        <v>25</v>
      </c>
      <c r="BJ29" s="25">
        <f>(BD29*BH29+$AP29-$AQ29)/$H29</f>
        <v/>
      </c>
      <c r="BK29" s="25">
        <f>(BF29*BI29+$AP29-$AQ29)/$H29</f>
        <v/>
      </c>
      <c r="BL29" s="23">
        <f>($BJ29/G29)^(1/5)-1</f>
        <v/>
      </c>
      <c r="BM29" s="23">
        <f>(BK29/G29)^(1/4)-1</f>
        <v/>
      </c>
      <c r="BN29" s="93" t="inlineStr">
        <is>
          <t>2026-05-07</t>
        </is>
      </c>
      <c r="BO29" s="93" t="inlineStr">
        <is>
          <t>Q1 2026: AUM récord $758B (+~20% YoY), FRE $1.02B, ANI $1.25B ($1.39/sh, +20% YoY). Div alzado $0.195/sh. Adq Arctos Partners ($16B AUM). Aviso: ANI puede quedar bajo $7/sh si monetizaciones difíciles.</t>
        </is>
      </c>
      <c r="BP29" s="93" t="inlineStr">
        <is>
          <t>Q2 2026 (agosto 2026)</t>
        </is>
      </c>
    </row>
    <row r="30" ht="15" customHeight="1" s="96">
      <c r="A30" s="86" t="e">
        <v>#VALUE!</v>
      </c>
      <c r="B30" s="10">
        <f t="array" ref="B30">_FV(A30,"Símbolo bursátil",TRUE())</f>
        <v/>
      </c>
      <c r="C30" s="88" t="inlineStr">
        <is>
          <t>Cyber</t>
        </is>
      </c>
      <c r="D30" s="88" t="inlineStr">
        <is>
          <t>Growth</t>
        </is>
      </c>
      <c r="E30" s="11">
        <f t="array" ref="E30">_FV(A30,"Abreviatura de intercambio",TRUE())</f>
        <v/>
      </c>
      <c r="F30" s="11">
        <f t="array" ref="F30">_FV(A30,"Moneda")</f>
        <v/>
      </c>
      <c r="G30" s="12">
        <f t="array" ref="G30">_FV(A30,"Precio")</f>
        <v/>
      </c>
      <c r="H30" s="13">
        <f t="array" ref="H30">_FV(A30,"Acciones en circulación",TRUE())/1000000</f>
        <v/>
      </c>
      <c r="I30" s="14">
        <f>G30*H30</f>
        <v/>
      </c>
      <c r="J30" s="90" t="n">
        <v>2</v>
      </c>
      <c r="K30" s="90" t="n">
        <v>5</v>
      </c>
      <c r="L30" s="90" t="n">
        <v>3</v>
      </c>
      <c r="M30" s="90" t="n">
        <v>0.5</v>
      </c>
      <c r="N30" s="90" t="n">
        <v>0</v>
      </c>
      <c r="O30" s="90" t="n">
        <v>1</v>
      </c>
      <c r="P30" s="90" t="n">
        <v>1</v>
      </c>
      <c r="Q30" s="90" t="n">
        <v>0</v>
      </c>
      <c r="R30" s="15">
        <f>SUM(J30:Q30)</f>
        <v/>
      </c>
      <c r="S30" s="16">
        <f>ROUND(R30/17*10,2)</f>
        <v/>
      </c>
      <c r="T30" s="90" t="n">
        <v>10</v>
      </c>
      <c r="U30" s="90" t="n">
        <v>13</v>
      </c>
      <c r="V30" s="90" t="n">
        <v>16</v>
      </c>
      <c r="W30" s="90" t="n">
        <v>9</v>
      </c>
      <c r="X30" s="90" t="n">
        <v>7</v>
      </c>
      <c r="Y30" s="90" t="n">
        <v>10</v>
      </c>
      <c r="Z30" s="90" t="n">
        <v>6</v>
      </c>
      <c r="AA30" s="90" t="n">
        <v>-14</v>
      </c>
      <c r="AB30" s="15">
        <f>SUM(T30:AA30)</f>
        <v/>
      </c>
      <c r="AC30" s="16">
        <f>ROUND(AB30/10,2)</f>
        <v/>
      </c>
      <c r="AD30" s="90" t="n">
        <v>13</v>
      </c>
      <c r="AE30" s="90" t="n">
        <v>-1</v>
      </c>
      <c r="AF30" s="90" t="n">
        <v>6</v>
      </c>
      <c r="AG30" s="90" t="n">
        <v>8</v>
      </c>
      <c r="AH30" s="90" t="n">
        <v>3</v>
      </c>
      <c r="AI30" s="90" t="n">
        <v>8</v>
      </c>
      <c r="AJ30" s="90" t="n">
        <v>11</v>
      </c>
      <c r="AK30" s="90" t="n">
        <v>-4</v>
      </c>
      <c r="AL30" s="15">
        <f>SUM(AD30:AK30)</f>
        <v/>
      </c>
      <c r="AM30" s="16">
        <f>ROUND(AL30/70*10,2)</f>
        <v/>
      </c>
      <c r="AN30" s="17">
        <f>ROUND((S30+AC30+AM30)/3,2)</f>
        <v/>
      </c>
      <c r="AO30" s="18" t="inlineStr">
        <is>
          <t>USD</t>
        </is>
      </c>
      <c r="AP30" s="19" t="n">
        <v>1800</v>
      </c>
      <c r="AQ30" s="19" t="n">
        <v>1300</v>
      </c>
      <c r="AR30" s="19">
        <f>I30-AP30+AQ30</f>
        <v/>
      </c>
      <c r="AS30" s="19" t="n">
        <v>310</v>
      </c>
      <c r="AT30" s="19" t="n">
        <v>100</v>
      </c>
      <c r="AU30" s="19" t="n">
        <v>400</v>
      </c>
      <c r="AV30" s="19" t="n">
        <v>2000</v>
      </c>
      <c r="AW30" s="20">
        <f>AR30/AS30</f>
        <v/>
      </c>
      <c r="AX30" s="20">
        <f>AR30/AU30</f>
        <v/>
      </c>
      <c r="AY30" s="20">
        <f>AR30/AV30</f>
        <v/>
      </c>
      <c r="AZ30" s="21" t="n">
        <v>3500</v>
      </c>
      <c r="BA30" s="22">
        <f>AT30/AV30</f>
        <v/>
      </c>
      <c r="BB30" s="22">
        <f>AV30/AZ30</f>
        <v/>
      </c>
      <c r="BC30" s="23">
        <f>BA30*BB30</f>
        <v/>
      </c>
      <c r="BD30" t="inlineStr">
        <is>
          <t>539</t>
        </is>
      </c>
      <c r="BE30" s="23">
        <f>(BD30/AS30)^(1/5)-1</f>
        <v/>
      </c>
      <c r="BF30" t="inlineStr">
        <is>
          <t>962</t>
        </is>
      </c>
      <c r="BG30" s="23">
        <f>(BF30/AS30)^(1/5)-1</f>
        <v/>
      </c>
      <c r="BH30" s="24" t="n">
        <v>20</v>
      </c>
      <c r="BI30" s="24" t="n">
        <v>30</v>
      </c>
      <c r="BJ30" s="25">
        <f>(BD30*BH30+$AP30-$AQ30)/$H30</f>
        <v/>
      </c>
      <c r="BK30" s="25">
        <f>(BF30*BI30+$AP30-$AQ30)/$H30</f>
        <v/>
      </c>
      <c r="BL30" s="23">
        <f>($BJ30/G30)^(1/5)-1</f>
        <v/>
      </c>
      <c r="BM30" s="23">
        <f>(BK30/G30)^(1/4)-1</f>
        <v/>
      </c>
      <c r="BN30" s="93" t="inlineStr">
        <is>
          <t>2026-05-15</t>
        </is>
      </c>
      <c r="BO30" s="93" t="inlineStr">
        <is>
          <t>Q1 2026: Rev $639.8M (+34%), FCF $84M (13% margen). EVENTO CLAVE: recorte 20% plantilla + pivote 'agentic AI-first'. Cargos reestructuración $140-150M en Q2. Grandes clientes (&gt;$100K): 4,416; deals &gt;$1M: +73% YoY</t>
        </is>
      </c>
      <c r="BP30" s="93" t="inlineStr">
        <is>
          <t>Q2 2026 (agosto 2026)</t>
        </is>
      </c>
    </row>
    <row r="31" ht="15" customHeight="1" s="96">
      <c r="A31" s="86" t="e">
        <v>#VALUE!</v>
      </c>
      <c r="B31" s="10">
        <f t="array" ref="B31">_FV(A31,"Símbolo bursátil",TRUE())</f>
        <v/>
      </c>
      <c r="C31" s="88" t="inlineStr">
        <is>
          <t>Cyber</t>
        </is>
      </c>
      <c r="D31" s="88" t="inlineStr">
        <is>
          <t>Growth</t>
        </is>
      </c>
      <c r="E31" s="11">
        <f t="array" ref="E31">_FV(A31,"Abreviatura de intercambio",TRUE())</f>
        <v/>
      </c>
      <c r="F31" s="11">
        <f t="array" ref="F31">_FV(A31,"Moneda")</f>
        <v/>
      </c>
      <c r="G31" s="12">
        <f t="array" ref="G31">_FV(A31,"Precio")</f>
        <v/>
      </c>
      <c r="H31" s="13">
        <f t="array" ref="H31">_FV(A31,"Acciones en circulación",TRUE())/1000000</f>
        <v/>
      </c>
      <c r="I31" s="14">
        <f>G31*H31</f>
        <v/>
      </c>
      <c r="J31" s="91" t="n">
        <v>2</v>
      </c>
      <c r="K31" s="91" t="n">
        <v>6</v>
      </c>
      <c r="L31" s="91" t="n">
        <v>2</v>
      </c>
      <c r="M31" s="91" t="n">
        <v>0</v>
      </c>
      <c r="N31" s="91" t="n">
        <v>0</v>
      </c>
      <c r="O31" s="91" t="n">
        <v>0</v>
      </c>
      <c r="P31" s="91" t="n">
        <v>1</v>
      </c>
      <c r="Q31" s="91" t="n">
        <v>0</v>
      </c>
      <c r="R31" s="26">
        <f>SUM(J31:Q31)</f>
        <v/>
      </c>
      <c r="S31" s="16">
        <f>ROUND(R31/17*10,2)</f>
        <v/>
      </c>
      <c r="T31" s="91" t="n">
        <v>12</v>
      </c>
      <c r="U31" s="91" t="n">
        <v>16</v>
      </c>
      <c r="V31" s="91" t="n">
        <v>15</v>
      </c>
      <c r="W31" s="91" t="n">
        <v>8</v>
      </c>
      <c r="X31" s="91" t="n">
        <v>9</v>
      </c>
      <c r="Y31" s="91" t="n">
        <v>10</v>
      </c>
      <c r="Z31" s="91" t="n">
        <v>5</v>
      </c>
      <c r="AA31" s="91" t="n">
        <v>-10</v>
      </c>
      <c r="AB31" s="26">
        <f>SUM(T31:AA31)</f>
        <v/>
      </c>
      <c r="AC31" s="16">
        <f>ROUND(AB31/10,2)</f>
        <v/>
      </c>
      <c r="AD31" s="91" t="n">
        <v>12</v>
      </c>
      <c r="AE31" s="91" t="n">
        <v>-2</v>
      </c>
      <c r="AF31" s="91" t="n">
        <v>9</v>
      </c>
      <c r="AG31" s="91" t="n">
        <v>11</v>
      </c>
      <c r="AH31" s="91" t="n">
        <v>3</v>
      </c>
      <c r="AI31" s="91" t="n">
        <v>7</v>
      </c>
      <c r="AJ31" s="91" t="n">
        <v>12</v>
      </c>
      <c r="AK31" s="91" t="n">
        <v>-5</v>
      </c>
      <c r="AL31" s="26">
        <f>SUM(AD31:AK31)</f>
        <v/>
      </c>
      <c r="AM31" s="16">
        <f>ROUND(AL31/70*10,2)</f>
        <v/>
      </c>
      <c r="AN31" s="17">
        <f>ROUND((S31+AC31+AM31)/3,2)</f>
        <v/>
      </c>
      <c r="AO31" s="18" t="inlineStr">
        <is>
          <t>USD</t>
        </is>
      </c>
      <c r="AP31" s="19" t="n">
        <v>4400</v>
      </c>
      <c r="AQ31" s="19" t="n">
        <v>750</v>
      </c>
      <c r="AR31" s="19">
        <f>I31-AP31+AQ31</f>
        <v/>
      </c>
      <c r="AS31" s="19" t="n">
        <v>1200</v>
      </c>
      <c r="AT31" s="19" t="n">
        <v>700</v>
      </c>
      <c r="AU31" s="19" t="n">
        <v>1400</v>
      </c>
      <c r="AV31" s="19" t="n">
        <v>4000</v>
      </c>
      <c r="AW31" s="20">
        <f>AR31/AS31</f>
        <v/>
      </c>
      <c r="AX31" s="20">
        <f>AR31/AU31</f>
        <v/>
      </c>
      <c r="AY31" s="20">
        <f>AR31/AV31</f>
        <v/>
      </c>
      <c r="AZ31" s="21" t="n">
        <v>3500</v>
      </c>
      <c r="BA31" s="22">
        <f>AT31/AV31</f>
        <v/>
      </c>
      <c r="BB31" s="22">
        <f>AV31/AZ31</f>
        <v/>
      </c>
      <c r="BC31" s="23">
        <f>BA31*BB31</f>
        <v/>
      </c>
      <c r="BD31" t="inlineStr">
        <is>
          <t>2,115</t>
        </is>
      </c>
      <c r="BE31" s="23">
        <f>(BD31/AS31)^(1/5)-1</f>
        <v/>
      </c>
      <c r="BF31" t="inlineStr">
        <is>
          <t>3,811</t>
        </is>
      </c>
      <c r="BG31" s="23">
        <f>(BF31/AS31)^(1/5)-1</f>
        <v/>
      </c>
      <c r="BH31" s="24" t="n">
        <v>20</v>
      </c>
      <c r="BI31" s="24" t="n">
        <v>30</v>
      </c>
      <c r="BJ31" s="25">
        <f>(BD31*BH31+$AP31-$AQ31)/$H31</f>
        <v/>
      </c>
      <c r="BK31" s="25">
        <f>(BF31*BI31+$AP31-$AQ31)/$H31</f>
        <v/>
      </c>
      <c r="BL31" s="23">
        <f>($BJ31/G31)^(1/5)-1</f>
        <v/>
      </c>
      <c r="BM31" s="23">
        <f>(BK31/G31)^(1/4)-1</f>
        <v/>
      </c>
      <c r="BN31" s="93" t="inlineStr">
        <is>
          <t>2026-04-26</t>
        </is>
      </c>
      <c r="BO31" s="93" t="inlineStr">
        <is>
          <t>03/03/2026</t>
        </is>
      </c>
      <c r="BP31" s="93" t="inlineStr">
        <is>
          <t>09/06/2026</t>
        </is>
      </c>
    </row>
    <row r="32" ht="15" customHeight="1" s="96">
      <c r="A32" s="86" t="e">
        <v>#VALUE!</v>
      </c>
      <c r="B32" s="10">
        <f t="array" ref="B32">_FV(A32,"Símbolo bursátil",TRUE())</f>
        <v/>
      </c>
      <c r="C32" s="88" t="inlineStr">
        <is>
          <t>Mag 7</t>
        </is>
      </c>
      <c r="D32" s="88" t="inlineStr">
        <is>
          <t>Compounder</t>
        </is>
      </c>
      <c r="E32" s="11">
        <f t="array" ref="E32">_FV(A32,"Abreviatura de intercambio",TRUE())</f>
        <v/>
      </c>
      <c r="F32" s="11">
        <f t="array" ref="F32">_FV(A32,"Moneda")</f>
        <v/>
      </c>
      <c r="G32" s="12">
        <f t="array" ref="G32">_FV(A32,"Precio")</f>
        <v/>
      </c>
      <c r="H32" s="13">
        <f t="array" ref="H32">_FV(A32,"Acciones en circulación",TRUE())/1000000</f>
        <v/>
      </c>
      <c r="I32" s="14">
        <f>G32*H32</f>
        <v/>
      </c>
      <c r="J32" s="90" t="n">
        <v>1</v>
      </c>
      <c r="K32" s="90" t="n">
        <v>7</v>
      </c>
      <c r="L32" s="90" t="n">
        <v>3</v>
      </c>
      <c r="M32" s="90" t="n">
        <v>1</v>
      </c>
      <c r="N32" s="90" t="n">
        <v>-1</v>
      </c>
      <c r="O32" s="90" t="n">
        <v>1</v>
      </c>
      <c r="P32" s="90" t="n">
        <v>0</v>
      </c>
      <c r="Q32" s="90" t="n">
        <v>0</v>
      </c>
      <c r="R32" s="15">
        <f>SUM(J32:Q32)</f>
        <v/>
      </c>
      <c r="S32" s="16">
        <f>ROUND(R32/17*10,2)</f>
        <v/>
      </c>
      <c r="T32" s="90" t="n">
        <v>16</v>
      </c>
      <c r="U32" s="90" t="n">
        <v>18</v>
      </c>
      <c r="V32" s="90" t="n">
        <v>13</v>
      </c>
      <c r="W32" s="90" t="n">
        <v>8</v>
      </c>
      <c r="X32" s="90" t="n">
        <v>8</v>
      </c>
      <c r="Y32" s="90" t="n">
        <v>9</v>
      </c>
      <c r="Z32" s="90" t="n">
        <v>6</v>
      </c>
      <c r="AA32" s="90" t="n">
        <v>-14</v>
      </c>
      <c r="AB32" s="15">
        <f>SUM(T32:AA32)</f>
        <v/>
      </c>
      <c r="AC32" s="16">
        <f>ROUND(AB32/10,2)</f>
        <v/>
      </c>
      <c r="AD32" s="90" t="n">
        <v>12</v>
      </c>
      <c r="AE32" s="90" t="n">
        <v>-4</v>
      </c>
      <c r="AF32" s="90" t="n">
        <v>6</v>
      </c>
      <c r="AG32" s="90" t="n">
        <v>11</v>
      </c>
      <c r="AH32" s="90" t="n">
        <v>4</v>
      </c>
      <c r="AI32" s="90" t="n">
        <v>7</v>
      </c>
      <c r="AJ32" s="90" t="n">
        <v>13</v>
      </c>
      <c r="AK32" s="90" t="n">
        <v>-6</v>
      </c>
      <c r="AL32" s="15">
        <f>SUM(AD32:AK32)</f>
        <v/>
      </c>
      <c r="AM32" s="16">
        <f>ROUND(AL32/70*10,2)</f>
        <v/>
      </c>
      <c r="AN32" s="17">
        <f>ROUND((S32+AC32+AM32)/3,2)</f>
        <v/>
      </c>
      <c r="AO32" s="18" t="inlineStr">
        <is>
          <t>USD</t>
        </is>
      </c>
      <c r="AP32" s="19" t="n">
        <v>110000</v>
      </c>
      <c r="AQ32" s="19" t="n">
        <v>15000</v>
      </c>
      <c r="AR32" s="19">
        <f>I32-AP32+AQ32</f>
        <v/>
      </c>
      <c r="AS32" s="19" t="n">
        <v>75000</v>
      </c>
      <c r="AT32" s="19" t="n">
        <v>95000</v>
      </c>
      <c r="AU32" s="19" t="n">
        <v>148000</v>
      </c>
      <c r="AV32" s="19" t="n">
        <v>350000</v>
      </c>
      <c r="AW32" s="20">
        <f>AR32/AS32</f>
        <v/>
      </c>
      <c r="AX32" s="20">
        <f>AR32/AU32</f>
        <v/>
      </c>
      <c r="AY32" s="20">
        <f>AR32/AV32</f>
        <v/>
      </c>
      <c r="AZ32" s="21" t="n">
        <v>350000</v>
      </c>
      <c r="BA32" s="22">
        <f>AT32/AV32</f>
        <v/>
      </c>
      <c r="BB32" s="22">
        <f>AV32/AZ32</f>
        <v/>
      </c>
      <c r="BC32" s="23">
        <f>BA32*BB32</f>
        <v/>
      </c>
      <c r="BD32" t="inlineStr">
        <is>
          <t>95,721</t>
        </is>
      </c>
      <c r="BE32" s="23">
        <f>(BD32/AS32)^(1/5)-1</f>
        <v/>
      </c>
      <c r="BF32" t="inlineStr">
        <is>
          <t>150,852</t>
        </is>
      </c>
      <c r="BG32" s="23">
        <f>(BF32/AS32)^(1/5)-1</f>
        <v/>
      </c>
      <c r="BH32" s="24" t="n">
        <v>20</v>
      </c>
      <c r="BI32" s="24" t="n">
        <v>30</v>
      </c>
      <c r="BJ32" s="25">
        <f>(BD32*BH32+$AP32-$AQ32)/$H32</f>
        <v/>
      </c>
      <c r="BK32" s="25">
        <f>(BF32*BI32+$AP32-$AQ32)/$H32</f>
        <v/>
      </c>
      <c r="BL32" s="23">
        <f>($BJ32/G32)^(1/5)-1</f>
        <v/>
      </c>
      <c r="BM32" s="23">
        <f>(BK32/G32)^(1/4)-1</f>
        <v/>
      </c>
      <c r="BN32" s="93" t="inlineStr">
        <is>
          <t>2026-04-30</t>
        </is>
      </c>
      <c r="BO32" s="93" t="inlineStr">
        <is>
          <t>Q1 2026: Rev $109.9B (+22%), Cloud $20B (+63%, backlog $462B), Net Inc $62.6B (+81%), EPS $5.11 (+82%). Capex hasta $190B.</t>
        </is>
      </c>
      <c r="BP32" s="93" t="inlineStr">
        <is>
          <t>Q2 2026 (julio 2026)</t>
        </is>
      </c>
    </row>
    <row r="33" ht="15" customHeight="1" s="96">
      <c r="A33" s="86" t="e">
        <v>#VALUE!</v>
      </c>
      <c r="B33" s="10">
        <f t="array" ref="B33">_FV(A33,"Símbolo bursátil",TRUE())</f>
        <v/>
      </c>
      <c r="C33" s="88" t="inlineStr">
        <is>
          <t>Electrify</t>
        </is>
      </c>
      <c r="D33" s="88" t="inlineStr">
        <is>
          <t>Compounder</t>
        </is>
      </c>
      <c r="E33" s="11">
        <f t="array" ref="E33">_FV(A33,"Abreviatura de intercambio",TRUE())</f>
        <v/>
      </c>
      <c r="F33" s="11">
        <f t="array" ref="F33">_FV(A33,"Moneda")</f>
        <v/>
      </c>
      <c r="G33" s="12">
        <f t="array" ref="G33">_FV(A33,"Precio")</f>
        <v/>
      </c>
      <c r="H33" s="13">
        <f t="array" ref="H33">_FV(A33,"Acciones en circulación",TRUE())/1000000</f>
        <v/>
      </c>
      <c r="I33" s="14">
        <f>G33*H33</f>
        <v/>
      </c>
      <c r="J33" s="91" t="n">
        <v>1</v>
      </c>
      <c r="K33" s="91" t="n">
        <v>6</v>
      </c>
      <c r="L33" s="91" t="n">
        <v>2</v>
      </c>
      <c r="M33" s="91" t="n">
        <v>1</v>
      </c>
      <c r="N33" s="91" t="n">
        <v>0</v>
      </c>
      <c r="O33" s="91" t="n">
        <v>0</v>
      </c>
      <c r="P33" s="91" t="n">
        <v>0</v>
      </c>
      <c r="Q33" s="91" t="n">
        <v>0</v>
      </c>
      <c r="R33" s="26">
        <f>SUM(J33:Q33)</f>
        <v/>
      </c>
      <c r="S33" s="16">
        <f>ROUND(R33/17*10,2)</f>
        <v/>
      </c>
      <c r="T33" s="91" t="n">
        <v>13</v>
      </c>
      <c r="U33" s="91" t="n">
        <v>14</v>
      </c>
      <c r="V33" s="91" t="n">
        <v>13</v>
      </c>
      <c r="W33" s="91" t="n">
        <v>9</v>
      </c>
      <c r="X33" s="91" t="n">
        <v>8</v>
      </c>
      <c r="Y33" s="91" t="n">
        <v>11</v>
      </c>
      <c r="Z33" s="91" t="n">
        <v>4</v>
      </c>
      <c r="AA33" s="91" t="n">
        <v>-8</v>
      </c>
      <c r="AB33" s="26">
        <f>SUM(T33:AA33)</f>
        <v/>
      </c>
      <c r="AC33" s="16">
        <f>ROUND(AB33/10,2)</f>
        <v/>
      </c>
      <c r="AD33" s="91" t="n">
        <v>12</v>
      </c>
      <c r="AE33" s="91" t="n">
        <v>-2</v>
      </c>
      <c r="AF33" s="91" t="n">
        <v>5</v>
      </c>
      <c r="AG33" s="91" t="n">
        <v>12</v>
      </c>
      <c r="AH33" s="91" t="n">
        <v>4</v>
      </c>
      <c r="AI33" s="91" t="n">
        <v>7</v>
      </c>
      <c r="AJ33" s="91" t="n">
        <v>11</v>
      </c>
      <c r="AK33" s="91" t="n">
        <v>-4</v>
      </c>
      <c r="AL33" s="26">
        <f>SUM(AD33:AK33)</f>
        <v/>
      </c>
      <c r="AM33" s="16">
        <f>ROUND(AL33/70*10,2)</f>
        <v/>
      </c>
      <c r="AN33" s="17">
        <f>ROUND((S33+AC33+AM33)/3,2)</f>
        <v/>
      </c>
      <c r="AO33" s="18" t="inlineStr">
        <is>
          <t>USD</t>
        </is>
      </c>
      <c r="AP33" s="19" t="n">
        <v>5000</v>
      </c>
      <c r="AQ33" s="19" t="n">
        <v>7500</v>
      </c>
      <c r="AR33" s="19">
        <f>I33*'Framework Notes'!E5-AP33+AQ33</f>
        <v/>
      </c>
      <c r="AS33" s="19" t="n">
        <v>4200</v>
      </c>
      <c r="AT33" s="19" t="n">
        <v>4500</v>
      </c>
      <c r="AU33" s="19" t="n">
        <v>6200</v>
      </c>
      <c r="AV33" s="19" t="n">
        <v>33500</v>
      </c>
      <c r="AW33" s="20">
        <f>AR33/AS33</f>
        <v/>
      </c>
      <c r="AX33" s="20">
        <f>AR33/AU33</f>
        <v/>
      </c>
      <c r="AY33" s="20">
        <f>AR33/AV33</f>
        <v/>
      </c>
      <c r="AZ33" s="21" t="n">
        <v>22000</v>
      </c>
      <c r="BA33" s="22">
        <f>AT33/AV33</f>
        <v/>
      </c>
      <c r="BB33" s="22">
        <f>AV33/AZ33</f>
        <v/>
      </c>
      <c r="BC33" s="23">
        <f>BA33*BB33</f>
        <v/>
      </c>
      <c r="BD33" t="inlineStr">
        <is>
          <t>5,110</t>
        </is>
      </c>
      <c r="BE33" s="23">
        <f>(BD33/AS33)^(1/5)-1</f>
        <v/>
      </c>
      <c r="BF33" t="inlineStr">
        <is>
          <t>7,402</t>
        </is>
      </c>
      <c r="BG33" s="23">
        <f>(BF33/AS33)^(1/5)-1</f>
        <v/>
      </c>
      <c r="BH33" s="24" t="n">
        <v>14</v>
      </c>
      <c r="BI33" s="24" t="n">
        <v>25</v>
      </c>
      <c r="BJ33" s="25">
        <f>((BD33*BH33+$AP33-$AQ33)/$H33)/'Framework Notes'!E5</f>
        <v/>
      </c>
      <c r="BK33" s="25">
        <f>((BF33*BI33+$AP33-$AQ33)/$H33)/'Framework Notes'!E5</f>
        <v/>
      </c>
      <c r="BL33" s="23">
        <f>($BJ33/G33)^(1/5)-1</f>
        <v/>
      </c>
      <c r="BM33" s="23">
        <f>(BK33/G33)^(1/4)-1</f>
        <v/>
      </c>
      <c r="BN33" s="93" t="inlineStr">
        <is>
          <t>2026-04-26</t>
        </is>
      </c>
      <c r="BO33" s="93" t="inlineStr">
        <is>
          <t>22/04/2026</t>
        </is>
      </c>
      <c r="BP33" s="93" t="inlineStr">
        <is>
          <t>16/07/2026</t>
        </is>
      </c>
    </row>
    <row r="34" ht="15" customHeight="1" s="96">
      <c r="A34" s="86" t="e">
        <v>#VALUE!</v>
      </c>
      <c r="B34" s="10">
        <f t="array" ref="B34">_FV(A34,"Símbolo bursátil",TRUE())</f>
        <v/>
      </c>
      <c r="C34" s="88" t="inlineStr">
        <is>
          <t>Sports</t>
        </is>
      </c>
      <c r="D34" s="88" t="inlineStr">
        <is>
          <t>Compounder</t>
        </is>
      </c>
      <c r="E34" s="11">
        <f t="array" ref="E34">_FV(A34,"Abreviatura de intercambio",TRUE())</f>
        <v/>
      </c>
      <c r="F34" s="11">
        <f t="array" ref="F34">_FV(A34,"Moneda")</f>
        <v/>
      </c>
      <c r="G34" s="12">
        <f t="array" ref="G34">_FV(A34,"Precio")</f>
        <v/>
      </c>
      <c r="H34" s="13">
        <f t="array" ref="H34">_FV(A34,"Acciones en circulación",TRUE())/1000000</f>
        <v/>
      </c>
      <c r="I34" s="14">
        <f>G34*H34</f>
        <v/>
      </c>
      <c r="J34" s="90" t="n">
        <v>0</v>
      </c>
      <c r="K34" s="90" t="n">
        <v>5</v>
      </c>
      <c r="L34" s="90" t="n">
        <v>2</v>
      </c>
      <c r="M34" s="90" t="n">
        <v>1</v>
      </c>
      <c r="N34" s="90" t="n">
        <v>0</v>
      </c>
      <c r="O34" s="90" t="n">
        <v>1</v>
      </c>
      <c r="P34" s="90" t="n">
        <v>0</v>
      </c>
      <c r="Q34" s="90" t="n">
        <v>0</v>
      </c>
      <c r="R34" s="15">
        <f>SUM(J34:Q34)</f>
        <v/>
      </c>
      <c r="S34" s="16">
        <f>ROUND(R34/17*10,2)</f>
        <v/>
      </c>
      <c r="T34" s="90" t="n">
        <v>14</v>
      </c>
      <c r="U34" s="90" t="n">
        <v>13</v>
      </c>
      <c r="V34" s="90" t="n">
        <v>10</v>
      </c>
      <c r="W34" s="90" t="n">
        <v>8</v>
      </c>
      <c r="X34" s="90" t="n">
        <v>8</v>
      </c>
      <c r="Y34" s="90" t="n">
        <v>10</v>
      </c>
      <c r="Z34" s="90" t="n">
        <v>6</v>
      </c>
      <c r="AA34" s="90" t="n">
        <v>-7</v>
      </c>
      <c r="AB34" s="15">
        <f>SUM(T34:AA34)</f>
        <v/>
      </c>
      <c r="AC34" s="16">
        <f>ROUND(AB34/10,2)</f>
        <v/>
      </c>
      <c r="AD34" s="90" t="n">
        <v>12</v>
      </c>
      <c r="AE34" s="90" t="n">
        <v>-2</v>
      </c>
      <c r="AF34" s="90" t="n">
        <v>8</v>
      </c>
      <c r="AG34" s="90" t="n">
        <v>10</v>
      </c>
      <c r="AH34" s="90" t="n">
        <v>5</v>
      </c>
      <c r="AI34" s="90" t="n">
        <v>7</v>
      </c>
      <c r="AJ34" s="90" t="n">
        <v>10</v>
      </c>
      <c r="AK34" s="90" t="n">
        <v>-3</v>
      </c>
      <c r="AL34" s="15">
        <f>SUM(AD34:AK34)</f>
        <v/>
      </c>
      <c r="AM34" s="16">
        <f>ROUND(AL34/70*10,2)</f>
        <v/>
      </c>
      <c r="AN34" s="17">
        <f>ROUND((S34+AC34+AM34)/3,2)</f>
        <v/>
      </c>
      <c r="AO34" s="18" t="inlineStr">
        <is>
          <t>USD</t>
        </is>
      </c>
      <c r="AP34" s="19" t="n">
        <v>3500</v>
      </c>
      <c r="AQ34" s="19" t="n">
        <v>0</v>
      </c>
      <c r="AR34" s="19">
        <f>I34-AP34+AQ34</f>
        <v/>
      </c>
      <c r="AS34" s="19" t="n">
        <v>1300</v>
      </c>
      <c r="AT34" s="19" t="n">
        <v>1200</v>
      </c>
      <c r="AU34" s="19" t="n">
        <v>1650</v>
      </c>
      <c r="AV34" s="19" t="n">
        <v>6300</v>
      </c>
      <c r="AW34" s="20">
        <f>AR34/AS34</f>
        <v/>
      </c>
      <c r="AX34" s="20">
        <f>AR34/AU34</f>
        <v/>
      </c>
      <c r="AY34" s="20">
        <f>AR34/AV34</f>
        <v/>
      </c>
      <c r="AZ34" s="21" t="n">
        <v>4800</v>
      </c>
      <c r="BA34" s="22">
        <f>AT34/AV34</f>
        <v/>
      </c>
      <c r="BB34" s="22">
        <f>AV34/AZ34</f>
        <v/>
      </c>
      <c r="BC34" s="23">
        <f>BA34*BB34</f>
        <v/>
      </c>
      <c r="BD34" t="inlineStr">
        <is>
          <t>1,582</t>
        </is>
      </c>
      <c r="BE34" s="23">
        <f>(BD34/AS34)^(1/5)-1</f>
        <v/>
      </c>
      <c r="BF34" t="inlineStr">
        <is>
          <t>2,395</t>
        </is>
      </c>
      <c r="BG34" s="23">
        <f>(BF34/AS34)^(1/5)-1</f>
        <v/>
      </c>
      <c r="BH34" s="24" t="n">
        <v>18</v>
      </c>
      <c r="BI34" s="24" t="n">
        <v>26</v>
      </c>
      <c r="BJ34" s="25">
        <f>(BD34*BH34+$AP34-$AQ34)/$H34</f>
        <v/>
      </c>
      <c r="BK34" s="25">
        <f>(BF34*BI34+$AP34-$AQ34)/$H34</f>
        <v/>
      </c>
      <c r="BL34" s="23">
        <f>($BJ34/G34)^(1/5)-1</f>
        <v/>
      </c>
      <c r="BM34" s="23">
        <f>(BK34/G34)^(1/4)-1</f>
        <v/>
      </c>
      <c r="BN34" s="93" t="inlineStr">
        <is>
          <t>2026-04-30</t>
        </is>
      </c>
      <c r="BO34" s="93" t="inlineStr">
        <is>
          <t>Q1 2026: Rev $1.75B (+14% récord), Op.Inc $432M (+30%, margen 24.6%), EPS $2.08 vs est $1.86. Fitness +42%. Guidance 2026: $7.9B / EPS $9.35.</t>
        </is>
      </c>
      <c r="BP34" s="93" t="inlineStr">
        <is>
          <t>Q2 2026 (julio 2026)</t>
        </is>
      </c>
    </row>
    <row r="35" ht="15" customHeight="1" s="96">
      <c r="A35" s="86" t="e">
        <v>#VALUE!</v>
      </c>
      <c r="B35" s="10">
        <f t="array" ref="B35">_FV(A35,"Símbolo bursátil",TRUE())</f>
        <v/>
      </c>
      <c r="C35" s="88" t="inlineStr">
        <is>
          <t>construction</t>
        </is>
      </c>
      <c r="D35" s="88" t="inlineStr">
        <is>
          <t>Compounder</t>
        </is>
      </c>
      <c r="E35" s="11">
        <f t="array" ref="E35">_FV(A35,"Abreviatura de intercambio",TRUE())</f>
        <v/>
      </c>
      <c r="F35" s="11">
        <f t="array" ref="F35">_FV(A35,"Moneda")</f>
        <v/>
      </c>
      <c r="G35" s="12">
        <f t="array" ref="G35">_FV(A35,"Precio")</f>
        <v/>
      </c>
      <c r="H35" s="13">
        <f t="array" ref="H35">_FV(A35,"Acciones en circulación",TRUE())/1000000</f>
        <v/>
      </c>
      <c r="I35" s="14">
        <f>G35*H35</f>
        <v/>
      </c>
      <c r="J35" s="91" t="n">
        <v>1</v>
      </c>
      <c r="K35" s="91" t="n">
        <v>5</v>
      </c>
      <c r="L35" s="91" t="n">
        <v>2</v>
      </c>
      <c r="M35" s="91" t="n">
        <v>0</v>
      </c>
      <c r="N35" s="91" t="n">
        <v>0</v>
      </c>
      <c r="O35" s="91" t="n">
        <v>0</v>
      </c>
      <c r="P35" s="91" t="n">
        <v>1</v>
      </c>
      <c r="Q35" s="91" t="n">
        <v>1</v>
      </c>
      <c r="R35" s="26">
        <f>SUM(J35:Q35)</f>
        <v/>
      </c>
      <c r="S35" s="16">
        <f>ROUND(R35/17*10,2)</f>
        <v/>
      </c>
      <c r="T35" s="91" t="n">
        <v>12</v>
      </c>
      <c r="U35" s="91" t="n">
        <v>13</v>
      </c>
      <c r="V35" s="91" t="n">
        <v>13</v>
      </c>
      <c r="W35" s="91" t="n">
        <v>9</v>
      </c>
      <c r="X35" s="91" t="n">
        <v>7</v>
      </c>
      <c r="Y35" s="91" t="n">
        <v>11</v>
      </c>
      <c r="Z35" s="91" t="n">
        <v>8</v>
      </c>
      <c r="AA35" s="91" t="n">
        <v>-9</v>
      </c>
      <c r="AB35" s="26">
        <f>SUM(T35:AA35)</f>
        <v/>
      </c>
      <c r="AC35" s="16">
        <f>ROUND(AB35/10,2)</f>
        <v/>
      </c>
      <c r="AD35" s="91" t="n">
        <v>12</v>
      </c>
      <c r="AE35" s="91" t="n">
        <v>-2</v>
      </c>
      <c r="AF35" s="91" t="n">
        <v>4</v>
      </c>
      <c r="AG35" s="91" t="n">
        <v>11</v>
      </c>
      <c r="AH35" s="91" t="n">
        <v>2</v>
      </c>
      <c r="AI35" s="91" t="n">
        <v>8</v>
      </c>
      <c r="AJ35" s="91" t="n">
        <v>10</v>
      </c>
      <c r="AK35" s="91" t="n">
        <v>-4</v>
      </c>
      <c r="AL35" s="26">
        <f>SUM(AD35:AK35)</f>
        <v/>
      </c>
      <c r="AM35" s="16">
        <f>ROUND(AL35/70*10,2)</f>
        <v/>
      </c>
      <c r="AN35" s="17">
        <f>ROUND((S35+AC35+AM35)/3,2)</f>
        <v/>
      </c>
      <c r="AO35" s="18" t="inlineStr">
        <is>
          <t>EUR</t>
        </is>
      </c>
      <c r="AP35" s="19" t="n">
        <v>800</v>
      </c>
      <c r="AQ35" s="19" t="n">
        <v>2800</v>
      </c>
      <c r="AR35" s="19">
        <f>I35-AP35+AQ35</f>
        <v/>
      </c>
      <c r="AS35" s="19" t="n">
        <v>600</v>
      </c>
      <c r="AT35" s="19" t="n">
        <v>700</v>
      </c>
      <c r="AU35" s="19" t="n">
        <v>1200</v>
      </c>
      <c r="AV35" s="19" t="n">
        <v>9200</v>
      </c>
      <c r="AW35" s="20">
        <f>AR35/AS35</f>
        <v/>
      </c>
      <c r="AX35" s="20">
        <f>AR35/AU35</f>
        <v/>
      </c>
      <c r="AY35" s="20">
        <f>AR35/AV35</f>
        <v/>
      </c>
      <c r="AZ35" s="21" t="n">
        <v>6500</v>
      </c>
      <c r="BA35" s="22">
        <f>AT35/AV35</f>
        <v/>
      </c>
      <c r="BB35" s="22">
        <f>AV35/AZ35</f>
        <v/>
      </c>
      <c r="BC35" s="23">
        <f>BA35*BB35</f>
        <v/>
      </c>
      <c r="BD35" t="inlineStr">
        <is>
          <t>730</t>
        </is>
      </c>
      <c r="BE35" s="23">
        <f>(BD35/AS35)^(1/5)-1</f>
        <v/>
      </c>
      <c r="BF35" t="inlineStr">
        <is>
          <t>1,207</t>
        </is>
      </c>
      <c r="BG35" s="23">
        <f>(BF35/AS35)^(1/5)-1</f>
        <v/>
      </c>
      <c r="BH35" s="24" t="n">
        <v>14</v>
      </c>
      <c r="BI35" s="24" t="n">
        <v>22</v>
      </c>
      <c r="BJ35" s="25">
        <f>(BD35*BH35+$AP35-$AQ35)/$H35</f>
        <v/>
      </c>
      <c r="BK35" s="25">
        <f>(BF35*BI35+$AP35-$AQ35)/$H35</f>
        <v/>
      </c>
      <c r="BL35" s="23">
        <f>($BJ35/G35)^(1/5)-1</f>
        <v/>
      </c>
      <c r="BM35" s="23">
        <f>(BK35/G35)^(1/4)-1</f>
        <v/>
      </c>
      <c r="BN35" s="93" t="inlineStr">
        <is>
          <t>2026-04-26</t>
        </is>
      </c>
      <c r="BO35" s="93" t="inlineStr">
        <is>
          <t>20/02/2026</t>
        </is>
      </c>
      <c r="BP35" s="93" t="inlineStr">
        <is>
          <t>07/08/2026</t>
        </is>
      </c>
    </row>
    <row r="36" ht="15" customHeight="1" s="96">
      <c r="A36" s="86" t="e">
        <v>#VALUE!</v>
      </c>
      <c r="B36" s="10">
        <f t="array" ref="B36">_FV(A36,"Símbolo bursátil",TRUE())</f>
        <v/>
      </c>
      <c r="C36" s="88" t="inlineStr">
        <is>
          <t>Fintech</t>
        </is>
      </c>
      <c r="D36" s="88" t="inlineStr">
        <is>
          <t>Growth</t>
        </is>
      </c>
      <c r="E36" s="11">
        <f t="array" ref="E36">_FV(A36,"Abreviatura de intercambio",TRUE())</f>
        <v/>
      </c>
      <c r="F36" s="11">
        <f t="array" ref="F36">_FV(A36,"Moneda")</f>
        <v/>
      </c>
      <c r="G36" s="12">
        <f t="array" ref="G36">_FV(A36,"Precio")</f>
        <v/>
      </c>
      <c r="H36" s="13">
        <f t="array" ref="H36">_FV(A36,"Acciones en circulación",TRUE())/1000000</f>
        <v/>
      </c>
      <c r="I36" s="14">
        <f>G36*H36</f>
        <v/>
      </c>
      <c r="J36" s="90" t="n">
        <v>1</v>
      </c>
      <c r="K36" s="90" t="n">
        <v>7</v>
      </c>
      <c r="L36" s="90" t="n">
        <v>2</v>
      </c>
      <c r="M36" s="90" t="n">
        <v>0.75</v>
      </c>
      <c r="N36" s="90" t="n">
        <v>-2</v>
      </c>
      <c r="O36" s="90" t="n">
        <v>0</v>
      </c>
      <c r="P36" s="90" t="n">
        <v>1</v>
      </c>
      <c r="Q36" s="90" t="n">
        <v>1</v>
      </c>
      <c r="R36" s="15">
        <f>SUM(J36:Q36)</f>
        <v/>
      </c>
      <c r="S36" s="16">
        <f>ROUND(R36/17*10,2)</f>
        <v/>
      </c>
      <c r="T36" s="90" t="n">
        <v>15</v>
      </c>
      <c r="U36" s="90" t="n">
        <v>16</v>
      </c>
      <c r="V36" s="90" t="n">
        <v>10</v>
      </c>
      <c r="W36" s="90" t="n">
        <v>7</v>
      </c>
      <c r="X36" s="90" t="n">
        <v>8</v>
      </c>
      <c r="Y36" s="90" t="n">
        <v>11</v>
      </c>
      <c r="Z36" s="90" t="n">
        <v>10</v>
      </c>
      <c r="AA36" s="90" t="n">
        <v>-16</v>
      </c>
      <c r="AB36" s="15">
        <f>SUM(T36:AA36)</f>
        <v/>
      </c>
      <c r="AC36" s="16">
        <f>ROUND(AB36/10,2)</f>
        <v/>
      </c>
      <c r="AD36" s="90" t="n">
        <v>10</v>
      </c>
      <c r="AE36" s="90" t="n">
        <v>-6</v>
      </c>
      <c r="AF36" s="90" t="n">
        <v>8</v>
      </c>
      <c r="AG36" s="90" t="n">
        <v>12</v>
      </c>
      <c r="AH36" s="90" t="n">
        <v>3</v>
      </c>
      <c r="AI36" s="90" t="n">
        <v>9</v>
      </c>
      <c r="AJ36" s="90" t="n">
        <v>11</v>
      </c>
      <c r="AK36" s="90" t="n">
        <v>-9</v>
      </c>
      <c r="AL36" s="15">
        <f>SUM(AD36:AK36)</f>
        <v/>
      </c>
      <c r="AM36" s="16">
        <f>ROUND(AL36/70*10,2)</f>
        <v/>
      </c>
      <c r="AN36" s="17">
        <f>ROUND((S36+AC36+AM36)/3,2)</f>
        <v/>
      </c>
      <c r="AO36" s="18" t="inlineStr">
        <is>
          <t>KZT</t>
        </is>
      </c>
      <c r="AP36" s="19" t="n">
        <v>900000</v>
      </c>
      <c r="AQ36" s="19" t="n">
        <v>100000</v>
      </c>
      <c r="AR36" s="19">
        <f>I36*'Framework Notes'!E6-AP36+AQ36</f>
        <v/>
      </c>
      <c r="AS36" s="19" t="n">
        <v>410000</v>
      </c>
      <c r="AT36" s="19" t="n">
        <v>420000</v>
      </c>
      <c r="AU36" s="19" t="n">
        <v>520000</v>
      </c>
      <c r="AV36" s="19" t="n">
        <v>1000000</v>
      </c>
      <c r="AW36" s="20">
        <f>AR36/AS36</f>
        <v/>
      </c>
      <c r="AX36" s="20">
        <f>AR36/AU36</f>
        <v/>
      </c>
      <c r="AY36" s="20">
        <f>AR36/AV36</f>
        <v/>
      </c>
      <c r="AZ36" s="21" t="n">
        <v>1800000</v>
      </c>
      <c r="BA36" s="22">
        <f>AT36/AV36</f>
        <v/>
      </c>
      <c r="BB36" s="22">
        <f>AV36/AZ36</f>
        <v/>
      </c>
      <c r="BC36" s="23">
        <f>BA36*BB36</f>
        <v/>
      </c>
      <c r="BD36" t="inlineStr">
        <is>
          <t>575,046</t>
        </is>
      </c>
      <c r="BE36" s="23">
        <f>(BD36/AS36)^(1/5)-1</f>
        <v/>
      </c>
      <c r="BF36" t="inlineStr">
        <is>
          <t>1,020,211</t>
        </is>
      </c>
      <c r="BG36" s="23">
        <f>(BF36/AS36)^(1/5)-1</f>
        <v/>
      </c>
      <c r="BH36" s="24" t="n">
        <v>8</v>
      </c>
      <c r="BI36" s="24" t="n">
        <v>15</v>
      </c>
      <c r="BJ36" s="25">
        <f>((BD36*BH36+$AP36-$AQ36)/$H36)/'Framework Notes'!E6</f>
        <v/>
      </c>
      <c r="BK36" s="25">
        <f>((BF36*BI36+$AP36-$AQ36)/$H36)/'Framework Notes'!E6</f>
        <v/>
      </c>
      <c r="BL36" s="23">
        <f>($BJ36/G36)^(1/5)-1</f>
        <v/>
      </c>
      <c r="BM36" s="23">
        <f>(BK36/G36)^(1/4)-1</f>
        <v/>
      </c>
      <c r="BN36" s="93" t="inlineStr">
        <is>
          <t>2026-05-15</t>
        </is>
      </c>
      <c r="BO36" s="93" t="inlineStr">
        <is>
          <t>Q1 2026: Rev KZT 1.1T (+31%). Marketplace +34%, Fintech +18%, Payments +24%. BN neto KZT 252B (estable). e-Commerce GMV +41%, frecuencia +44%. Dividendo KZT 850/ADS. Stock cayó por BN plano</t>
        </is>
      </c>
      <c r="BP36" s="93" t="inlineStr">
        <is>
          <t>Q2 2026 (agosto 2026)</t>
        </is>
      </c>
    </row>
    <row r="37" ht="15" customHeight="1" s="96">
      <c r="A37" s="86" t="e">
        <v>#VALUE!</v>
      </c>
      <c r="B37" s="10">
        <f t="array" ref="B37">_FV(A37,"Símbolo bursátil",TRUE())</f>
        <v/>
      </c>
      <c r="C37" s="88" t="inlineStr">
        <is>
          <t>Healthcare</t>
        </is>
      </c>
      <c r="D37" s="88" t="inlineStr">
        <is>
          <t>Compounder</t>
        </is>
      </c>
      <c r="E37" s="11">
        <f t="array" ref="E37">_FV(A37,"Abreviatura de intercambio",TRUE())</f>
        <v/>
      </c>
      <c r="F37" s="11">
        <f t="array" ref="F37">_FV(A37,"Moneda")</f>
        <v/>
      </c>
      <c r="G37" s="12">
        <f t="array" ref="G37">_FV(A37,"Precio")</f>
        <v/>
      </c>
      <c r="H37" s="13">
        <f t="array" ref="H37">_FV(A37,"Acciones en circulación",TRUE())/1000000</f>
        <v/>
      </c>
      <c r="I37" s="14">
        <f>G37*H37</f>
        <v/>
      </c>
      <c r="J37" s="91" t="n">
        <v>2</v>
      </c>
      <c r="K37" s="91" t="n">
        <v>5</v>
      </c>
      <c r="L37" s="91" t="n">
        <v>2</v>
      </c>
      <c r="M37" s="91" t="n">
        <v>0</v>
      </c>
      <c r="N37" s="91" t="n">
        <v>-1</v>
      </c>
      <c r="O37" s="91" t="n">
        <v>0</v>
      </c>
      <c r="P37" s="91" t="n">
        <v>0</v>
      </c>
      <c r="Q37" s="91" t="n">
        <v>1</v>
      </c>
      <c r="R37" s="26">
        <f>SUM(J37:Q37)</f>
        <v/>
      </c>
      <c r="S37" s="16">
        <f>ROUND(R37/17*10,2)</f>
        <v/>
      </c>
      <c r="T37" s="91" t="n">
        <v>12</v>
      </c>
      <c r="U37" s="91" t="n">
        <v>12</v>
      </c>
      <c r="V37" s="91" t="n">
        <v>12</v>
      </c>
      <c r="W37" s="91" t="n">
        <v>8</v>
      </c>
      <c r="X37" s="91" t="n">
        <v>8</v>
      </c>
      <c r="Y37" s="91" t="n">
        <v>10</v>
      </c>
      <c r="Z37" s="91" t="n">
        <v>8</v>
      </c>
      <c r="AA37" s="91" t="n">
        <v>-9</v>
      </c>
      <c r="AB37" s="26">
        <f>SUM(T37:AA37)</f>
        <v/>
      </c>
      <c r="AC37" s="16">
        <f>ROUND(AB37/10,2)</f>
        <v/>
      </c>
      <c r="AD37" s="91" t="n">
        <v>12</v>
      </c>
      <c r="AE37" s="91" t="n">
        <v>-2</v>
      </c>
      <c r="AF37" s="91" t="n">
        <v>6</v>
      </c>
      <c r="AG37" s="91" t="n">
        <v>11</v>
      </c>
      <c r="AH37" s="91" t="n">
        <v>3</v>
      </c>
      <c r="AI37" s="91" t="n">
        <v>7</v>
      </c>
      <c r="AJ37" s="91" t="n">
        <v>10</v>
      </c>
      <c r="AK37" s="91" t="n">
        <v>-4</v>
      </c>
      <c r="AL37" s="26">
        <f>SUM(AD37:AK37)</f>
        <v/>
      </c>
      <c r="AM37" s="16">
        <f>ROUND(AL37/70*10,2)</f>
        <v/>
      </c>
      <c r="AN37" s="17">
        <f>ROUND((S37+AC37+AM37)/3,2)</f>
        <v/>
      </c>
      <c r="AO37" s="18" t="inlineStr">
        <is>
          <t>EUR</t>
        </is>
      </c>
      <c r="AP37" s="19" t="n">
        <v>45</v>
      </c>
      <c r="AQ37" s="19" t="n">
        <v>70</v>
      </c>
      <c r="AR37" s="19">
        <f>I37-AP37+AQ37</f>
        <v/>
      </c>
      <c r="AS37" s="19" t="n">
        <v>42</v>
      </c>
      <c r="AT37" s="19" t="n">
        <v>35</v>
      </c>
      <c r="AU37" s="19" t="n">
        <v>62</v>
      </c>
      <c r="AV37" s="19" t="n">
        <v>290</v>
      </c>
      <c r="AW37" s="20">
        <f>AR37/AS37</f>
        <v/>
      </c>
      <c r="AX37" s="20">
        <f>AR37/AU37</f>
        <v/>
      </c>
      <c r="AY37" s="20">
        <f>AR37/AV37</f>
        <v/>
      </c>
      <c r="AZ37" s="21" t="n">
        <v>220</v>
      </c>
      <c r="BA37" s="22">
        <f>AT37/AV37</f>
        <v/>
      </c>
      <c r="BB37" s="22">
        <f>AV37/AZ37</f>
        <v/>
      </c>
      <c r="BC37" s="23">
        <f>BA37*BB37</f>
        <v/>
      </c>
      <c r="BD37" t="inlineStr">
        <is>
          <t>56</t>
        </is>
      </c>
      <c r="BE37" s="23">
        <f>(BD37/AS37)^(1/5)-1</f>
        <v/>
      </c>
      <c r="BF37" t="inlineStr">
        <is>
          <t>92</t>
        </is>
      </c>
      <c r="BG37" s="23">
        <f>(BF37/AS37)^(1/5)-1</f>
        <v/>
      </c>
      <c r="BH37" s="24" t="n">
        <v>12</v>
      </c>
      <c r="BI37" s="24" t="n">
        <v>16.5</v>
      </c>
      <c r="BJ37" s="25">
        <f>(BD37*BH37+$AP37-$AQ37)/$H37</f>
        <v/>
      </c>
      <c r="BK37" s="25">
        <f>(BF37*BI37+$AP37-$AQ37)/$H37</f>
        <v/>
      </c>
      <c r="BL37" s="23">
        <f>($BJ37/G37)^(1/5)-1</f>
        <v/>
      </c>
      <c r="BM37" s="23">
        <f>(BK37/G37)^(1/4)-1</f>
        <v/>
      </c>
      <c r="BN37" s="93" t="inlineStr">
        <is>
          <t>2026-04-26</t>
        </is>
      </c>
      <c r="BO37" s="94" t="inlineStr">
        <is>
          <t>26/02/2026</t>
        </is>
      </c>
      <c r="BP37" s="93" t="inlineStr">
        <is>
          <t>N/D</t>
        </is>
      </c>
    </row>
    <row r="38" ht="15" customHeight="1" s="96">
      <c r="A38" s="86" t="e">
        <v>#VALUE!</v>
      </c>
      <c r="B38" s="10">
        <f t="array" ref="B38">_FV(A38,"Símbolo bursátil",TRUE())</f>
        <v/>
      </c>
      <c r="C38" s="88" t="inlineStr">
        <is>
          <t>IA</t>
        </is>
      </c>
      <c r="D38" s="88" t="inlineStr">
        <is>
          <t>Growth</t>
        </is>
      </c>
      <c r="E38" s="11">
        <f t="array" ref="E38">_FV(A38,"Abreviatura de intercambio",TRUE())</f>
        <v/>
      </c>
      <c r="F38" s="11">
        <f t="array" ref="F38">_FV(A38,"Moneda")</f>
        <v/>
      </c>
      <c r="G38" s="12">
        <f t="array" ref="G38">_FV(A38,"Precio")</f>
        <v/>
      </c>
      <c r="H38" s="13">
        <f t="array" ref="H38">_FV(A38,"Acciones en circulación",TRUE())/1000000</f>
        <v/>
      </c>
      <c r="I38" s="14">
        <f>G38*H38</f>
        <v/>
      </c>
      <c r="J38" s="90" t="n">
        <v>1</v>
      </c>
      <c r="K38" s="90" t="n">
        <v>7</v>
      </c>
      <c r="L38" s="90" t="n">
        <v>2</v>
      </c>
      <c r="M38" s="90" t="n">
        <v>1</v>
      </c>
      <c r="N38" s="90" t="n">
        <v>-2</v>
      </c>
      <c r="O38" s="90" t="n">
        <v>0</v>
      </c>
      <c r="P38" s="90" t="n">
        <v>1</v>
      </c>
      <c r="Q38" s="90" t="n">
        <v>0</v>
      </c>
      <c r="R38" s="15">
        <f>SUM(J38:Q38)</f>
        <v/>
      </c>
      <c r="S38" s="16">
        <f>ROUND(R38/17*10,2)</f>
        <v/>
      </c>
      <c r="T38" s="90" t="n">
        <v>17</v>
      </c>
      <c r="U38" s="90" t="n">
        <v>17</v>
      </c>
      <c r="V38" s="90" t="n">
        <v>15</v>
      </c>
      <c r="W38" s="90" t="n">
        <v>6</v>
      </c>
      <c r="X38" s="90" t="n">
        <v>6</v>
      </c>
      <c r="Y38" s="90" t="n">
        <v>12</v>
      </c>
      <c r="Z38" s="90" t="n">
        <v>5</v>
      </c>
      <c r="AA38" s="90" t="n">
        <v>-20</v>
      </c>
      <c r="AB38" s="15">
        <f>SUM(T38:AA38)</f>
        <v/>
      </c>
      <c r="AC38" s="16">
        <f>ROUND(AB38/10,2)</f>
        <v/>
      </c>
      <c r="AD38" s="90" t="n">
        <v>11</v>
      </c>
      <c r="AE38" s="90" t="n">
        <v>-5</v>
      </c>
      <c r="AF38" s="90" t="n">
        <v>6</v>
      </c>
      <c r="AG38" s="90" t="n">
        <v>11</v>
      </c>
      <c r="AH38" s="90" t="n">
        <v>4</v>
      </c>
      <c r="AI38" s="90" t="n">
        <v>8</v>
      </c>
      <c r="AJ38" s="90" t="n">
        <v>12</v>
      </c>
      <c r="AK38" s="90" t="n">
        <v>-8</v>
      </c>
      <c r="AL38" s="15">
        <f>SUM(AD38:AK38)</f>
        <v/>
      </c>
      <c r="AM38" s="16">
        <f>ROUND(AL38/70*10,2)</f>
        <v/>
      </c>
      <c r="AN38" s="17">
        <f>ROUND((S38+AC38+AM38)/3,2)</f>
        <v/>
      </c>
      <c r="AO38" s="18" t="inlineStr">
        <is>
          <t>USD</t>
        </is>
      </c>
      <c r="AP38" s="19" t="n">
        <v>40000</v>
      </c>
      <c r="AQ38" s="19" t="n">
        <v>10000</v>
      </c>
      <c r="AR38" s="19">
        <f>I38-AP38+AQ38</f>
        <v/>
      </c>
      <c r="AS38" s="19" t="n">
        <v>60000</v>
      </c>
      <c r="AT38" s="19" t="n">
        <v>75000</v>
      </c>
      <c r="AU38" s="19" t="n">
        <v>90000</v>
      </c>
      <c r="AV38" s="19" t="n">
        <v>130000</v>
      </c>
      <c r="AW38" s="20">
        <f>AR38/AS38</f>
        <v/>
      </c>
      <c r="AX38" s="20">
        <f>AR38/AU38</f>
        <v/>
      </c>
      <c r="AY38" s="20">
        <f>AR38/AV38</f>
        <v/>
      </c>
      <c r="AZ38" s="21" t="n">
        <v>90000</v>
      </c>
      <c r="BA38" s="22">
        <f>AT38/AV38</f>
        <v/>
      </c>
      <c r="BB38" s="22">
        <f>AV38/AZ38</f>
        <v/>
      </c>
      <c r="BC38" s="23">
        <f>BA38*BB38</f>
        <v/>
      </c>
      <c r="BD38" t="inlineStr">
        <is>
          <t>88,160</t>
        </is>
      </c>
      <c r="BE38" s="23">
        <f>(BD38/AS38)^(1/5)-1</f>
        <v/>
      </c>
      <c r="BF38" t="inlineStr">
        <is>
          <t>240,448</t>
        </is>
      </c>
      <c r="BG38" s="23">
        <f>(BF38/AS38)^(1/5)-1</f>
        <v/>
      </c>
      <c r="BH38" s="24" t="n">
        <v>20</v>
      </c>
      <c r="BI38" s="24" t="n">
        <v>30</v>
      </c>
      <c r="BJ38" s="25">
        <f>(BD38*BH38+$AP38-$AQ38)/$H38</f>
        <v/>
      </c>
      <c r="BK38" s="25">
        <f>(BF38*BI38+$AP38-$AQ38)/$H38</f>
        <v/>
      </c>
      <c r="BL38" s="23">
        <f>($BJ38/G38)^(1/5)-1</f>
        <v/>
      </c>
      <c r="BM38" s="23">
        <f>(BK38/G38)^(1/4)-1</f>
        <v/>
      </c>
      <c r="BN38" s="93" t="inlineStr">
        <is>
          <t>2026-04-26</t>
        </is>
      </c>
      <c r="BO38" s="93" t="inlineStr">
        <is>
          <t>25/02/2026</t>
        </is>
      </c>
      <c r="BP38" s="93" t="inlineStr">
        <is>
          <t>20/05/2026</t>
        </is>
      </c>
    </row>
    <row r="39" ht="15" customHeight="1" s="96">
      <c r="A39" s="86" t="e">
        <v>#VALUE!</v>
      </c>
      <c r="B39" s="10">
        <f t="array" ref="B39">_FV(A39,"Símbolo bursátil",TRUE())</f>
        <v/>
      </c>
      <c r="C39" s="88" t="inlineStr">
        <is>
          <t>Alcohol</t>
        </is>
      </c>
      <c r="D39" s="88" t="inlineStr">
        <is>
          <t>Defensive</t>
        </is>
      </c>
      <c r="E39" s="11">
        <f t="array" ref="E39">_FV(A39,"Abreviatura de intercambio",TRUE())</f>
        <v/>
      </c>
      <c r="F39" s="11">
        <f t="array" ref="F39">_FV(A39,"Moneda")</f>
        <v/>
      </c>
      <c r="G39" s="12">
        <f t="array" ref="G39">_FV(A39,"Precio")</f>
        <v/>
      </c>
      <c r="H39" s="13">
        <f t="array" ref="H39">_FV(A39,"Acciones en circulación",TRUE())/1000000</f>
        <v/>
      </c>
      <c r="I39" s="14">
        <f>G39*H39</f>
        <v/>
      </c>
      <c r="J39" s="91" t="n">
        <v>1</v>
      </c>
      <c r="K39" s="91" t="n">
        <v>6</v>
      </c>
      <c r="L39" s="91" t="n">
        <v>1</v>
      </c>
      <c r="M39" s="91" t="n">
        <v>0</v>
      </c>
      <c r="N39" s="91" t="n">
        <v>-1</v>
      </c>
      <c r="O39" s="91" t="n">
        <v>0</v>
      </c>
      <c r="P39" s="91" t="n">
        <v>0</v>
      </c>
      <c r="Q39" s="91" t="n">
        <v>1</v>
      </c>
      <c r="R39" s="26">
        <f>SUM(J39:Q39)</f>
        <v/>
      </c>
      <c r="S39" s="16">
        <f>ROUND(R39/17*10,2)</f>
        <v/>
      </c>
      <c r="T39" s="91" t="n">
        <v>11</v>
      </c>
      <c r="U39" s="91" t="n">
        <v>14</v>
      </c>
      <c r="V39" s="91" t="n">
        <v>8</v>
      </c>
      <c r="W39" s="91" t="n">
        <v>8</v>
      </c>
      <c r="X39" s="91" t="n">
        <v>7</v>
      </c>
      <c r="Y39" s="91" t="n">
        <v>10</v>
      </c>
      <c r="Z39" s="91" t="n">
        <v>9</v>
      </c>
      <c r="AA39" s="91" t="n">
        <v>-9</v>
      </c>
      <c r="AB39" s="26">
        <f>SUM(T39:AA39)</f>
        <v/>
      </c>
      <c r="AC39" s="16">
        <f>ROUND(AB39/10,2)</f>
        <v/>
      </c>
      <c r="AD39" s="91" t="n">
        <v>12</v>
      </c>
      <c r="AE39" s="91" t="n">
        <v>-2</v>
      </c>
      <c r="AF39" s="91" t="n">
        <v>5</v>
      </c>
      <c r="AG39" s="91" t="n">
        <v>9</v>
      </c>
      <c r="AH39" s="91" t="n">
        <v>2</v>
      </c>
      <c r="AI39" s="91" t="n">
        <v>8</v>
      </c>
      <c r="AJ39" s="91" t="n">
        <v>12</v>
      </c>
      <c r="AK39" s="91" t="n">
        <v>-4</v>
      </c>
      <c r="AL39" s="26">
        <f>SUM(AD39:AK39)</f>
        <v/>
      </c>
      <c r="AM39" s="16">
        <f>ROUND(AL39/70*10,2)</f>
        <v/>
      </c>
      <c r="AN39" s="17">
        <f>ROUND((S39+AC39+AM39)/3,2)</f>
        <v/>
      </c>
      <c r="AO39" s="18" t="inlineStr">
        <is>
          <t>EUR</t>
        </is>
      </c>
      <c r="AP39" s="19" t="n">
        <v>40</v>
      </c>
      <c r="AQ39" s="19" t="n">
        <v>140</v>
      </c>
      <c r="AR39" s="19">
        <f>I39-AP39+AQ39</f>
        <v/>
      </c>
      <c r="AS39" s="19" t="n">
        <v>80</v>
      </c>
      <c r="AT39" s="19" t="n">
        <v>100</v>
      </c>
      <c r="AU39" s="19" t="n">
        <v>170</v>
      </c>
      <c r="AV39" s="19" t="n">
        <v>900</v>
      </c>
      <c r="AW39" s="20">
        <f>AR39/AS39</f>
        <v/>
      </c>
      <c r="AX39" s="20">
        <f>AR39/AU39</f>
        <v/>
      </c>
      <c r="AY39" s="20">
        <f>AR39/AV39</f>
        <v/>
      </c>
      <c r="AZ39" s="21" t="n">
        <v>750</v>
      </c>
      <c r="BA39" s="22">
        <f>AT39/AV39</f>
        <v/>
      </c>
      <c r="BB39" s="22">
        <f>AV39/AZ39</f>
        <v/>
      </c>
      <c r="BC39" s="23">
        <f>BA39*BB39</f>
        <v/>
      </c>
      <c r="BD39" t="inlineStr">
        <is>
          <t>80</t>
        </is>
      </c>
      <c r="BE39" s="23">
        <f>(BD39/AS39)^(1/5)-1</f>
        <v/>
      </c>
      <c r="BF39" t="inlineStr">
        <is>
          <t>123</t>
        </is>
      </c>
      <c r="BG39" s="23">
        <f>(BF39/AS39)^(1/5)-1</f>
        <v/>
      </c>
      <c r="BH39" s="24" t="n">
        <v>8.5</v>
      </c>
      <c r="BI39" s="24" t="n">
        <v>12</v>
      </c>
      <c r="BJ39" s="25">
        <f>(BD39*BH39+$AP39-$AQ39)/$H39</f>
        <v/>
      </c>
      <c r="BK39" s="25">
        <f>(BF39*BI39+$AP39-$AQ39)/$H39</f>
        <v/>
      </c>
      <c r="BL39" s="23">
        <f>($BJ39/G39)^(1/5)-1</f>
        <v/>
      </c>
      <c r="BM39" s="23">
        <f>(BK39/G39)^(1/4)-1</f>
        <v/>
      </c>
      <c r="BN39" s="93" t="inlineStr">
        <is>
          <t>2026-05-07</t>
        </is>
      </c>
      <c r="BO39" s="94" t="inlineStr">
        <is>
          <t>Q2 FY2026: Rev $78.4B (+3.8%, miss). Op Inc US $998M (+6%). Adj EPS $4.75 (+7.5%, miss vs est $4.82). Guidance FY2026: EPS $17.65-17.90 (alzado), Rev growth 4-6% (rebajado). Recompras $1B hasta fin 2026.</t>
        </is>
      </c>
      <c r="BP39" s="93" t="inlineStr">
        <is>
          <t>Q3 FY2026 (agosto 2026)</t>
        </is>
      </c>
    </row>
    <row r="40" ht="15" customHeight="1" s="96">
      <c r="A40" s="86" t="e">
        <v>#VALUE!</v>
      </c>
      <c r="B40" s="10">
        <f t="array" ref="B40">_FV(A40,"Símbolo bursátil",TRUE())</f>
        <v/>
      </c>
      <c r="C40" s="88" t="inlineStr">
        <is>
          <t>IA</t>
        </is>
      </c>
      <c r="D40" s="88" t="inlineStr">
        <is>
          <t>Compounder</t>
        </is>
      </c>
      <c r="E40" s="11">
        <f t="array" ref="E40">_FV(A40,"Abreviatura de intercambio",TRUE())</f>
        <v/>
      </c>
      <c r="F40" s="11">
        <f t="array" ref="F40">_FV(A40,"Moneda")</f>
        <v/>
      </c>
      <c r="G40" s="12">
        <f t="array" ref="G40">_FV(A40,"Precio")</f>
        <v/>
      </c>
      <c r="H40" s="13">
        <f t="array" ref="H40">_FV(A40,"Acciones en circulación",TRUE())/1000000</f>
        <v/>
      </c>
      <c r="I40" s="14">
        <f>G40*H40</f>
        <v/>
      </c>
      <c r="J40" s="90" t="n">
        <v>2</v>
      </c>
      <c r="K40" s="90" t="n">
        <v>7</v>
      </c>
      <c r="L40" s="90" t="n">
        <v>1</v>
      </c>
      <c r="M40" s="90" t="n">
        <v>1</v>
      </c>
      <c r="N40" s="90" t="n">
        <v>-2</v>
      </c>
      <c r="O40" s="90" t="n">
        <v>0</v>
      </c>
      <c r="P40" s="90" t="n">
        <v>1</v>
      </c>
      <c r="Q40" s="90" t="n">
        <v>0</v>
      </c>
      <c r="R40" s="15">
        <f>SUM(J40:Q40)</f>
        <v/>
      </c>
      <c r="S40" s="16">
        <f>ROUND(R40/17*10,2)</f>
        <v/>
      </c>
      <c r="T40" s="90" t="n">
        <v>15</v>
      </c>
      <c r="U40" s="90" t="n">
        <v>18</v>
      </c>
      <c r="V40" s="90" t="n">
        <v>13</v>
      </c>
      <c r="W40" s="90" t="n">
        <v>6</v>
      </c>
      <c r="X40" s="90" t="n">
        <v>7</v>
      </c>
      <c r="Y40" s="90" t="n">
        <v>12</v>
      </c>
      <c r="Z40" s="90" t="n">
        <v>6</v>
      </c>
      <c r="AA40" s="90" t="n">
        <v>-18</v>
      </c>
      <c r="AB40" s="15">
        <f>SUM(T40:AA40)</f>
        <v/>
      </c>
      <c r="AC40" s="16">
        <f>ROUND(AB40/10,2)</f>
        <v/>
      </c>
      <c r="AD40" s="90" t="n">
        <v>11</v>
      </c>
      <c r="AE40" s="90" t="n">
        <v>-8</v>
      </c>
      <c r="AF40" s="90" t="n">
        <v>2</v>
      </c>
      <c r="AG40" s="90" t="n">
        <v>11</v>
      </c>
      <c r="AH40" s="90" t="n">
        <v>4</v>
      </c>
      <c r="AI40" s="90" t="n">
        <v>7</v>
      </c>
      <c r="AJ40" s="90" t="n">
        <v>13</v>
      </c>
      <c r="AK40" s="90" t="n">
        <v>-10</v>
      </c>
      <c r="AL40" s="15">
        <f>SUM(AD40:AK40)</f>
        <v/>
      </c>
      <c r="AM40" s="16">
        <f>ROUND(AL40/70*10,2)</f>
        <v/>
      </c>
      <c r="AN40" s="17">
        <f>ROUND((S40+AC40+AM40)/3,2)</f>
        <v/>
      </c>
      <c r="AO40" s="18" t="inlineStr">
        <is>
          <t>USD</t>
        </is>
      </c>
      <c r="AP40" s="19" t="n">
        <v>60000</v>
      </c>
      <c r="AQ40" s="19" t="n">
        <v>30000</v>
      </c>
      <c r="AR40" s="19">
        <f>I40-AP40+AQ40</f>
        <v/>
      </c>
      <c r="AS40" s="19" t="n">
        <v>35000</v>
      </c>
      <c r="AT40" s="19" t="n">
        <v>50000</v>
      </c>
      <c r="AU40" s="19" t="n">
        <v>75000</v>
      </c>
      <c r="AV40" s="19" t="n">
        <v>122400</v>
      </c>
      <c r="AW40" s="20">
        <f>AR40/AS40</f>
        <v/>
      </c>
      <c r="AX40" s="20">
        <f>AR40/AU40</f>
        <v/>
      </c>
      <c r="AY40" s="20">
        <f>AR40/AV40</f>
        <v/>
      </c>
      <c r="AZ40" s="21" t="n">
        <v>120000</v>
      </c>
      <c r="BA40" s="22">
        <f>AT40/AV40</f>
        <v/>
      </c>
      <c r="BB40" s="22">
        <f>AV40/AZ40</f>
        <v/>
      </c>
      <c r="BC40" s="23">
        <f>BA40*BB40</f>
        <v/>
      </c>
      <c r="BD40" t="inlineStr">
        <is>
          <t>51,426</t>
        </is>
      </c>
      <c r="BE40" s="23">
        <f>(BD40/AS40)^(1/5)-1</f>
        <v/>
      </c>
      <c r="BF40" t="inlineStr">
        <is>
          <t>94,595</t>
        </is>
      </c>
      <c r="BG40" s="23">
        <f>(BF40/AS40)^(1/5)-1</f>
        <v/>
      </c>
      <c r="BH40" s="24" t="n">
        <v>14</v>
      </c>
      <c r="BI40" s="24" t="n">
        <v>22</v>
      </c>
      <c r="BJ40" s="25">
        <f>(BD40*BH40+$AP40-$AQ40)/$H40</f>
        <v/>
      </c>
      <c r="BK40" s="25">
        <f>(BF40*BI40+$AP40-$AQ40)/$H40</f>
        <v/>
      </c>
      <c r="BL40" s="23">
        <f>($BJ40/G40)^(1/5)-1</f>
        <v/>
      </c>
      <c r="BM40" s="23">
        <f>(BK40/G40)^(1/4)-1</f>
        <v/>
      </c>
      <c r="BN40" s="93" t="inlineStr">
        <is>
          <t>2026-04-26</t>
        </is>
      </c>
      <c r="BO40" s="93" t="inlineStr">
        <is>
          <t>15/04/2026</t>
        </is>
      </c>
      <c r="BP40" s="93" t="inlineStr">
        <is>
          <t>16/07/2026</t>
        </is>
      </c>
    </row>
    <row r="41" ht="15" customHeight="1" s="96">
      <c r="A41" s="86" t="e">
        <v>#VALUE!</v>
      </c>
      <c r="B41" s="10">
        <f t="array" ref="B41">_FV(A41,"Símbolo bursátil",TRUE())</f>
        <v/>
      </c>
      <c r="C41" s="88" t="inlineStr">
        <is>
          <t>Consumo</t>
        </is>
      </c>
      <c r="D41" s="88" t="inlineStr">
        <is>
          <t>Growth</t>
        </is>
      </c>
      <c r="E41" s="11">
        <f t="array" ref="E41">_FV(A41,"Abreviatura de intercambio",TRUE())</f>
        <v/>
      </c>
      <c r="F41" s="11">
        <f t="array" ref="F41">_FV(A41,"Moneda")</f>
        <v/>
      </c>
      <c r="G41" s="12">
        <f t="array" ref="G41">_FV(A41,"Precio")</f>
        <v/>
      </c>
      <c r="H41" s="13">
        <f t="array" ref="H41">_FV(A41,"Acciones en circulación",TRUE())/1000000</f>
        <v/>
      </c>
      <c r="I41" s="14">
        <f>G41*H41</f>
        <v/>
      </c>
      <c r="J41" s="91" t="n">
        <v>1</v>
      </c>
      <c r="K41" s="91" t="n">
        <v>4</v>
      </c>
      <c r="L41" s="91" t="n">
        <v>2</v>
      </c>
      <c r="M41" s="91" t="n">
        <v>1</v>
      </c>
      <c r="N41" s="91" t="n">
        <v>0</v>
      </c>
      <c r="O41" s="91" t="n">
        <v>0</v>
      </c>
      <c r="P41" s="91" t="n">
        <v>1</v>
      </c>
      <c r="Q41" s="91" t="n">
        <v>1</v>
      </c>
      <c r="R41" s="26">
        <f>SUM(J41:Q41)</f>
        <v/>
      </c>
      <c r="S41" s="16">
        <f>ROUND(R41/17*10,2)</f>
        <v/>
      </c>
      <c r="T41" s="91" t="n">
        <v>14</v>
      </c>
      <c r="U41" s="91" t="n">
        <v>11</v>
      </c>
      <c r="V41" s="91" t="n">
        <v>12</v>
      </c>
      <c r="W41" s="91" t="n">
        <v>9</v>
      </c>
      <c r="X41" s="91" t="n">
        <v>7</v>
      </c>
      <c r="Y41" s="91" t="n">
        <v>11</v>
      </c>
      <c r="Z41" s="91" t="n">
        <v>8</v>
      </c>
      <c r="AA41" s="91" t="n">
        <v>-12</v>
      </c>
      <c r="AB41" s="26">
        <f>SUM(T41:AA41)</f>
        <v/>
      </c>
      <c r="AC41" s="16">
        <f>ROUND(AB41/10,2)</f>
        <v/>
      </c>
      <c r="AD41" s="91" t="n">
        <v>10</v>
      </c>
      <c r="AE41" s="91" t="n">
        <v>-3</v>
      </c>
      <c r="AF41" s="91" t="n">
        <v>7</v>
      </c>
      <c r="AG41" s="91" t="n">
        <v>9</v>
      </c>
      <c r="AH41" s="91" t="n">
        <v>3</v>
      </c>
      <c r="AI41" s="91" t="n">
        <v>8</v>
      </c>
      <c r="AJ41" s="91" t="n">
        <v>9</v>
      </c>
      <c r="AK41" s="91" t="n">
        <v>-5</v>
      </c>
      <c r="AL41" s="26">
        <f>SUM(AD41:AK41)</f>
        <v/>
      </c>
      <c r="AM41" s="16">
        <f>ROUND(AL41/70*10,2)</f>
        <v/>
      </c>
      <c r="AN41" s="17">
        <f>ROUND((S41+AC41+AM41)/3,2)</f>
        <v/>
      </c>
      <c r="AO41" s="18" t="inlineStr">
        <is>
          <t>EUR</t>
        </is>
      </c>
      <c r="AP41" s="19" t="n">
        <v>5000</v>
      </c>
      <c r="AQ41" s="19" t="n">
        <v>10000</v>
      </c>
      <c r="AR41" s="19">
        <f>I41*'Framework Notes'!E8-AP41+AQ41</f>
        <v/>
      </c>
      <c r="AS41" s="19" t="n">
        <v>4000</v>
      </c>
      <c r="AT41" s="19" t="n">
        <v>4500</v>
      </c>
      <c r="AU41" s="19" t="n">
        <v>7500</v>
      </c>
      <c r="AV41" s="19" t="n">
        <v>30000</v>
      </c>
      <c r="AW41" s="20">
        <f>AR41/AS41</f>
        <v/>
      </c>
      <c r="AX41" s="20">
        <f>AR41/AU41</f>
        <v/>
      </c>
      <c r="AY41" s="20">
        <f>AR41/AV41</f>
        <v/>
      </c>
      <c r="AZ41" s="21" t="n">
        <v>25000</v>
      </c>
      <c r="BA41" s="22">
        <f>AT41/AV41</f>
        <v/>
      </c>
      <c r="BB41" s="22">
        <f>AV41/AZ41</f>
        <v/>
      </c>
      <c r="BC41" s="23">
        <f>BA41*BB41</f>
        <v/>
      </c>
      <c r="BD41" t="inlineStr">
        <is>
          <t>4,637</t>
        </is>
      </c>
      <c r="BE41" s="23">
        <f>(BD41/AS41)^(1/5)-1</f>
        <v/>
      </c>
      <c r="BF41" t="inlineStr">
        <is>
          <t>6,442</t>
        </is>
      </c>
      <c r="BG41" s="23">
        <f>(BF41/AS41)^(1/5)-1</f>
        <v/>
      </c>
      <c r="BH41" s="24" t="n">
        <v>18</v>
      </c>
      <c r="BI41" s="24" t="n">
        <v>25</v>
      </c>
      <c r="BJ41" s="25">
        <f>((BD41*BH41+$AP41-$AQ41)/$H41)/'Framework Notes'!E8</f>
        <v/>
      </c>
      <c r="BK41" s="25">
        <f>((BF41*BI41+$AP41-$AQ41)/$H41)/'Framework Notes'!E8</f>
        <v/>
      </c>
      <c r="BL41" s="23">
        <f>($BJ41/G41)^(1/5)-1</f>
        <v/>
      </c>
      <c r="BM41" s="23">
        <f>(BK41/G41)^(1/4)-1</f>
        <v/>
      </c>
      <c r="BN41" s="93" t="inlineStr">
        <is>
          <t>2026-04-30</t>
        </is>
      </c>
      <c r="BO41" s="93" t="inlineStr">
        <is>
          <t>Q1 2026: Rev €4.53B (+8%, +15% cc), GM 33% (near-record), Op.Inc €715M (+40%), FCF €824M (+54%), Subs 293M, MAU 761M (+12%). Guidance Q2: €4.8B.</t>
        </is>
      </c>
      <c r="BP41" s="93" t="inlineStr">
        <is>
          <t>Q2 2026 (julio 2026)</t>
        </is>
      </c>
    </row>
    <row r="42" ht="15" customHeight="1" s="96">
      <c r="A42" s="86" t="e">
        <v>#VALUE!</v>
      </c>
      <c r="B42" s="10">
        <f t="array" ref="B42">_FV(A42,"Símbolo bursátil",TRUE())</f>
        <v/>
      </c>
      <c r="C42" s="88" t="inlineStr">
        <is>
          <t>Electrify</t>
        </is>
      </c>
      <c r="D42" s="88" t="inlineStr">
        <is>
          <t>Compounder</t>
        </is>
      </c>
      <c r="E42" s="11">
        <f t="array" ref="E42">_FV(A42,"Abreviatura de intercambio",TRUE())</f>
        <v/>
      </c>
      <c r="F42" s="11">
        <f t="array" ref="F42">_FV(A42,"Moneda")</f>
        <v/>
      </c>
      <c r="G42" s="12">
        <f t="array" ref="G42">_FV(A42,"Precio")</f>
        <v/>
      </c>
      <c r="H42" s="13">
        <f t="array" ref="H42">_FV(A42,"Acciones en circulación",TRUE())/1000000</f>
        <v/>
      </c>
      <c r="I42" s="14">
        <f>G42*H42</f>
        <v/>
      </c>
      <c r="J42" s="90" t="n">
        <v>1</v>
      </c>
      <c r="K42" s="90" t="n">
        <v>5</v>
      </c>
      <c r="L42" s="90" t="n">
        <v>1</v>
      </c>
      <c r="M42" s="90" t="n">
        <v>0</v>
      </c>
      <c r="N42" s="90" t="n">
        <v>0</v>
      </c>
      <c r="O42" s="90" t="n">
        <v>0</v>
      </c>
      <c r="P42" s="90" t="n">
        <v>0</v>
      </c>
      <c r="Q42" s="90" t="n">
        <v>0</v>
      </c>
      <c r="R42" s="15">
        <f>SUM(J42:Q42)</f>
        <v/>
      </c>
      <c r="S42" s="16">
        <f>ROUND(R42/17*10,2)</f>
        <v/>
      </c>
      <c r="T42" s="90" t="n">
        <v>12</v>
      </c>
      <c r="U42" s="90" t="n">
        <v>13</v>
      </c>
      <c r="V42" s="90" t="n">
        <v>14</v>
      </c>
      <c r="W42" s="90" t="n">
        <v>9</v>
      </c>
      <c r="X42" s="90" t="n">
        <v>7</v>
      </c>
      <c r="Y42" s="90" t="n">
        <v>10</v>
      </c>
      <c r="Z42" s="90" t="n">
        <v>4</v>
      </c>
      <c r="AA42" s="90" t="n">
        <v>-9</v>
      </c>
      <c r="AB42" s="15">
        <f>SUM(T42:AA42)</f>
        <v/>
      </c>
      <c r="AC42" s="16">
        <f>ROUND(AB42/10,2)</f>
        <v/>
      </c>
      <c r="AD42" s="90" t="n">
        <v>12</v>
      </c>
      <c r="AE42" s="90" t="n">
        <v>-1</v>
      </c>
      <c r="AF42" s="90" t="n">
        <v>4</v>
      </c>
      <c r="AG42" s="90" t="n">
        <v>10</v>
      </c>
      <c r="AH42" s="90" t="n">
        <v>2</v>
      </c>
      <c r="AI42" s="90" t="n">
        <v>7</v>
      </c>
      <c r="AJ42" s="90" t="n">
        <v>10</v>
      </c>
      <c r="AK42" s="90" t="n">
        <v>-4</v>
      </c>
      <c r="AL42" s="15">
        <f>SUM(AD42:AK42)</f>
        <v/>
      </c>
      <c r="AM42" s="16">
        <f>ROUND(AL42/70*10,2)</f>
        <v/>
      </c>
      <c r="AN42" s="17">
        <f>ROUND((S42+AC42+AM42)/3,2)</f>
        <v/>
      </c>
      <c r="AO42" s="18" t="inlineStr">
        <is>
          <t>EUR</t>
        </is>
      </c>
      <c r="AP42" s="19" t="n">
        <v>1800</v>
      </c>
      <c r="AQ42" s="19" t="n">
        <v>6000</v>
      </c>
      <c r="AR42" s="19">
        <f>I42-AP42+AQ42</f>
        <v/>
      </c>
      <c r="AS42" s="19" t="n">
        <v>950</v>
      </c>
      <c r="AT42" s="19" t="n">
        <v>1200</v>
      </c>
      <c r="AU42" s="19" t="n">
        <v>2300</v>
      </c>
      <c r="AV42" s="19" t="n">
        <v>19200</v>
      </c>
      <c r="AW42" s="20">
        <f>AR42/AS42</f>
        <v/>
      </c>
      <c r="AX42" s="20">
        <f>AR42/AU42</f>
        <v/>
      </c>
      <c r="AY42" s="20">
        <f>AR42/AV42</f>
        <v/>
      </c>
      <c r="AZ42" s="21" t="n">
        <v>9500</v>
      </c>
      <c r="BA42" s="22">
        <f>AT42/AV42</f>
        <v/>
      </c>
      <c r="BB42" s="22">
        <f>AV42/AZ42</f>
        <v/>
      </c>
      <c r="BC42" s="23">
        <f>BA42*BB42</f>
        <v/>
      </c>
      <c r="BD42" t="inlineStr">
        <is>
          <t>1,204</t>
        </is>
      </c>
      <c r="BE42" s="23">
        <f>(BD42/AS42)^(1/5)-1</f>
        <v/>
      </c>
      <c r="BF42" t="inlineStr">
        <is>
          <t>2,059</t>
        </is>
      </c>
      <c r="BG42" s="23">
        <f>(BF42/AS42)^(1/5)-1</f>
        <v/>
      </c>
      <c r="BH42" s="24" t="n">
        <v>18</v>
      </c>
      <c r="BI42" s="24" t="n">
        <v>22.5</v>
      </c>
      <c r="BJ42" s="25">
        <f>(BD42*BH42+$AP42-$AQ42)/$H42</f>
        <v/>
      </c>
      <c r="BK42" s="25">
        <f>(BF42*BI42+$AP42-$AQ42)/$H42</f>
        <v/>
      </c>
      <c r="BL42" s="23">
        <f>($BJ42/G42)^(1/5)-1</f>
        <v/>
      </c>
      <c r="BM42" s="23">
        <f>(BK42/G42)^(1/4)-1</f>
        <v/>
      </c>
      <c r="BN42" s="93" t="inlineStr">
        <is>
          <t>2026-05-07</t>
        </is>
      </c>
      <c r="BO42" s="93" t="inlineStr">
        <is>
          <t>Q1 2026: Rev €5,218M (+9.4%, +5% orgánico). Adj EBITDA €601M (ligero miss vs €612M consenso). Digital Sols margen +740bps. Transmission 20.1%. Guidance FY2026 confirmado: EBITDA €2,625-2,775M.</t>
        </is>
      </c>
      <c r="BP42" s="93" t="inlineStr">
        <is>
          <t>H1 2026 (julio 2026)</t>
        </is>
      </c>
    </row>
    <row r="43" ht="15" customHeight="1" s="96">
      <c r="A43" s="86" t="e">
        <v>#VALUE!</v>
      </c>
      <c r="B43" s="10">
        <f t="array" ref="B43">_FV(A43,"Símbolo bursátil",TRUE())</f>
        <v/>
      </c>
      <c r="C43" s="88" t="inlineStr">
        <is>
          <t>Sports</t>
        </is>
      </c>
      <c r="D43" s="88" t="inlineStr">
        <is>
          <t>Defensive</t>
        </is>
      </c>
      <c r="E43" s="11">
        <f t="array" ref="E43">_FV(A43,"Abreviatura de intercambio",TRUE())</f>
        <v/>
      </c>
      <c r="F43" s="11">
        <f t="array" ref="F43">_FV(A43,"Moneda")</f>
        <v/>
      </c>
      <c r="G43" s="12">
        <f t="array" ref="G43">_FV(A43,"Precio")</f>
        <v/>
      </c>
      <c r="H43" s="13">
        <f t="array" ref="H43">_FV(A43,"Acciones en circulación",TRUE())/1000000</f>
        <v/>
      </c>
      <c r="I43" s="14">
        <f>G43*H43</f>
        <v/>
      </c>
      <c r="J43" s="91" t="n">
        <v>0</v>
      </c>
      <c r="K43" s="91" t="n">
        <v>7</v>
      </c>
      <c r="L43" s="91" t="n">
        <v>0</v>
      </c>
      <c r="M43" s="91" t="n">
        <v>1</v>
      </c>
      <c r="N43" s="91" t="n">
        <v>-1</v>
      </c>
      <c r="O43" s="91" t="n">
        <v>0</v>
      </c>
      <c r="P43" s="91" t="n">
        <v>0</v>
      </c>
      <c r="Q43" s="91" t="n">
        <v>0</v>
      </c>
      <c r="R43" s="26">
        <f>SUM(J43:Q43)</f>
        <v/>
      </c>
      <c r="S43" s="16">
        <f>ROUND(R43/17*10,2)</f>
        <v/>
      </c>
      <c r="T43" s="91" t="n">
        <v>14</v>
      </c>
      <c r="U43" s="91" t="n">
        <v>17</v>
      </c>
      <c r="V43" s="91" t="n">
        <v>6</v>
      </c>
      <c r="W43" s="91" t="n">
        <v>7</v>
      </c>
      <c r="X43" s="91" t="n">
        <v>7</v>
      </c>
      <c r="Y43" s="91" t="n">
        <v>10</v>
      </c>
      <c r="Z43" s="91" t="n">
        <v>4</v>
      </c>
      <c r="AA43" s="91" t="n">
        <v>-9</v>
      </c>
      <c r="AB43" s="26">
        <f>SUM(T43:AA43)</f>
        <v/>
      </c>
      <c r="AC43" s="16">
        <f>ROUND(AB43/10,2)</f>
        <v/>
      </c>
      <c r="AD43" s="91" t="n">
        <v>13</v>
      </c>
      <c r="AE43" s="91" t="n">
        <v>-2</v>
      </c>
      <c r="AF43" s="91" t="n">
        <v>3</v>
      </c>
      <c r="AG43" s="91" t="n">
        <v>10</v>
      </c>
      <c r="AH43" s="91" t="n">
        <v>3</v>
      </c>
      <c r="AI43" s="91" t="n">
        <v>6</v>
      </c>
      <c r="AJ43" s="91" t="n">
        <v>13</v>
      </c>
      <c r="AK43" s="91" t="n">
        <v>-4</v>
      </c>
      <c r="AL43" s="26">
        <f>SUM(AD43:AK43)</f>
        <v/>
      </c>
      <c r="AM43" s="16">
        <f>ROUND(AL43/70*10,2)</f>
        <v/>
      </c>
      <c r="AN43" s="17">
        <f>ROUND((S43+AC43+AM43)/3,2)</f>
        <v/>
      </c>
      <c r="AO43" s="18" t="inlineStr">
        <is>
          <t>CHF</t>
        </is>
      </c>
      <c r="AP43" s="19" t="n">
        <v>75</v>
      </c>
      <c r="AQ43" s="19" t="n">
        <v>0</v>
      </c>
      <c r="AR43" s="19">
        <f>I43-AP43+AQ43</f>
        <v/>
      </c>
      <c r="AS43" s="19" t="n">
        <v>75</v>
      </c>
      <c r="AT43" s="19" t="n">
        <v>78</v>
      </c>
      <c r="AU43" s="19" t="n">
        <v>138</v>
      </c>
      <c r="AV43" s="19" t="n">
        <v>306</v>
      </c>
      <c r="AW43" s="20">
        <f>AR43/AS43</f>
        <v/>
      </c>
      <c r="AX43" s="20">
        <f>AR43/AU43</f>
        <v/>
      </c>
      <c r="AY43" s="20">
        <f>AR43/AV43</f>
        <v/>
      </c>
      <c r="AZ43" s="21" t="n">
        <v>450</v>
      </c>
      <c r="BA43" s="22">
        <f>AT43/AV43</f>
        <v/>
      </c>
      <c r="BB43" s="22">
        <f>AV43/AZ43</f>
        <v/>
      </c>
      <c r="BC43" s="23">
        <f>BA43*BB43</f>
        <v/>
      </c>
      <c r="BD43" t="inlineStr">
        <is>
          <t>55</t>
        </is>
      </c>
      <c r="BE43" s="23">
        <f>(BD43/AS43)^(1/5)-1</f>
        <v/>
      </c>
      <c r="BF43" t="inlineStr">
        <is>
          <t>77</t>
        </is>
      </c>
      <c r="BG43" s="23">
        <f>(BF43/AS43)^(1/5)-1</f>
        <v/>
      </c>
      <c r="BH43" s="24" t="n">
        <v>15</v>
      </c>
      <c r="BI43" s="24" t="n">
        <v>22</v>
      </c>
      <c r="BJ43" s="25">
        <f>(BD43*BH43+$AP43-$AQ43)/$H43</f>
        <v/>
      </c>
      <c r="BK43" s="25">
        <f>(BF43*BI43+$AP43-$AQ43)/$H43</f>
        <v/>
      </c>
      <c r="BL43" s="23">
        <f>($BJ43/G43)^(1/5)-1</f>
        <v/>
      </c>
      <c r="BM43" s="23">
        <f>(BK43/G43)^(1/4)-1</f>
        <v/>
      </c>
      <c r="BN43" s="93" t="inlineStr">
        <is>
          <t>2026-04-26</t>
        </is>
      </c>
      <c r="BO43" s="93" t="inlineStr">
        <is>
          <t>31/03/2026</t>
        </is>
      </c>
      <c r="BP43" s="93" t="inlineStr">
        <is>
          <t>28/08/2026</t>
        </is>
      </c>
    </row>
    <row r="44" ht="15" customHeight="1" s="96">
      <c r="A44" s="86" t="e">
        <v>#VALUE!</v>
      </c>
      <c r="B44" s="10">
        <f t="array" ref="B44">_FV(A44,"Símbolo bursátil",TRUE())</f>
        <v/>
      </c>
      <c r="C44" s="88" t="inlineStr">
        <is>
          <t>Alcohol</t>
        </is>
      </c>
      <c r="D44" s="88" t="inlineStr">
        <is>
          <t>Defensive</t>
        </is>
      </c>
      <c r="E44" s="11">
        <f t="array" ref="E44">_FV(A44,"Abreviatura de intercambio",TRUE())</f>
        <v/>
      </c>
      <c r="F44" s="11">
        <f t="array" ref="F44">_FV(A44,"Moneda")</f>
        <v/>
      </c>
      <c r="G44" s="12">
        <f t="array" ref="G44">_FV(A44,"Precio")</f>
        <v/>
      </c>
      <c r="H44" s="13">
        <f t="array" ref="H44">_FV(A44,"Acciones en circulación",TRUE())/1000000</f>
        <v/>
      </c>
      <c r="I44" s="14">
        <f>G44*H44</f>
        <v/>
      </c>
      <c r="J44" s="90" t="n">
        <v>0</v>
      </c>
      <c r="K44" s="90" t="n">
        <v>6</v>
      </c>
      <c r="L44" s="90" t="n">
        <v>1</v>
      </c>
      <c r="M44" s="90" t="n">
        <v>-0.5</v>
      </c>
      <c r="N44" s="90" t="n">
        <v>0</v>
      </c>
      <c r="O44" s="90" t="n">
        <v>0</v>
      </c>
      <c r="P44" s="90" t="n">
        <v>0</v>
      </c>
      <c r="Q44" s="90" t="n">
        <v>1</v>
      </c>
      <c r="R44" s="15">
        <f>SUM(J44:Q44)</f>
        <v/>
      </c>
      <c r="S44" s="16">
        <f>ROUND(R44/17*10,2)</f>
        <v/>
      </c>
      <c r="T44" s="90" t="n">
        <v>10</v>
      </c>
      <c r="U44" s="90" t="n">
        <v>15</v>
      </c>
      <c r="V44" s="90" t="n">
        <v>10</v>
      </c>
      <c r="W44" s="90" t="n">
        <v>8</v>
      </c>
      <c r="X44" s="90" t="n">
        <v>8</v>
      </c>
      <c r="Y44" s="90" t="n">
        <v>10</v>
      </c>
      <c r="Z44" s="90" t="n">
        <v>9</v>
      </c>
      <c r="AA44" s="90" t="n">
        <v>-11</v>
      </c>
      <c r="AB44" s="15">
        <f>SUM(T44:AA44)</f>
        <v/>
      </c>
      <c r="AC44" s="16">
        <f>ROUND(AB44/10,2)</f>
        <v/>
      </c>
      <c r="AD44" s="90" t="n">
        <v>13</v>
      </c>
      <c r="AE44" s="90" t="n">
        <v>-2</v>
      </c>
      <c r="AF44" s="90" t="n">
        <v>6</v>
      </c>
      <c r="AG44" s="90" t="n">
        <v>9</v>
      </c>
      <c r="AH44" s="90" t="n">
        <v>0</v>
      </c>
      <c r="AI44" s="90" t="n">
        <v>8</v>
      </c>
      <c r="AJ44" s="90" t="n">
        <v>12</v>
      </c>
      <c r="AK44" s="90" t="n">
        <v>-5</v>
      </c>
      <c r="AL44" s="15">
        <f>SUM(AD44:AK44)</f>
        <v/>
      </c>
      <c r="AM44" s="16">
        <f>ROUND(AL44/70*10,2)</f>
        <v/>
      </c>
      <c r="AN44" s="17">
        <f>ROUND((S44+AC44+AM44)/3,2)</f>
        <v/>
      </c>
      <c r="AO44" s="18" t="inlineStr">
        <is>
          <t>EUR</t>
        </is>
      </c>
      <c r="AP44" s="19" t="n">
        <v>800</v>
      </c>
      <c r="AQ44" s="19" t="n">
        <v>4200</v>
      </c>
      <c r="AR44" s="19">
        <f>I44-AP44+AQ44</f>
        <v/>
      </c>
      <c r="AS44" s="19" t="n">
        <v>300</v>
      </c>
      <c r="AT44" s="19" t="n">
        <v>420</v>
      </c>
      <c r="AU44" s="19" t="n">
        <v>700</v>
      </c>
      <c r="AV44" s="19" t="n">
        <v>3100</v>
      </c>
      <c r="AW44" s="20">
        <f>AR44/AS44</f>
        <v/>
      </c>
      <c r="AX44" s="20">
        <f>AR44/AU44</f>
        <v/>
      </c>
      <c r="AY44" s="20">
        <f>AR44/AV44</f>
        <v/>
      </c>
      <c r="AZ44" s="21" t="n">
        <v>5500</v>
      </c>
      <c r="BA44" s="22">
        <f>AT44/AV44</f>
        <v/>
      </c>
      <c r="BB44" s="22">
        <f>AV44/AZ44</f>
        <v/>
      </c>
      <c r="BC44" s="23">
        <f>BA44*BB44</f>
        <v/>
      </c>
      <c r="BD44" t="inlineStr">
        <is>
          <t>348</t>
        </is>
      </c>
      <c r="BE44" s="23">
        <f>(BD44/AS44)^(1/5)-1</f>
        <v/>
      </c>
      <c r="BF44" t="inlineStr">
        <is>
          <t>506</t>
        </is>
      </c>
      <c r="BG44" s="23">
        <f>(BF44/AS44)^(1/5)-1</f>
        <v/>
      </c>
      <c r="BH44" s="24" t="n">
        <v>15</v>
      </c>
      <c r="BI44" s="24" t="n">
        <v>20</v>
      </c>
      <c r="BJ44" s="25">
        <f>(BD44*BH44+$AP44-$AQ44)/$H44</f>
        <v/>
      </c>
      <c r="BK44" s="25">
        <f>(BF44*BI44+$AP44-$AQ44)/$H44</f>
        <v/>
      </c>
      <c r="BL44" s="23">
        <f>($BJ44/G44)^(1/5)-1</f>
        <v/>
      </c>
      <c r="BM44" s="23">
        <f>(BK44/G44)^(1/4)-1</f>
        <v/>
      </c>
      <c r="BN44" s="93" t="inlineStr">
        <is>
          <t>2026-05-15</t>
        </is>
      </c>
      <c r="BO44" s="93" t="inlineStr">
        <is>
          <t>Q1 2026: Rev €643M (orgánico +2.9%, miss consenso €651M). Reported -3.4% por FX. Europa +1.9%, Norte América +2.2%, Emergentes +12.7%. MAT orgánico +3.9%. Guidance 2026 ~3% orgánico confirmado</t>
        </is>
      </c>
      <c r="BP44" s="93" t="inlineStr">
        <is>
          <t>H1 2026 (julio 2026)</t>
        </is>
      </c>
    </row>
    <row r="45" ht="15" customHeight="1" s="96">
      <c r="A45" s="86" t="e">
        <v>#VALUE!</v>
      </c>
      <c r="B45" s="10">
        <f t="array" ref="B45">_FV(A45,"Símbolo bursátil",TRUE())</f>
        <v/>
      </c>
      <c r="C45" s="88" t="inlineStr">
        <is>
          <t>construction</t>
        </is>
      </c>
      <c r="D45" s="88" t="inlineStr">
        <is>
          <t>Compounder</t>
        </is>
      </c>
      <c r="E45" s="11">
        <f t="array" ref="E45">_FV(A45,"Abreviatura de intercambio",TRUE())</f>
        <v/>
      </c>
      <c r="F45" s="11">
        <f t="array" ref="F45">_FV(A45,"Moneda")</f>
        <v/>
      </c>
      <c r="G45" s="12">
        <f t="array" ref="G45">_FV(A45,"Precio")</f>
        <v/>
      </c>
      <c r="H45" s="13">
        <f t="array" ref="H45">_FV(A45,"Acciones en circulación",TRUE())/1000000</f>
        <v/>
      </c>
      <c r="I45" s="14">
        <f>G45*H45</f>
        <v/>
      </c>
      <c r="J45" s="91" t="n">
        <v>1</v>
      </c>
      <c r="K45" s="91" t="n">
        <v>5</v>
      </c>
      <c r="L45" s="91" t="n">
        <v>1</v>
      </c>
      <c r="M45" s="91" t="n">
        <v>0</v>
      </c>
      <c r="N45" s="91" t="n">
        <v>0</v>
      </c>
      <c r="O45" s="91" t="n">
        <v>0</v>
      </c>
      <c r="P45" s="91" t="n">
        <v>0</v>
      </c>
      <c r="Q45" s="91" t="n">
        <v>0</v>
      </c>
      <c r="R45" s="26">
        <f>SUM(J45:Q45)</f>
        <v/>
      </c>
      <c r="S45" s="16">
        <f>ROUND(R45/17*10,2)</f>
        <v/>
      </c>
      <c r="T45" s="91" t="n">
        <v>11</v>
      </c>
      <c r="U45" s="91" t="n">
        <v>13</v>
      </c>
      <c r="V45" s="91" t="n">
        <v>11</v>
      </c>
      <c r="W45" s="91" t="n">
        <v>9</v>
      </c>
      <c r="X45" s="91" t="n">
        <v>7</v>
      </c>
      <c r="Y45" s="91" t="n">
        <v>10</v>
      </c>
      <c r="Z45" s="91" t="n">
        <v>5</v>
      </c>
      <c r="AA45" s="91" t="n">
        <v>-9</v>
      </c>
      <c r="AB45" s="26">
        <f>SUM(T45:AA45)</f>
        <v/>
      </c>
      <c r="AC45" s="16">
        <f>ROUND(AB45/10,2)</f>
        <v/>
      </c>
      <c r="AD45" s="91" t="n">
        <v>12</v>
      </c>
      <c r="AE45" s="91" t="n">
        <v>-2</v>
      </c>
      <c r="AF45" s="91" t="n">
        <v>5</v>
      </c>
      <c r="AG45" s="91" t="n">
        <v>10</v>
      </c>
      <c r="AH45" s="91" t="n">
        <v>1</v>
      </c>
      <c r="AI45" s="91" t="n">
        <v>7</v>
      </c>
      <c r="AJ45" s="91" t="n">
        <v>11</v>
      </c>
      <c r="AK45" s="91" t="n">
        <v>-5</v>
      </c>
      <c r="AL45" s="26">
        <f>SUM(AD45:AK45)</f>
        <v/>
      </c>
      <c r="AM45" s="16">
        <f>ROUND(AL45/70*10,2)</f>
        <v/>
      </c>
      <c r="AN45" s="17">
        <f>ROUND((S45+AC45+AM45)/3,2)</f>
        <v/>
      </c>
      <c r="AO45" s="18" t="inlineStr">
        <is>
          <t>CHF</t>
        </is>
      </c>
      <c r="AP45" s="19" t="n">
        <v>1200</v>
      </c>
      <c r="AQ45" s="19" t="n">
        <v>4700</v>
      </c>
      <c r="AR45" s="19">
        <f>I45-AP45+AQ45</f>
        <v/>
      </c>
      <c r="AS45" s="19" t="n">
        <v>1100</v>
      </c>
      <c r="AT45" s="19" t="n">
        <v>1250</v>
      </c>
      <c r="AU45" s="19" t="n">
        <v>2100</v>
      </c>
      <c r="AV45" s="19" t="n">
        <v>11760</v>
      </c>
      <c r="AW45" s="20">
        <f>AR45/AS45</f>
        <v/>
      </c>
      <c r="AX45" s="20">
        <f>AR45/AU45</f>
        <v/>
      </c>
      <c r="AY45" s="20">
        <f>AR45/AV45</f>
        <v/>
      </c>
      <c r="AZ45" s="21" t="n">
        <v>12500</v>
      </c>
      <c r="BA45" s="22">
        <f>AT45/AV45</f>
        <v/>
      </c>
      <c r="BB45" s="22">
        <f>AV45/AZ45</f>
        <v/>
      </c>
      <c r="BC45" s="23">
        <f>BA45*BB45</f>
        <v/>
      </c>
      <c r="BD45" t="inlineStr">
        <is>
          <t>1,275</t>
        </is>
      </c>
      <c r="BE45" s="23">
        <f>(BD45/AS45)^(1/5)-1</f>
        <v/>
      </c>
      <c r="BF45" t="inlineStr">
        <is>
          <t>1,854</t>
        </is>
      </c>
      <c r="BG45" s="23">
        <f>(BF45/AS45)^(1/5)-1</f>
        <v/>
      </c>
      <c r="BH45" s="24" t="n">
        <v>18</v>
      </c>
      <c r="BI45" s="24" t="n">
        <v>22.5</v>
      </c>
      <c r="BJ45" s="25">
        <f>(BD45*BH45+$AP45-$AQ45)/$H45</f>
        <v/>
      </c>
      <c r="BK45" s="25">
        <f>(BF45*BI45+$AP45-$AQ45)/$H45</f>
        <v/>
      </c>
      <c r="BL45" s="23">
        <f>($BJ45/G45)^(1/5)-1</f>
        <v/>
      </c>
      <c r="BM45" s="23">
        <f>(BK45/G45)^(1/4)-1</f>
        <v/>
      </c>
      <c r="BN45" s="93" t="inlineStr">
        <is>
          <t>2026-04-26</t>
        </is>
      </c>
      <c r="BO45" s="93" t="inlineStr">
        <is>
          <t>23/02/2026</t>
        </is>
      </c>
      <c r="BP45" s="93" t="inlineStr">
        <is>
          <t>27/07/2026</t>
        </is>
      </c>
    </row>
    <row r="46" ht="15" customHeight="1" s="96">
      <c r="A46" s="86" t="e">
        <v>#VALUE!</v>
      </c>
      <c r="B46" s="10">
        <f t="array" ref="B46">_FV(A46,"Símbolo bursátil",TRUE())</f>
        <v/>
      </c>
      <c r="C46" s="88" t="inlineStr">
        <is>
          <t>Cyber</t>
        </is>
      </c>
      <c r="D46" s="88" t="inlineStr">
        <is>
          <t>Special situation</t>
        </is>
      </c>
      <c r="E46" s="11">
        <f t="array" ref="E46">_FV(A46,"Abreviatura de intercambio",TRUE())</f>
        <v/>
      </c>
      <c r="F46" s="11">
        <f t="array" ref="F46">_FV(A46,"Moneda")</f>
        <v/>
      </c>
      <c r="G46" s="12">
        <f t="array" ref="G46">_FV(A46,"Precio")</f>
        <v/>
      </c>
      <c r="H46" s="13">
        <f t="array" ref="H46">_FV(A46,"Acciones en circulación",TRUE())/1000000</f>
        <v/>
      </c>
      <c r="I46" s="14">
        <f>G46*H46</f>
        <v/>
      </c>
      <c r="J46" s="90" t="n">
        <v>1</v>
      </c>
      <c r="K46" s="90" t="n">
        <v>5</v>
      </c>
      <c r="L46" s="90" t="n">
        <v>1</v>
      </c>
      <c r="M46" s="90" t="n">
        <v>1</v>
      </c>
      <c r="N46" s="90" t="n">
        <v>0</v>
      </c>
      <c r="O46" s="90" t="n">
        <v>0</v>
      </c>
      <c r="P46" s="90" t="n">
        <v>0</v>
      </c>
      <c r="Q46" s="90" t="n">
        <v>0</v>
      </c>
      <c r="R46" s="15">
        <f>SUM(J46:Q46)</f>
        <v/>
      </c>
      <c r="S46" s="16">
        <f>ROUND(R46/17*10,2)</f>
        <v/>
      </c>
      <c r="T46" s="90" t="n">
        <v>15</v>
      </c>
      <c r="U46" s="90" t="n">
        <v>10</v>
      </c>
      <c r="V46" s="90" t="n">
        <v>8</v>
      </c>
      <c r="W46" s="90" t="n">
        <v>7</v>
      </c>
      <c r="X46" s="90" t="n">
        <v>8</v>
      </c>
      <c r="Y46" s="90" t="n">
        <v>9</v>
      </c>
      <c r="Z46" s="90" t="n">
        <v>6</v>
      </c>
      <c r="AA46" s="90" t="n">
        <v>-14</v>
      </c>
      <c r="AB46" s="15">
        <f>SUM(T46:AA46)</f>
        <v/>
      </c>
      <c r="AC46" s="16">
        <f>ROUND(AB46/10,2)</f>
        <v/>
      </c>
      <c r="AD46" s="90" t="n">
        <v>11</v>
      </c>
      <c r="AE46" s="90" t="n">
        <v>-5</v>
      </c>
      <c r="AF46" s="90" t="n">
        <v>10</v>
      </c>
      <c r="AG46" s="90" t="n">
        <v>11</v>
      </c>
      <c r="AH46" s="90" t="n">
        <v>4</v>
      </c>
      <c r="AI46" s="90" t="n">
        <v>6</v>
      </c>
      <c r="AJ46" s="90" t="n">
        <v>9</v>
      </c>
      <c r="AK46" s="90" t="n">
        <v>-9</v>
      </c>
      <c r="AL46" s="15">
        <f>SUM(AD46:AK46)</f>
        <v/>
      </c>
      <c r="AM46" s="16">
        <f>ROUND(AL46/70*10,2)</f>
        <v/>
      </c>
      <c r="AN46" s="17">
        <f>ROUND((S46+AC46+AM46)/3,2)</f>
        <v/>
      </c>
      <c r="AO46" s="18" t="inlineStr">
        <is>
          <t>USD</t>
        </is>
      </c>
      <c r="AP46" s="19" t="n">
        <v>3000</v>
      </c>
      <c r="AQ46" s="19" t="n">
        <v>0</v>
      </c>
      <c r="AR46" s="19">
        <f>I46-AP46+AQ46</f>
        <v/>
      </c>
      <c r="AS46" s="19" t="n">
        <v>1450</v>
      </c>
      <c r="AT46" s="19" t="n">
        <v>1050</v>
      </c>
      <c r="AU46" s="19" t="n">
        <v>1300</v>
      </c>
      <c r="AV46" s="19" t="n">
        <v>2760</v>
      </c>
      <c r="AW46" s="20">
        <f>AR46/AS46</f>
        <v/>
      </c>
      <c r="AX46" s="20">
        <f>AR46/AU46</f>
        <v/>
      </c>
      <c r="AY46" s="20">
        <f>AR46/AV46</f>
        <v/>
      </c>
      <c r="AZ46" s="21" t="n">
        <v>1200</v>
      </c>
      <c r="BA46" s="22">
        <f>AT46/AV46</f>
        <v/>
      </c>
      <c r="BB46" s="22">
        <f>AV46/AZ46</f>
        <v/>
      </c>
      <c r="BC46" s="23">
        <f>BA46*BB46</f>
        <v/>
      </c>
      <c r="BD46" t="inlineStr">
        <is>
          <t>1,435</t>
        </is>
      </c>
      <c r="BE46" s="23">
        <f>(BD46/AS46)^(1/5)-1</f>
        <v/>
      </c>
      <c r="BF46" t="inlineStr">
        <is>
          <t>2,094</t>
        </is>
      </c>
      <c r="BG46" s="23">
        <f>(BF46/AS46)^(1/5)-1</f>
        <v/>
      </c>
      <c r="BH46" s="24" t="n">
        <v>6</v>
      </c>
      <c r="BI46" s="24" t="n">
        <v>15</v>
      </c>
      <c r="BJ46" s="25">
        <f>(BD46*BH46+$AP46-$AQ46)/$H46</f>
        <v/>
      </c>
      <c r="BK46" s="25">
        <f>(BF46*BI46+$AP46-$AQ46)/$H46</f>
        <v/>
      </c>
      <c r="BL46" s="23">
        <f>($BJ46/G46)^(1/5)-1</f>
        <v/>
      </c>
      <c r="BM46" s="23">
        <f>(BK46/G46)^(1/4)-1</f>
        <v/>
      </c>
      <c r="BN46" s="93" t="inlineStr">
        <is>
          <t>2026-05-07</t>
        </is>
      </c>
      <c r="BO46" s="93" t="inlineStr">
        <is>
          <t>Q1 2026: Rev $668M (+5%), Subs +11%, Non-GAAP EPS $2.50 (+13%), FCF $457M (+11%). CTEM ARR +96%. Guidance Rev 2026 rebajada $2.77-2.85B (prev $2.83-2.95B) por caída appliances. EPS sin cambios $10.05-10.85.</t>
        </is>
      </c>
      <c r="BP46" s="93" t="inlineStr">
        <is>
          <t>Q2 2026 (julio 2026)</t>
        </is>
      </c>
    </row>
    <row r="47" ht="15" customHeight="1" s="96">
      <c r="A47" s="86" t="e">
        <v>#VALUE!</v>
      </c>
      <c r="B47" s="10">
        <f t="array" ref="B47">_FV(A47,"Símbolo bursátil",TRUE())</f>
        <v/>
      </c>
      <c r="C47" s="88" t="inlineStr">
        <is>
          <t>Sports</t>
        </is>
      </c>
      <c r="D47" s="88" t="inlineStr">
        <is>
          <t>Compounder</t>
        </is>
      </c>
      <c r="E47" s="11">
        <f t="array" ref="E47">_FV(A47,"Abreviatura de intercambio",TRUE())</f>
        <v/>
      </c>
      <c r="F47" s="11">
        <f t="array" ref="F47">_FV(A47,"Moneda")</f>
        <v/>
      </c>
      <c r="G47" s="12">
        <f t="array" ref="G47">_FV(A47,"Precio")</f>
        <v/>
      </c>
      <c r="H47" s="13">
        <f t="array" ref="H47">_FV(A47,"Acciones en circulación",TRUE())/1000000</f>
        <v/>
      </c>
      <c r="I47" s="14">
        <f>G47*H47</f>
        <v/>
      </c>
      <c r="J47" s="91" t="n">
        <v>0</v>
      </c>
      <c r="K47" s="91" t="n">
        <v>4</v>
      </c>
      <c r="L47" s="91" t="n">
        <v>2</v>
      </c>
      <c r="M47" s="91" t="n">
        <v>0</v>
      </c>
      <c r="N47" s="91" t="n">
        <v>0</v>
      </c>
      <c r="O47" s="91" t="n">
        <v>0</v>
      </c>
      <c r="P47" s="91" t="n">
        <v>0</v>
      </c>
      <c r="Q47" s="91" t="n">
        <v>1</v>
      </c>
      <c r="R47" s="26">
        <f>SUM(J47:Q47)</f>
        <v/>
      </c>
      <c r="S47" s="16">
        <f>ROUND(R47/17*10,2)</f>
        <v/>
      </c>
      <c r="T47" s="91" t="n">
        <v>12</v>
      </c>
      <c r="U47" s="91" t="n">
        <v>10</v>
      </c>
      <c r="V47" s="91" t="n">
        <v>11</v>
      </c>
      <c r="W47" s="91" t="n">
        <v>7</v>
      </c>
      <c r="X47" s="91" t="n">
        <v>6</v>
      </c>
      <c r="Y47" s="91" t="n">
        <v>10</v>
      </c>
      <c r="Z47" s="91" t="n">
        <v>9</v>
      </c>
      <c r="AA47" s="91" t="n">
        <v>-10</v>
      </c>
      <c r="AB47" s="26">
        <f>SUM(T47:AA47)</f>
        <v/>
      </c>
      <c r="AC47" s="16">
        <f>ROUND(AB47/10,2)</f>
        <v/>
      </c>
      <c r="AD47" s="91" t="n">
        <v>10</v>
      </c>
      <c r="AE47" s="91" t="n">
        <v>-3</v>
      </c>
      <c r="AF47" s="91" t="n">
        <v>6</v>
      </c>
      <c r="AG47" s="91" t="n">
        <v>10</v>
      </c>
      <c r="AH47" s="91" t="n">
        <v>3</v>
      </c>
      <c r="AI47" s="91" t="n">
        <v>8</v>
      </c>
      <c r="AJ47" s="91" t="n">
        <v>9</v>
      </c>
      <c r="AK47" s="91" t="n">
        <v>-4</v>
      </c>
      <c r="AL47" s="26">
        <f>SUM(AD47:AK47)</f>
        <v/>
      </c>
      <c r="AM47" s="16">
        <f>ROUND(AL47/70*10,2)</f>
        <v/>
      </c>
      <c r="AN47" s="17">
        <f>ROUND((S47+AC47+AM47)/3,2)</f>
        <v/>
      </c>
      <c r="AO47" s="18" t="inlineStr">
        <is>
          <t>EUR</t>
        </is>
      </c>
      <c r="AP47" s="19" t="n">
        <v>100</v>
      </c>
      <c r="AQ47" s="19" t="n">
        <v>50</v>
      </c>
      <c r="AR47" s="19">
        <f>I47-AP47+AQ47</f>
        <v/>
      </c>
      <c r="AS47" s="19" t="n">
        <v>95</v>
      </c>
      <c r="AT47" s="19" t="n">
        <v>90</v>
      </c>
      <c r="AU47" s="19" t="n">
        <v>140</v>
      </c>
      <c r="AV47" s="19" t="n">
        <v>840</v>
      </c>
      <c r="AW47" s="20">
        <f>AR47/AS47</f>
        <v/>
      </c>
      <c r="AX47" s="20">
        <f>AR47/AU47</f>
        <v/>
      </c>
      <c r="AY47" s="20">
        <f>AR47/AV47</f>
        <v/>
      </c>
      <c r="AZ47" s="21" t="n">
        <v>450</v>
      </c>
      <c r="BA47" s="22">
        <f>AT47/AV47</f>
        <v/>
      </c>
      <c r="BB47" s="22">
        <f>AV47/AZ47</f>
        <v/>
      </c>
      <c r="BC47" s="23">
        <f>BA47*BB47</f>
        <v/>
      </c>
      <c r="BD47" t="inlineStr">
        <is>
          <t>116</t>
        </is>
      </c>
      <c r="BE47" s="23">
        <f>(BD47/AS47)^(1/5)-1</f>
        <v/>
      </c>
      <c r="BF47" t="inlineStr">
        <is>
          <t>183</t>
        </is>
      </c>
      <c r="BG47" s="23">
        <f>(BF47/AS47)^(1/5)-1</f>
        <v/>
      </c>
      <c r="BH47" s="24" t="n">
        <v>15</v>
      </c>
      <c r="BI47" s="24" t="n">
        <v>22.5</v>
      </c>
      <c r="BJ47" s="25">
        <f>(BD47*BH47+$AP47-$AQ47)/$H47</f>
        <v/>
      </c>
      <c r="BK47" s="25">
        <f>(BF47*BI47+$AP47-$AQ47)/$H47</f>
        <v/>
      </c>
      <c r="BL47" s="23">
        <f>($BJ47/G47)^(1/5)-1</f>
        <v/>
      </c>
      <c r="BM47" s="23">
        <f>(BK47/G47)^(1/4)-1</f>
        <v/>
      </c>
      <c r="BN47" s="93" t="inlineStr">
        <is>
          <t>2026-04-26</t>
        </is>
      </c>
      <c r="BO47" s="93" t="inlineStr">
        <is>
          <t>19/03/2026</t>
        </is>
      </c>
      <c r="BP47" s="93" t="inlineStr">
        <is>
          <t>30/07/2026</t>
        </is>
      </c>
    </row>
    <row r="48" ht="15" customHeight="1" s="96">
      <c r="A48" s="86" t="e">
        <v>#VALUE!</v>
      </c>
      <c r="B48" s="10">
        <f t="array" ref="B48">_FV(A48,"Símbolo bursátil",TRUE())</f>
        <v/>
      </c>
      <c r="C48" s="88" t="inlineStr">
        <is>
          <t>Alcohol</t>
        </is>
      </c>
      <c r="D48" s="88" t="inlineStr">
        <is>
          <t>Defensive</t>
        </is>
      </c>
      <c r="E48" s="11">
        <f t="array" ref="E48">_FV(A48,"Abreviatura de intercambio",TRUE())</f>
        <v/>
      </c>
      <c r="F48" s="11">
        <f t="array" ref="F48">_FV(A48,"Moneda")</f>
        <v/>
      </c>
      <c r="G48" s="12">
        <f t="array" ref="G48">_FV(A48,"Precio")</f>
        <v/>
      </c>
      <c r="H48" s="13">
        <f t="array" ref="H48">_FV(A48,"Acciones en circulación",TRUE())/1000000</f>
        <v/>
      </c>
      <c r="I48" s="14">
        <f>G48*H48</f>
        <v/>
      </c>
      <c r="J48" s="90" t="n">
        <v>0.75</v>
      </c>
      <c r="K48" s="90" t="n">
        <v>6</v>
      </c>
      <c r="L48" s="90" t="n">
        <v>1</v>
      </c>
      <c r="M48" s="90" t="n">
        <v>0.75</v>
      </c>
      <c r="N48" s="90" t="n">
        <v>-0.5</v>
      </c>
      <c r="O48" s="90" t="n">
        <v>0</v>
      </c>
      <c r="P48" s="90" t="n">
        <v>0</v>
      </c>
      <c r="Q48" s="90" t="n">
        <v>1</v>
      </c>
      <c r="R48" s="15">
        <f>SUM(J48:Q48)</f>
        <v/>
      </c>
      <c r="S48" s="16">
        <f>ROUND(R48/17*10,2)</f>
        <v/>
      </c>
      <c r="T48" s="90" t="n">
        <v>13</v>
      </c>
      <c r="U48" s="90" t="n">
        <v>10</v>
      </c>
      <c r="V48" s="90" t="n">
        <v>7</v>
      </c>
      <c r="W48" s="90" t="n">
        <v>8</v>
      </c>
      <c r="X48" s="90" t="n">
        <v>7</v>
      </c>
      <c r="Y48" s="90" t="n">
        <v>11.5</v>
      </c>
      <c r="Z48" s="90" t="n">
        <v>9</v>
      </c>
      <c r="AA48" s="90" t="n">
        <v>-8</v>
      </c>
      <c r="AB48" s="15">
        <f>SUM(T48:AA48)</f>
        <v/>
      </c>
      <c r="AC48" s="16">
        <f>ROUND(AB48/10,2)</f>
        <v/>
      </c>
      <c r="AD48" s="90" t="n">
        <v>10</v>
      </c>
      <c r="AE48" s="90" t="n">
        <v>-2</v>
      </c>
      <c r="AF48" s="90" t="n">
        <v>3</v>
      </c>
      <c r="AG48" s="90" t="n">
        <v>10</v>
      </c>
      <c r="AH48" s="90" t="n">
        <v>3</v>
      </c>
      <c r="AI48" s="90" t="n">
        <v>8</v>
      </c>
      <c r="AJ48" s="90" t="n">
        <v>9</v>
      </c>
      <c r="AK48" s="90" t="n">
        <v>-4</v>
      </c>
      <c r="AL48" s="15">
        <f>SUM(AD48:AK48)</f>
        <v/>
      </c>
      <c r="AM48" s="16">
        <f>ROUND(AL48/70*10,2)</f>
        <v/>
      </c>
      <c r="AN48" s="17">
        <f>ROUND((S48+AC48+AM48)/3,2)</f>
        <v/>
      </c>
      <c r="AO48" s="18" t="inlineStr">
        <is>
          <t>EUR</t>
        </is>
      </c>
      <c r="AP48" s="19" t="n">
        <v>130</v>
      </c>
      <c r="AQ48" s="19" t="n">
        <v>235</v>
      </c>
      <c r="AR48" s="19">
        <f>I48-AP48+AQ48</f>
        <v/>
      </c>
      <c r="AS48" s="19" t="n">
        <v>200</v>
      </c>
      <c r="AT48" s="19" t="n">
        <v>210</v>
      </c>
      <c r="AU48" s="19" t="n">
        <v>385</v>
      </c>
      <c r="AV48" s="19" t="n">
        <v>1465</v>
      </c>
      <c r="AW48" s="20">
        <f>AR48/AS48</f>
        <v/>
      </c>
      <c r="AX48" s="20">
        <f>AR48/AU48</f>
        <v/>
      </c>
      <c r="AY48" s="20">
        <f>AR48/AV48</f>
        <v/>
      </c>
      <c r="AZ48" s="21" t="n">
        <v>1200</v>
      </c>
      <c r="BA48" s="22">
        <f>AT48/AV48</f>
        <v/>
      </c>
      <c r="BB48" s="22">
        <f>AV48/AZ48</f>
        <v/>
      </c>
      <c r="BC48" s="23">
        <f>BA48*BB48</f>
        <v/>
      </c>
      <c r="BD48" t="inlineStr">
        <is>
          <t>210</t>
        </is>
      </c>
      <c r="BE48" s="23">
        <f>(BD48/AS48)^(1/5)-1</f>
        <v/>
      </c>
      <c r="BF48" t="inlineStr">
        <is>
          <t>308</t>
        </is>
      </c>
      <c r="BG48" s="23">
        <f>(BF48/AS48)^(1/5)-1</f>
        <v/>
      </c>
      <c r="BH48" s="24" t="n">
        <v>10</v>
      </c>
      <c r="BI48" s="24" t="n">
        <v>18</v>
      </c>
      <c r="BJ48" s="25">
        <f>(BD48*BH48+$AP48-$AQ48)/$H48</f>
        <v/>
      </c>
      <c r="BK48" s="25">
        <f>(BF48*BI48+$AP48-$AQ48)/$H48</f>
        <v/>
      </c>
      <c r="BL48" s="23">
        <f>($BJ48/G48)^(1/5)-1</f>
        <v/>
      </c>
      <c r="BM48" s="23">
        <f>(BK48/G48)^(1/4)-1</f>
        <v/>
      </c>
      <c r="BN48" s="93" t="inlineStr">
        <is>
          <t>2026-04-30</t>
        </is>
      </c>
      <c r="BO48" s="94" t="inlineStr">
        <is>
          <t>Q1 2026: Rev €367.5M (-1.3%), EBITDA €104M (28.3% margen), BN €53.7M (+13%), Deuda neta €273M. Sudamérica &gt;20% ventas. Guidance: EBITDA €450M, FCF ~€200M.</t>
        </is>
      </c>
      <c r="BP48" s="93" t="inlineStr">
        <is>
          <t>Q2 2026 (agosto 2026)</t>
        </is>
      </c>
    </row>
    <row r="49" ht="15" customHeight="1" s="96">
      <c r="A49" s="86" t="e">
        <v>#VALUE!</v>
      </c>
      <c r="B49" s="10">
        <f t="array" ref="B49">_FV(A49,"Símbolo bursátil",TRUE())</f>
        <v/>
      </c>
      <c r="C49" s="88" t="inlineStr">
        <is>
          <t>Materials</t>
        </is>
      </c>
      <c r="D49" s="88" t="inlineStr">
        <is>
          <t>Raw materials</t>
        </is>
      </c>
      <c r="E49" s="11">
        <f t="array" ref="E49">_FV(A49,"Abreviatura de intercambio",TRUE())</f>
        <v/>
      </c>
      <c r="F49" s="11">
        <f t="array" ref="F49">_FV(A49,"Moneda")</f>
        <v/>
      </c>
      <c r="G49" s="12">
        <f t="array" ref="G49">_FV(A49,"Precio")</f>
        <v/>
      </c>
      <c r="H49" s="13">
        <f t="array" ref="H49">_FV(A49,"Acciones en circulación",TRUE())/1000000</f>
        <v/>
      </c>
      <c r="I49" s="14">
        <f>G49*H49</f>
        <v/>
      </c>
      <c r="J49" s="91" t="n">
        <v>0</v>
      </c>
      <c r="K49" s="91" t="n">
        <v>5</v>
      </c>
      <c r="L49" s="91" t="n">
        <v>1</v>
      </c>
      <c r="M49" s="91" t="n">
        <v>1</v>
      </c>
      <c r="N49" s="91" t="n">
        <v>-1</v>
      </c>
      <c r="O49" s="91" t="n">
        <v>0</v>
      </c>
      <c r="P49" s="91" t="n">
        <v>0</v>
      </c>
      <c r="Q49" s="91" t="n">
        <v>0</v>
      </c>
      <c r="R49" s="26">
        <f>SUM(J49:Q49)</f>
        <v/>
      </c>
      <c r="S49" s="16">
        <f>ROUND(R49/17*10,2)</f>
        <v/>
      </c>
      <c r="T49" s="91" t="n">
        <v>14</v>
      </c>
      <c r="U49" s="91" t="n">
        <v>12</v>
      </c>
      <c r="V49" s="91" t="n">
        <v>10</v>
      </c>
      <c r="W49" s="91" t="n">
        <v>6</v>
      </c>
      <c r="X49" s="91" t="n">
        <v>8</v>
      </c>
      <c r="Y49" s="91" t="n">
        <v>10</v>
      </c>
      <c r="Z49" s="91" t="n">
        <v>5</v>
      </c>
      <c r="AA49" s="91" t="n">
        <v>-11</v>
      </c>
      <c r="AB49" s="26">
        <f>SUM(T49:AA49)</f>
        <v/>
      </c>
      <c r="AC49" s="16">
        <f>ROUND(AB49/10,2)</f>
        <v/>
      </c>
      <c r="AD49" s="91" t="n">
        <v>11</v>
      </c>
      <c r="AE49" s="91" t="n">
        <v>-4</v>
      </c>
      <c r="AF49" s="91" t="n">
        <v>10</v>
      </c>
      <c r="AG49" s="91" t="n">
        <v>11</v>
      </c>
      <c r="AH49" s="91" t="n">
        <v>4</v>
      </c>
      <c r="AI49" s="91" t="n">
        <v>7</v>
      </c>
      <c r="AJ49" s="91" t="n">
        <v>9</v>
      </c>
      <c r="AK49" s="91" t="n">
        <v>-6</v>
      </c>
      <c r="AL49" s="26">
        <f>SUM(AD49:AK49)</f>
        <v/>
      </c>
      <c r="AM49" s="16">
        <f>ROUND(AL49/70*10,2)</f>
        <v/>
      </c>
      <c r="AN49" s="17">
        <f>ROUND((S49+AC49+AM49)/3,2)</f>
        <v/>
      </c>
      <c r="AO49" s="18" t="inlineStr">
        <is>
          <t>USD</t>
        </is>
      </c>
      <c r="AP49" s="19" t="n">
        <v>80</v>
      </c>
      <c r="AQ49" s="19" t="n">
        <v>0</v>
      </c>
      <c r="AR49" s="19">
        <f>I49*'Framework Notes'!E7-AP49+AQ49</f>
        <v/>
      </c>
      <c r="AS49" s="19" t="n">
        <v>300</v>
      </c>
      <c r="AT49" s="19" t="n">
        <v>280</v>
      </c>
      <c r="AU49" s="19" t="n">
        <v>360</v>
      </c>
      <c r="AV49" s="19" t="n">
        <v>410</v>
      </c>
      <c r="AW49" s="20">
        <f>AR49/AS49</f>
        <v/>
      </c>
      <c r="AX49" s="20">
        <f>AR49/AU49</f>
        <v/>
      </c>
      <c r="AY49" s="20">
        <f>AR49/AV49</f>
        <v/>
      </c>
      <c r="AZ49" s="21" t="n">
        <v>1800</v>
      </c>
      <c r="BA49" s="22">
        <f>AT49/AV49</f>
        <v/>
      </c>
      <c r="BB49" s="22">
        <f>AV49/AZ49</f>
        <v/>
      </c>
      <c r="BC49" s="23">
        <f>BA49*BB49</f>
        <v/>
      </c>
      <c r="BD49" t="inlineStr">
        <is>
          <t>242</t>
        </is>
      </c>
      <c r="BE49" s="23">
        <f>(BD49/AS49)^(1/5)-1</f>
        <v/>
      </c>
      <c r="BF49" t="inlineStr">
        <is>
          <t>473</t>
        </is>
      </c>
      <c r="BG49" s="23">
        <f>(BF49/AS49)^(1/5)-1</f>
        <v/>
      </c>
      <c r="BH49" s="24" t="n">
        <v>18</v>
      </c>
      <c r="BI49" s="24" t="n">
        <v>22</v>
      </c>
      <c r="BJ49" s="25">
        <f>((BD49*BH49+$AP49-$AQ49)/$H49)/'Framework Notes'!E7</f>
        <v/>
      </c>
      <c r="BK49" s="25">
        <f>((BF49*BI49+$AP49-$AQ49)/$H49)/'Framework Notes'!E7</f>
        <v/>
      </c>
      <c r="BL49" s="23">
        <f>($BJ49/G49)^(1/5)-1</f>
        <v/>
      </c>
      <c r="BM49" s="23">
        <f>(BK49/G49)^(1/4)-1</f>
        <v/>
      </c>
      <c r="BN49" s="93" t="inlineStr">
        <is>
          <t>2026-05-07</t>
        </is>
      </c>
      <c r="BO49" s="93" t="inlineStr">
        <is>
          <t>Q1 2026: Rev récord $147M (prev $82.2M, +79%), Net Inc $116.9M ($0.56/sh), OCF $113.3M. GEOs récord 30,166. Au $4,873/oz, Ag $84.33/oz. Guidance 2026: 95,000-105,000 GEOs. Div $0.0575/sh.</t>
        </is>
      </c>
      <c r="BP49" s="93" t="inlineStr">
        <is>
          <t>Q2 2026 (agosto 2026)</t>
        </is>
      </c>
    </row>
    <row r="50" ht="15" customHeight="1" s="96">
      <c r="A50" s="86" t="e">
        <v>#VALUE!</v>
      </c>
      <c r="B50" s="10">
        <f t="array" ref="B50">_FV(A50,"Símbolo bursátil",TRUE())</f>
        <v/>
      </c>
      <c r="C50" s="88" t="inlineStr">
        <is>
          <t>Consumo</t>
        </is>
      </c>
      <c r="D50" s="88" t="inlineStr">
        <is>
          <t>Growth</t>
        </is>
      </c>
      <c r="E50" s="11">
        <f t="array" ref="E50">_FV(A50,"Abreviatura de intercambio",TRUE())</f>
        <v/>
      </c>
      <c r="F50" s="11">
        <f t="array" ref="F50">_FV(A50,"Moneda")</f>
        <v/>
      </c>
      <c r="G50" s="12">
        <f t="array" ref="G50">_FV(A50,"Precio")</f>
        <v/>
      </c>
      <c r="H50" s="13">
        <f t="array" ref="H50">_FV(A50,"Acciones en circulación",TRUE())/1000000</f>
        <v/>
      </c>
      <c r="I50" s="14">
        <f>G50*H50</f>
        <v/>
      </c>
      <c r="J50" s="90" t="n">
        <v>0.5</v>
      </c>
      <c r="K50" s="90" t="n">
        <v>6.5</v>
      </c>
      <c r="L50" s="90" t="n">
        <v>2</v>
      </c>
      <c r="M50" s="90" t="n">
        <v>0.5</v>
      </c>
      <c r="N50" s="90" t="n">
        <v>-0.5</v>
      </c>
      <c r="O50" s="90">
        <f>4.1/5</f>
        <v/>
      </c>
      <c r="P50" s="90" t="n">
        <v>1</v>
      </c>
      <c r="Q50" s="90" t="n">
        <v>0</v>
      </c>
      <c r="R50" s="15">
        <f>SUM(J50:Q50)</f>
        <v/>
      </c>
      <c r="S50" s="16">
        <f>ROUND(R50/17*10,2)</f>
        <v/>
      </c>
      <c r="T50" s="90" t="n">
        <v>14.5</v>
      </c>
      <c r="U50" s="90" t="n">
        <v>17</v>
      </c>
      <c r="V50" s="90" t="n">
        <v>14</v>
      </c>
      <c r="W50" s="90" t="n">
        <v>8</v>
      </c>
      <c r="X50" s="90" t="n">
        <v>6.5</v>
      </c>
      <c r="Y50" s="90" t="n">
        <v>12</v>
      </c>
      <c r="Z50" s="90" t="n">
        <v>7</v>
      </c>
      <c r="AA50" s="90" t="n">
        <v>-18</v>
      </c>
      <c r="AB50" s="15">
        <f>SUM(T50:AA50)</f>
        <v/>
      </c>
      <c r="AC50" s="16">
        <f>ROUND(AB50/10,2)</f>
        <v/>
      </c>
      <c r="AD50" s="90" t="n">
        <v>10</v>
      </c>
      <c r="AE50" s="90" t="n">
        <v>-3</v>
      </c>
      <c r="AF50" s="90" t="n">
        <v>6.5</v>
      </c>
      <c r="AG50" s="90" t="n">
        <v>13</v>
      </c>
      <c r="AH50" s="90" t="n">
        <v>2</v>
      </c>
      <c r="AI50" s="90" t="n">
        <v>6.5</v>
      </c>
      <c r="AJ50" s="90" t="n">
        <v>12.5</v>
      </c>
      <c r="AK50" s="90" t="n">
        <v>-6</v>
      </c>
      <c r="AL50" s="15">
        <f>SUM(AD50:AK50)</f>
        <v/>
      </c>
      <c r="AM50" s="16">
        <f>ROUND(AL50/70*10,2)</f>
        <v/>
      </c>
      <c r="AN50" s="17">
        <f>ROUND((S50+AC50+AM50)/3,2)</f>
        <v/>
      </c>
      <c r="AO50" s="18" t="inlineStr">
        <is>
          <t>USD</t>
        </is>
      </c>
      <c r="AP50" s="19" t="n">
        <v>12250</v>
      </c>
      <c r="AQ50" s="19">
        <f>1000+13360</f>
        <v/>
      </c>
      <c r="AR50" s="19">
        <f>I50-AP50+AQ50</f>
        <v/>
      </c>
      <c r="AS50" s="19" t="n">
        <v>11900</v>
      </c>
      <c r="AT50" s="19" t="n">
        <v>13800</v>
      </c>
      <c r="AU50" s="19" t="n">
        <v>14000</v>
      </c>
      <c r="AV50" s="19" t="n">
        <v>46900</v>
      </c>
      <c r="AW50" s="20">
        <f>AR50/AS50</f>
        <v/>
      </c>
      <c r="AX50" s="20">
        <f>AR50/AU50</f>
        <v/>
      </c>
      <c r="AY50" s="20">
        <f>AR50/AV50</f>
        <v/>
      </c>
      <c r="AZ50" s="21" t="n">
        <v>28000</v>
      </c>
      <c r="BA50" s="22">
        <f>AT50/AV50</f>
        <v/>
      </c>
      <c r="BB50" s="22">
        <f>AV50/AZ50</f>
        <v/>
      </c>
      <c r="BC50" s="23">
        <f>BA50*BB50</f>
        <v/>
      </c>
      <c r="BD50" t="n">
        <v>14500</v>
      </c>
      <c r="BE50" s="23">
        <f>(BD50/AS50)^(1/5)-1</f>
        <v/>
      </c>
      <c r="BF50" t="n">
        <v>20000</v>
      </c>
      <c r="BG50" s="23">
        <f>(BF50/AS50)^(1/5)-1</f>
        <v/>
      </c>
      <c r="BH50" s="24" t="n">
        <v>17</v>
      </c>
      <c r="BI50" s="24" t="n">
        <v>25</v>
      </c>
      <c r="BJ50" s="25">
        <f>(BD50*BH50+$AP50-$AQ50)/$H50</f>
        <v/>
      </c>
      <c r="BK50" s="25">
        <f>(BF50*BI50+$AP50-$AQ50)/$H50</f>
        <v/>
      </c>
      <c r="BL50" s="23">
        <f>($BJ50/G50)^(1/5)-1</f>
        <v/>
      </c>
      <c r="BM50" s="23">
        <f>(BK50/G50)^(1/4)-1</f>
        <v/>
      </c>
      <c r="BN50" s="93" t="inlineStr">
        <is>
          <t>2026-04-26</t>
        </is>
      </c>
      <c r="BO50" s="93" t="inlineStr">
        <is>
          <t>16/04/2026</t>
        </is>
      </c>
      <c r="BP50" s="93" t="inlineStr">
        <is>
          <t>16/07/2026</t>
        </is>
      </c>
    </row>
    <row r="51" ht="15" customHeight="1" s="96">
      <c r="A51" s="86" t="e">
        <v>#VALUE!</v>
      </c>
      <c r="B51" s="10">
        <f t="array" ref="B51">_FV(A51,"Símbolo bursátil",TRUE())</f>
        <v/>
      </c>
      <c r="C51" s="88" t="inlineStr">
        <is>
          <t>Consumo</t>
        </is>
      </c>
      <c r="D51" s="88" t="inlineStr">
        <is>
          <t>Special situation</t>
        </is>
      </c>
      <c r="E51" s="11">
        <f t="array" ref="E51">_FV(A51,"Abreviatura de intercambio",TRUE())</f>
        <v/>
      </c>
      <c r="F51" s="11">
        <f t="array" ref="F51">_FV(A51,"Moneda")</f>
        <v/>
      </c>
      <c r="G51" s="12">
        <f t="array" ref="G51">_FV(A51,"Precio")</f>
        <v/>
      </c>
      <c r="H51" s="13">
        <f t="array" ref="H51">_FV(A51,"Acciones en circulación",TRUE())/1000000</f>
        <v/>
      </c>
      <c r="I51" s="14">
        <f>G51*H51</f>
        <v/>
      </c>
      <c r="J51" s="91" t="n">
        <v>0</v>
      </c>
      <c r="K51" s="91" t="n">
        <v>5</v>
      </c>
      <c r="L51" s="91" t="n">
        <v>1</v>
      </c>
      <c r="M51" s="91" t="n">
        <v>0</v>
      </c>
      <c r="N51" s="91" t="n">
        <v>0</v>
      </c>
      <c r="O51" s="91" t="n">
        <v>0</v>
      </c>
      <c r="P51" s="91" t="n">
        <v>1</v>
      </c>
      <c r="Q51" s="91" t="n">
        <v>0</v>
      </c>
      <c r="R51" s="26">
        <f>SUM(J51:Q51)</f>
        <v/>
      </c>
      <c r="S51" s="16">
        <f>ROUND(R51/17*10,2)</f>
        <v/>
      </c>
      <c r="T51" s="91" t="n">
        <v>10</v>
      </c>
      <c r="U51" s="91" t="n">
        <v>13</v>
      </c>
      <c r="V51" s="91" t="n">
        <v>8</v>
      </c>
      <c r="W51" s="91" t="n">
        <v>7</v>
      </c>
      <c r="X51" s="91" t="n">
        <v>6</v>
      </c>
      <c r="Y51" s="91" t="n">
        <v>9</v>
      </c>
      <c r="Z51" s="91" t="n">
        <v>5</v>
      </c>
      <c r="AA51" s="91" t="n">
        <v>-10</v>
      </c>
      <c r="AB51" s="26">
        <f>SUM(T51:AA51)</f>
        <v/>
      </c>
      <c r="AC51" s="16">
        <f>ROUND(AB51/10,2)</f>
        <v/>
      </c>
      <c r="AD51" s="91" t="n">
        <v>11</v>
      </c>
      <c r="AE51" s="91" t="n">
        <v>-2</v>
      </c>
      <c r="AF51" s="91" t="n">
        <v>7</v>
      </c>
      <c r="AG51" s="91" t="n">
        <v>9</v>
      </c>
      <c r="AH51" s="91" t="n">
        <v>3</v>
      </c>
      <c r="AI51" s="91" t="n">
        <v>6</v>
      </c>
      <c r="AJ51" s="91" t="n">
        <v>10</v>
      </c>
      <c r="AK51" s="91" t="n">
        <v>-4</v>
      </c>
      <c r="AL51" s="26">
        <f>SUM(AD51:AK51)</f>
        <v/>
      </c>
      <c r="AM51" s="16">
        <f>ROUND(AL51/70*10,2)</f>
        <v/>
      </c>
      <c r="AN51" s="17">
        <f>ROUND((S51+AC51+AM51)/3,2)</f>
        <v/>
      </c>
      <c r="AO51" s="18" t="inlineStr">
        <is>
          <t>USD</t>
        </is>
      </c>
      <c r="AP51" s="19" t="n">
        <v>8000</v>
      </c>
      <c r="AQ51" s="19" t="n">
        <v>9500</v>
      </c>
      <c r="AR51" s="19">
        <f>I51-AP51+AQ51</f>
        <v/>
      </c>
      <c r="AS51" s="19" t="n">
        <v>5000</v>
      </c>
      <c r="AT51" s="19" t="n">
        <v>4800</v>
      </c>
      <c r="AU51" s="19" t="n">
        <v>7500</v>
      </c>
      <c r="AV51" s="19" t="n">
        <v>51000</v>
      </c>
      <c r="AW51" s="20">
        <f>AR51/AS51</f>
        <v/>
      </c>
      <c r="AX51" s="20">
        <f>AR51/AU51</f>
        <v/>
      </c>
      <c r="AY51" s="20">
        <f>AR51/AV51</f>
        <v/>
      </c>
      <c r="AZ51" s="21" t="n">
        <v>20000</v>
      </c>
      <c r="BA51" s="22">
        <f>AT51/AV51</f>
        <v/>
      </c>
      <c r="BB51" s="22">
        <f>AV51/AZ51</f>
        <v/>
      </c>
      <c r="BC51" s="23">
        <f>BA51*BB51</f>
        <v/>
      </c>
      <c r="BD51" t="inlineStr">
        <is>
          <t>5,000</t>
        </is>
      </c>
      <c r="BE51" s="23">
        <f>(BD51/AS51)^(1/5)-1</f>
        <v/>
      </c>
      <c r="BF51" t="inlineStr">
        <is>
          <t>7,693</t>
        </is>
      </c>
      <c r="BG51" s="23">
        <f>(BF51/AS51)^(1/5)-1</f>
        <v/>
      </c>
      <c r="BH51" s="24" t="n">
        <v>14</v>
      </c>
      <c r="BI51" s="24" t="n">
        <v>21</v>
      </c>
      <c r="BJ51" s="25">
        <f>(BD51*BH51+$AP51-$AQ51)/$H51</f>
        <v/>
      </c>
      <c r="BK51" s="25">
        <f>(BF51*BI51+$AP51-$AQ51)/$H51</f>
        <v/>
      </c>
      <c r="BL51" s="23">
        <f>($BJ51/G51)^(1/5)-1</f>
        <v/>
      </c>
      <c r="BM51" s="23">
        <f>(BK51/G51)^(1/4)-1</f>
        <v/>
      </c>
      <c r="BN51" s="93" t="inlineStr">
        <is>
          <t>2026-04-26</t>
        </is>
      </c>
      <c r="BO51" s="93" t="inlineStr">
        <is>
          <t>31/03/2026</t>
        </is>
      </c>
      <c r="BP51" s="93" t="inlineStr">
        <is>
          <t>25/06/2026</t>
        </is>
      </c>
    </row>
    <row r="52" ht="15" customHeight="1" s="96">
      <c r="A52" s="86" t="e">
        <v>#VALUE!</v>
      </c>
      <c r="B52" s="10">
        <f t="array" ref="B52">_FV(A52,"Símbolo bursátil",TRUE())</f>
        <v/>
      </c>
      <c r="C52" s="88" t="inlineStr">
        <is>
          <t>IP owner</t>
        </is>
      </c>
      <c r="D52" s="88" t="inlineStr">
        <is>
          <t>Compounder</t>
        </is>
      </c>
      <c r="E52" s="11">
        <f t="array" ref="E52">_FV(A52,"Abreviatura de intercambio",TRUE())</f>
        <v/>
      </c>
      <c r="F52" s="11">
        <f t="array" ref="F52">_FV(A52,"Moneda")</f>
        <v/>
      </c>
      <c r="G52" s="12">
        <f t="array" ref="G52">_FV(A52,"Precio")</f>
        <v/>
      </c>
      <c r="H52" s="13">
        <f t="array" ref="H52">_FV(A52,"Acciones en circulación",TRUE())/1000000</f>
        <v/>
      </c>
      <c r="I52" s="14">
        <f>G52*H52</f>
        <v/>
      </c>
      <c r="J52" s="90" t="n">
        <v>2</v>
      </c>
      <c r="K52" s="90" t="n">
        <v>4</v>
      </c>
      <c r="L52" s="90" t="n">
        <v>2</v>
      </c>
      <c r="M52" s="90" t="n">
        <v>0</v>
      </c>
      <c r="N52" s="90" t="n">
        <v>-1</v>
      </c>
      <c r="O52" s="90" t="n">
        <v>0</v>
      </c>
      <c r="P52" s="90" t="n">
        <v>0</v>
      </c>
      <c r="Q52" s="90" t="n">
        <v>0</v>
      </c>
      <c r="R52" s="15">
        <f>SUM(J52:Q52)</f>
        <v/>
      </c>
      <c r="S52" s="16">
        <f>ROUND(R52/17*10,2)</f>
        <v/>
      </c>
      <c r="T52" s="90" t="n">
        <v>11</v>
      </c>
      <c r="U52" s="90" t="n">
        <v>11</v>
      </c>
      <c r="V52" s="90" t="n">
        <v>10</v>
      </c>
      <c r="W52" s="90" t="n">
        <v>6</v>
      </c>
      <c r="X52" s="90" t="n">
        <v>6</v>
      </c>
      <c r="Y52" s="90" t="n">
        <v>9</v>
      </c>
      <c r="Z52" s="90" t="n">
        <v>4</v>
      </c>
      <c r="AA52" s="90" t="n">
        <v>-12</v>
      </c>
      <c r="AB52" s="15">
        <f>SUM(T52:AA52)</f>
        <v/>
      </c>
      <c r="AC52" s="16">
        <f>ROUND(AB52/10,2)</f>
        <v/>
      </c>
      <c r="AD52" s="90" t="n">
        <v>10</v>
      </c>
      <c r="AE52" s="90" t="n">
        <v>-3</v>
      </c>
      <c r="AF52" s="90" t="n">
        <v>9</v>
      </c>
      <c r="AG52" s="90" t="n">
        <v>9</v>
      </c>
      <c r="AH52" s="90" t="n">
        <v>3</v>
      </c>
      <c r="AI52" s="90" t="n">
        <v>6</v>
      </c>
      <c r="AJ52" s="90" t="n">
        <v>9</v>
      </c>
      <c r="AK52" s="90" t="n">
        <v>-5</v>
      </c>
      <c r="AL52" s="15">
        <f>SUM(AD52:AK52)</f>
        <v/>
      </c>
      <c r="AM52" s="16">
        <f>ROUND(AL52/70*10,2)</f>
        <v/>
      </c>
      <c r="AN52" s="17">
        <f>ROUND((S52+AC52+AM52)/3,2)</f>
        <v/>
      </c>
      <c r="AO52" s="18" t="inlineStr">
        <is>
          <t>SEK</t>
        </is>
      </c>
      <c r="AP52" s="19" t="n">
        <v>180</v>
      </c>
      <c r="AQ52" s="19" t="n">
        <v>0</v>
      </c>
      <c r="AR52" s="19">
        <f>I52-AP52+AQ52</f>
        <v/>
      </c>
      <c r="AS52" s="19" t="n">
        <v>118</v>
      </c>
      <c r="AT52" s="19" t="n">
        <v>143</v>
      </c>
      <c r="AU52" s="19" t="n">
        <v>182</v>
      </c>
      <c r="AV52" s="19" t="n">
        <v>485</v>
      </c>
      <c r="AW52" s="20">
        <f>AR52/AS52</f>
        <v/>
      </c>
      <c r="AX52" s="20">
        <f>AR52/AU52</f>
        <v/>
      </c>
      <c r="AY52" s="20">
        <f>AR52/AV52</f>
        <v/>
      </c>
      <c r="AZ52" s="21" t="n">
        <v>350</v>
      </c>
      <c r="BA52" s="22">
        <f>AT52/AV52</f>
        <v/>
      </c>
      <c r="BB52" s="22">
        <f>AV52/AZ52</f>
        <v/>
      </c>
      <c r="BC52" s="23">
        <f>BA52*BB52</f>
        <v/>
      </c>
      <c r="BD52" t="inlineStr">
        <is>
          <t>121</t>
        </is>
      </c>
      <c r="BE52" s="23">
        <f>(BD52/AS52)^(1/5)-1</f>
        <v/>
      </c>
      <c r="BF52" t="inlineStr">
        <is>
          <t>252</t>
        </is>
      </c>
      <c r="BG52" s="23">
        <f>(BF52/AS52)^(1/5)-1</f>
        <v/>
      </c>
      <c r="BH52" s="24" t="n">
        <v>17.5</v>
      </c>
      <c r="BI52" s="24" t="n">
        <v>22.5</v>
      </c>
      <c r="BJ52" s="25">
        <f>(BD52*BH52+$AP52-$AQ52)/$H52</f>
        <v/>
      </c>
      <c r="BK52" s="25">
        <f>(BF52*BI52+$AP52-$AQ52)/$H52</f>
        <v/>
      </c>
      <c r="BL52" s="23">
        <f>($BJ52/G52)^(1/5)-1</f>
        <v/>
      </c>
      <c r="BM52" s="23">
        <f>(BK52/G52)^(1/4)-1</f>
        <v/>
      </c>
      <c r="BN52" s="93" t="inlineStr">
        <is>
          <t>2026-04-26</t>
        </is>
      </c>
      <c r="BO52" s="93" t="inlineStr">
        <is>
          <t>23/04/2026</t>
        </is>
      </c>
      <c r="BP52" s="93" t="inlineStr">
        <is>
          <t>16/07/2026</t>
        </is>
      </c>
    </row>
    <row r="53" ht="15" customHeight="1" s="96">
      <c r="A53" s="86" t="e">
        <v>#VALUE!</v>
      </c>
      <c r="B53" s="10">
        <f t="array" ref="B53">_FV(A53,"Símbolo bursátil",TRUE())</f>
        <v/>
      </c>
      <c r="C53" s="88" t="inlineStr">
        <is>
          <t>construction</t>
        </is>
      </c>
      <c r="D53" s="88" t="inlineStr">
        <is>
          <t>Defensive</t>
        </is>
      </c>
      <c r="E53" s="11">
        <f t="array" ref="E53">_FV(A53,"Abreviatura de intercambio",TRUE())</f>
        <v/>
      </c>
      <c r="F53" s="11">
        <f t="array" ref="F53">_FV(A53,"Moneda")</f>
        <v/>
      </c>
      <c r="G53" s="12">
        <f t="array" ref="G53">_FV(A53,"Precio")</f>
        <v/>
      </c>
      <c r="H53" s="13">
        <f t="array" ref="H53">_FV(A53,"Acciones en circulación",TRUE())/1000000</f>
        <v/>
      </c>
      <c r="I53" s="14">
        <f>G53*H53</f>
        <v/>
      </c>
      <c r="J53" s="91" t="n">
        <v>0</v>
      </c>
      <c r="K53" s="91" t="n">
        <v>4</v>
      </c>
      <c r="L53" s="91" t="n">
        <v>1</v>
      </c>
      <c r="M53" s="91" t="n">
        <v>0</v>
      </c>
      <c r="N53" s="91" t="n">
        <v>0</v>
      </c>
      <c r="O53" s="91" t="n">
        <v>0</v>
      </c>
      <c r="P53" s="91" t="n">
        <v>0</v>
      </c>
      <c r="Q53" s="91" t="n">
        <v>0</v>
      </c>
      <c r="R53" s="26">
        <f>SUM(J53:Q53)</f>
        <v/>
      </c>
      <c r="S53" s="16">
        <f>ROUND(R53/17*10,2)</f>
        <v/>
      </c>
      <c r="T53" s="91" t="n">
        <v>12</v>
      </c>
      <c r="U53" s="91" t="n">
        <v>11</v>
      </c>
      <c r="V53" s="91" t="n">
        <v>10</v>
      </c>
      <c r="W53" s="91" t="n">
        <v>9</v>
      </c>
      <c r="X53" s="91" t="n">
        <v>7</v>
      </c>
      <c r="Y53" s="91" t="n">
        <v>10</v>
      </c>
      <c r="Z53" s="91" t="n">
        <v>4</v>
      </c>
      <c r="AA53" s="91" t="n">
        <v>-8</v>
      </c>
      <c r="AB53" s="26">
        <f>SUM(T53:AA53)</f>
        <v/>
      </c>
      <c r="AC53" s="16">
        <f>ROUND(AB53/10,2)</f>
        <v/>
      </c>
      <c r="AD53" s="91" t="n">
        <v>11</v>
      </c>
      <c r="AE53" s="91" t="n">
        <v>-2</v>
      </c>
      <c r="AF53" s="91" t="n">
        <v>5</v>
      </c>
      <c r="AG53" s="91" t="n">
        <v>10</v>
      </c>
      <c r="AH53" s="91" t="n">
        <v>3</v>
      </c>
      <c r="AI53" s="91" t="n">
        <v>7</v>
      </c>
      <c r="AJ53" s="91" t="n">
        <v>9</v>
      </c>
      <c r="AK53" s="91" t="n">
        <v>-4</v>
      </c>
      <c r="AL53" s="26">
        <f>SUM(AD53:AK53)</f>
        <v/>
      </c>
      <c r="AM53" s="16">
        <f>ROUND(AL53/70*10,2)</f>
        <v/>
      </c>
      <c r="AN53" s="17">
        <f>ROUND((S53+AC53+AM53)/3,2)</f>
        <v/>
      </c>
      <c r="AO53" s="18" t="inlineStr">
        <is>
          <t>USD</t>
        </is>
      </c>
      <c r="AP53" s="19" t="n">
        <v>450</v>
      </c>
      <c r="AQ53" s="19" t="n">
        <v>4000</v>
      </c>
      <c r="AR53" s="19">
        <f>I53-AP53+AQ53</f>
        <v/>
      </c>
      <c r="AS53" s="19" t="n">
        <v>2400</v>
      </c>
      <c r="AT53" s="19" t="n">
        <v>2800</v>
      </c>
      <c r="AU53" s="19" t="n">
        <v>3700</v>
      </c>
      <c r="AV53" s="19" t="n">
        <v>30000</v>
      </c>
      <c r="AW53" s="20">
        <f>AR53/AS53</f>
        <v/>
      </c>
      <c r="AX53" s="20">
        <f>AR53/AU53</f>
        <v/>
      </c>
      <c r="AY53" s="20">
        <f>AR53/AV53</f>
        <v/>
      </c>
      <c r="AZ53" s="21" t="n">
        <v>12000</v>
      </c>
      <c r="BA53" s="22">
        <f>AT53/AV53</f>
        <v/>
      </c>
      <c r="BB53" s="22">
        <f>AV53/AZ53</f>
        <v/>
      </c>
      <c r="BC53" s="23">
        <f>BA53*BB53</f>
        <v/>
      </c>
      <c r="BD53" t="inlineStr">
        <is>
          <t>2,522</t>
        </is>
      </c>
      <c r="BE53" s="23">
        <f>(BD53/AS53)^(1/5)-1</f>
        <v/>
      </c>
      <c r="BF53" t="inlineStr">
        <is>
          <t>4,044</t>
        </is>
      </c>
      <c r="BG53" s="23">
        <f>(BF53/AS53)^(1/5)-1</f>
        <v/>
      </c>
      <c r="BH53" s="24" t="n">
        <v>12</v>
      </c>
      <c r="BI53" s="24" t="n">
        <v>18</v>
      </c>
      <c r="BJ53" s="25">
        <f>(BD53*BH53+$AP53-$AQ53)/$H53</f>
        <v/>
      </c>
      <c r="BK53" s="25">
        <f>(BF53*BI53+$AP53-$AQ53)/$H53</f>
        <v/>
      </c>
      <c r="BL53" s="23">
        <f>($BJ53/G53)^(1/5)-1</f>
        <v/>
      </c>
      <c r="BM53" s="23">
        <f>(BK53/G53)^(1/4)-1</f>
        <v/>
      </c>
      <c r="BN53" s="93" t="inlineStr">
        <is>
          <t>2026-05-07</t>
        </is>
      </c>
      <c r="BO53" s="93" t="inlineStr">
        <is>
          <t>Q1 CY2026: Rev $7,472M (+3.6%, miss vs $7,650M est), Adj EPS $2.28 (+9.1%, en línea). US no-residencial +8%, residencial -1%. Margen bruto 31%. Nueva recompra $2B. Guidance CY2026 confirmado: low-mid single digit crecimiento, Op margen 9.4-9.8%.</t>
        </is>
      </c>
      <c r="BP53" s="93" t="inlineStr">
        <is>
          <t>Q2 CY2026 (agosto 2026)</t>
        </is>
      </c>
    </row>
    <row r="54" ht="15" customHeight="1" s="96">
      <c r="A54" s="86" t="e">
        <v>#VALUE!</v>
      </c>
      <c r="B54" s="10">
        <f t="array" ref="B54">_FV(A54,"Símbolo bursátil",TRUE())</f>
        <v/>
      </c>
      <c r="C54" s="88" t="inlineStr">
        <is>
          <t>Cyber</t>
        </is>
      </c>
      <c r="D54" s="88" t="inlineStr">
        <is>
          <t>Growth</t>
        </is>
      </c>
      <c r="E54" s="11">
        <f t="array" ref="E54">_FV(A54,"Abreviatura de intercambio",TRUE())</f>
        <v/>
      </c>
      <c r="F54" s="11">
        <f t="array" ref="F54">_FV(A54,"Moneda")</f>
        <v/>
      </c>
      <c r="G54" s="12">
        <f t="array" ref="G54">_FV(A54,"Precio")</f>
        <v/>
      </c>
      <c r="H54" s="13">
        <f t="array" ref="H54">_FV(A54,"Acciones en circulación",TRUE())/1000000</f>
        <v/>
      </c>
      <c r="I54" s="14">
        <f>G54*H54</f>
        <v/>
      </c>
      <c r="J54" s="90" t="n">
        <v>1</v>
      </c>
      <c r="K54" s="90" t="n">
        <v>4</v>
      </c>
      <c r="L54" s="90" t="n">
        <v>2</v>
      </c>
      <c r="M54" s="90" t="n">
        <v>-1</v>
      </c>
      <c r="N54" s="90" t="n">
        <v>0</v>
      </c>
      <c r="O54" s="90" t="n">
        <v>0</v>
      </c>
      <c r="P54" s="90" t="n">
        <v>1</v>
      </c>
      <c r="Q54" s="90" t="n">
        <v>0</v>
      </c>
      <c r="R54" s="15">
        <f>SUM(J54:Q54)</f>
        <v/>
      </c>
      <c r="S54" s="16">
        <f>ROUND(R54/17*10,2)</f>
        <v/>
      </c>
      <c r="T54" s="90" t="n">
        <v>6</v>
      </c>
      <c r="U54" s="90" t="n">
        <v>10</v>
      </c>
      <c r="V54" s="90" t="n">
        <v>15</v>
      </c>
      <c r="W54" s="90" t="n">
        <v>7</v>
      </c>
      <c r="X54" s="90" t="n">
        <v>7</v>
      </c>
      <c r="Y54" s="90" t="n">
        <v>9</v>
      </c>
      <c r="Z54" s="90" t="n">
        <v>5</v>
      </c>
      <c r="AA54" s="90" t="n">
        <v>-18</v>
      </c>
      <c r="AB54" s="15">
        <f>SUM(T54:AA54)</f>
        <v/>
      </c>
      <c r="AC54" s="16">
        <f>ROUND(AB54/10,2)</f>
        <v/>
      </c>
      <c r="AD54" s="90" t="n">
        <v>9</v>
      </c>
      <c r="AE54" s="90" t="n">
        <v>-5</v>
      </c>
      <c r="AF54" s="90" t="n">
        <v>7</v>
      </c>
      <c r="AG54" s="90" t="n">
        <v>7</v>
      </c>
      <c r="AH54" s="90" t="n">
        <v>0</v>
      </c>
      <c r="AI54" s="90" t="n">
        <v>6</v>
      </c>
      <c r="AJ54" s="90" t="n">
        <v>9</v>
      </c>
      <c r="AK54" s="90" t="n">
        <v>-8</v>
      </c>
      <c r="AL54" s="15">
        <f>SUM(AD54:AK54)</f>
        <v/>
      </c>
      <c r="AM54" s="16">
        <f>ROUND(AL54/70*10,2)</f>
        <v/>
      </c>
      <c r="AN54" s="17">
        <f>ROUND((S54+AC54+AM54)/3,2)</f>
        <v/>
      </c>
      <c r="AO54" s="18" t="inlineStr">
        <is>
          <t>USD</t>
        </is>
      </c>
      <c r="AP54" s="19" t="n">
        <v>1100</v>
      </c>
      <c r="AQ54" s="19" t="n">
        <v>0</v>
      </c>
      <c r="AR54" s="19">
        <f>I54-AP54+AQ54</f>
        <v/>
      </c>
      <c r="AS54" s="19" t="n">
        <v>50</v>
      </c>
      <c r="AT54" s="19" t="n">
        <v>-20</v>
      </c>
      <c r="AU54" s="19" t="n">
        <v>10</v>
      </c>
      <c r="AV54" s="19" t="n">
        <v>815</v>
      </c>
      <c r="AW54" s="20">
        <f>AR54/AS54</f>
        <v/>
      </c>
      <c r="AX54" s="20">
        <f>AR54/AU54</f>
        <v/>
      </c>
      <c r="AY54" s="20">
        <f>AR54/AV54</f>
        <v/>
      </c>
      <c r="AZ54" s="21" t="n">
        <v>1500</v>
      </c>
      <c r="BA54" s="22">
        <f>AT54/AV54</f>
        <v/>
      </c>
      <c r="BB54" s="22">
        <f>AV54/AZ54</f>
        <v/>
      </c>
      <c r="BC54" s="23">
        <f>BA54*BB54</f>
        <v/>
      </c>
      <c r="BD54" t="inlineStr">
        <is>
          <t>73</t>
        </is>
      </c>
      <c r="BE54" s="23">
        <f>(BD54/AS54)^(1/5)-1</f>
        <v/>
      </c>
      <c r="BF54" t="inlineStr">
        <is>
          <t>186</t>
        </is>
      </c>
      <c r="BG54" s="23">
        <f>(BF54/AS54)^(1/5)-1</f>
        <v/>
      </c>
      <c r="BH54" s="24" t="n">
        <v>18</v>
      </c>
      <c r="BI54" s="24" t="n">
        <v>26</v>
      </c>
      <c r="BJ54" s="25">
        <f>(BD54*BH54+$AP54-$AQ54)/$H54</f>
        <v/>
      </c>
      <c r="BK54" s="25">
        <f>(BF54*BI54+$AP54-$AQ54)/$H54</f>
        <v/>
      </c>
      <c r="BL54" s="23">
        <f>($BJ54/G54)^(1/5)-1</f>
        <v/>
      </c>
      <c r="BM54" s="23">
        <f>(BK54/G54)^(1/4)-1</f>
        <v/>
      </c>
      <c r="BN54" s="93" t="inlineStr">
        <is>
          <t>2026-04-26</t>
        </is>
      </c>
      <c r="BO54" s="93" t="inlineStr">
        <is>
          <t>12/03/2026</t>
        </is>
      </c>
      <c r="BP54" s="93" t="inlineStr">
        <is>
          <t>27/05/2026</t>
        </is>
      </c>
    </row>
    <row r="55" ht="15" customHeight="1" s="96">
      <c r="A55" s="86" t="e">
        <v>#VALUE!</v>
      </c>
      <c r="B55" s="10">
        <f t="array" ref="B55">_FV(A55,"Símbolo bursátil",TRUE())</f>
        <v/>
      </c>
      <c r="C55" s="88" t="inlineStr">
        <is>
          <t>construction</t>
        </is>
      </c>
      <c r="D55" s="88" t="inlineStr">
        <is>
          <t>Compounder</t>
        </is>
      </c>
      <c r="E55" s="11">
        <f t="array" ref="E55">_FV(A55,"Abreviatura de intercambio",TRUE())</f>
        <v/>
      </c>
      <c r="F55" s="11">
        <f t="array" ref="F55">_FV(A55,"Moneda")</f>
        <v/>
      </c>
      <c r="G55" s="12">
        <f t="array" ref="G55">_FV(A55,"Precio")</f>
        <v/>
      </c>
      <c r="H55" s="13">
        <f t="array" ref="H55">_FV(A55,"Acciones en circulación",TRUE())/1000000</f>
        <v/>
      </c>
      <c r="I55" s="14">
        <f>G55*H55</f>
        <v/>
      </c>
      <c r="J55" s="91" t="n">
        <v>1</v>
      </c>
      <c r="K55" s="91" t="n">
        <v>4</v>
      </c>
      <c r="L55" s="91" t="n">
        <v>1</v>
      </c>
      <c r="M55" s="91" t="n">
        <v>1</v>
      </c>
      <c r="N55" s="91" t="n">
        <v>-1</v>
      </c>
      <c r="O55" s="91" t="n">
        <v>0</v>
      </c>
      <c r="P55" s="91" t="n">
        <v>0</v>
      </c>
      <c r="Q55" s="91" t="n">
        <v>0</v>
      </c>
      <c r="R55" s="26">
        <f>SUM(J55:Q55)</f>
        <v/>
      </c>
      <c r="S55" s="16">
        <f>ROUND(R55/17*10,2)</f>
        <v/>
      </c>
      <c r="T55" s="91" t="n">
        <v>11</v>
      </c>
      <c r="U55" s="91" t="n">
        <v>10</v>
      </c>
      <c r="V55" s="91" t="n">
        <v>9</v>
      </c>
      <c r="W55" s="91" t="n">
        <v>7</v>
      </c>
      <c r="X55" s="91" t="n">
        <v>6</v>
      </c>
      <c r="Y55" s="91" t="n">
        <v>9</v>
      </c>
      <c r="Z55" s="91" t="n">
        <v>4</v>
      </c>
      <c r="AA55" s="91" t="n">
        <v>-11</v>
      </c>
      <c r="AB55" s="26">
        <f>SUM(T55:AA55)</f>
        <v/>
      </c>
      <c r="AC55" s="16">
        <f>ROUND(AB55/10,2)</f>
        <v/>
      </c>
      <c r="AD55" s="91" t="n">
        <v>10</v>
      </c>
      <c r="AE55" s="91" t="n">
        <v>-3</v>
      </c>
      <c r="AF55" s="91" t="n">
        <v>5</v>
      </c>
      <c r="AG55" s="91" t="n">
        <v>8</v>
      </c>
      <c r="AH55" s="91" t="n">
        <v>2</v>
      </c>
      <c r="AI55" s="91" t="n">
        <v>6</v>
      </c>
      <c r="AJ55" s="91" t="n">
        <v>8</v>
      </c>
      <c r="AK55" s="91" t="n">
        <v>-5</v>
      </c>
      <c r="AL55" s="26">
        <f>SUM(AD55:AK55)</f>
        <v/>
      </c>
      <c r="AM55" s="16">
        <f>ROUND(AL55/70*10,2)</f>
        <v/>
      </c>
      <c r="AN55" s="17">
        <f>ROUND((S55+AC55+AM55)/3,2)</f>
        <v/>
      </c>
      <c r="AO55" s="18" t="inlineStr">
        <is>
          <t>USD</t>
        </is>
      </c>
      <c r="AP55" s="19" t="n">
        <v>50</v>
      </c>
      <c r="AQ55" s="19" t="n">
        <v>150</v>
      </c>
      <c r="AR55" s="19">
        <f>I55-AP55+AQ55</f>
        <v/>
      </c>
      <c r="AS55" s="19" t="n">
        <v>250</v>
      </c>
      <c r="AT55" s="19" t="n">
        <v>250</v>
      </c>
      <c r="AU55" s="19" t="n">
        <v>330</v>
      </c>
      <c r="AV55" s="19" t="n">
        <v>1210</v>
      </c>
      <c r="AW55" s="20">
        <f>AR55/AS55</f>
        <v/>
      </c>
      <c r="AX55" s="20">
        <f>AR55/AU55</f>
        <v/>
      </c>
      <c r="AY55" s="20">
        <f>AR55/AV55</f>
        <v/>
      </c>
      <c r="AZ55" s="21" t="n">
        <v>900</v>
      </c>
      <c r="BA55" s="22">
        <f>AT55/AV55</f>
        <v/>
      </c>
      <c r="BB55" s="22">
        <f>AV55/AZ55</f>
        <v/>
      </c>
      <c r="BC55" s="23">
        <f>BA55*BB55</f>
        <v/>
      </c>
      <c r="BD55" t="inlineStr">
        <is>
          <t>190</t>
        </is>
      </c>
      <c r="BE55" s="23">
        <f>(BD55/AS55)^(1/5)-1</f>
        <v/>
      </c>
      <c r="BF55" t="inlineStr">
        <is>
          <t>366</t>
        </is>
      </c>
      <c r="BG55" s="23">
        <f>(BF55/AS55)^(1/5)-1</f>
        <v/>
      </c>
      <c r="BH55" s="24" t="n">
        <v>12</v>
      </c>
      <c r="BI55" s="24" t="n">
        <v>18</v>
      </c>
      <c r="BJ55" s="25">
        <f>(BD55*BH55+$AP55-$AQ55)/$H55</f>
        <v/>
      </c>
      <c r="BK55" s="25">
        <f>(BF55*BI55+$AP55-$AQ55)/$H55</f>
        <v/>
      </c>
      <c r="BL55" s="23">
        <f>($BJ55/G55)^(1/5)-1</f>
        <v/>
      </c>
      <c r="BM55" s="23">
        <f>(BK55/G55)^(1/4)-1</f>
        <v/>
      </c>
      <c r="BN55" s="93" t="inlineStr">
        <is>
          <t>2026-05-07</t>
        </is>
      </c>
      <c r="BO55" s="93" t="inlineStr">
        <is>
          <t>Q1 2026: Rev $343.4M (+1%, beat), Adj EPS $0.59 (beat +16.1%), Adj EBITDA $103.1M (margen 30%, beat +12.4%). Guidance FY2026 confirmado: Rev $1,210M midpoint, EBITDA $327.5M midpoint.</t>
        </is>
      </c>
      <c r="BP55" s="93" t="inlineStr">
        <is>
          <t>Q2 2026 (agosto 2026)</t>
        </is>
      </c>
    </row>
    <row r="56" ht="15" customHeight="1" s="96">
      <c r="A56" s="86" t="e">
        <v>#VALUE!</v>
      </c>
      <c r="B56" s="10">
        <f t="array" ref="B56">_FV(A56,"Símbolo bursátil",TRUE())</f>
        <v/>
      </c>
      <c r="C56" s="88" t="inlineStr">
        <is>
          <t>construction</t>
        </is>
      </c>
      <c r="D56" s="88" t="inlineStr">
        <is>
          <t>Special situation</t>
        </is>
      </c>
      <c r="E56" s="11">
        <f t="array" ref="E56">_FV(A56,"Abreviatura de intercambio",TRUE())</f>
        <v/>
      </c>
      <c r="F56" s="11">
        <f t="array" ref="F56">_FV(A56,"Moneda")</f>
        <v/>
      </c>
      <c r="G56" s="12">
        <f t="array" ref="G56">_FV(A56,"Precio")</f>
        <v/>
      </c>
      <c r="H56" s="13">
        <f t="array" ref="H56">_FV(A56,"Acciones en circulación",TRUE())/1000000</f>
        <v/>
      </c>
      <c r="I56" s="14">
        <f>G56*H56</f>
        <v/>
      </c>
      <c r="J56" s="90" t="n">
        <v>0</v>
      </c>
      <c r="K56" s="90" t="n">
        <v>4</v>
      </c>
      <c r="L56" s="90" t="n">
        <v>1</v>
      </c>
      <c r="M56" s="90" t="n">
        <v>0</v>
      </c>
      <c r="N56" s="90" t="n">
        <v>0</v>
      </c>
      <c r="O56" s="90" t="n">
        <v>0</v>
      </c>
      <c r="P56" s="90" t="n">
        <v>0</v>
      </c>
      <c r="Q56" s="90" t="n">
        <v>0</v>
      </c>
      <c r="R56" s="15">
        <f>SUM(J56:Q56)</f>
        <v/>
      </c>
      <c r="S56" s="16">
        <f>ROUND(R56/17*10,2)</f>
        <v/>
      </c>
      <c r="T56" s="90" t="n">
        <v>10</v>
      </c>
      <c r="U56" s="90" t="n">
        <v>10</v>
      </c>
      <c r="V56" s="90" t="n">
        <v>9</v>
      </c>
      <c r="W56" s="90" t="n">
        <v>8</v>
      </c>
      <c r="X56" s="90" t="n">
        <v>6</v>
      </c>
      <c r="Y56" s="90" t="n">
        <v>9</v>
      </c>
      <c r="Z56" s="90" t="n">
        <v>4</v>
      </c>
      <c r="AA56" s="90" t="n">
        <v>-11</v>
      </c>
      <c r="AB56" s="15">
        <f>SUM(T56:AA56)</f>
        <v/>
      </c>
      <c r="AC56" s="16">
        <f>ROUND(AB56/10,2)</f>
        <v/>
      </c>
      <c r="AD56" s="90" t="n">
        <v>10</v>
      </c>
      <c r="AE56" s="90" t="n">
        <v>-3</v>
      </c>
      <c r="AF56" s="90" t="n">
        <v>3</v>
      </c>
      <c r="AG56" s="90" t="n">
        <v>8</v>
      </c>
      <c r="AH56" s="90" t="n">
        <v>1</v>
      </c>
      <c r="AI56" s="90" t="n">
        <v>6</v>
      </c>
      <c r="AJ56" s="90" t="n">
        <v>8</v>
      </c>
      <c r="AK56" s="90" t="n">
        <v>-6</v>
      </c>
      <c r="AL56" s="15">
        <f>SUM(AD56:AK56)</f>
        <v/>
      </c>
      <c r="AM56" s="16">
        <f>ROUND(AL56/70*10,2)</f>
        <v/>
      </c>
      <c r="AN56" s="17">
        <f>ROUND((S56+AC56+AM56)/3,2)</f>
        <v/>
      </c>
      <c r="AO56" s="18" t="inlineStr">
        <is>
          <t>EUR</t>
        </is>
      </c>
      <c r="AP56" s="19" t="n">
        <v>6500</v>
      </c>
      <c r="AQ56" s="19" t="n">
        <v>15000</v>
      </c>
      <c r="AR56" s="19">
        <f>I56-AP56+AQ56</f>
        <v/>
      </c>
      <c r="AS56" s="19" t="n">
        <v>2400</v>
      </c>
      <c r="AT56" s="19" t="n">
        <v>3000</v>
      </c>
      <c r="AU56" s="19" t="n">
        <v>6800</v>
      </c>
      <c r="AV56" s="19" t="n">
        <v>46600</v>
      </c>
      <c r="AW56" s="20">
        <f>AR56/AS56</f>
        <v/>
      </c>
      <c r="AX56" s="20">
        <f>AR56/AU56</f>
        <v/>
      </c>
      <c r="AY56" s="20">
        <f>AR56/AV56</f>
        <v/>
      </c>
      <c r="AZ56" s="21" t="n">
        <v>28000</v>
      </c>
      <c r="BA56" s="22">
        <f>AT56/AV56</f>
        <v/>
      </c>
      <c r="BB56" s="22">
        <f>AV56/AZ56</f>
        <v/>
      </c>
      <c r="BC56" s="23">
        <f>BA56*BB56</f>
        <v/>
      </c>
      <c r="BD56" t="inlineStr">
        <is>
          <t>2,522</t>
        </is>
      </c>
      <c r="BE56" s="23">
        <f>(BD56/AS56)^(1/5)-1</f>
        <v/>
      </c>
      <c r="BF56" t="inlineStr">
        <is>
          <t>3,693</t>
        </is>
      </c>
      <c r="BG56" s="23">
        <f>(BF56/AS56)^(1/5)-1</f>
        <v/>
      </c>
      <c r="BH56" s="24" t="n">
        <v>12</v>
      </c>
      <c r="BI56" s="24" t="n">
        <v>16</v>
      </c>
      <c r="BJ56" s="25">
        <f>(BD56*BH56+$AP56-$AQ56)/$H56</f>
        <v/>
      </c>
      <c r="BK56" s="25">
        <f>(BF56*BI56+$AP56-$AQ56)/$H56</f>
        <v/>
      </c>
      <c r="BL56" s="23">
        <f>($BJ56/G56)^(1/5)-1</f>
        <v/>
      </c>
      <c r="BM56" s="23">
        <f>(BK56/G56)^(1/4)-1</f>
        <v/>
      </c>
      <c r="BN56" s="93" t="inlineStr">
        <is>
          <t>2026-04-26</t>
        </is>
      </c>
      <c r="BO56" s="93" t="inlineStr">
        <is>
          <t>26/02/2026</t>
        </is>
      </c>
      <c r="BP56" s="93" t="inlineStr">
        <is>
          <t>30/07/2026</t>
        </is>
      </c>
    </row>
    <row r="57" ht="15" customHeight="1" s="96">
      <c r="A57" s="86" t="e">
        <v>#VALUE!</v>
      </c>
      <c r="B57" s="10">
        <f t="array" ref="B57">_FV(A57,"Símbolo bursátil",TRUE())</f>
        <v/>
      </c>
      <c r="C57" s="88" t="inlineStr">
        <is>
          <t>Alcohol</t>
        </is>
      </c>
      <c r="D57" s="88" t="inlineStr">
        <is>
          <t>Special situation</t>
        </is>
      </c>
      <c r="E57" s="11">
        <f t="array" ref="E57">_FV(A57,"Abreviatura de intercambio",TRUE())</f>
        <v/>
      </c>
      <c r="F57" s="11">
        <f t="array" ref="F57">_FV(A57,"Moneda")</f>
        <v/>
      </c>
      <c r="G57" s="12">
        <f t="array" ref="G57">_FV(A57,"Precio")</f>
        <v/>
      </c>
      <c r="H57" s="13">
        <f t="array" ref="H57">_FV(A57,"Acciones en circulación",TRUE())/1000000</f>
        <v/>
      </c>
      <c r="I57" s="14">
        <f>G57*H57</f>
        <v/>
      </c>
      <c r="J57" s="91" t="n">
        <v>0</v>
      </c>
      <c r="K57" s="91" t="n">
        <v>5</v>
      </c>
      <c r="L57" s="91" t="n">
        <v>1</v>
      </c>
      <c r="M57" s="91" t="n">
        <v>-1</v>
      </c>
      <c r="N57" s="91" t="n">
        <v>-2</v>
      </c>
      <c r="O57" s="91" t="n">
        <v>0</v>
      </c>
      <c r="P57" s="91" t="n">
        <v>0</v>
      </c>
      <c r="Q57" s="91" t="n">
        <v>1</v>
      </c>
      <c r="R57" s="26">
        <f>SUM(J57:Q57)</f>
        <v/>
      </c>
      <c r="S57" s="16">
        <f>ROUND(R57/17*10,2)</f>
        <v/>
      </c>
      <c r="T57" s="91" t="n">
        <v>7</v>
      </c>
      <c r="U57" s="91" t="n">
        <v>11</v>
      </c>
      <c r="V57" s="91" t="n">
        <v>7</v>
      </c>
      <c r="W57" s="91" t="n">
        <v>6</v>
      </c>
      <c r="X57" s="91" t="n">
        <v>5</v>
      </c>
      <c r="Y57" s="91" t="n">
        <v>9</v>
      </c>
      <c r="Z57" s="91" t="n">
        <v>8</v>
      </c>
      <c r="AA57" s="91" t="n">
        <v>-13</v>
      </c>
      <c r="AB57" s="26">
        <f>SUM(T57:AA57)</f>
        <v/>
      </c>
      <c r="AC57" s="16">
        <f>ROUND(AB57/10,2)</f>
        <v/>
      </c>
      <c r="AD57" s="91" t="n">
        <v>9</v>
      </c>
      <c r="AE57" s="91" t="n">
        <v>-4</v>
      </c>
      <c r="AF57" s="91" t="n">
        <v>3</v>
      </c>
      <c r="AG57" s="91" t="n">
        <v>8</v>
      </c>
      <c r="AH57" s="91" t="n">
        <v>-1</v>
      </c>
      <c r="AI57" s="91" t="n">
        <v>7</v>
      </c>
      <c r="AJ57" s="91" t="n">
        <v>9</v>
      </c>
      <c r="AK57" s="91" t="n">
        <v>-6</v>
      </c>
      <c r="AL57" s="26">
        <f>SUM(AD57:AK57)</f>
        <v/>
      </c>
      <c r="AM57" s="16">
        <f>ROUND(AL57/70*10,2)</f>
        <v/>
      </c>
      <c r="AN57" s="17">
        <f>ROUND((S57+AC57+AM57)/3,2)</f>
        <v/>
      </c>
      <c r="AO57" s="18" t="inlineStr">
        <is>
          <t>EUR</t>
        </is>
      </c>
      <c r="AP57" s="19" t="n">
        <v>25</v>
      </c>
      <c r="AQ57" s="19" t="n">
        <v>365</v>
      </c>
      <c r="AR57" s="19">
        <f>I57-AP57+AQ57</f>
        <v/>
      </c>
      <c r="AS57" s="19" t="n">
        <v>25</v>
      </c>
      <c r="AT57" s="19" t="n">
        <v>20</v>
      </c>
      <c r="AU57" s="19" t="n">
        <v>55</v>
      </c>
      <c r="AV57" s="19" t="n">
        <v>320</v>
      </c>
      <c r="AW57" s="20">
        <f>AR57/AS57</f>
        <v/>
      </c>
      <c r="AX57" s="20">
        <f>AR57/AU57</f>
        <v/>
      </c>
      <c r="AY57" s="20">
        <f>AR57/AV57</f>
        <v/>
      </c>
      <c r="AZ57" s="21" t="n">
        <v>500</v>
      </c>
      <c r="BA57" s="22">
        <f>AT57/AV57</f>
        <v/>
      </c>
      <c r="BB57" s="22">
        <f>AV57/AZ57</f>
        <v/>
      </c>
      <c r="BC57" s="23">
        <f>BA57*BB57</f>
        <v/>
      </c>
      <c r="BD57" t="inlineStr">
        <is>
          <t>25</t>
        </is>
      </c>
      <c r="BE57" s="23">
        <f>(BD57/AS57)^(1/5)-1</f>
        <v/>
      </c>
      <c r="BF57" t="inlineStr">
        <is>
          <t>44</t>
        </is>
      </c>
      <c r="BG57" s="23">
        <f>(BF57/AS57)^(1/5)-1</f>
        <v/>
      </c>
      <c r="BH57" s="24" t="n">
        <v>6</v>
      </c>
      <c r="BI57" s="24" t="n">
        <v>12.5</v>
      </c>
      <c r="BJ57" s="25">
        <f>(BD57*BH57+$AP57-$AQ57)/$H57</f>
        <v/>
      </c>
      <c r="BK57" s="25">
        <f>(BF57*BI57+$AP57-$AQ57)/$H57</f>
        <v/>
      </c>
      <c r="BL57" s="23">
        <f>($BJ57/G57)^(1/5)-1</f>
        <v/>
      </c>
      <c r="BM57" s="23">
        <f>(BK57/G57)^(1/4)-1</f>
        <v/>
      </c>
      <c r="BN57" s="93" t="inlineStr">
        <is>
          <t>2026-04-26</t>
        </is>
      </c>
      <c r="BO57" s="93" t="inlineStr">
        <is>
          <t>N/D</t>
        </is>
      </c>
      <c r="BP57" s="93" t="inlineStr">
        <is>
          <t>N/D</t>
        </is>
      </c>
    </row>
    <row r="58" ht="15" customHeight="1" s="96">
      <c r="A58" s="86" t="e">
        <v>#VALUE!</v>
      </c>
      <c r="B58" s="10">
        <f t="array" ref="B58">_FV(A58,"Símbolo bursátil",TRUE())</f>
        <v/>
      </c>
      <c r="C58" s="88" t="inlineStr">
        <is>
          <t>Consumo</t>
        </is>
      </c>
      <c r="D58" s="88" t="inlineStr">
        <is>
          <t>Growth</t>
        </is>
      </c>
      <c r="E58" s="11">
        <f t="array" ref="E58">_FV(A58,"Abreviatura de intercambio",TRUE())</f>
        <v/>
      </c>
      <c r="F58" s="11">
        <f t="array" ref="F58">_FV(A58,"Moneda")</f>
        <v/>
      </c>
      <c r="G58" s="12">
        <f t="array" ref="G58">_FV(A58,"Precio")</f>
        <v/>
      </c>
      <c r="H58" s="13">
        <f t="array" ref="H58">_FV(A58,"Acciones en circulación",TRUE())/1000000</f>
        <v/>
      </c>
      <c r="I58" s="14">
        <f>G58*H58</f>
        <v/>
      </c>
      <c r="J58" s="90" t="n">
        <v>0</v>
      </c>
      <c r="K58" s="90" t="n">
        <v>5</v>
      </c>
      <c r="L58" s="90" t="n">
        <v>2</v>
      </c>
      <c r="M58" s="90" t="n">
        <v>0.5</v>
      </c>
      <c r="N58" s="90" t="n">
        <v>-1</v>
      </c>
      <c r="O58" s="90" t="n">
        <v>0</v>
      </c>
      <c r="P58" s="90" t="n">
        <v>0</v>
      </c>
      <c r="Q58" s="90" t="n">
        <v>0</v>
      </c>
      <c r="R58" s="15">
        <f>SUM(J58:Q58)</f>
        <v/>
      </c>
      <c r="S58" s="16">
        <f>ROUND(R58/17*10,2)</f>
        <v/>
      </c>
      <c r="T58" s="90" t="n">
        <v>10</v>
      </c>
      <c r="U58" s="90" t="n">
        <v>9</v>
      </c>
      <c r="V58" s="90" t="n">
        <v>11</v>
      </c>
      <c r="W58" s="90" t="n">
        <v>6</v>
      </c>
      <c r="X58" s="90" t="n">
        <v>5</v>
      </c>
      <c r="Y58" s="90" t="n">
        <v>8</v>
      </c>
      <c r="Z58" s="90" t="n">
        <v>4</v>
      </c>
      <c r="AA58" s="90" t="n">
        <v>-18</v>
      </c>
      <c r="AB58" s="15">
        <f>SUM(T58:AA58)</f>
        <v/>
      </c>
      <c r="AC58" s="16">
        <f>ROUND(AB58/10,2)</f>
        <v/>
      </c>
      <c r="AD58" s="90" t="n">
        <v>8</v>
      </c>
      <c r="AE58" s="90" t="n">
        <v>-4</v>
      </c>
      <c r="AF58" s="90" t="n">
        <v>7</v>
      </c>
      <c r="AG58" s="90" t="n">
        <v>7</v>
      </c>
      <c r="AH58" s="90" t="n">
        <v>2</v>
      </c>
      <c r="AI58" s="90" t="n">
        <v>5</v>
      </c>
      <c r="AJ58" s="90" t="n">
        <v>7</v>
      </c>
      <c r="AK58" s="90" t="n">
        <v>-7</v>
      </c>
      <c r="AL58" s="15">
        <f>SUM(AD58:AK58)</f>
        <v/>
      </c>
      <c r="AM58" s="16">
        <f>ROUND(AL58/70*10,2)</f>
        <v/>
      </c>
      <c r="AN58" s="17">
        <f>ROUND((S58+AC58+AM58)/3,2)</f>
        <v/>
      </c>
      <c r="AO58" s="18" t="inlineStr">
        <is>
          <t>USD</t>
        </is>
      </c>
      <c r="AP58" s="19" t="n">
        <v>920</v>
      </c>
      <c r="AQ58" s="19" t="n">
        <v>0</v>
      </c>
      <c r="AR58" s="19">
        <f>I58-AP58+AQ58</f>
        <v/>
      </c>
      <c r="AS58" s="19" t="n">
        <v>320</v>
      </c>
      <c r="AT58" s="19" t="n">
        <v>280</v>
      </c>
      <c r="AU58" s="19" t="n">
        <v>400</v>
      </c>
      <c r="AV58" s="19" t="n">
        <v>1850</v>
      </c>
      <c r="AW58" s="20">
        <f>AR58/AS58</f>
        <v/>
      </c>
      <c r="AX58" s="20">
        <f>AR58/AU58</f>
        <v/>
      </c>
      <c r="AY58" s="20">
        <f>AR58/AV58</f>
        <v/>
      </c>
      <c r="AZ58" s="21" t="n">
        <v>3500</v>
      </c>
      <c r="BA58" s="22">
        <f>AT58/AV58</f>
        <v/>
      </c>
      <c r="BB58" s="22">
        <f>AV58/AZ58</f>
        <v/>
      </c>
      <c r="BC58" s="23">
        <f>BA58*BB58</f>
        <v/>
      </c>
      <c r="BD58" t="inlineStr">
        <is>
          <t>323</t>
        </is>
      </c>
      <c r="BE58" s="23">
        <f>(BD58/AS58)^(1/5)-1</f>
        <v/>
      </c>
      <c r="BF58" t="inlineStr">
        <is>
          <t>817</t>
        </is>
      </c>
      <c r="BG58" s="23">
        <f>(BF58/AS58)^(1/5)-1</f>
        <v/>
      </c>
      <c r="BH58" s="24" t="n">
        <v>16</v>
      </c>
      <c r="BI58" s="24" t="n">
        <v>22.5</v>
      </c>
      <c r="BJ58" s="25">
        <f>(BD58*BH58+$AP58-$AQ58)/$H58</f>
        <v/>
      </c>
      <c r="BK58" s="25">
        <f>(BF58*BI58+$AP58-$AQ58)/$H58</f>
        <v/>
      </c>
      <c r="BL58" s="23">
        <f>($BJ58/G58)^(1/5)-1</f>
        <v/>
      </c>
      <c r="BM58" s="23">
        <f>(BK58/G58)^(1/4)-1</f>
        <v/>
      </c>
      <c r="BN58" s="93" t="inlineStr">
        <is>
          <t>2026-05-15</t>
        </is>
      </c>
      <c r="BO58" s="93" t="inlineStr">
        <is>
          <t>Q1 2026: Rev récord $783M (+138%), Adj EBITDA $195M, EPS $0.41 (beat +41%). Alani Nu aportó $368M, CELSIUS orgánico +6%. Share 20.9% mercado EEUU. Stock -12% por desaceleración orgánica y riesgo integración</t>
        </is>
      </c>
      <c r="BP58" s="93" t="inlineStr">
        <is>
          <t>Q2 2026 (agosto 2026)</t>
        </is>
      </c>
    </row>
    <row r="59" ht="15" customHeight="1" s="96">
      <c r="A59" s="86" t="e">
        <v>#VALUE!</v>
      </c>
      <c r="B59" s="10">
        <f t="array" ref="B59">_FV(A59,"Símbolo bursátil",TRUE())</f>
        <v/>
      </c>
      <c r="C59" s="88" t="inlineStr">
        <is>
          <t>Sports</t>
        </is>
      </c>
      <c r="D59" s="88" t="inlineStr">
        <is>
          <t>Growth</t>
        </is>
      </c>
      <c r="E59" s="11">
        <f t="array" ref="E59">_FV(A59,"Abreviatura de intercambio",TRUE())</f>
        <v/>
      </c>
      <c r="F59" s="11">
        <f t="array" ref="F59">_FV(A59,"Moneda")</f>
        <v/>
      </c>
      <c r="G59" s="12">
        <f t="array" ref="G59">_FV(A59,"Precio")</f>
        <v/>
      </c>
      <c r="H59" s="13">
        <f t="array" ref="H59">_FV(A59,"Acciones en circulación",TRUE())/1000000</f>
        <v/>
      </c>
      <c r="I59" s="14">
        <f>G59*H59</f>
        <v/>
      </c>
      <c r="J59" s="91" t="n">
        <v>0</v>
      </c>
      <c r="K59" s="91" t="n">
        <v>4</v>
      </c>
      <c r="L59" s="91" t="n">
        <v>1</v>
      </c>
      <c r="M59" s="91" t="n">
        <v>-1</v>
      </c>
      <c r="N59" s="91" t="n">
        <v>0</v>
      </c>
      <c r="O59" s="91" t="n">
        <v>0</v>
      </c>
      <c r="P59" s="91" t="n">
        <v>0</v>
      </c>
      <c r="Q59" s="91" t="n">
        <v>0</v>
      </c>
      <c r="R59" s="26">
        <f>SUM(J59:Q59)</f>
        <v/>
      </c>
      <c r="S59" s="16">
        <f>ROUND(R59/17*10,2)</f>
        <v/>
      </c>
      <c r="T59" s="91" t="n">
        <v>7</v>
      </c>
      <c r="U59" s="91" t="n">
        <v>9</v>
      </c>
      <c r="V59" s="91" t="n">
        <v>10</v>
      </c>
      <c r="W59" s="91" t="n">
        <v>8</v>
      </c>
      <c r="X59" s="91" t="n">
        <v>6</v>
      </c>
      <c r="Y59" s="91" t="n">
        <v>9</v>
      </c>
      <c r="Z59" s="91" t="n">
        <v>5</v>
      </c>
      <c r="AA59" s="91" t="n">
        <v>-15</v>
      </c>
      <c r="AB59" s="26">
        <f>SUM(T59:AA59)</f>
        <v/>
      </c>
      <c r="AC59" s="16">
        <f>ROUND(AB59/10,2)</f>
        <v/>
      </c>
      <c r="AD59" s="91" t="n">
        <v>8</v>
      </c>
      <c r="AE59" s="91" t="n">
        <v>-5</v>
      </c>
      <c r="AF59" s="91" t="n">
        <v>2</v>
      </c>
      <c r="AG59" s="91" t="n">
        <v>8</v>
      </c>
      <c r="AH59" s="91" t="n">
        <v>-2</v>
      </c>
      <c r="AI59" s="91" t="n">
        <v>6</v>
      </c>
      <c r="AJ59" s="91" t="n">
        <v>8</v>
      </c>
      <c r="AK59" s="91" t="n">
        <v>-7</v>
      </c>
      <c r="AL59" s="26">
        <f>SUM(AD59:AK59)</f>
        <v/>
      </c>
      <c r="AM59" s="16">
        <f>ROUND(AL59/70*10,2)</f>
        <v/>
      </c>
      <c r="AN59" s="17">
        <f>ROUND((S59+AC59+AM59)/3,2)</f>
        <v/>
      </c>
      <c r="AO59" s="18" t="inlineStr">
        <is>
          <t>EUR</t>
        </is>
      </c>
      <c r="AP59" s="19" t="n">
        <v>40</v>
      </c>
      <c r="AQ59" s="19" t="n">
        <v>740</v>
      </c>
      <c r="AR59" s="19">
        <f>I59-AP59+AQ59</f>
        <v/>
      </c>
      <c r="AS59" s="19" t="n">
        <v>80</v>
      </c>
      <c r="AT59" s="19" t="n">
        <v>50</v>
      </c>
      <c r="AU59" s="19" t="n">
        <v>260</v>
      </c>
      <c r="AV59" s="19" t="n">
        <v>1250</v>
      </c>
      <c r="AW59" s="20">
        <f>AR59/AS59</f>
        <v/>
      </c>
      <c r="AX59" s="20">
        <f>AR59/AU59</f>
        <v/>
      </c>
      <c r="AY59" s="20">
        <f>AR59/AV59</f>
        <v/>
      </c>
      <c r="AZ59" s="21" t="n">
        <v>1500</v>
      </c>
      <c r="BA59" s="22">
        <f>AT59/AV59</f>
        <v/>
      </c>
      <c r="BB59" s="22">
        <f>AV59/AZ59</f>
        <v/>
      </c>
      <c r="BC59" s="23">
        <f>BA59*BB59</f>
        <v/>
      </c>
      <c r="BD59" t="inlineStr">
        <is>
          <t>88</t>
        </is>
      </c>
      <c r="BE59" s="23">
        <f>(BD59/AS59)^(1/5)-1</f>
        <v/>
      </c>
      <c r="BF59" t="inlineStr">
        <is>
          <t>168</t>
        </is>
      </c>
      <c r="BG59" s="23">
        <f>(BF59/AS59)^(1/5)-1</f>
        <v/>
      </c>
      <c r="BH59" s="24" t="n">
        <v>12</v>
      </c>
      <c r="BI59" s="24" t="n">
        <v>18</v>
      </c>
      <c r="BJ59" s="25">
        <f>(BD59*BH59+$AP59-$AQ59)/$H59</f>
        <v/>
      </c>
      <c r="BK59" s="25">
        <f>(BF59*BI59+$AP59-$AQ59)/$H59</f>
        <v/>
      </c>
      <c r="BL59" s="23">
        <f>($BJ59/G59)^(1/5)-1</f>
        <v/>
      </c>
      <c r="BM59" s="23">
        <f>(BK59/G59)^(1/4)-1</f>
        <v/>
      </c>
      <c r="BN59" s="93" t="inlineStr">
        <is>
          <t>2026-04-26</t>
        </is>
      </c>
      <c r="BO59" s="93" t="inlineStr">
        <is>
          <t>11/03/2026</t>
        </is>
      </c>
      <c r="BP59" s="93" t="inlineStr">
        <is>
          <t>28/07/2026</t>
        </is>
      </c>
    </row>
    <row r="60" ht="15" customHeight="1" s="96">
      <c r="A60" s="86" t="e">
        <v>#VALUE!</v>
      </c>
      <c r="B60" s="10">
        <f t="array" ref="B60">_FV(A60,"Símbolo bursátil",TRUE())</f>
        <v/>
      </c>
      <c r="C60" s="88" t="inlineStr">
        <is>
          <t>Alcohol</t>
        </is>
      </c>
      <c r="D60" s="88" t="inlineStr">
        <is>
          <t>Special situation</t>
        </is>
      </c>
      <c r="E60" s="11">
        <f t="array" ref="E60">_FV(A60,"Abreviatura de intercambio",TRUE())</f>
        <v/>
      </c>
      <c r="F60" s="11">
        <f t="array" ref="F60">_FV(A60,"Moneda")</f>
        <v/>
      </c>
      <c r="G60" s="12">
        <f t="array" ref="G60">_FV(A60,"Precio")</f>
        <v/>
      </c>
      <c r="H60" s="13">
        <f t="array" ref="H60">_FV(A60,"Acciones en circulación",TRUE())/1000000</f>
        <v/>
      </c>
      <c r="I60" s="14">
        <f>G60*H60</f>
        <v/>
      </c>
      <c r="J60" s="90" t="n">
        <v>0.75</v>
      </c>
      <c r="K60" s="90" t="n">
        <v>5.5</v>
      </c>
      <c r="L60" s="90" t="n">
        <v>0.5</v>
      </c>
      <c r="M60" s="90" t="n">
        <v>-0.75</v>
      </c>
      <c r="N60" s="90" t="n">
        <v>-0.75</v>
      </c>
      <c r="O60" s="90" t="n">
        <v>0</v>
      </c>
      <c r="P60" s="90" t="n">
        <v>0</v>
      </c>
      <c r="Q60" s="90" t="n">
        <v>0</v>
      </c>
      <c r="R60" s="15">
        <f>SUM(J60:Q60)</f>
        <v/>
      </c>
      <c r="S60" s="16">
        <f>ROUND(R60/17*10,2)</f>
        <v/>
      </c>
      <c r="T60" s="90" t="n">
        <v>9</v>
      </c>
      <c r="U60" s="90" t="n">
        <v>11</v>
      </c>
      <c r="V60" s="90" t="n">
        <v>8</v>
      </c>
      <c r="W60" s="90" t="n">
        <v>6.5</v>
      </c>
      <c r="X60" s="90" t="n">
        <v>6.5</v>
      </c>
      <c r="Y60" s="90" t="n">
        <v>9</v>
      </c>
      <c r="Z60" s="90" t="n">
        <v>5</v>
      </c>
      <c r="AA60" s="90" t="n">
        <v>-18</v>
      </c>
      <c r="AB60" s="15">
        <f>SUM(T60:AA60)</f>
        <v/>
      </c>
      <c r="AC60" s="16">
        <f>ROUND(AB60/10,2)</f>
        <v/>
      </c>
      <c r="AD60" s="90" t="n">
        <v>12</v>
      </c>
      <c r="AE60" s="90" t="n">
        <v>-2</v>
      </c>
      <c r="AF60" s="90" t="n">
        <v>3</v>
      </c>
      <c r="AG60" s="90" t="n">
        <v>9</v>
      </c>
      <c r="AH60" s="90" t="n">
        <v>0</v>
      </c>
      <c r="AI60" s="90" t="n">
        <v>7</v>
      </c>
      <c r="AJ60" s="90" t="n">
        <v>9</v>
      </c>
      <c r="AK60" s="90" t="n">
        <v>-6</v>
      </c>
      <c r="AL60" s="15">
        <f>SUM(AD60:AK60)</f>
        <v/>
      </c>
      <c r="AM60" s="16">
        <f>ROUND(AL60/70*10,2)</f>
        <v/>
      </c>
      <c r="AN60" s="17">
        <f>ROUND((S60+AC60+AM60)/3,2)</f>
        <v/>
      </c>
      <c r="AO60" s="18" t="inlineStr">
        <is>
          <t>EUR</t>
        </is>
      </c>
      <c r="AP60" s="19" t="n">
        <v>365</v>
      </c>
      <c r="AQ60" s="19" t="n">
        <v>2261</v>
      </c>
      <c r="AR60" s="19">
        <f>I60-AP60+AQ60</f>
        <v/>
      </c>
      <c r="AS60" s="19" t="n">
        <v>249</v>
      </c>
      <c r="AT60" s="19" t="n">
        <v>270</v>
      </c>
      <c r="AU60" s="19" t="n">
        <v>704</v>
      </c>
      <c r="AV60" s="19" t="n">
        <v>3311</v>
      </c>
      <c r="AW60" s="20">
        <f>AR60/AS60</f>
        <v/>
      </c>
      <c r="AX60" s="20">
        <f>AR60/AU60</f>
        <v/>
      </c>
      <c r="AY60" s="20">
        <f>AR60/AV60</f>
        <v/>
      </c>
      <c r="AZ60" s="21" t="n">
        <v>3400</v>
      </c>
      <c r="BA60" s="22">
        <f>AT60/AV60</f>
        <v/>
      </c>
      <c r="BB60" s="22">
        <f>AV60/AZ60</f>
        <v/>
      </c>
      <c r="BC60" s="23">
        <f>BA60*BB60</f>
        <v/>
      </c>
      <c r="BD60" t="n">
        <v>300</v>
      </c>
      <c r="BE60" s="23">
        <f>(BD60/AS60)^(1/5)-1</f>
        <v/>
      </c>
      <c r="BF60" t="n">
        <v>490</v>
      </c>
      <c r="BG60" s="23">
        <f>(BF60/AS60)^(1/5)-1</f>
        <v/>
      </c>
      <c r="BH60" s="24" t="n">
        <v>8</v>
      </c>
      <c r="BI60" s="24" t="n">
        <v>15</v>
      </c>
      <c r="BJ60" s="25">
        <f>(BD60*BH60+$AP60-$AQ60)/$H60</f>
        <v/>
      </c>
      <c r="BK60" s="25">
        <f>(BF60*BI60+$AP60-$AQ60)/$H60</f>
        <v/>
      </c>
      <c r="BL60" s="23">
        <f>($BJ60/G60)^(1/5)-1</f>
        <v/>
      </c>
      <c r="BM60" s="23">
        <f>(BK60/G60)^(1/4)-1</f>
        <v/>
      </c>
      <c r="BN60" s="93" t="inlineStr">
        <is>
          <t>2026-04-26</t>
        </is>
      </c>
      <c r="BO60" s="93" t="inlineStr">
        <is>
          <t>22/04/2026</t>
        </is>
      </c>
      <c r="BP60" s="93" t="inlineStr">
        <is>
          <t>28/07/2026</t>
        </is>
      </c>
    </row>
    <row r="61" ht="15" customHeight="1" s="96">
      <c r="A61" s="86" t="e">
        <v>#VALUE!</v>
      </c>
      <c r="B61" s="10">
        <f t="array" ref="B61">_FV(A61,"Símbolo bursátil",TRUE())</f>
        <v/>
      </c>
      <c r="C61" s="88" t="inlineStr">
        <is>
          <t>Materials</t>
        </is>
      </c>
      <c r="D61" s="88" t="inlineStr">
        <is>
          <t>Raw materials</t>
        </is>
      </c>
      <c r="E61" s="11">
        <f t="array" ref="E61">_FV(A61,"Abreviatura de intercambio",TRUE())</f>
        <v/>
      </c>
      <c r="F61" s="11">
        <f t="array" ref="F61">_FV(A61,"Moneda")</f>
        <v/>
      </c>
      <c r="G61" s="12">
        <f t="array" ref="G61">_FV(A61,"Precio")</f>
        <v/>
      </c>
      <c r="H61" s="13">
        <f t="array" ref="H61">_FV(A61,"Acciones en circulación",TRUE())/1000000</f>
        <v/>
      </c>
      <c r="I61" s="14">
        <f>G61/100*H61</f>
        <v/>
      </c>
      <c r="J61" s="91" t="n">
        <v>0</v>
      </c>
      <c r="K61" s="91" t="n">
        <v>2</v>
      </c>
      <c r="L61" s="91" t="n">
        <v>1</v>
      </c>
      <c r="M61" s="91" t="n">
        <v>0</v>
      </c>
      <c r="N61" s="91" t="n">
        <v>-2</v>
      </c>
      <c r="O61" s="91" t="n">
        <v>0</v>
      </c>
      <c r="P61" s="91" t="n">
        <v>1</v>
      </c>
      <c r="Q61" s="91" t="n">
        <v>1</v>
      </c>
      <c r="R61" s="26">
        <f>SUM(J61:Q61)</f>
        <v/>
      </c>
      <c r="S61" s="16">
        <f>ROUND(R61/17*10,2)</f>
        <v/>
      </c>
      <c r="T61" s="91" t="n">
        <v>9</v>
      </c>
      <c r="U61" s="91" t="n">
        <v>5</v>
      </c>
      <c r="V61" s="91" t="n">
        <v>8</v>
      </c>
      <c r="W61" s="91" t="n">
        <v>5</v>
      </c>
      <c r="X61" s="91" t="n">
        <v>4</v>
      </c>
      <c r="Y61" s="91" t="n">
        <v>10</v>
      </c>
      <c r="Z61" s="91" t="n">
        <v>10</v>
      </c>
      <c r="AA61" s="91" t="n">
        <v>-20</v>
      </c>
      <c r="AB61" s="26">
        <f>SUM(T61:AA61)</f>
        <v/>
      </c>
      <c r="AC61" s="16">
        <f>ROUND(AB61/10,2)</f>
        <v/>
      </c>
      <c r="AD61" s="91" t="n">
        <v>5</v>
      </c>
      <c r="AE61" s="91" t="n">
        <v>-10</v>
      </c>
      <c r="AF61" s="91" t="n">
        <v>2</v>
      </c>
      <c r="AG61" s="91" t="n">
        <v>10</v>
      </c>
      <c r="AH61" s="91" t="n">
        <v>1</v>
      </c>
      <c r="AI61" s="91" t="n">
        <v>8</v>
      </c>
      <c r="AJ61" s="91" t="n">
        <v>5</v>
      </c>
      <c r="AK61" s="91" t="n">
        <v>-10</v>
      </c>
      <c r="AL61" s="26">
        <f>SUM(AD61:AK61)</f>
        <v/>
      </c>
      <c r="AM61" s="16">
        <f>ROUND(AL61/70*10,2)</f>
        <v/>
      </c>
      <c r="AN61" s="17">
        <f>ROUND((S61+AC61+AM61)/3,2)</f>
        <v/>
      </c>
      <c r="AO61" s="18" t="inlineStr">
        <is>
          <t>GBP</t>
        </is>
      </c>
      <c r="AP61" s="19" t="n">
        <v>215</v>
      </c>
      <c r="AQ61" s="19">
        <f>300+148</f>
        <v/>
      </c>
      <c r="AR61" s="19">
        <f>I61-AP61+AQ61</f>
        <v/>
      </c>
      <c r="AS61" s="19" t="n">
        <v>55</v>
      </c>
      <c r="AT61" s="19">
        <f>390-230</f>
        <v/>
      </c>
      <c r="AU61" s="19" t="n">
        <v>400</v>
      </c>
      <c r="AV61" s="19" t="n">
        <v>480</v>
      </c>
      <c r="AW61" s="20">
        <f>AR61/AS61</f>
        <v/>
      </c>
      <c r="AX61" s="20">
        <f>AR61/AU61</f>
        <v/>
      </c>
      <c r="AY61" s="20">
        <f>AR61/AV61</f>
        <v/>
      </c>
      <c r="AZ61" s="21" t="n">
        <v>300</v>
      </c>
      <c r="BA61" s="22">
        <f>AT61/AV61</f>
        <v/>
      </c>
      <c r="BB61" s="22">
        <f>AV61/AZ61</f>
        <v/>
      </c>
      <c r="BC61" s="23">
        <f>BA61*BB61</f>
        <v/>
      </c>
      <c r="BD61" t="n">
        <v>60</v>
      </c>
      <c r="BE61" s="23">
        <f>(BD61/AS61)^(1/5)-1</f>
        <v/>
      </c>
      <c r="BF61" t="n">
        <v>115</v>
      </c>
      <c r="BG61" s="23">
        <f>(BF61/AS61)^(1/5)-1</f>
        <v/>
      </c>
      <c r="BH61" s="24" t="n">
        <v>5.5</v>
      </c>
      <c r="BI61" s="24" t="n">
        <v>8</v>
      </c>
      <c r="BJ61" s="25">
        <f>(BD61*BH61+$AP61-$AQ61)/$H61*100</f>
        <v/>
      </c>
      <c r="BK61" s="25">
        <f>(BF61*BI61+$AP61-$AQ61)/$H61*100</f>
        <v/>
      </c>
      <c r="BL61" s="23">
        <f>($BJ61/G61)^(1/5)-1</f>
        <v/>
      </c>
      <c r="BM61" s="23">
        <f>(BK61/G61)^(1/4)-1</f>
        <v/>
      </c>
      <c r="BN61" s="93" t="inlineStr">
        <is>
          <t>2026-04-26</t>
        </is>
      </c>
      <c r="BO61" s="93" t="inlineStr">
        <is>
          <t>N/D</t>
        </is>
      </c>
      <c r="BP61" s="93" t="inlineStr">
        <is>
          <t>N/D</t>
        </is>
      </c>
    </row>
    <row r="62" ht="15" customHeight="1" s="96">
      <c r="A62" s="86" t="e">
        <v>#VALUE!</v>
      </c>
      <c r="B62" s="10">
        <f t="array" ref="B62">_FV(A62,"Símbolo bursátil",TRUE())</f>
        <v/>
      </c>
      <c r="C62" s="88" t="inlineStr">
        <is>
          <t>Consumo</t>
        </is>
      </c>
      <c r="D62" s="88" t="inlineStr">
        <is>
          <t>Special situation</t>
        </is>
      </c>
      <c r="E62" s="11">
        <f t="array" ref="E62">_FV(A62,"Abreviatura de intercambio",TRUE())</f>
        <v/>
      </c>
      <c r="F62" s="11">
        <f t="array" ref="F62">_FV(A62,"Moneda")</f>
        <v/>
      </c>
      <c r="G62" s="12">
        <f t="array" ref="G62">_FV(A62,"Precio")</f>
        <v/>
      </c>
      <c r="H62" s="13">
        <f t="array" ref="H62">_FV(A62,"Acciones en circulación",TRUE())/1000000</f>
        <v/>
      </c>
      <c r="I62" s="14">
        <f>G62/100*H62</f>
        <v/>
      </c>
      <c r="J62" s="90" t="n">
        <v>0.5</v>
      </c>
      <c r="K62" s="90" t="n">
        <v>3</v>
      </c>
      <c r="L62" s="90" t="n">
        <v>1</v>
      </c>
      <c r="M62" s="90" t="n">
        <v>-1</v>
      </c>
      <c r="N62" s="90" t="n">
        <v>-2</v>
      </c>
      <c r="O62" s="90" t="n">
        <v>0</v>
      </c>
      <c r="P62" s="90" t="n">
        <v>0</v>
      </c>
      <c r="Q62" s="90" t="n">
        <v>0</v>
      </c>
      <c r="R62" s="15">
        <f>SUM(J62:Q62)</f>
        <v/>
      </c>
      <c r="S62" s="16">
        <f>ROUND(R62/17*10,2)</f>
        <v/>
      </c>
      <c r="T62" s="90" t="n">
        <v>7</v>
      </c>
      <c r="U62" s="90" t="n">
        <v>8</v>
      </c>
      <c r="V62" s="90" t="n">
        <v>7</v>
      </c>
      <c r="W62" s="90" t="n">
        <v>4</v>
      </c>
      <c r="X62" s="90" t="n">
        <v>4</v>
      </c>
      <c r="Y62" s="90" t="n">
        <v>7</v>
      </c>
      <c r="Z62" s="90" t="n">
        <v>4</v>
      </c>
      <c r="AA62" s="90" t="n">
        <v>-16</v>
      </c>
      <c r="AB62" s="15">
        <f>SUM(T62:AA62)</f>
        <v/>
      </c>
      <c r="AC62" s="16">
        <f>ROUND(AB62/10,2)</f>
        <v/>
      </c>
      <c r="AD62" s="90" t="n">
        <v>7</v>
      </c>
      <c r="AE62" s="90" t="n">
        <v>-5</v>
      </c>
      <c r="AF62" s="90" t="n">
        <v>5</v>
      </c>
      <c r="AG62" s="90" t="n">
        <v>7</v>
      </c>
      <c r="AH62" s="90" t="n">
        <v>1</v>
      </c>
      <c r="AI62" s="90" t="n">
        <v>5</v>
      </c>
      <c r="AJ62" s="90" t="n">
        <v>6</v>
      </c>
      <c r="AK62" s="90" t="n">
        <v>-6</v>
      </c>
      <c r="AL62" s="15">
        <f>SUM(AD62:AK62)</f>
        <v/>
      </c>
      <c r="AM62" s="16">
        <f>ROUND(AL62/70*10,2)</f>
        <v/>
      </c>
      <c r="AN62" s="17">
        <f>ROUND((S62+AC62+AM62)/3,2)</f>
        <v/>
      </c>
      <c r="AO62" s="18" t="inlineStr">
        <is>
          <t>GBP</t>
        </is>
      </c>
      <c r="AP62" s="19" t="n">
        <v>70</v>
      </c>
      <c r="AQ62" s="19" t="n">
        <v>270</v>
      </c>
      <c r="AR62" s="19">
        <f>I62-AP62+AQ62</f>
        <v/>
      </c>
      <c r="AS62" s="19" t="n">
        <v>90</v>
      </c>
      <c r="AT62" s="19" t="n">
        <v>80</v>
      </c>
      <c r="AU62" s="19" t="n">
        <v>170</v>
      </c>
      <c r="AV62" s="19" t="n">
        <v>1700</v>
      </c>
      <c r="AW62" s="20">
        <f>AR62/AS62</f>
        <v/>
      </c>
      <c r="AX62" s="20">
        <f>AR62/AU62</f>
        <v/>
      </c>
      <c r="AY62" s="20">
        <f>AR62/AV62</f>
        <v/>
      </c>
      <c r="AZ62" s="21" t="n">
        <v>900</v>
      </c>
      <c r="BA62" s="22">
        <f>AT62/AV62</f>
        <v/>
      </c>
      <c r="BB62" s="22">
        <f>AV62/AZ62</f>
        <v/>
      </c>
      <c r="BC62" s="23">
        <f>BA62*BB62</f>
        <v/>
      </c>
      <c r="BD62" t="inlineStr">
        <is>
          <t>90</t>
        </is>
      </c>
      <c r="BE62" s="23">
        <f>(BD62/AS62)^(1/5)-1</f>
        <v/>
      </c>
      <c r="BF62" t="inlineStr">
        <is>
          <t>173</t>
        </is>
      </c>
      <c r="BG62" s="23">
        <f>(BF62/AS62)^(1/5)-1</f>
        <v/>
      </c>
      <c r="BH62" s="24" t="n">
        <v>8</v>
      </c>
      <c r="BI62" s="24" t="n">
        <v>14</v>
      </c>
      <c r="BJ62" s="25">
        <f>(BD62*BH62+$AP62-$AQ62)/$H62*100</f>
        <v/>
      </c>
      <c r="BK62" s="25">
        <f>(BF62*BI62+$AP62-$AQ62)/$H62*100</f>
        <v/>
      </c>
      <c r="BL62" s="23">
        <f>($BJ62/G62)^(1/5)-1</f>
        <v/>
      </c>
      <c r="BM62" s="23">
        <f>(BK62/G62)^(1/4)-1</f>
        <v/>
      </c>
      <c r="BN62" s="93" t="inlineStr">
        <is>
          <t>2026-04-26</t>
        </is>
      </c>
      <c r="BO62" s="94" t="inlineStr">
        <is>
          <t>04/12/2025</t>
        </is>
      </c>
      <c r="BP62" s="93" t="inlineStr">
        <is>
          <t>02/07/2026</t>
        </is>
      </c>
    </row>
    <row r="63" ht="15" customHeight="1" s="96">
      <c r="A63" s="86" t="e">
        <v>#VALUE!</v>
      </c>
      <c r="B63" s="10">
        <f t="array" ref="B63">_FV(A63,"Símbolo bursátil",TRUE())</f>
        <v/>
      </c>
      <c r="C63" s="88" t="inlineStr">
        <is>
          <t>Materials</t>
        </is>
      </c>
      <c r="D63" s="88" t="inlineStr">
        <is>
          <t>Raw materials</t>
        </is>
      </c>
      <c r="E63" s="11">
        <f t="array" ref="E63">_FV(A63,"Abreviatura de intercambio",TRUE())</f>
        <v/>
      </c>
      <c r="F63" s="11">
        <f t="array" ref="F63">_FV(A63,"Moneda")</f>
        <v/>
      </c>
      <c r="G63" s="12">
        <f t="array" ref="G63">_FV(A63,"Precio")</f>
        <v/>
      </c>
      <c r="H63" s="13">
        <f t="array" ref="H63">_FV(A63,"Acciones en circulación",TRUE())/1000000</f>
        <v/>
      </c>
      <c r="I63" s="14">
        <f>G63*H63</f>
        <v/>
      </c>
      <c r="J63" s="91" t="n">
        <v>0</v>
      </c>
      <c r="K63" s="91" t="n">
        <v>2</v>
      </c>
      <c r="L63" s="91" t="n">
        <v>1</v>
      </c>
      <c r="M63" s="91" t="n">
        <v>0</v>
      </c>
      <c r="N63" s="91" t="n">
        <v>-2</v>
      </c>
      <c r="O63" s="91" t="n">
        <v>0</v>
      </c>
      <c r="P63" s="91" t="n">
        <v>0</v>
      </c>
      <c r="Q63" s="91" t="n">
        <v>1</v>
      </c>
      <c r="R63" s="26">
        <f>SUM(J63:Q63)</f>
        <v/>
      </c>
      <c r="S63" s="16">
        <f>ROUND(R63/17*10,2)</f>
        <v/>
      </c>
      <c r="T63" s="91" t="n">
        <v>9</v>
      </c>
      <c r="U63" s="91" t="n">
        <v>5</v>
      </c>
      <c r="V63" s="91" t="n">
        <v>8</v>
      </c>
      <c r="W63" s="91" t="n">
        <v>6</v>
      </c>
      <c r="X63" s="91" t="n">
        <v>4</v>
      </c>
      <c r="Y63" s="91" t="n">
        <v>9</v>
      </c>
      <c r="Z63" s="91" t="n">
        <v>9</v>
      </c>
      <c r="AA63" s="91" t="n">
        <v>-22</v>
      </c>
      <c r="AB63" s="26">
        <f>SUM(T63:AA63)</f>
        <v/>
      </c>
      <c r="AC63" s="16">
        <f>ROUND(AB63/10,2)</f>
        <v/>
      </c>
      <c r="AD63" s="91" t="n">
        <v>6</v>
      </c>
      <c r="AE63" s="91" t="n">
        <v>-10</v>
      </c>
      <c r="AF63" s="91" t="n">
        <v>2</v>
      </c>
      <c r="AG63" s="91" t="n">
        <v>9</v>
      </c>
      <c r="AH63" s="91" t="n">
        <v>0</v>
      </c>
      <c r="AI63" s="91" t="n">
        <v>7</v>
      </c>
      <c r="AJ63" s="91" t="n">
        <v>5</v>
      </c>
      <c r="AK63" s="91" t="n">
        <v>-11</v>
      </c>
      <c r="AL63" s="26">
        <f>SUM(AD63:AK63)</f>
        <v/>
      </c>
      <c r="AM63" s="16">
        <f>ROUND(AL63/70*10,2)</f>
        <v/>
      </c>
      <c r="AN63" s="17">
        <f>ROUND((S63+AC63+AM63)/3,2)</f>
        <v/>
      </c>
      <c r="AO63" s="18" t="inlineStr">
        <is>
          <t>USD</t>
        </is>
      </c>
      <c r="AP63" s="19" t="n">
        <v>50</v>
      </c>
      <c r="AQ63" s="19" t="n">
        <v>430</v>
      </c>
      <c r="AR63" s="19">
        <f>I63*'Framework Notes'!E7-AP63+AQ63</f>
        <v/>
      </c>
      <c r="AS63" s="19" t="n">
        <v>-30</v>
      </c>
      <c r="AT63" s="19" t="n">
        <v>150</v>
      </c>
      <c r="AU63" s="19" t="n">
        <v>400</v>
      </c>
      <c r="AV63" s="19" t="n">
        <v>700</v>
      </c>
      <c r="AW63" s="20">
        <f>AR63/AS63</f>
        <v/>
      </c>
      <c r="AX63" s="20">
        <f>AR63/AU63</f>
        <v/>
      </c>
      <c r="AY63" s="20">
        <f>AR63/AV63</f>
        <v/>
      </c>
      <c r="AZ63" s="21" t="n">
        <v>1800</v>
      </c>
      <c r="BA63" s="22">
        <f>AT63/AV63</f>
        <v/>
      </c>
      <c r="BB63" s="22">
        <f>AV63/AZ63</f>
        <v/>
      </c>
      <c r="BC63" s="23">
        <f>BA63*BB63</f>
        <v/>
      </c>
      <c r="BD63" t="inlineStr">
        <is>
          <t>178</t>
        </is>
      </c>
      <c r="BE63" s="23">
        <f>(BD63/AS63)^(1/5)-1</f>
        <v/>
      </c>
      <c r="BF63" t="inlineStr">
        <is>
          <t>405</t>
        </is>
      </c>
      <c r="BG63" s="23">
        <f>(BF63/AS63)^(1/5)-1</f>
        <v/>
      </c>
      <c r="BH63" s="24" t="n">
        <v>10</v>
      </c>
      <c r="BI63" s="24" t="n">
        <v>15</v>
      </c>
      <c r="BJ63" s="25">
        <f>(BD63*BH63+$AP63-$AQ63)/$H63</f>
        <v/>
      </c>
      <c r="BK63" s="25">
        <f>(BF63*BI63+$AP63-$AQ63)/$H63</f>
        <v/>
      </c>
      <c r="BL63" s="23">
        <f>($BJ63/G63)^(1/5)-1</f>
        <v/>
      </c>
      <c r="BM63" s="23">
        <f>(BK63/G63)^(1/4)-1</f>
        <v/>
      </c>
      <c r="BN63" s="93" t="inlineStr">
        <is>
          <t>2026-05-07</t>
        </is>
      </c>
      <c r="BO63" s="93" t="inlineStr">
        <is>
          <t>Q1 2026: Prod 43,000 boepd (high-end guidance), Rev $173M, Net Inc $12.8M, Op Cash $68M (ahead of guidance), FCF -$17M por capex Blackrod. Brent $81/bbl. First oil Blackrod Q3 2026. Capex 2026 alzado +$41M.</t>
        </is>
      </c>
      <c r="BP63" s="93" t="inlineStr">
        <is>
          <t>Q2 2026 (agosto 2026)</t>
        </is>
      </c>
    </row>
    <row r="64" ht="15" customHeight="1" s="96">
      <c r="A64" s="86" t="e">
        <v>#VALUE!</v>
      </c>
      <c r="B64" s="10">
        <f t="array" ref="B64">_FV(A64,"Símbolo bursátil",TRUE())</f>
        <v/>
      </c>
      <c r="C64" s="88" t="inlineStr">
        <is>
          <t>Consumo</t>
        </is>
      </c>
      <c r="D64" s="88" t="inlineStr">
        <is>
          <t>Special situation</t>
        </is>
      </c>
      <c r="E64" s="11">
        <f t="array" ref="E64">_FV(A64,"Abreviatura de intercambio",TRUE())</f>
        <v/>
      </c>
      <c r="F64" s="11">
        <f t="array" ref="F64">_FV(A64,"Moneda")</f>
        <v/>
      </c>
      <c r="G64" s="12">
        <f t="array" ref="G64">_FV(A64,"Precio")</f>
        <v/>
      </c>
      <c r="H64" s="13">
        <f t="array" ref="H64">_FV(A64,"Acciones en circulación",TRUE())/1000000</f>
        <v/>
      </c>
      <c r="I64" s="14">
        <f>G64*H64</f>
        <v/>
      </c>
      <c r="J64" s="90" t="n">
        <v>1</v>
      </c>
      <c r="K64" s="90" t="n">
        <v>5</v>
      </c>
      <c r="L64" s="90" t="n">
        <v>1.5</v>
      </c>
      <c r="M64" s="90" t="n">
        <v>0</v>
      </c>
      <c r="N64" s="90" t="n">
        <v>-1</v>
      </c>
      <c r="O64" s="90" t="n">
        <v>0</v>
      </c>
      <c r="P64" s="90" t="n">
        <v>0</v>
      </c>
      <c r="Q64" s="90" t="n">
        <v>0</v>
      </c>
      <c r="R64" s="15">
        <f>SUM(J64:Q64)</f>
        <v/>
      </c>
      <c r="S64" s="16">
        <f>ROUND(R64/17*10,2)</f>
        <v/>
      </c>
      <c r="T64" s="90" t="n">
        <v>11</v>
      </c>
      <c r="U64" s="90" t="n">
        <v>5</v>
      </c>
      <c r="V64" s="90" t="n">
        <v>12</v>
      </c>
      <c r="W64" s="90" t="n">
        <v>6</v>
      </c>
      <c r="X64" s="90" t="n">
        <v>5.5</v>
      </c>
      <c r="Y64" s="90" t="n">
        <v>7</v>
      </c>
      <c r="Z64" s="90" t="n">
        <v>6</v>
      </c>
      <c r="AA64" s="90" t="n">
        <v>-25</v>
      </c>
      <c r="AB64" s="15">
        <f>SUM(T64:AA64)</f>
        <v/>
      </c>
      <c r="AC64" s="16">
        <f>ROUND(AB64/10,2)</f>
        <v/>
      </c>
      <c r="AD64" s="90" t="n">
        <v>6</v>
      </c>
      <c r="AE64" s="90" t="n">
        <v>-10</v>
      </c>
      <c r="AF64" s="90" t="n">
        <v>4</v>
      </c>
      <c r="AG64" s="90" t="n">
        <v>6</v>
      </c>
      <c r="AH64" s="90" t="n">
        <v>-1</v>
      </c>
      <c r="AI64" s="90" t="n">
        <v>4</v>
      </c>
      <c r="AJ64" s="90" t="n">
        <v>9</v>
      </c>
      <c r="AK64" s="90" t="n">
        <v>-12</v>
      </c>
      <c r="AL64" s="15">
        <f>SUM(AD64:AK64)</f>
        <v/>
      </c>
      <c r="AM64" s="16">
        <f>ROUND(AL64/70*10,2)</f>
        <v/>
      </c>
      <c r="AN64" s="17">
        <f>ROUND((S64+AC64+AM64)/3,2)</f>
        <v/>
      </c>
      <c r="AO64" s="18" t="inlineStr">
        <is>
          <t>USD</t>
        </is>
      </c>
      <c r="AP64" s="19" t="n">
        <v>180</v>
      </c>
      <c r="AQ64" s="19" t="n">
        <v>280</v>
      </c>
      <c r="AR64" s="19">
        <f>I64-AP64+AQ64</f>
        <v/>
      </c>
      <c r="AS64" s="19" t="n">
        <v>-50</v>
      </c>
      <c r="AT64" s="19" t="n">
        <v>-100</v>
      </c>
      <c r="AU64" s="19" t="n">
        <v>-10</v>
      </c>
      <c r="AV64" s="19" t="n">
        <v>913</v>
      </c>
      <c r="AW64" s="20">
        <f>AR64/AS64</f>
        <v/>
      </c>
      <c r="AX64" s="20">
        <f>AR64/AU64</f>
        <v/>
      </c>
      <c r="AY64" s="20">
        <f>AR64/AV64</f>
        <v/>
      </c>
      <c r="AZ64" s="21" t="n">
        <v>650</v>
      </c>
      <c r="BA64" s="22">
        <f>AT64/AV64</f>
        <v/>
      </c>
      <c r="BB64" s="22">
        <f>AV64/AZ64</f>
        <v/>
      </c>
      <c r="BC64" s="23">
        <f>BA64*BB64</f>
        <v/>
      </c>
      <c r="BD64" t="inlineStr">
        <is>
          <t>-50</t>
        </is>
      </c>
      <c r="BE64" s="23">
        <f>(BD64/AS64)^(1/5)-1</f>
        <v/>
      </c>
      <c r="BF64" t="inlineStr">
        <is>
          <t>114</t>
        </is>
      </c>
      <c r="BG64" s="23">
        <f>(BF64/AS64)^(1/5)-1</f>
        <v/>
      </c>
      <c r="BH64" s="24" t="n">
        <v>12</v>
      </c>
      <c r="BI64" s="24" t="n">
        <v>16</v>
      </c>
      <c r="BJ64" s="25">
        <f>(BD64*BH64+$AP64-$AQ64)/$H64</f>
        <v/>
      </c>
      <c r="BK64" s="25">
        <f>(BF64*BI64+$AP64-$AQ64)/$H64</f>
        <v/>
      </c>
      <c r="BL64" s="23">
        <f>($BJ64/G64)^(1/5)-1</f>
        <v/>
      </c>
      <c r="BM64" s="23">
        <f>(BK64/G64)^(1/4)-1</f>
        <v/>
      </c>
      <c r="BN64" s="93" t="inlineStr">
        <is>
          <t>2026-04-30</t>
        </is>
      </c>
      <c r="BO64" s="93" t="inlineStr">
        <is>
          <t>Q1 2026: Rev $228.3M (+15.6%), Adj EBITDA +$5M (positivo por 1ª vez), GM 33.4%. Europa +27.1%. NA vuelve a crecer. China -6.4%. Guidance cc growth 3-5%.</t>
        </is>
      </c>
      <c r="BP64" s="93" t="inlineStr">
        <is>
          <t>Q2 2026 (agosto 2026)</t>
        </is>
      </c>
    </row>
  </sheetData>
  <mergeCells count="9">
    <mergeCell ref="A1:AW1"/>
    <mergeCell ref="AD2:AM2"/>
    <mergeCell ref="BJ2:BM2"/>
    <mergeCell ref="A2:I2"/>
    <mergeCell ref="AO2:BF2"/>
    <mergeCell ref="BN2:BP2"/>
    <mergeCell ref="T2:AC2"/>
    <mergeCell ref="J2:S2"/>
    <mergeCell ref="AN2:AN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zoomScaleNormal="100" workbookViewId="0">
      <selection activeCell="D4" sqref="D4:D8"/>
    </sheetView>
  </sheetViews>
  <sheetFormatPr baseColWidth="10" defaultColWidth="8.5703125" defaultRowHeight="15"/>
  <cols>
    <col width="110" customWidth="1" style="96" min="1" max="1"/>
    <col width="11.85546875" customWidth="1" style="96" min="4" max="4"/>
    <col width="9.5703125" customWidth="1" style="96" min="5" max="5"/>
  </cols>
  <sheetData>
    <row r="1" ht="24" customHeight="1" s="96">
      <c r="A1" s="95" t="inlineStr">
        <is>
          <t>WATCHLIST RATINGS — METHODOLOGICAL NOTES</t>
        </is>
      </c>
    </row>
    <row r="3" ht="15" customHeight="1" s="96">
      <c r="A3" s="27" t="inlineStr">
        <is>
          <t>Philosophy</t>
        </is>
      </c>
    </row>
    <row r="4" ht="15" customHeight="1" s="96">
      <c r="A4" s="28" t="inlineStr">
        <is>
          <t>Long-term investor framework applied across 61 public equities.</t>
        </is>
      </c>
      <c r="D4" t="e">
        <v>#VALUE!</v>
      </c>
      <c r="E4" s="29">
        <f t="array" ref="E4">_FV(D4,"Precio")</f>
        <v/>
      </c>
    </row>
    <row r="5" ht="15" customHeight="1" s="96">
      <c r="A5" s="28" t="inlineStr">
        <is>
          <t>Ratings are conservative, designed to surface quality + risk simultaneously.</t>
        </is>
      </c>
      <c r="D5" t="e">
        <v>#VALUE!</v>
      </c>
      <c r="E5" s="30">
        <f t="array" ref="E5">_FV(D5,"Precio")</f>
        <v/>
      </c>
    </row>
    <row r="6" ht="15" customHeight="1" s="96">
      <c r="A6" s="28" t="inlineStr">
        <is>
          <t>No hype factor. Revenue growth alone is not quality.</t>
        </is>
      </c>
      <c r="D6" t="e">
        <v>#VALUE!</v>
      </c>
      <c r="E6" s="31">
        <f t="array" ref="E6">_FV(D6,"Precio")</f>
        <v/>
      </c>
    </row>
    <row r="7" ht="15" customHeight="1" s="96">
      <c r="D7" t="e">
        <v>#VALUE!</v>
      </c>
      <c r="E7" s="30">
        <f t="array" ref="E7">_FV(D7,"Precio")</f>
        <v/>
      </c>
    </row>
    <row r="8" ht="15" customHeight="1" s="96">
      <c r="A8" s="27" t="inlineStr">
        <is>
          <t>RATING 1 — Structural Quality (max 17, normalized to 10)</t>
        </is>
      </c>
      <c r="D8" t="e">
        <v>#VALUE!</v>
      </c>
      <c r="E8" s="87">
        <f t="array" ref="E8">_FV(D8,"Precio")</f>
        <v/>
      </c>
    </row>
    <row r="9" ht="15" customHeight="1" s="96">
      <c r="A9" s="28" t="inlineStr">
        <is>
          <t>Mission (-1 to 2): Purpose, long-term relevance of the business</t>
        </is>
      </c>
    </row>
    <row r="10" ht="15" customHeight="1" s="96">
      <c r="A10" s="28" t="inlineStr">
        <is>
          <t>MOAT (0 to 8): Durable competitive advantages</t>
        </is>
      </c>
    </row>
    <row r="11" ht="15" customHeight="1" s="96">
      <c r="A11" s="28" t="inlineStr">
        <is>
          <t>Optionality (0 to 3): Capacity to open adjacent growth vectors</t>
        </is>
      </c>
    </row>
    <row r="12" ht="15" customHeight="1" s="96">
      <c r="A12" s="28" t="inlineStr">
        <is>
          <t>Financials (-1 to 1): Balance sheet discipline and current health</t>
        </is>
      </c>
    </row>
    <row r="13" ht="15" customHeight="1" s="96">
      <c r="A13" s="28" t="inlineStr">
        <is>
          <t>Concentration (-3 to 0): Customer/product/geography dependency (penalty)</t>
        </is>
      </c>
    </row>
    <row r="14" ht="15" customHeight="1" s="96">
      <c r="A14" s="28" t="inlineStr">
        <is>
          <t>Glassdoor (-1 to 1): Corporate culture proxy</t>
        </is>
      </c>
    </row>
    <row r="15" ht="15" customHeight="1" s="96">
      <c r="A15" s="28" t="inlineStr">
        <is>
          <t>Founder/CEO (0 to 1): Leadership quality and founder involvement</t>
        </is>
      </c>
    </row>
    <row r="16" ht="15" customHeight="1" s="96">
      <c r="A16" s="28" t="inlineStr">
        <is>
          <t>Ownership (-1 to 1): Skin in the game alignment</t>
        </is>
      </c>
    </row>
    <row r="18" ht="15" customHeight="1" s="96">
      <c r="A18" s="27" t="inlineStr">
        <is>
          <t>RATING 2 — Economic Quality &amp; Value Creation (max 100, normalized to 10)</t>
        </is>
      </c>
    </row>
    <row r="19" ht="15" customHeight="1" s="96">
      <c r="A19" s="28" t="inlineStr">
        <is>
          <t>Financials (0–17): Financial solidity: margins, FCF, ROIC</t>
        </is>
      </c>
    </row>
    <row r="20" ht="15" customHeight="1" s="96">
      <c r="A20" s="28" t="inlineStr">
        <is>
          <t>MOAT (0–20): Competitive advantage weight on value creation</t>
        </is>
      </c>
    </row>
    <row r="21" ht="15" customHeight="1" s="96">
      <c r="A21" s="28" t="inlineStr">
        <is>
          <t>Potential (0–18): TAM, runway, capacity for compounding</t>
        </is>
      </c>
    </row>
    <row r="22" ht="15" customHeight="1" s="96">
      <c r="A22" s="28" t="inlineStr">
        <is>
          <t>Customers (0–10): Quality, diversification, dependency</t>
        </is>
      </c>
    </row>
    <row r="23" ht="15" customHeight="1" s="96">
      <c r="A23" s="28" t="inlineStr">
        <is>
          <t>Revenue Quality (0–10): Recurrence, predictability, crisis resilience</t>
        </is>
      </c>
    </row>
    <row r="24" ht="15" customHeight="1" s="96">
      <c r="A24" s="28" t="inlineStr">
        <is>
          <t>Mgmt &amp; Culture (0–14): Execution capability, capital allocation track record</t>
        </is>
      </c>
    </row>
    <row r="25" ht="15" customHeight="1" s="96">
      <c r="A25" s="28" t="inlineStr">
        <is>
          <t>Stock &amp; Ownership (0–11): Shareholder structure, incentive alignment</t>
        </is>
      </c>
    </row>
    <row r="26" ht="15" customHeight="1" s="96">
      <c r="A26" s="28" t="inlineStr">
        <is>
          <t>Risks (-44 to 0): Operational, financial, regulatory, competitive (penalty)</t>
        </is>
      </c>
    </row>
    <row r="28" ht="15" customHeight="1" s="96">
      <c r="A28" s="27" t="inlineStr">
        <is>
          <t>RATING 3 — Durability &amp; Existential Risk (max positive 70, normalized to 10)</t>
        </is>
      </c>
    </row>
    <row r="29" ht="15" customHeight="1" s="96">
      <c r="A29" s="28" t="inlineStr">
        <is>
          <t>Durability (0–15): Antifragility — can survive &amp; thrive long term</t>
        </is>
      </c>
    </row>
    <row r="30" ht="15" customHeight="1" s="96">
      <c r="A30" s="28" t="inlineStr">
        <is>
          <t>Risk of Disappearance (-20 to 0): Terminal value = 0 risk</t>
        </is>
      </c>
    </row>
    <row r="31" ht="15" customHeight="1" s="96">
      <c r="A31" s="28" t="inlineStr">
        <is>
          <t>Capital Intensity (0–10): Asset-light preferred (higher = less intensive)</t>
        </is>
      </c>
    </row>
    <row r="32" ht="15" customHeight="1" s="96">
      <c r="A32" s="28" t="inlineStr">
        <is>
          <t>Capital Allocation (0–15): Does each euro reinvested generate positive ROIC spread?</t>
        </is>
      </c>
    </row>
    <row r="33" ht="15" customHeight="1" s="96">
      <c r="A33" s="28" t="inlineStr">
        <is>
          <t>Financing Source (-10 to 5): Dilution, interest rates, financing structure</t>
        </is>
      </c>
    </row>
    <row r="34" ht="15" customHeight="1" s="96">
      <c r="A34" s="28" t="inlineStr">
        <is>
          <t>Incentives (0–10): Long-term alignment of compensation and equity</t>
        </is>
      </c>
    </row>
    <row r="35" ht="15" customHeight="1" s="96">
      <c r="A35" s="28" t="inlineStr">
        <is>
          <t>MOAT Structural (0–15): Width + durability of competitive moat</t>
        </is>
      </c>
    </row>
    <row r="36" ht="15" customHeight="1" s="96">
      <c r="A36" s="28" t="inlineStr">
        <is>
          <t>Terminal Risk (-20 to 0): Operational, financial, execution tail risks</t>
        </is>
      </c>
    </row>
    <row r="38" ht="15" customHeight="1" s="96">
      <c r="A38" s="27" t="inlineStr">
        <is>
          <t>Composite Rating</t>
        </is>
      </c>
    </row>
    <row r="39" ht="15" customHeight="1" s="96">
      <c r="A39" s="28" t="inlineStr">
        <is>
          <t>Simple arithmetic average of R1, R2, R3 (each normalized to 0–10).</t>
        </is>
      </c>
    </row>
    <row r="40" ht="15" customHeight="1" s="96">
      <c r="A40" s="28" t="inlineStr">
        <is>
          <t>Not a buy signal in itself — valuation is separate and not captured here.</t>
        </is>
      </c>
    </row>
    <row r="42" ht="15" customHeight="1" s="96">
      <c r="A42" s="27" t="inlineStr">
        <is>
          <t>Interpretation ranges</t>
        </is>
      </c>
    </row>
    <row r="43" ht="15" customHeight="1" s="96">
      <c r="A43" s="28" t="inlineStr">
        <is>
          <t>8.0+ : Best-in-class quality compounder. Candidate for Tier 1 (5-8% sizing).</t>
        </is>
      </c>
    </row>
    <row r="44" ht="15" customHeight="1" s="96">
      <c r="A44" s="28" t="inlineStr">
        <is>
          <t>7.0-7.9 : High quality with some specific concerns. Tier 2 (3-5%).</t>
        </is>
      </c>
    </row>
    <row r="45" ht="15" customHeight="1" s="96">
      <c r="A45" s="28" t="inlineStr">
        <is>
          <t>6.0-6.9 : Above average quality. Tier 3 (1.5-3%).</t>
        </is>
      </c>
    </row>
    <row r="46" ht="15" customHeight="1" s="96">
      <c r="A46" s="28" t="inlineStr">
        <is>
          <t>5.0-5.9 : Mixed quality. Requires strong valuation conviction.</t>
        </is>
      </c>
    </row>
    <row r="47" ht="15" customHeight="1" s="96">
      <c r="A47" s="28" t="inlineStr">
        <is>
          <t>&lt;5.0 : Lower quality. Special situations only or avoid.</t>
        </is>
      </c>
    </row>
    <row r="49" ht="15" customHeight="1" s="96">
      <c r="A49" s="27" t="inlineStr">
        <is>
          <t>IMPORTANT</t>
        </is>
      </c>
    </row>
    <row r="50" ht="15" customHeight="1" s="96">
      <c r="A50" s="28" t="inlineStr">
        <is>
          <t>Ratings do not include valuation. A 9.0-rated company may be priced to perfection.</t>
        </is>
      </c>
    </row>
    <row r="51" ht="15" customHeight="1" s="96">
      <c r="A51" s="28" t="inlineStr">
        <is>
          <t>Cross-reference with Monte Carlo asymmetry data in companion files.</t>
        </is>
      </c>
    </row>
    <row r="52" ht="15" customHeight="1" s="96">
      <c r="A52" s="28" t="inlineStr">
        <is>
          <t>Ratings reflect analyst judgment as of April 2026 and should be re-tested quarterly.</t>
        </is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91"/>
  <sheetViews>
    <sheetView zoomScaleNormal="100" workbookViewId="0">
      <pane ySplit="4" topLeftCell="A81" activePane="bottomLeft" state="frozen"/>
      <selection pane="bottomLeft" activeCell="P4" sqref="P4"/>
    </sheetView>
  </sheetViews>
  <sheetFormatPr baseColWidth="10" defaultColWidth="10.7109375" defaultRowHeight="15"/>
  <cols>
    <col width="13.28515625" customWidth="1" style="96" min="1" max="14"/>
    <col width="10.7109375" customWidth="1" style="96" min="15" max="16"/>
    <col width="16" customWidth="1" style="96" min="17" max="17"/>
    <col hidden="1" width="13.28515625" customWidth="1" style="96" min="18" max="29"/>
    <col width="2.85546875" customWidth="1" style="96" min="30" max="30"/>
    <col hidden="1" width="4.7109375" customWidth="1" style="96" min="31" max="31"/>
    <col hidden="1" width="13.28515625" customWidth="1" style="96" min="32" max="32"/>
    <col width="10.42578125" customWidth="1" style="96" min="33" max="33"/>
    <col width="0.140625" customWidth="1" style="96" min="34" max="43"/>
  </cols>
  <sheetData>
    <row r="1" ht="45" customHeight="1" s="96">
      <c r="A1" s="167" t="inlineStr">
        <is>
          <t>📊 INVESTMENT COMMAND CENTER — Portfolio Analytics Dashboard</t>
        </is>
      </c>
      <c r="M1" s="32" t="n"/>
      <c r="N1" s="32" t="n"/>
      <c r="O1" s="32" t="n"/>
      <c r="P1" s="32" t="n"/>
      <c r="Q1" s="32" t="n"/>
      <c r="R1" s="32" t="n"/>
    </row>
    <row r="2" ht="24.75" customHeight="1" s="96">
      <c r="A2" s="141" t="inlineStr">
        <is>
          <t>Calidad del Negocio | Opcionalidad | Antifragilidad | ROIC | Múltiplo | Asimetría — Actualizado: April 2026</t>
        </is>
      </c>
      <c r="B2" s="142" t="n"/>
      <c r="C2" s="142" t="n"/>
      <c r="D2" s="142" t="n"/>
      <c r="E2" s="142" t="n"/>
      <c r="F2" s="142" t="n"/>
      <c r="G2" s="142" t="n"/>
      <c r="H2" s="142" t="n"/>
      <c r="I2" s="142" t="n"/>
      <c r="J2" s="142" t="n"/>
      <c r="K2" s="142" t="n"/>
      <c r="L2" s="142" t="n"/>
    </row>
    <row r="3" ht="24.75" customHeight="1" s="96">
      <c r="A3" s="146" t="inlineStr">
        <is>
          <t>📊 EMPRESAS</t>
        </is>
      </c>
      <c r="B3" s="122" t="n"/>
      <c r="C3" s="121" t="inlineStr">
        <is>
          <t>⭐ CALIDAD</t>
        </is>
      </c>
      <c r="D3" s="122" t="n"/>
      <c r="E3" s="123" t="inlineStr">
        <is>
          <t>💰 ROIC</t>
        </is>
      </c>
      <c r="F3" s="122" t="n"/>
      <c r="G3" s="161" t="inlineStr">
        <is>
          <t>📈 EV/FCF</t>
        </is>
      </c>
      <c r="H3" s="122" t="n"/>
      <c r="I3" s="163" t="inlineStr">
        <is>
          <t>✅ ASIMETRÍA +</t>
        </is>
      </c>
      <c r="J3" s="122" t="n"/>
      <c r="K3" s="137" t="inlineStr">
        <is>
          <t>🏆 TOP TIER</t>
        </is>
      </c>
      <c r="L3" s="138" t="n"/>
    </row>
    <row r="4" ht="49.5" customHeight="1" s="96">
      <c r="A4" s="154">
        <f>COUNTA('Watchlist Ratings'!B4:B64)</f>
        <v/>
      </c>
      <c r="B4" s="125" t="n"/>
      <c r="C4" s="130">
        <f>ROUND(AVERAGE('Watchlist Ratings'!AN4:AN64),2)</f>
        <v/>
      </c>
      <c r="D4" s="125" t="n"/>
      <c r="E4" s="131">
        <f>TEXT(AVERAGE('Watchlist Ratings'!BC4:BC64),"0.0%")</f>
        <v/>
      </c>
      <c r="F4" s="125" t="n"/>
      <c r="G4" s="131">
        <f>TEXT(AVERAGE('Watchlist Ratings'!AW4:AW64),"0.0x")</f>
        <v/>
      </c>
      <c r="H4" s="125" t="n"/>
      <c r="I4" s="131">
        <f>COUNTIF('Watchlist Ratings'!BM4:BM64,"&gt;0")</f>
        <v/>
      </c>
      <c r="J4" s="125" t="n"/>
      <c r="K4" s="168">
        <f>COUNTIF('Watchlist Ratings'!AN4:AN64,"&gt;7.5")</f>
        <v/>
      </c>
      <c r="L4" s="140" t="n"/>
    </row>
    <row r="5" ht="19.5" customHeight="1" s="96">
      <c r="A5" s="150" t="inlineStr">
        <is>
          <t>Total Watchlist</t>
        </is>
      </c>
      <c r="B5" s="125" t="n"/>
      <c r="C5" s="124" t="inlineStr">
        <is>
          <t>Rating Compuesto</t>
        </is>
      </c>
      <c r="D5" s="125" t="n"/>
      <c r="E5" s="124" t="inlineStr">
        <is>
          <t>Retorno Capital</t>
        </is>
      </c>
      <c r="F5" s="125" t="n"/>
      <c r="G5" s="124" t="inlineStr">
        <is>
          <t>Múltiplo Medio</t>
        </is>
      </c>
      <c r="H5" s="125" t="n"/>
      <c r="I5" s="124" t="inlineStr">
        <is>
          <t>IRR Bull &gt; 0</t>
        </is>
      </c>
      <c r="J5" s="125" t="n"/>
      <c r="K5" s="139" t="inlineStr">
        <is>
          <t>Rating &gt; 7.5</t>
        </is>
      </c>
      <c r="L5" s="140" t="n"/>
    </row>
    <row r="6" ht="18" customHeight="1" s="96">
      <c r="A6" s="158" t="inlineStr">
        <is>
          <t>▬▬▬</t>
        </is>
      </c>
      <c r="B6" s="108" t="n"/>
      <c r="C6" s="107" t="inlineStr">
        <is>
          <t>▲ +0.3</t>
        </is>
      </c>
      <c r="D6" s="108" t="n"/>
      <c r="E6" s="107" t="inlineStr">
        <is>
          <t>▲ +2.1%</t>
        </is>
      </c>
      <c r="F6" s="108" t="n"/>
      <c r="G6" s="160" t="inlineStr">
        <is>
          <t>▼ -1.2x</t>
        </is>
      </c>
      <c r="H6" s="108" t="n"/>
      <c r="I6" s="107" t="inlineStr">
        <is>
          <t>▲ +5</t>
        </is>
      </c>
      <c r="J6" s="108" t="n"/>
      <c r="K6" s="135" t="inlineStr">
        <is>
          <t>═══</t>
        </is>
      </c>
      <c r="L6" s="136" t="n"/>
      <c r="O6" t="inlineStr">
        <is>
          <t>Scatter Data - Composite vs IRR Bull</t>
        </is>
      </c>
      <c r="S6" t="inlineStr">
        <is>
          <t>Top 10 ROIC</t>
        </is>
      </c>
      <c r="V6" t="inlineStr">
        <is>
          <t>MOAT &amp; Optionality</t>
        </is>
      </c>
      <c r="Y6" t="inlineStr">
        <is>
          <t>Múltiplo EV/FCF</t>
        </is>
      </c>
      <c r="AA6" t="inlineStr">
        <is>
          <t>Asimetría IRR</t>
        </is>
      </c>
      <c r="AE6" t="inlineStr">
        <is>
          <t>Ticker</t>
        </is>
      </c>
      <c r="AF6" t="inlineStr">
        <is>
          <t>ROIC %</t>
        </is>
      </c>
      <c r="AH6" t="inlineStr">
        <is>
          <t>Ticker</t>
        </is>
      </c>
      <c r="AI6" t="inlineStr">
        <is>
          <t>ROIC %</t>
        </is>
      </c>
      <c r="AJ6" t="inlineStr">
        <is>
          <t>Ticker</t>
        </is>
      </c>
      <c r="AK6" t="inlineStr">
        <is>
          <t>MOAT</t>
        </is>
      </c>
      <c r="AL6" t="inlineStr">
        <is>
          <t>Optionality</t>
        </is>
      </c>
      <c r="AM6" t="inlineStr">
        <is>
          <t>Ticker</t>
        </is>
      </c>
      <c r="AN6" t="inlineStr">
        <is>
          <t>EV/FCF</t>
        </is>
      </c>
      <c r="AO6" t="inlineStr">
        <is>
          <t>Ticker</t>
        </is>
      </c>
      <c r="AP6" t="inlineStr">
        <is>
          <t>IRR Bear %</t>
        </is>
      </c>
      <c r="AQ6" t="inlineStr">
        <is>
          <t>IRR Bull %</t>
        </is>
      </c>
      <c r="AS6" t="inlineStr">
        <is>
          <t>Ticker</t>
        </is>
      </c>
      <c r="AT6" t="inlineStr">
        <is>
          <t>EV/FCF</t>
        </is>
      </c>
      <c r="AU6" t="inlineStr">
        <is>
          <t>IRR Bull %</t>
        </is>
      </c>
    </row>
    <row r="7" ht="15.75" customHeight="1" s="96">
      <c r="A7" s="33" t="inlineStr">
        <is>
          <t>#</t>
        </is>
      </c>
      <c r="B7" s="34" t="inlineStr">
        <is>
          <t>Ticker</t>
        </is>
      </c>
      <c r="C7" s="34" t="inlineStr">
        <is>
          <t>Calidad R1</t>
        </is>
      </c>
      <c r="D7" s="34" t="inlineStr">
        <is>
          <t>Económico R2</t>
        </is>
      </c>
      <c r="E7" s="34" t="inlineStr">
        <is>
          <t>Durabilidad R3</t>
        </is>
      </c>
      <c r="F7" s="34" t="inlineStr">
        <is>
          <t>Composite</t>
        </is>
      </c>
      <c r="G7" s="34" t="inlineStr">
        <is>
          <t>MOAT</t>
        </is>
      </c>
      <c r="H7" s="34" t="inlineStr">
        <is>
          <t>Optionalidad</t>
        </is>
      </c>
      <c r="I7" s="34" t="inlineStr">
        <is>
          <t>ROIC</t>
        </is>
      </c>
      <c r="J7" s="35" t="inlineStr">
        <is>
          <t>EV/FCF</t>
        </is>
      </c>
      <c r="K7" s="36" t="n"/>
      <c r="O7" t="inlineStr">
        <is>
          <t>Ticker</t>
        </is>
      </c>
      <c r="P7" t="inlineStr">
        <is>
          <t>Composite</t>
        </is>
      </c>
      <c r="Q7" t="inlineStr">
        <is>
          <t>IRR Bull</t>
        </is>
      </c>
      <c r="S7" t="inlineStr">
        <is>
          <t>Ticker</t>
        </is>
      </c>
      <c r="T7" t="inlineStr">
        <is>
          <t>ROIC</t>
        </is>
      </c>
      <c r="V7" t="inlineStr">
        <is>
          <t>Ticker</t>
        </is>
      </c>
      <c r="W7" t="inlineStr">
        <is>
          <t>MOAT</t>
        </is>
      </c>
      <c r="X7" t="inlineStr">
        <is>
          <t>Optionality</t>
        </is>
      </c>
      <c r="Y7" t="inlineStr">
        <is>
          <t>Ticker</t>
        </is>
      </c>
      <c r="Z7" t="inlineStr">
        <is>
          <t>EV/FCF</t>
        </is>
      </c>
      <c r="AA7" t="inlineStr">
        <is>
          <t>Ticker</t>
        </is>
      </c>
      <c r="AB7" t="inlineStr">
        <is>
          <t>IRR Bear</t>
        </is>
      </c>
      <c r="AC7" t="inlineStr">
        <is>
          <t>IRR Bull</t>
        </is>
      </c>
      <c r="AE7" t="inlineStr">
        <is>
          <t>NVDA</t>
        </is>
      </c>
      <c r="AF7" t="n">
        <v>83.3333333333333</v>
      </c>
      <c r="AH7" t="inlineStr">
        <is>
          <t>NVDA</t>
        </is>
      </c>
      <c r="AI7" t="n">
        <v>83.3</v>
      </c>
      <c r="AJ7" t="inlineStr">
        <is>
          <t>VEEV</t>
        </is>
      </c>
      <c r="AK7" t="n">
        <v>8</v>
      </c>
      <c r="AL7" t="n">
        <v>3</v>
      </c>
      <c r="AM7" t="inlineStr">
        <is>
          <t>AMZN</t>
        </is>
      </c>
      <c r="AN7" t="n">
        <v>52.2</v>
      </c>
      <c r="AO7" t="inlineStr">
        <is>
          <t>VEEV</t>
        </is>
      </c>
      <c r="AP7" t="n">
        <v>4.5</v>
      </c>
      <c r="AQ7" t="n">
        <v>33.6</v>
      </c>
      <c r="AS7" t="inlineStr">
        <is>
          <t>VEEV</t>
        </is>
      </c>
      <c r="AT7" t="n">
        <v>20.1736000736364</v>
      </c>
      <c r="AU7" t="n">
        <v>33.701681153345</v>
      </c>
    </row>
    <row r="8" ht="30" customHeight="1" s="96">
      <c r="A8" s="159" t="inlineStr">
        <is>
          <t>🏆 TOP 15 — RANKING POR CALIDAD COMPUESTA</t>
        </is>
      </c>
      <c r="O8">
        <f>'Watchlist Ratings'!B4</f>
        <v/>
      </c>
      <c r="P8" s="37">
        <f>'Watchlist Ratings'!AN4</f>
        <v/>
      </c>
      <c r="Q8" s="23">
        <f>'Watchlist Ratings'!BM4</f>
        <v/>
      </c>
      <c r="S8">
        <f>'Watchlist Ratings'!B4</f>
        <v/>
      </c>
      <c r="T8" s="23">
        <f>'Watchlist Ratings'!BC4</f>
        <v/>
      </c>
      <c r="V8">
        <f>'Watchlist Ratings'!B4</f>
        <v/>
      </c>
      <c r="W8" s="38">
        <f>'Watchlist Ratings'!K4</f>
        <v/>
      </c>
      <c r="X8" s="38">
        <f>'Watchlist Ratings'!L4</f>
        <v/>
      </c>
      <c r="Y8">
        <f>'Watchlist Ratings'!B4</f>
        <v/>
      </c>
      <c r="Z8">
        <f>'Watchlist Ratings'!AW4</f>
        <v/>
      </c>
      <c r="AA8">
        <f>'Watchlist Ratings'!B4</f>
        <v/>
      </c>
      <c r="AB8">
        <f>'Watchlist Ratings'!BL4</f>
        <v/>
      </c>
      <c r="AC8">
        <f>'Watchlist Ratings'!BM4</f>
        <v/>
      </c>
      <c r="AE8" t="inlineStr">
        <is>
          <t>CHKP</t>
        </is>
      </c>
      <c r="AF8" t="n">
        <v>83.3333333333333</v>
      </c>
      <c r="AH8" t="inlineStr">
        <is>
          <t>CHKP</t>
        </is>
      </c>
      <c r="AI8" t="n">
        <v>83.3</v>
      </c>
      <c r="AJ8" t="inlineStr">
        <is>
          <t>MSFT</t>
        </is>
      </c>
      <c r="AK8" t="n">
        <v>8</v>
      </c>
      <c r="AL8" t="n">
        <v>3</v>
      </c>
      <c r="AM8" t="inlineStr">
        <is>
          <t>COST</t>
        </is>
      </c>
      <c r="AN8" t="n">
        <v>51.1</v>
      </c>
      <c r="AO8" t="inlineStr">
        <is>
          <t>ZS</t>
        </is>
      </c>
      <c r="AP8" t="n">
        <v>3.7</v>
      </c>
      <c r="AQ8" t="n">
        <v>32.4</v>
      </c>
      <c r="AS8" t="inlineStr">
        <is>
          <t>MSFT</t>
        </is>
      </c>
      <c r="AT8" t="n">
        <v>44.5724369425714</v>
      </c>
      <c r="AU8" t="n">
        <v>10.1232181938957</v>
      </c>
    </row>
    <row r="9" ht="15" customHeight="1" s="96">
      <c r="A9" s="39" t="n">
        <v>2</v>
      </c>
      <c r="B9" s="40">
        <f>'Watchlist Ratings'!B5</f>
        <v/>
      </c>
      <c r="C9" s="41">
        <f>'Watchlist Ratings'!S5</f>
        <v/>
      </c>
      <c r="D9" s="41">
        <f>'Watchlist Ratings'!AC5</f>
        <v/>
      </c>
      <c r="E9" s="41">
        <f>'Watchlist Ratings'!AM5</f>
        <v/>
      </c>
      <c r="F9" s="41">
        <f>'Watchlist Ratings'!AN5</f>
        <v/>
      </c>
      <c r="G9" s="42">
        <f>'Watchlist Ratings'!K5</f>
        <v/>
      </c>
      <c r="H9" s="42">
        <f>'Watchlist Ratings'!L5</f>
        <v/>
      </c>
      <c r="I9" s="43">
        <f>'Watchlist Ratings'!BC5</f>
        <v/>
      </c>
      <c r="J9" s="44">
        <f>'Watchlist Ratings'!AW5</f>
        <v/>
      </c>
      <c r="O9">
        <f>'Watchlist Ratings'!B5</f>
        <v/>
      </c>
      <c r="P9" s="37">
        <f>'Watchlist Ratings'!AN5</f>
        <v/>
      </c>
      <c r="Q9" s="23">
        <f>'Watchlist Ratings'!BM5</f>
        <v/>
      </c>
      <c r="S9">
        <f>'Watchlist Ratings'!B5</f>
        <v/>
      </c>
      <c r="T9" s="23">
        <f>'Watchlist Ratings'!BC5</f>
        <v/>
      </c>
      <c r="V9">
        <f>'Watchlist Ratings'!B5</f>
        <v/>
      </c>
      <c r="W9" s="38">
        <f>'Watchlist Ratings'!K5</f>
        <v/>
      </c>
      <c r="X9" s="38">
        <f>'Watchlist Ratings'!L5</f>
        <v/>
      </c>
      <c r="Y9">
        <f>'Watchlist Ratings'!B5</f>
        <v/>
      </c>
      <c r="Z9">
        <f>'Watchlist Ratings'!AW5</f>
        <v/>
      </c>
      <c r="AA9">
        <f>'Watchlist Ratings'!B5</f>
        <v/>
      </c>
      <c r="AB9">
        <f>'Watchlist Ratings'!BL5</f>
        <v/>
      </c>
      <c r="AC9">
        <f>'Watchlist Ratings'!BM5</f>
        <v/>
      </c>
      <c r="AE9" t="inlineStr">
        <is>
          <t>MNST</t>
        </is>
      </c>
      <c r="AF9" t="n">
        <v>59.375</v>
      </c>
      <c r="AH9" t="inlineStr">
        <is>
          <t>MNST</t>
        </is>
      </c>
      <c r="AI9" t="n">
        <v>59.4</v>
      </c>
      <c r="AJ9" t="inlineStr">
        <is>
          <t>COST</t>
        </is>
      </c>
      <c r="AK9" t="n">
        <v>8</v>
      </c>
      <c r="AL9" t="n">
        <v>1</v>
      </c>
      <c r="AM9" t="inlineStr">
        <is>
          <t>LOTB</t>
        </is>
      </c>
      <c r="AN9" t="n">
        <v>45.6</v>
      </c>
      <c r="AO9" t="inlineStr">
        <is>
          <t>ADYEN</t>
        </is>
      </c>
      <c r="AP9" t="n">
        <v>1.1</v>
      </c>
      <c r="AQ9" t="n">
        <v>28.4</v>
      </c>
      <c r="AS9" t="inlineStr">
        <is>
          <t>ADYEN</t>
        </is>
      </c>
      <c r="AT9" t="n">
        <v>28.571278521519</v>
      </c>
      <c r="AU9" t="n">
        <v>28.4144826626923</v>
      </c>
    </row>
    <row r="10" ht="15" customHeight="1" s="96">
      <c r="A10" s="45" t="n">
        <v>3</v>
      </c>
      <c r="B10" s="46">
        <f>'Watchlist Ratings'!B6</f>
        <v/>
      </c>
      <c r="C10" s="47">
        <f>'Watchlist Ratings'!S6</f>
        <v/>
      </c>
      <c r="D10" s="47">
        <f>'Watchlist Ratings'!AC6</f>
        <v/>
      </c>
      <c r="E10" s="47">
        <f>'Watchlist Ratings'!AM6</f>
        <v/>
      </c>
      <c r="F10" s="47">
        <f>'Watchlist Ratings'!AN6</f>
        <v/>
      </c>
      <c r="G10" s="48">
        <f>'Watchlist Ratings'!K6</f>
        <v/>
      </c>
      <c r="H10" s="48">
        <f>'Watchlist Ratings'!L6</f>
        <v/>
      </c>
      <c r="I10" s="49">
        <f>'Watchlist Ratings'!BC6</f>
        <v/>
      </c>
      <c r="J10" s="50">
        <f>'Watchlist Ratings'!AW6</f>
        <v/>
      </c>
      <c r="O10">
        <f>'Watchlist Ratings'!B6</f>
        <v/>
      </c>
      <c r="P10" s="37">
        <f>'Watchlist Ratings'!AN6</f>
        <v/>
      </c>
      <c r="Q10" s="23">
        <f>'Watchlist Ratings'!BM6</f>
        <v/>
      </c>
      <c r="S10">
        <f>'Watchlist Ratings'!B6</f>
        <v/>
      </c>
      <c r="T10" s="23">
        <f>'Watchlist Ratings'!BC6</f>
        <v/>
      </c>
      <c r="V10">
        <f>'Watchlist Ratings'!B6</f>
        <v/>
      </c>
      <c r="W10" s="38">
        <f>'Watchlist Ratings'!K6</f>
        <v/>
      </c>
      <c r="X10" s="38">
        <f>'Watchlist Ratings'!L6</f>
        <v/>
      </c>
      <c r="Y10">
        <f>'Watchlist Ratings'!B6</f>
        <v/>
      </c>
      <c r="Z10">
        <f>'Watchlist Ratings'!AW6</f>
        <v/>
      </c>
      <c r="AA10">
        <f>'Watchlist Ratings'!B6</f>
        <v/>
      </c>
      <c r="AB10">
        <f>'Watchlist Ratings'!BL6</f>
        <v/>
      </c>
      <c r="AC10">
        <f>'Watchlist Ratings'!BM6</f>
        <v/>
      </c>
      <c r="AE10" t="inlineStr">
        <is>
          <t>VEEV</t>
        </is>
      </c>
      <c r="AF10" t="n">
        <v>54</v>
      </c>
      <c r="AH10" t="inlineStr">
        <is>
          <t>VEEV</t>
        </is>
      </c>
      <c r="AI10" t="n">
        <v>54</v>
      </c>
      <c r="AJ10" t="inlineStr">
        <is>
          <t>AMZN</t>
        </is>
      </c>
      <c r="AK10" t="n">
        <v>8</v>
      </c>
      <c r="AL10" t="n">
        <v>3</v>
      </c>
      <c r="AM10" t="inlineStr">
        <is>
          <t>MSFT</t>
        </is>
      </c>
      <c r="AN10" t="n">
        <v>44.8</v>
      </c>
      <c r="AO10" t="inlineStr">
        <is>
          <t>ABNB</t>
        </is>
      </c>
      <c r="AP10" t="n">
        <v>1.8</v>
      </c>
      <c r="AQ10" t="n">
        <v>25</v>
      </c>
      <c r="AS10" t="inlineStr">
        <is>
          <t>BN</t>
        </is>
      </c>
      <c r="AT10" t="n">
        <v>24.369253736</v>
      </c>
      <c r="AU10" t="n">
        <v>23.4863412384314</v>
      </c>
    </row>
    <row r="11" ht="15" customHeight="1" s="96">
      <c r="A11" s="39" t="n">
        <v>4</v>
      </c>
      <c r="B11" s="40">
        <f>'Watchlist Ratings'!B7</f>
        <v/>
      </c>
      <c r="C11" s="41">
        <f>'Watchlist Ratings'!S7</f>
        <v/>
      </c>
      <c r="D11" s="41">
        <f>'Watchlist Ratings'!AC7</f>
        <v/>
      </c>
      <c r="E11" s="41">
        <f>'Watchlist Ratings'!AM7</f>
        <v/>
      </c>
      <c r="F11" s="41">
        <f>'Watchlist Ratings'!AN7</f>
        <v/>
      </c>
      <c r="G11" s="42">
        <f>'Watchlist Ratings'!K7</f>
        <v/>
      </c>
      <c r="H11" s="42">
        <f>'Watchlist Ratings'!L7</f>
        <v/>
      </c>
      <c r="I11" s="43">
        <f>'Watchlist Ratings'!BC7</f>
        <v/>
      </c>
      <c r="J11" s="44">
        <f>'Watchlist Ratings'!AW7</f>
        <v/>
      </c>
      <c r="O11">
        <f>'Watchlist Ratings'!B7</f>
        <v/>
      </c>
      <c r="P11" s="37">
        <f>'Watchlist Ratings'!AN7</f>
        <v/>
      </c>
      <c r="Q11" s="23">
        <f>'Watchlist Ratings'!BM7</f>
        <v/>
      </c>
      <c r="S11">
        <f>'Watchlist Ratings'!B7</f>
        <v/>
      </c>
      <c r="T11" s="23">
        <f>'Watchlist Ratings'!BC7</f>
        <v/>
      </c>
      <c r="V11">
        <f>'Watchlist Ratings'!B7</f>
        <v/>
      </c>
      <c r="W11" s="38">
        <f>'Watchlist Ratings'!K7</f>
        <v/>
      </c>
      <c r="X11" s="38">
        <f>'Watchlist Ratings'!L7</f>
        <v/>
      </c>
      <c r="Y11">
        <f>'Watchlist Ratings'!B7</f>
        <v/>
      </c>
      <c r="Z11">
        <f>'Watchlist Ratings'!AW7</f>
        <v/>
      </c>
      <c r="AA11">
        <f>'Watchlist Ratings'!B7</f>
        <v/>
      </c>
      <c r="AB11">
        <f>'Watchlist Ratings'!BL7</f>
        <v/>
      </c>
      <c r="AC11">
        <f>'Watchlist Ratings'!BM7</f>
        <v/>
      </c>
      <c r="AE11" t="inlineStr">
        <is>
          <t>TSM</t>
        </is>
      </c>
      <c r="AF11" t="n">
        <v>41.6666666666667</v>
      </c>
      <c r="AH11" t="inlineStr">
        <is>
          <t>TSM</t>
        </is>
      </c>
      <c r="AI11" t="n">
        <v>41.7</v>
      </c>
      <c r="AJ11" t="inlineStr">
        <is>
          <t>FICO</t>
        </is>
      </c>
      <c r="AK11" t="n">
        <v>8</v>
      </c>
      <c r="AL11" t="n">
        <v>2</v>
      </c>
      <c r="AM11" t="inlineStr">
        <is>
          <t>HLMA</t>
        </is>
      </c>
      <c r="AN11" t="n">
        <v>43.6</v>
      </c>
      <c r="AO11" t="inlineStr">
        <is>
          <t>BN</t>
        </is>
      </c>
      <c r="AP11" t="n">
        <v>0.6</v>
      </c>
      <c r="AQ11" t="n">
        <v>23.3</v>
      </c>
      <c r="AS11" t="inlineStr">
        <is>
          <t>COST</t>
        </is>
      </c>
      <c r="AT11" t="n">
        <v>51.1797481264706</v>
      </c>
      <c r="AU11" t="n">
        <v>0.806732349947636</v>
      </c>
    </row>
    <row r="12" ht="15" customHeight="1" s="96">
      <c r="A12" s="45" t="n">
        <v>5</v>
      </c>
      <c r="B12" s="46">
        <f>'Watchlist Ratings'!B8</f>
        <v/>
      </c>
      <c r="C12" s="47">
        <f>'Watchlist Ratings'!S8</f>
        <v/>
      </c>
      <c r="D12" s="47">
        <f>'Watchlist Ratings'!AC8</f>
        <v/>
      </c>
      <c r="E12" s="47">
        <f>'Watchlist Ratings'!AM8</f>
        <v/>
      </c>
      <c r="F12" s="47">
        <f>'Watchlist Ratings'!AN8</f>
        <v/>
      </c>
      <c r="G12" s="48">
        <f>'Watchlist Ratings'!K8</f>
        <v/>
      </c>
      <c r="H12" s="48">
        <f>'Watchlist Ratings'!L8</f>
        <v/>
      </c>
      <c r="I12" s="49">
        <f>'Watchlist Ratings'!BC8</f>
        <v/>
      </c>
      <c r="J12" s="50">
        <f>'Watchlist Ratings'!AW8</f>
        <v/>
      </c>
      <c r="O12">
        <f>'Watchlist Ratings'!B8</f>
        <v/>
      </c>
      <c r="P12" s="37">
        <f>'Watchlist Ratings'!AN8</f>
        <v/>
      </c>
      <c r="Q12" s="23">
        <f>'Watchlist Ratings'!BM8</f>
        <v/>
      </c>
      <c r="S12">
        <f>'Watchlist Ratings'!B8</f>
        <v/>
      </c>
      <c r="T12" s="23">
        <f>'Watchlist Ratings'!BC8</f>
        <v/>
      </c>
      <c r="V12">
        <f>'Watchlist Ratings'!B8</f>
        <v/>
      </c>
      <c r="W12" s="38">
        <f>'Watchlist Ratings'!K8</f>
        <v/>
      </c>
      <c r="X12" s="38">
        <f>'Watchlist Ratings'!L8</f>
        <v/>
      </c>
      <c r="Y12">
        <f>'Watchlist Ratings'!B8</f>
        <v/>
      </c>
      <c r="Z12">
        <f>'Watchlist Ratings'!AW8</f>
        <v/>
      </c>
      <c r="AA12">
        <f>'Watchlist Ratings'!B8</f>
        <v/>
      </c>
      <c r="AB12">
        <f>'Watchlist Ratings'!BL8</f>
        <v/>
      </c>
      <c r="AC12">
        <f>'Watchlist Ratings'!BM8</f>
        <v/>
      </c>
      <c r="AE12" t="inlineStr">
        <is>
          <t>RAA</t>
        </is>
      </c>
      <c r="AF12" t="n">
        <v>38.3333333333333</v>
      </c>
      <c r="AH12" t="inlineStr">
        <is>
          <t>RAA</t>
        </is>
      </c>
      <c r="AI12" t="n">
        <v>38.3</v>
      </c>
      <c r="AJ12" t="inlineStr">
        <is>
          <t>ADYEN</t>
        </is>
      </c>
      <c r="AK12" t="n">
        <v>7</v>
      </c>
      <c r="AL12" t="n">
        <v>3</v>
      </c>
      <c r="AM12" t="inlineStr">
        <is>
          <t>MNST</t>
        </is>
      </c>
      <c r="AN12" t="n">
        <v>40.3</v>
      </c>
      <c r="AO12" t="inlineStr">
        <is>
          <t>DSGX</t>
        </is>
      </c>
      <c r="AP12" t="n">
        <v>-0.1</v>
      </c>
      <c r="AQ12" t="n">
        <v>20.8</v>
      </c>
      <c r="AS12" t="inlineStr">
        <is>
          <t>DSGX</t>
        </is>
      </c>
      <c r="AT12" t="n">
        <v>25.7039266520833</v>
      </c>
      <c r="AU12" t="n">
        <v>20.9506730863196</v>
      </c>
    </row>
    <row r="13" ht="15" customHeight="1" s="96">
      <c r="A13" s="39" t="n">
        <v>6</v>
      </c>
      <c r="B13" s="40">
        <f>'Watchlist Ratings'!B9</f>
        <v/>
      </c>
      <c r="C13" s="41">
        <f>'Watchlist Ratings'!S9</f>
        <v/>
      </c>
      <c r="D13" s="41">
        <f>'Watchlist Ratings'!AC9</f>
        <v/>
      </c>
      <c r="E13" s="41">
        <f>'Watchlist Ratings'!AM9</f>
        <v/>
      </c>
      <c r="F13" s="41">
        <f>'Watchlist Ratings'!AN9</f>
        <v/>
      </c>
      <c r="G13" s="42">
        <f>'Watchlist Ratings'!K9</f>
        <v/>
      </c>
      <c r="H13" s="42">
        <f>'Watchlist Ratings'!L9</f>
        <v/>
      </c>
      <c r="I13" s="43">
        <f>'Watchlist Ratings'!BC9</f>
        <v/>
      </c>
      <c r="J13" s="44">
        <f>'Watchlist Ratings'!AW9</f>
        <v/>
      </c>
      <c r="L13" s="36" t="inlineStr">
        <is>
          <t>Tier</t>
        </is>
      </c>
      <c r="M13" t="inlineStr">
        <is>
          <t>Count</t>
        </is>
      </c>
      <c r="O13">
        <f>'Watchlist Ratings'!B9</f>
        <v/>
      </c>
      <c r="P13" s="37">
        <f>'Watchlist Ratings'!AN9</f>
        <v/>
      </c>
      <c r="Q13" s="23">
        <f>'Watchlist Ratings'!BM9</f>
        <v/>
      </c>
      <c r="S13">
        <f>'Watchlist Ratings'!B9</f>
        <v/>
      </c>
      <c r="T13" s="23">
        <f>'Watchlist Ratings'!BC9</f>
        <v/>
      </c>
      <c r="V13">
        <f>'Watchlist Ratings'!B9</f>
        <v/>
      </c>
      <c r="W13" s="38">
        <f>'Watchlist Ratings'!K9</f>
        <v/>
      </c>
      <c r="X13" s="38">
        <f>'Watchlist Ratings'!L9</f>
        <v/>
      </c>
      <c r="Y13">
        <f>'Watchlist Ratings'!B9</f>
        <v/>
      </c>
      <c r="Z13">
        <f>'Watchlist Ratings'!AW9</f>
        <v/>
      </c>
      <c r="AA13">
        <f>'Watchlist Ratings'!B9</f>
        <v/>
      </c>
      <c r="AB13">
        <f>'Watchlist Ratings'!BL9</f>
        <v/>
      </c>
      <c r="AC13">
        <f>'Watchlist Ratings'!BM9</f>
        <v/>
      </c>
      <c r="AE13" t="inlineStr">
        <is>
          <t>ABNB</t>
        </is>
      </c>
      <c r="AF13" t="n">
        <v>37.5</v>
      </c>
      <c r="AH13" t="inlineStr">
        <is>
          <t>ABNB</t>
        </is>
      </c>
      <c r="AI13" t="n">
        <v>37.5</v>
      </c>
      <c r="AJ13" t="inlineStr">
        <is>
          <t>BN</t>
        </is>
      </c>
      <c r="AK13" t="n">
        <v>7</v>
      </c>
      <c r="AL13" t="n">
        <v>3</v>
      </c>
      <c r="AM13" t="inlineStr">
        <is>
          <t>LIFCO B</t>
        </is>
      </c>
      <c r="AN13" t="n">
        <v>38.9</v>
      </c>
      <c r="AO13" t="inlineStr">
        <is>
          <t>EVD</t>
        </is>
      </c>
      <c r="AP13" t="n">
        <v>4.7</v>
      </c>
      <c r="AQ13" t="n">
        <v>32.9</v>
      </c>
      <c r="AS13" t="inlineStr">
        <is>
          <t>RAA</t>
        </is>
      </c>
      <c r="AT13" t="n">
        <v>29.5896730769231</v>
      </c>
      <c r="AU13" t="n">
        <v>13.4877131347373</v>
      </c>
    </row>
    <row r="14" ht="15" customHeight="1" s="96">
      <c r="A14" s="45" t="n">
        <v>7</v>
      </c>
      <c r="B14" s="46">
        <f>'Watchlist Ratings'!B10</f>
        <v/>
      </c>
      <c r="C14" s="47">
        <f>'Watchlist Ratings'!S10</f>
        <v/>
      </c>
      <c r="D14" s="47">
        <f>'Watchlist Ratings'!AC10</f>
        <v/>
      </c>
      <c r="E14" s="47">
        <f>'Watchlist Ratings'!AM10</f>
        <v/>
      </c>
      <c r="F14" s="47">
        <f>'Watchlist Ratings'!AN10</f>
        <v/>
      </c>
      <c r="G14" s="48">
        <f>'Watchlist Ratings'!K10</f>
        <v/>
      </c>
      <c r="H14" s="48">
        <f>'Watchlist Ratings'!L10</f>
        <v/>
      </c>
      <c r="I14" s="49">
        <f>'Watchlist Ratings'!BC10</f>
        <v/>
      </c>
      <c r="J14" s="50">
        <f>'Watchlist Ratings'!AW10</f>
        <v/>
      </c>
      <c r="L14" t="inlineStr">
        <is>
          <t>Tier 1 (+8)</t>
        </is>
      </c>
      <c r="M14">
        <f>COUNTIF('Watchlist Ratings'!AN4:AN64,"&gt;=8")</f>
        <v/>
      </c>
      <c r="O14">
        <f>'Watchlist Ratings'!B10</f>
        <v/>
      </c>
      <c r="P14" s="37">
        <f>'Watchlist Ratings'!AN10</f>
        <v/>
      </c>
      <c r="Q14" s="23">
        <f>'Watchlist Ratings'!BM10</f>
        <v/>
      </c>
      <c r="S14">
        <f>'Watchlist Ratings'!B10</f>
        <v/>
      </c>
      <c r="T14" s="23">
        <f>'Watchlist Ratings'!BC10</f>
        <v/>
      </c>
      <c r="V14">
        <f>'Watchlist Ratings'!B10</f>
        <v/>
      </c>
      <c r="W14" s="38">
        <f>'Watchlist Ratings'!K10</f>
        <v/>
      </c>
      <c r="X14" s="38">
        <f>'Watchlist Ratings'!L10</f>
        <v/>
      </c>
      <c r="Y14">
        <f>'Watchlist Ratings'!B10</f>
        <v/>
      </c>
      <c r="Z14">
        <f>'Watchlist Ratings'!AW10</f>
        <v/>
      </c>
      <c r="AA14">
        <f>'Watchlist Ratings'!B10</f>
        <v/>
      </c>
      <c r="AB14">
        <f>'Watchlist Ratings'!BL10</f>
        <v/>
      </c>
      <c r="AC14">
        <f>'Watchlist Ratings'!BM10</f>
        <v/>
      </c>
      <c r="AE14" t="inlineStr">
        <is>
          <t>MIPS</t>
        </is>
      </c>
      <c r="AF14" t="n">
        <v>37.1428571428571</v>
      </c>
      <c r="AH14" t="inlineStr">
        <is>
          <t>MIPS</t>
        </is>
      </c>
      <c r="AI14" t="n">
        <v>37.1</v>
      </c>
      <c r="AJ14" t="inlineStr">
        <is>
          <t>DSGX</t>
        </is>
      </c>
      <c r="AK14" t="n">
        <v>7</v>
      </c>
      <c r="AL14" t="n">
        <v>2</v>
      </c>
      <c r="AM14" t="inlineStr">
        <is>
          <t>FICO</t>
        </is>
      </c>
      <c r="AN14" t="n">
        <v>38.5</v>
      </c>
      <c r="AO14" t="inlineStr">
        <is>
          <t>ITX</t>
        </is>
      </c>
      <c r="AP14" t="n">
        <v>-4.2</v>
      </c>
      <c r="AQ14" t="n">
        <v>13.7</v>
      </c>
      <c r="AS14" t="inlineStr">
        <is>
          <t>ZS</t>
        </is>
      </c>
      <c r="AT14" t="n">
        <v>26.2449548712329</v>
      </c>
      <c r="AU14" t="n">
        <v>32.5752105426202</v>
      </c>
    </row>
    <row r="15" ht="15" customHeight="1" s="96">
      <c r="A15" s="39" t="n">
        <v>8</v>
      </c>
      <c r="B15" s="40">
        <f>'Watchlist Ratings'!B11</f>
        <v/>
      </c>
      <c r="C15" s="41">
        <f>'Watchlist Ratings'!S11</f>
        <v/>
      </c>
      <c r="D15" s="41">
        <f>'Watchlist Ratings'!AC11</f>
        <v/>
      </c>
      <c r="E15" s="41">
        <f>'Watchlist Ratings'!AM11</f>
        <v/>
      </c>
      <c r="F15" s="41">
        <f>'Watchlist Ratings'!AN11</f>
        <v/>
      </c>
      <c r="G15" s="42">
        <f>'Watchlist Ratings'!K11</f>
        <v/>
      </c>
      <c r="H15" s="42">
        <f>'Watchlist Ratings'!L11</f>
        <v/>
      </c>
      <c r="I15" s="43">
        <f>'Watchlist Ratings'!BC11</f>
        <v/>
      </c>
      <c r="J15" s="44">
        <f>'Watchlist Ratings'!AW11</f>
        <v/>
      </c>
      <c r="L15" t="inlineStr">
        <is>
          <t>⭐ Tier 2 (7-8)</t>
        </is>
      </c>
      <c r="M15">
        <f>COUNTIFS('Watchlist Ratings'!AN4:AN64,"&gt;=7",'Watchlist Ratings'!AN4:AN64,"&lt;8")</f>
        <v/>
      </c>
      <c r="O15">
        <f>'Watchlist Ratings'!B11</f>
        <v/>
      </c>
      <c r="P15" s="37">
        <f>'Watchlist Ratings'!AN11</f>
        <v/>
      </c>
      <c r="Q15" s="23">
        <f>'Watchlist Ratings'!BM11</f>
        <v/>
      </c>
      <c r="S15">
        <f>'Watchlist Ratings'!B11</f>
        <v/>
      </c>
      <c r="T15" s="23">
        <f>'Watchlist Ratings'!BC11</f>
        <v/>
      </c>
      <c r="V15">
        <f>'Watchlist Ratings'!B11</f>
        <v/>
      </c>
      <c r="W15" s="38">
        <f>'Watchlist Ratings'!K11</f>
        <v/>
      </c>
      <c r="X15" s="38">
        <f>'Watchlist Ratings'!L11</f>
        <v/>
      </c>
      <c r="Y15">
        <f>'Watchlist Ratings'!B11</f>
        <v/>
      </c>
      <c r="Z15">
        <f>'Watchlist Ratings'!AW11</f>
        <v/>
      </c>
      <c r="AA15">
        <f>'Watchlist Ratings'!B11</f>
        <v/>
      </c>
      <c r="AB15">
        <f>'Watchlist Ratings'!BL11</f>
        <v/>
      </c>
      <c r="AC15">
        <f>'Watchlist Ratings'!BM11</f>
        <v/>
      </c>
      <c r="AE15" t="inlineStr">
        <is>
          <t>ITX</t>
        </is>
      </c>
      <c r="AF15" t="n">
        <v>36.1111111111111</v>
      </c>
      <c r="AH15" t="inlineStr">
        <is>
          <t>ITX</t>
        </is>
      </c>
      <c r="AI15" t="n">
        <v>36.1</v>
      </c>
      <c r="AJ15" t="inlineStr">
        <is>
          <t>RAA</t>
        </is>
      </c>
      <c r="AK15" t="n">
        <v>7</v>
      </c>
      <c r="AL15" t="n">
        <v>2</v>
      </c>
      <c r="AM15" t="inlineStr">
        <is>
          <t>SU</t>
        </is>
      </c>
      <c r="AN15" t="n">
        <v>37.7</v>
      </c>
      <c r="AO15" t="inlineStr">
        <is>
          <t>RAA</t>
        </is>
      </c>
      <c r="AP15" t="n">
        <v>-8</v>
      </c>
      <c r="AQ15" t="n">
        <v>13.5</v>
      </c>
      <c r="AS15" t="inlineStr">
        <is>
          <t>NTO</t>
        </is>
      </c>
      <c r="AT15" t="n">
        <v>27.9055454252333</v>
      </c>
      <c r="AU15" t="n">
        <v>8.80314722493463</v>
      </c>
    </row>
    <row r="16" ht="15" customHeight="1" s="96">
      <c r="A16" s="45" t="n">
        <v>9</v>
      </c>
      <c r="B16" s="46">
        <f>'Watchlist Ratings'!B12</f>
        <v/>
      </c>
      <c r="C16" s="47">
        <f>'Watchlist Ratings'!S12</f>
        <v/>
      </c>
      <c r="D16" s="47">
        <f>'Watchlist Ratings'!AC12</f>
        <v/>
      </c>
      <c r="E16" s="47">
        <f>'Watchlist Ratings'!AM12</f>
        <v/>
      </c>
      <c r="F16" s="47">
        <f>'Watchlist Ratings'!AN12</f>
        <v/>
      </c>
      <c r="G16" s="48">
        <f>'Watchlist Ratings'!K12</f>
        <v/>
      </c>
      <c r="H16" s="48">
        <f>'Watchlist Ratings'!L12</f>
        <v/>
      </c>
      <c r="I16" s="49">
        <f>'Watchlist Ratings'!BC12</f>
        <v/>
      </c>
      <c r="J16" s="50">
        <f>'Watchlist Ratings'!AW12</f>
        <v/>
      </c>
      <c r="L16" t="inlineStr">
        <is>
          <t>Tier 3 (6-7)</t>
        </is>
      </c>
      <c r="M16">
        <f>COUNTIFS('Watchlist Ratings'!AN4:AN64,"&gt;=6",'Watchlist Ratings'!AN4:AN64,"&lt;7")</f>
        <v/>
      </c>
      <c r="O16">
        <f>'Watchlist Ratings'!B12</f>
        <v/>
      </c>
      <c r="P16" s="37">
        <f>'Watchlist Ratings'!AN12</f>
        <v/>
      </c>
      <c r="Q16" s="23">
        <f>'Watchlist Ratings'!BM12</f>
        <v/>
      </c>
      <c r="S16">
        <f>'Watchlist Ratings'!B12</f>
        <v/>
      </c>
      <c r="T16" s="23">
        <f>'Watchlist Ratings'!BC12</f>
        <v/>
      </c>
      <c r="V16">
        <f>'Watchlist Ratings'!B12</f>
        <v/>
      </c>
      <c r="W16" s="38">
        <f>'Watchlist Ratings'!K12</f>
        <v/>
      </c>
      <c r="X16" s="38">
        <f>'Watchlist Ratings'!L12</f>
        <v/>
      </c>
      <c r="Y16">
        <f>'Watchlist Ratings'!B12</f>
        <v/>
      </c>
      <c r="Z16">
        <f>'Watchlist Ratings'!AW12</f>
        <v/>
      </c>
      <c r="AA16">
        <f>'Watchlist Ratings'!B12</f>
        <v/>
      </c>
      <c r="AB16">
        <f>'Watchlist Ratings'!BL12</f>
        <v/>
      </c>
      <c r="AC16">
        <f>'Watchlist Ratings'!BM12</f>
        <v/>
      </c>
      <c r="AE16" t="inlineStr">
        <is>
          <t>MSFT</t>
        </is>
      </c>
      <c r="AF16" t="n">
        <v>32.1428571428571</v>
      </c>
      <c r="AH16" t="inlineStr">
        <is>
          <t>MSFT</t>
        </is>
      </c>
      <c r="AI16" t="n">
        <v>32.1</v>
      </c>
      <c r="AJ16" t="inlineStr">
        <is>
          <t>NTO</t>
        </is>
      </c>
      <c r="AK16" t="n">
        <v>7</v>
      </c>
      <c r="AL16" t="n">
        <v>3</v>
      </c>
      <c r="AM16" t="inlineStr">
        <is>
          <t>RAA</t>
        </is>
      </c>
      <c r="AN16" t="n">
        <v>29.6</v>
      </c>
      <c r="AO16" t="inlineStr">
        <is>
          <t>FICO</t>
        </is>
      </c>
      <c r="AP16" t="n">
        <v>-7.9</v>
      </c>
      <c r="AQ16" t="n">
        <v>12.3</v>
      </c>
      <c r="AS16" t="inlineStr">
        <is>
          <t>AMZN</t>
        </is>
      </c>
      <c r="AT16" t="n">
        <v>52.2229498644231</v>
      </c>
      <c r="AU16" t="n">
        <v>4.78172057416968</v>
      </c>
    </row>
    <row r="17" ht="15" customHeight="1" s="96">
      <c r="A17" s="39" t="n">
        <v>10</v>
      </c>
      <c r="B17" s="40">
        <f>'Watchlist Ratings'!B13</f>
        <v/>
      </c>
      <c r="C17" s="41">
        <f>'Watchlist Ratings'!S13</f>
        <v/>
      </c>
      <c r="D17" s="41">
        <f>'Watchlist Ratings'!AC13</f>
        <v/>
      </c>
      <c r="E17" s="41">
        <f>'Watchlist Ratings'!AM13</f>
        <v/>
      </c>
      <c r="F17" s="41">
        <f>'Watchlist Ratings'!AN13</f>
        <v/>
      </c>
      <c r="G17" s="42">
        <f>'Watchlist Ratings'!K13</f>
        <v/>
      </c>
      <c r="H17" s="42">
        <f>'Watchlist Ratings'!L13</f>
        <v/>
      </c>
      <c r="I17" s="43">
        <f>'Watchlist Ratings'!BC13</f>
        <v/>
      </c>
      <c r="J17" s="44">
        <f>'Watchlist Ratings'!AW13</f>
        <v/>
      </c>
      <c r="L17" t="inlineStr">
        <is>
          <t>⚠️ Below 6</t>
        </is>
      </c>
      <c r="M17">
        <f>COUNTIF('Watchlist Ratings'!AN4:AN64,"&lt;6")</f>
        <v/>
      </c>
      <c r="O17">
        <f>'Watchlist Ratings'!B13</f>
        <v/>
      </c>
      <c r="P17" s="37">
        <f>'Watchlist Ratings'!AN13</f>
        <v/>
      </c>
      <c r="Q17" s="23">
        <f>'Watchlist Ratings'!BM13</f>
        <v/>
      </c>
      <c r="S17">
        <f>'Watchlist Ratings'!B13</f>
        <v/>
      </c>
      <c r="T17" s="23">
        <f>'Watchlist Ratings'!BC13</f>
        <v/>
      </c>
      <c r="V17">
        <f>'Watchlist Ratings'!B13</f>
        <v/>
      </c>
      <c r="W17" s="38">
        <f>'Watchlist Ratings'!K13</f>
        <v/>
      </c>
      <c r="X17" s="38">
        <f>'Watchlist Ratings'!L13</f>
        <v/>
      </c>
      <c r="Y17">
        <f>'Watchlist Ratings'!B13</f>
        <v/>
      </c>
      <c r="Z17">
        <f>'Watchlist Ratings'!AW13</f>
        <v/>
      </c>
      <c r="AA17">
        <f>'Watchlist Ratings'!B13</f>
        <v/>
      </c>
      <c r="AB17">
        <f>'Watchlist Ratings'!BL13</f>
        <v/>
      </c>
      <c r="AC17">
        <f>'Watchlist Ratings'!BM13</f>
        <v/>
      </c>
      <c r="AS17" t="inlineStr">
        <is>
          <t>SU</t>
        </is>
      </c>
      <c r="AT17" t="n">
        <v>37.7367076944444</v>
      </c>
      <c r="AU17" t="n">
        <v>5.37442704079325</v>
      </c>
    </row>
    <row r="18" ht="15" customHeight="1" s="96">
      <c r="A18" s="45" t="n">
        <v>11</v>
      </c>
      <c r="B18" s="46">
        <f>'Watchlist Ratings'!B14</f>
        <v/>
      </c>
      <c r="C18" s="47">
        <f>'Watchlist Ratings'!S14</f>
        <v/>
      </c>
      <c r="D18" s="47">
        <f>'Watchlist Ratings'!AC14</f>
        <v/>
      </c>
      <c r="E18" s="47">
        <f>'Watchlist Ratings'!AM14</f>
        <v/>
      </c>
      <c r="F18" s="47">
        <f>'Watchlist Ratings'!AN14</f>
        <v/>
      </c>
      <c r="G18" s="48">
        <f>'Watchlist Ratings'!K14</f>
        <v/>
      </c>
      <c r="H18" s="48">
        <f>'Watchlist Ratings'!L14</f>
        <v/>
      </c>
      <c r="I18" s="49">
        <f>'Watchlist Ratings'!BC14</f>
        <v/>
      </c>
      <c r="J18" s="50">
        <f>'Watchlist Ratings'!AW14</f>
        <v/>
      </c>
      <c r="O18">
        <f>'Watchlist Ratings'!B14</f>
        <v/>
      </c>
      <c r="P18" s="37">
        <f>'Watchlist Ratings'!AN14</f>
        <v/>
      </c>
      <c r="Q18" s="23">
        <f>'Watchlist Ratings'!BM14</f>
        <v/>
      </c>
      <c r="V18">
        <f>'Watchlist Ratings'!B14</f>
        <v/>
      </c>
      <c r="W18" s="38">
        <f>'Watchlist Ratings'!K14</f>
        <v/>
      </c>
      <c r="X18" s="38">
        <f>'Watchlist Ratings'!L14</f>
        <v/>
      </c>
      <c r="Y18">
        <f>'Watchlist Ratings'!B14</f>
        <v/>
      </c>
      <c r="Z18">
        <f>'Watchlist Ratings'!AW14</f>
        <v/>
      </c>
      <c r="AA18">
        <f>'Watchlist Ratings'!B14</f>
        <v/>
      </c>
      <c r="AB18">
        <f>'Watchlist Ratings'!BL14</f>
        <v/>
      </c>
      <c r="AC18">
        <f>'Watchlist Ratings'!BM14</f>
        <v/>
      </c>
      <c r="AS18" t="inlineStr">
        <is>
          <t>ITX</t>
        </is>
      </c>
      <c r="AT18" t="n">
        <v>24.6120296984615</v>
      </c>
      <c r="AU18" t="n">
        <v>13.683807480135</v>
      </c>
    </row>
    <row r="19" ht="15" customHeight="1" s="96">
      <c r="A19" s="39" t="n">
        <v>12</v>
      </c>
      <c r="B19" s="40">
        <f>'Watchlist Ratings'!B15</f>
        <v/>
      </c>
      <c r="C19" s="41">
        <f>'Watchlist Ratings'!S15</f>
        <v/>
      </c>
      <c r="D19" s="41">
        <f>'Watchlist Ratings'!AC15</f>
        <v/>
      </c>
      <c r="E19" s="41">
        <f>'Watchlist Ratings'!AM15</f>
        <v/>
      </c>
      <c r="F19" s="41">
        <f>'Watchlist Ratings'!AN15</f>
        <v/>
      </c>
      <c r="G19" s="42">
        <f>'Watchlist Ratings'!K15</f>
        <v/>
      </c>
      <c r="H19" s="42">
        <f>'Watchlist Ratings'!L15</f>
        <v/>
      </c>
      <c r="I19" s="43">
        <f>'Watchlist Ratings'!BC15</f>
        <v/>
      </c>
      <c r="J19" s="44">
        <f>'Watchlist Ratings'!AW15</f>
        <v/>
      </c>
      <c r="O19">
        <f>'Watchlist Ratings'!B15</f>
        <v/>
      </c>
      <c r="P19" s="37">
        <f>'Watchlist Ratings'!AN15</f>
        <v/>
      </c>
      <c r="Q19" s="23">
        <f>'Watchlist Ratings'!BM15</f>
        <v/>
      </c>
      <c r="V19">
        <f>'Watchlist Ratings'!B15</f>
        <v/>
      </c>
      <c r="W19" s="38">
        <f>'Watchlist Ratings'!K15</f>
        <v/>
      </c>
      <c r="X19" s="38">
        <f>'Watchlist Ratings'!L15</f>
        <v/>
      </c>
      <c r="Y19">
        <f>'Watchlist Ratings'!B15</f>
        <v/>
      </c>
      <c r="Z19">
        <f>'Watchlist Ratings'!AW15</f>
        <v/>
      </c>
      <c r="AA19">
        <f>'Watchlist Ratings'!B15</f>
        <v/>
      </c>
      <c r="AB19">
        <f>'Watchlist Ratings'!BL15</f>
        <v/>
      </c>
      <c r="AC19">
        <f>'Watchlist Ratings'!BM15</f>
        <v/>
      </c>
      <c r="AS19" t="inlineStr">
        <is>
          <t>LOTB</t>
        </is>
      </c>
      <c r="AT19" t="n">
        <v>45.6174411111111</v>
      </c>
      <c r="AU19" t="n">
        <v>3.61733933754369</v>
      </c>
    </row>
    <row r="20" ht="15" customHeight="1" s="96">
      <c r="A20" s="45" t="n">
        <v>13</v>
      </c>
      <c r="B20" s="46">
        <f>'Watchlist Ratings'!B16</f>
        <v/>
      </c>
      <c r="C20" s="47">
        <f>'Watchlist Ratings'!S16</f>
        <v/>
      </c>
      <c r="D20" s="47">
        <f>'Watchlist Ratings'!AC16</f>
        <v/>
      </c>
      <c r="E20" s="47">
        <f>'Watchlist Ratings'!AM16</f>
        <v/>
      </c>
      <c r="F20" s="47">
        <f>'Watchlist Ratings'!AN16</f>
        <v/>
      </c>
      <c r="G20" s="48">
        <f>'Watchlist Ratings'!K16</f>
        <v/>
      </c>
      <c r="H20" s="48">
        <f>'Watchlist Ratings'!L16</f>
        <v/>
      </c>
      <c r="I20" s="49">
        <f>'Watchlist Ratings'!BC16</f>
        <v/>
      </c>
      <c r="J20" s="50">
        <f>'Watchlist Ratings'!AW16</f>
        <v/>
      </c>
      <c r="O20">
        <f>'Watchlist Ratings'!B16</f>
        <v/>
      </c>
      <c r="P20" s="37">
        <f>'Watchlist Ratings'!AN16</f>
        <v/>
      </c>
      <c r="Q20" s="23">
        <f>'Watchlist Ratings'!BM16</f>
        <v/>
      </c>
      <c r="V20">
        <f>'Watchlist Ratings'!B16</f>
        <v/>
      </c>
      <c r="W20" s="38">
        <f>'Watchlist Ratings'!K16</f>
        <v/>
      </c>
      <c r="X20" s="38">
        <f>'Watchlist Ratings'!L16</f>
        <v/>
      </c>
      <c r="Y20">
        <f>'Watchlist Ratings'!B16</f>
        <v/>
      </c>
      <c r="Z20">
        <f>'Watchlist Ratings'!AW16</f>
        <v/>
      </c>
      <c r="AA20">
        <f>'Watchlist Ratings'!B16</f>
        <v/>
      </c>
      <c r="AB20">
        <f>'Watchlist Ratings'!BL16</f>
        <v/>
      </c>
      <c r="AC20">
        <f>'Watchlist Ratings'!BM16</f>
        <v/>
      </c>
      <c r="AS20" t="inlineStr">
        <is>
          <t>HLMA</t>
        </is>
      </c>
      <c r="AT20" t="n">
        <v>43.630936635</v>
      </c>
      <c r="AU20" t="n">
        <v>4.34828597375525</v>
      </c>
    </row>
    <row r="21" ht="15" customHeight="1" s="96">
      <c r="A21" s="39" t="n">
        <v>14</v>
      </c>
      <c r="B21" s="40">
        <f>'Watchlist Ratings'!B17</f>
        <v/>
      </c>
      <c r="C21" s="41">
        <f>'Watchlist Ratings'!S17</f>
        <v/>
      </c>
      <c r="D21" s="41">
        <f>'Watchlist Ratings'!AC17</f>
        <v/>
      </c>
      <c r="E21" s="41">
        <f>'Watchlist Ratings'!AM17</f>
        <v/>
      </c>
      <c r="F21" s="41">
        <f>'Watchlist Ratings'!AN17</f>
        <v/>
      </c>
      <c r="G21" s="42">
        <f>'Watchlist Ratings'!K17</f>
        <v/>
      </c>
      <c r="H21" s="42">
        <f>'Watchlist Ratings'!L17</f>
        <v/>
      </c>
      <c r="I21" s="43">
        <f>'Watchlist Ratings'!BC17</f>
        <v/>
      </c>
      <c r="J21" s="44">
        <f>'Watchlist Ratings'!AW17</f>
        <v/>
      </c>
      <c r="O21">
        <f>'Watchlist Ratings'!B17</f>
        <v/>
      </c>
      <c r="P21" s="37">
        <f>'Watchlist Ratings'!AN17</f>
        <v/>
      </c>
      <c r="Q21" s="23">
        <f>'Watchlist Ratings'!BM17</f>
        <v/>
      </c>
      <c r="V21">
        <f>'Watchlist Ratings'!B17</f>
        <v/>
      </c>
      <c r="W21" s="38">
        <f>'Watchlist Ratings'!K17</f>
        <v/>
      </c>
      <c r="X21" s="38">
        <f>'Watchlist Ratings'!L17</f>
        <v/>
      </c>
      <c r="Y21">
        <f>'Watchlist Ratings'!B17</f>
        <v/>
      </c>
      <c r="Z21">
        <f>'Watchlist Ratings'!AW17</f>
        <v/>
      </c>
      <c r="AA21">
        <f>'Watchlist Ratings'!B17</f>
        <v/>
      </c>
      <c r="AB21">
        <f>'Watchlist Ratings'!BL17</f>
        <v/>
      </c>
      <c r="AC21">
        <f>'Watchlist Ratings'!BM17</f>
        <v/>
      </c>
      <c r="AS21" t="inlineStr">
        <is>
          <t>FICO</t>
        </is>
      </c>
      <c r="AT21" t="n">
        <v>38.1205012660274</v>
      </c>
      <c r="AU21" t="n">
        <v>12.615575978128</v>
      </c>
    </row>
    <row r="22" ht="15" customHeight="1" s="96">
      <c r="A22" s="51" t="n">
        <v>15</v>
      </c>
      <c r="B22" s="52">
        <f>'Watchlist Ratings'!B18</f>
        <v/>
      </c>
      <c r="C22" s="53">
        <f>'Watchlist Ratings'!S18</f>
        <v/>
      </c>
      <c r="D22" s="53">
        <f>'Watchlist Ratings'!AC18</f>
        <v/>
      </c>
      <c r="E22" s="53">
        <f>'Watchlist Ratings'!AM18</f>
        <v/>
      </c>
      <c r="F22" s="53">
        <f>'Watchlist Ratings'!AN18</f>
        <v/>
      </c>
      <c r="G22" s="54">
        <f>'Watchlist Ratings'!K18</f>
        <v/>
      </c>
      <c r="H22" s="54">
        <f>'Watchlist Ratings'!L18</f>
        <v/>
      </c>
      <c r="I22" s="55">
        <f>'Watchlist Ratings'!BC18</f>
        <v/>
      </c>
      <c r="J22" s="56">
        <f>'Watchlist Ratings'!AW18</f>
        <v/>
      </c>
      <c r="O22">
        <f>'Watchlist Ratings'!B18</f>
        <v/>
      </c>
      <c r="P22" s="37">
        <f>'Watchlist Ratings'!AN18</f>
        <v/>
      </c>
      <c r="Q22" s="23">
        <f>'Watchlist Ratings'!BM18</f>
        <v/>
      </c>
      <c r="V22">
        <f>'Watchlist Ratings'!B18</f>
        <v/>
      </c>
      <c r="W22" s="38">
        <f>'Watchlist Ratings'!K18</f>
        <v/>
      </c>
      <c r="X22" s="38">
        <f>'Watchlist Ratings'!L18</f>
        <v/>
      </c>
      <c r="Y22">
        <f>'Watchlist Ratings'!B18</f>
        <v/>
      </c>
      <c r="Z22">
        <f>'Watchlist Ratings'!AW18</f>
        <v/>
      </c>
      <c r="AA22">
        <f>'Watchlist Ratings'!B18</f>
        <v/>
      </c>
      <c r="AB22">
        <f>'Watchlist Ratings'!BL18</f>
        <v/>
      </c>
      <c r="AC22">
        <f>'Watchlist Ratings'!BM18</f>
        <v/>
      </c>
    </row>
    <row r="23" ht="15" customHeight="1" s="96">
      <c r="O23">
        <f>'Watchlist Ratings'!B19</f>
        <v/>
      </c>
      <c r="P23" s="37">
        <f>'Watchlist Ratings'!AN19</f>
        <v/>
      </c>
      <c r="Q23" s="23">
        <f>'Watchlist Ratings'!BM19</f>
        <v/>
      </c>
    </row>
    <row r="24" ht="30" customHeight="1" s="96">
      <c r="A24" s="164" t="inlineStr">
        <is>
          <t>📈 VISUALIZACIÓN DE DATOS — Gráficos Interactivos</t>
        </is>
      </c>
    </row>
    <row r="25" ht="4.5" customHeight="1" s="96">
      <c r="O25">
        <f>'Watchlist Ratings'!B21</f>
        <v/>
      </c>
      <c r="P25" s="37">
        <f>'Watchlist Ratings'!AN21</f>
        <v/>
      </c>
      <c r="Q25">
        <f>'Watchlist Ratings'!BM21</f>
        <v/>
      </c>
    </row>
    <row r="26" ht="19.5" customHeight="1" s="96">
      <c r="O26">
        <f>'Watchlist Ratings'!B22</f>
        <v/>
      </c>
      <c r="P26" s="37">
        <f>'Watchlist Ratings'!AN22</f>
        <v/>
      </c>
      <c r="Q26">
        <f>'Watchlist Ratings'!BM22</f>
        <v/>
      </c>
    </row>
    <row r="27" ht="19.5" customHeight="1" s="96">
      <c r="O27">
        <f>'Watchlist Ratings'!B23</f>
        <v/>
      </c>
      <c r="P27" s="37">
        <f>'Watchlist Ratings'!AN23</f>
        <v/>
      </c>
      <c r="Q27">
        <f>'Watchlist Ratings'!BM23</f>
        <v/>
      </c>
    </row>
    <row r="28" ht="19.5" customHeight="1" s="96"/>
    <row r="29" ht="19.5" customHeight="1" s="96"/>
    <row r="30" ht="19.5" customHeight="1" s="96"/>
    <row r="31" ht="19.5" customHeight="1" s="96"/>
    <row r="32" ht="19.5" customHeight="1" s="96"/>
    <row r="33" ht="19.5" customHeight="1" s="96"/>
    <row r="34" ht="19.5" customHeight="1" s="96"/>
    <row r="35" ht="19.5" customHeight="1" s="96"/>
    <row r="36" ht="19.5" customHeight="1" s="96"/>
    <row r="37" ht="19.5" customHeight="1" s="96"/>
    <row r="38" ht="19.5" customHeight="1" s="96"/>
    <row r="39" ht="19.5" customHeight="1" s="96"/>
    <row r="40" ht="19.5" customHeight="1" s="96">
      <c r="L40" s="113" t="n"/>
    </row>
    <row r="41" ht="19.5" customHeight="1" s="96">
      <c r="L41" s="57" t="n"/>
      <c r="M41" s="57" t="n"/>
      <c r="N41" s="57" t="n"/>
      <c r="O41" s="57" t="n"/>
      <c r="P41" s="57" t="n"/>
      <c r="Q41" s="57" t="n"/>
    </row>
    <row r="42" ht="19.5" customHeight="1" s="96">
      <c r="J42" s="120" t="n"/>
    </row>
    <row r="43" ht="19.5" customHeight="1" s="96">
      <c r="B43" s="58" t="n"/>
      <c r="C43" s="58" t="n"/>
      <c r="D43" s="58" t="n"/>
      <c r="E43" s="58" t="n"/>
      <c r="F43" s="58" t="n"/>
      <c r="G43" s="58" t="n"/>
      <c r="H43" s="58" t="n"/>
      <c r="J43" s="59" t="n"/>
      <c r="K43" s="59" t="n"/>
      <c r="L43" s="59" t="n"/>
      <c r="M43" s="59" t="n"/>
      <c r="N43" s="59" t="n"/>
      <c r="O43" s="59" t="n"/>
      <c r="P43" s="59" t="n"/>
      <c r="Q43" s="59" t="n"/>
    </row>
    <row r="44" ht="19.5" customHeight="1" s="96">
      <c r="E44" s="60" t="n"/>
      <c r="F44" s="60" t="n"/>
      <c r="G44" s="60" t="n"/>
    </row>
    <row r="45" ht="19.5" customHeight="1" s="96">
      <c r="E45" s="60" t="n"/>
      <c r="F45" s="60" t="n"/>
      <c r="G45" s="60" t="n"/>
    </row>
    <row r="46" ht="19.5" customHeight="1" s="96">
      <c r="E46" s="60" t="n"/>
      <c r="F46" s="60" t="n"/>
      <c r="G46" s="60" t="n"/>
    </row>
    <row r="47" ht="19.5" customHeight="1" s="96">
      <c r="E47" s="60" t="n"/>
      <c r="F47" s="60" t="n"/>
      <c r="G47" s="60" t="n"/>
    </row>
    <row r="48" ht="19.5" customHeight="1" s="96">
      <c r="E48" s="60" t="n"/>
      <c r="F48" s="60" t="n"/>
      <c r="G48" s="60" t="n"/>
    </row>
    <row r="49" ht="19.5" customHeight="1" s="96">
      <c r="E49" s="60" t="n"/>
      <c r="F49" s="60" t="n"/>
      <c r="G49" s="60" t="n"/>
    </row>
    <row r="50" ht="19.5" customHeight="1" s="96">
      <c r="E50" s="60" t="n"/>
      <c r="F50" s="60" t="n"/>
      <c r="G50" s="60" t="n"/>
    </row>
    <row r="51" ht="19.5" customHeight="1" s="96">
      <c r="E51" s="60" t="n"/>
      <c r="F51" s="60" t="n"/>
      <c r="G51" s="60" t="n"/>
    </row>
    <row r="52" ht="19.5" customHeight="1" s="96">
      <c r="E52" s="60" t="n"/>
      <c r="F52" s="60" t="n"/>
      <c r="G52" s="60" t="n"/>
    </row>
    <row r="53" ht="19.5" customHeight="1" s="96">
      <c r="E53" s="60" t="n"/>
      <c r="F53" s="60" t="n"/>
      <c r="G53" s="60" t="n"/>
    </row>
    <row r="54" ht="19.5" customHeight="1" s="96"/>
    <row r="55" ht="19.5" customHeight="1" s="96"/>
    <row r="56" ht="4.5" customHeight="1" s="96"/>
    <row r="57" ht="4.5" customHeight="1" s="96"/>
    <row r="58" ht="4.5" customHeight="1" s="96"/>
    <row r="59" ht="4.5" customHeight="1" s="96"/>
    <row r="60" ht="4.5" customHeight="1" s="96"/>
    <row r="61" ht="4.5" customHeight="1" s="96"/>
    <row r="62" ht="4.5" customHeight="1" s="96">
      <c r="A62" s="134" t="inlineStr">
        <is>
          <t>📈 ANÁLISIS DE ASIMETRÍA — Rango de Valoración</t>
        </is>
      </c>
      <c r="J62" s="155" t="inlineStr">
        <is>
          <t>🛡️ ANTIFRAGILIDAD — Durabilidad &amp; Riesgo</t>
        </is>
      </c>
    </row>
    <row r="63" ht="4.5" customHeight="1" s="96">
      <c r="A63" s="61" t="inlineStr">
        <is>
          <t>Ticker</t>
        </is>
      </c>
      <c r="B63" s="61" t="inlineStr">
        <is>
          <t>Precio</t>
        </is>
      </c>
      <c r="C63" s="61" t="inlineStr">
        <is>
          <t>FVE Min</t>
        </is>
      </c>
      <c r="D63" s="61" t="inlineStr">
        <is>
          <t>FVE Max</t>
        </is>
      </c>
      <c r="E63" s="61" t="inlineStr">
        <is>
          <t>IRR Bear</t>
        </is>
      </c>
      <c r="F63" s="61" t="inlineStr">
        <is>
          <t>IRR Bull</t>
        </is>
      </c>
      <c r="G63" s="61" t="inlineStr">
        <is>
          <t>Spread</t>
        </is>
      </c>
      <c r="H63" s="61" t="inlineStr">
        <is>
          <t>Señal</t>
        </is>
      </c>
      <c r="J63" s="62" t="inlineStr">
        <is>
          <t>Ticker</t>
        </is>
      </c>
      <c r="K63" s="62" t="inlineStr">
        <is>
          <t>R3 Score</t>
        </is>
      </c>
      <c r="L63" s="62" t="inlineStr">
        <is>
          <t>Cap.Intens.</t>
        </is>
      </c>
      <c r="M63" s="62" t="inlineStr">
        <is>
          <t>Cap.Alloc.</t>
        </is>
      </c>
      <c r="N63" s="62" t="inlineStr">
        <is>
          <t>Term.Risk</t>
        </is>
      </c>
      <c r="O63" s="62" t="inlineStr">
        <is>
          <t>MOAT</t>
        </is>
      </c>
      <c r="P63" s="62" t="inlineStr">
        <is>
          <t>Option.</t>
        </is>
      </c>
      <c r="Q63" s="62" t="inlineStr">
        <is>
          <t>Rating</t>
        </is>
      </c>
    </row>
    <row r="64" ht="4.5" customHeight="1" s="96">
      <c r="A64" s="63">
        <f>'Watchlist Ratings'!B4</f>
        <v/>
      </c>
      <c r="B64" s="64">
        <f>'Watchlist Ratings'!G4</f>
        <v/>
      </c>
      <c r="C64" s="64">
        <f>'Watchlist Ratings'!BJ4</f>
        <v/>
      </c>
      <c r="D64" s="64">
        <f>'Watchlist Ratings'!BK4</f>
        <v/>
      </c>
      <c r="E64" s="65">
        <f>'Watchlist Ratings'!BL4</f>
        <v/>
      </c>
      <c r="F64" s="65">
        <f>'Watchlist Ratings'!BM4</f>
        <v/>
      </c>
      <c r="G64" s="65">
        <f>F64-E64</f>
        <v/>
      </c>
      <c r="H64" s="63">
        <f>IF(E64&gt;0,"🟢 BUY",IF(E64&gt;-0.05,"🟡 HOLD","🔴 PASS"))</f>
        <v/>
      </c>
      <c r="J64" s="63">
        <f>'Watchlist Ratings'!B4</f>
        <v/>
      </c>
      <c r="K64" s="66">
        <f>'Watchlist Ratings'!AM4</f>
        <v/>
      </c>
      <c r="L64" s="67">
        <f>'Watchlist Ratings'!AF4</f>
        <v/>
      </c>
      <c r="M64" s="67">
        <f>'Watchlist Ratings'!AG4</f>
        <v/>
      </c>
      <c r="N64" s="67">
        <f>'Watchlist Ratings'!AK4</f>
        <v/>
      </c>
      <c r="O64" s="67">
        <f>'Watchlist Ratings'!K4</f>
        <v/>
      </c>
      <c r="P64" s="67">
        <f>'Watchlist Ratings'!L4</f>
        <v/>
      </c>
      <c r="Q64" s="63">
        <f>IF(K64&gt;=8,"🟢 ALTO",IF(K64&gt;=7,"🟡 MEDIO","🔴 BAJO"))</f>
        <v/>
      </c>
    </row>
    <row r="65" ht="4.5" customHeight="1" s="96">
      <c r="A65" s="63">
        <f>'Watchlist Ratings'!B5</f>
        <v/>
      </c>
      <c r="B65" s="64">
        <f>'Watchlist Ratings'!G5</f>
        <v/>
      </c>
      <c r="C65" s="64">
        <f>'Watchlist Ratings'!BJ5</f>
        <v/>
      </c>
      <c r="D65" s="64">
        <f>'Watchlist Ratings'!BK5</f>
        <v/>
      </c>
      <c r="E65" s="65">
        <f>'Watchlist Ratings'!BL5</f>
        <v/>
      </c>
      <c r="F65" s="65">
        <f>'Watchlist Ratings'!BM5</f>
        <v/>
      </c>
      <c r="G65" s="65">
        <f>F65-E65</f>
        <v/>
      </c>
      <c r="H65" s="63">
        <f>IF(E65&gt;0,"🟢 BUY",IF(E65&gt;-0.05,"🟡 HOLD","🔴 PASS"))</f>
        <v/>
      </c>
      <c r="J65" s="63">
        <f>'Watchlist Ratings'!B5</f>
        <v/>
      </c>
      <c r="K65" s="66">
        <f>'Watchlist Ratings'!AM5</f>
        <v/>
      </c>
      <c r="L65" s="67">
        <f>'Watchlist Ratings'!AF5</f>
        <v/>
      </c>
      <c r="M65" s="67">
        <f>'Watchlist Ratings'!AG5</f>
        <v/>
      </c>
      <c r="N65" s="67">
        <f>'Watchlist Ratings'!AK5</f>
        <v/>
      </c>
      <c r="O65" s="67">
        <f>'Watchlist Ratings'!K5</f>
        <v/>
      </c>
      <c r="P65" s="67">
        <f>'Watchlist Ratings'!L5</f>
        <v/>
      </c>
      <c r="Q65" s="63">
        <f>IF(K65&gt;=8,"🟢 ALTO",IF(K65&gt;=7,"🟡 MEDIO","🔴 BAJO"))</f>
        <v/>
      </c>
    </row>
    <row r="66" ht="4.5" customHeight="1" s="96">
      <c r="A66" s="63">
        <f>'Watchlist Ratings'!B6</f>
        <v/>
      </c>
      <c r="B66" s="64">
        <f>'Watchlist Ratings'!G6</f>
        <v/>
      </c>
      <c r="C66" s="64">
        <f>'Watchlist Ratings'!BJ6</f>
        <v/>
      </c>
      <c r="D66" s="64">
        <f>'Watchlist Ratings'!BK6</f>
        <v/>
      </c>
      <c r="E66" s="65">
        <f>'Watchlist Ratings'!BL6</f>
        <v/>
      </c>
      <c r="F66" s="65">
        <f>'Watchlist Ratings'!BM6</f>
        <v/>
      </c>
      <c r="G66" s="65">
        <f>F66-E66</f>
        <v/>
      </c>
      <c r="H66" s="63">
        <f>IF(E66&gt;0,"🟢 BUY",IF(E66&gt;-0.05,"🟡 HOLD","🔴 PASS"))</f>
        <v/>
      </c>
      <c r="J66" s="63">
        <f>'Watchlist Ratings'!B6</f>
        <v/>
      </c>
      <c r="K66" s="66">
        <f>'Watchlist Ratings'!AM6</f>
        <v/>
      </c>
      <c r="L66" s="67">
        <f>'Watchlist Ratings'!AF6</f>
        <v/>
      </c>
      <c r="M66" s="67">
        <f>'Watchlist Ratings'!AG6</f>
        <v/>
      </c>
      <c r="N66" s="67">
        <f>'Watchlist Ratings'!AK6</f>
        <v/>
      </c>
      <c r="O66" s="67">
        <f>'Watchlist Ratings'!K6</f>
        <v/>
      </c>
      <c r="P66" s="67">
        <f>'Watchlist Ratings'!L6</f>
        <v/>
      </c>
      <c r="Q66" s="63">
        <f>IF(K66&gt;=8,"🟢 ALTO",IF(K66&gt;=7,"🟡 MEDIO","🔴 BAJO"))</f>
        <v/>
      </c>
    </row>
    <row r="67" ht="4.5" customHeight="1" s="96">
      <c r="A67" s="63">
        <f>'Watchlist Ratings'!B7</f>
        <v/>
      </c>
      <c r="B67" s="64">
        <f>'Watchlist Ratings'!G7</f>
        <v/>
      </c>
      <c r="C67" s="64">
        <f>'Watchlist Ratings'!BJ7</f>
        <v/>
      </c>
      <c r="D67" s="64">
        <f>'Watchlist Ratings'!BK7</f>
        <v/>
      </c>
      <c r="E67" s="65">
        <f>'Watchlist Ratings'!BL7</f>
        <v/>
      </c>
      <c r="F67" s="65">
        <f>'Watchlist Ratings'!BM7</f>
        <v/>
      </c>
      <c r="G67" s="65">
        <f>F67-E67</f>
        <v/>
      </c>
      <c r="H67" s="63">
        <f>IF(E67&gt;0,"🟢 BUY",IF(E67&gt;-0.05,"🟡 HOLD","🔴 PASS"))</f>
        <v/>
      </c>
      <c r="J67" s="63">
        <f>'Watchlist Ratings'!B7</f>
        <v/>
      </c>
      <c r="K67" s="66">
        <f>'Watchlist Ratings'!AM7</f>
        <v/>
      </c>
      <c r="L67" s="67">
        <f>'Watchlist Ratings'!AF7</f>
        <v/>
      </c>
      <c r="M67" s="67">
        <f>'Watchlist Ratings'!AG7</f>
        <v/>
      </c>
      <c r="N67" s="67">
        <f>'Watchlist Ratings'!AK7</f>
        <v/>
      </c>
      <c r="O67" s="67">
        <f>'Watchlist Ratings'!K7</f>
        <v/>
      </c>
      <c r="P67" s="67">
        <f>'Watchlist Ratings'!L7</f>
        <v/>
      </c>
      <c r="Q67" s="63">
        <f>IF(K67&gt;=8,"🟢 ALTO",IF(K67&gt;=7,"🟡 MEDIO","🔴 BAJO"))</f>
        <v/>
      </c>
    </row>
    <row r="68" ht="4.5" customHeight="1" s="96">
      <c r="A68" s="63">
        <f>'Watchlist Ratings'!B8</f>
        <v/>
      </c>
      <c r="B68" s="64">
        <f>'Watchlist Ratings'!G8</f>
        <v/>
      </c>
      <c r="C68" s="64">
        <f>'Watchlist Ratings'!BJ8</f>
        <v/>
      </c>
      <c r="D68" s="64">
        <f>'Watchlist Ratings'!BK8</f>
        <v/>
      </c>
      <c r="E68" s="65">
        <f>'Watchlist Ratings'!BL8</f>
        <v/>
      </c>
      <c r="F68" s="65">
        <f>'Watchlist Ratings'!BM8</f>
        <v/>
      </c>
      <c r="G68" s="65">
        <f>F68-E68</f>
        <v/>
      </c>
      <c r="H68" s="63">
        <f>IF(E68&gt;0,"🟢 BUY",IF(E68&gt;-0.05,"🟡 HOLD","🔴 PASS"))</f>
        <v/>
      </c>
      <c r="J68" s="63">
        <f>'Watchlist Ratings'!B8</f>
        <v/>
      </c>
      <c r="K68" s="66">
        <f>'Watchlist Ratings'!AM8</f>
        <v/>
      </c>
      <c r="L68" s="67">
        <f>'Watchlist Ratings'!AF8</f>
        <v/>
      </c>
      <c r="M68" s="67">
        <f>'Watchlist Ratings'!AG8</f>
        <v/>
      </c>
      <c r="N68" s="67">
        <f>'Watchlist Ratings'!AK8</f>
        <v/>
      </c>
      <c r="O68" s="67">
        <f>'Watchlist Ratings'!K8</f>
        <v/>
      </c>
      <c r="P68" s="67">
        <f>'Watchlist Ratings'!L8</f>
        <v/>
      </c>
      <c r="Q68" s="63">
        <f>IF(K68&gt;=8,"🟢 ALTO",IF(K68&gt;=7,"🟡 MEDIO","🔴 BAJO"))</f>
        <v/>
      </c>
    </row>
    <row r="69" ht="4.5" customHeight="1" s="96">
      <c r="A69" s="63">
        <f>'Watchlist Ratings'!B9</f>
        <v/>
      </c>
      <c r="B69" s="64">
        <f>'Watchlist Ratings'!G9</f>
        <v/>
      </c>
      <c r="C69" s="64">
        <f>'Watchlist Ratings'!BJ9</f>
        <v/>
      </c>
      <c r="D69" s="64">
        <f>'Watchlist Ratings'!BK9</f>
        <v/>
      </c>
      <c r="E69" s="65">
        <f>'Watchlist Ratings'!BL9</f>
        <v/>
      </c>
      <c r="F69" s="65">
        <f>'Watchlist Ratings'!BM9</f>
        <v/>
      </c>
      <c r="G69" s="65">
        <f>F69-E69</f>
        <v/>
      </c>
      <c r="H69" s="63">
        <f>IF(E69&gt;0,"🟢 BUY",IF(E69&gt;-0.05,"🟡 HOLD","🔴 PASS"))</f>
        <v/>
      </c>
      <c r="J69" s="63">
        <f>'Watchlist Ratings'!B9</f>
        <v/>
      </c>
      <c r="K69" s="66">
        <f>'Watchlist Ratings'!AM9</f>
        <v/>
      </c>
      <c r="L69" s="67">
        <f>'Watchlist Ratings'!AF9</f>
        <v/>
      </c>
      <c r="M69" s="67">
        <f>'Watchlist Ratings'!AG9</f>
        <v/>
      </c>
      <c r="N69" s="67">
        <f>'Watchlist Ratings'!AK9</f>
        <v/>
      </c>
      <c r="O69" s="67">
        <f>'Watchlist Ratings'!K9</f>
        <v/>
      </c>
      <c r="P69" s="67">
        <f>'Watchlist Ratings'!L9</f>
        <v/>
      </c>
      <c r="Q69" s="63">
        <f>IF(K69&gt;=8,"🟢 ALTO",IF(K69&gt;=7,"🟡 MEDIO","🔴 BAJO"))</f>
        <v/>
      </c>
    </row>
    <row r="70" ht="4.5" customHeight="1" s="96">
      <c r="A70" s="63">
        <f>'Watchlist Ratings'!B10</f>
        <v/>
      </c>
      <c r="B70" s="64">
        <f>'Watchlist Ratings'!G10</f>
        <v/>
      </c>
      <c r="C70" s="64">
        <f>'Watchlist Ratings'!BJ10</f>
        <v/>
      </c>
      <c r="D70" s="64">
        <f>'Watchlist Ratings'!BK10</f>
        <v/>
      </c>
      <c r="E70" s="65">
        <f>'Watchlist Ratings'!BL10</f>
        <v/>
      </c>
      <c r="F70" s="65">
        <f>'Watchlist Ratings'!BM10</f>
        <v/>
      </c>
      <c r="G70" s="65">
        <f>F70-E70</f>
        <v/>
      </c>
      <c r="H70" s="63">
        <f>IF(E70&gt;0,"🟢 BUY",IF(E70&gt;-0.05,"🟡 HOLD","🔴 PASS"))</f>
        <v/>
      </c>
      <c r="J70" s="63">
        <f>'Watchlist Ratings'!B10</f>
        <v/>
      </c>
      <c r="K70" s="66">
        <f>'Watchlist Ratings'!AM10</f>
        <v/>
      </c>
      <c r="L70" s="67">
        <f>'Watchlist Ratings'!AF10</f>
        <v/>
      </c>
      <c r="M70" s="67">
        <f>'Watchlist Ratings'!AG10</f>
        <v/>
      </c>
      <c r="N70" s="67">
        <f>'Watchlist Ratings'!AK10</f>
        <v/>
      </c>
      <c r="O70" s="67">
        <f>'Watchlist Ratings'!K10</f>
        <v/>
      </c>
      <c r="P70" s="67">
        <f>'Watchlist Ratings'!L10</f>
        <v/>
      </c>
      <c r="Q70" s="63">
        <f>IF(K70&gt;=8,"🟢 ALTO",IF(K70&gt;=7,"🟡 MEDIO","🔴 BAJO"))</f>
        <v/>
      </c>
    </row>
    <row r="71" ht="19.5" customHeight="1" s="96">
      <c r="A71" s="63">
        <f>'Watchlist Ratings'!B11</f>
        <v/>
      </c>
      <c r="B71" s="64">
        <f>'Watchlist Ratings'!G11</f>
        <v/>
      </c>
      <c r="C71" s="64">
        <f>'Watchlist Ratings'!BJ11</f>
        <v/>
      </c>
      <c r="D71" s="64">
        <f>'Watchlist Ratings'!BK11</f>
        <v/>
      </c>
      <c r="E71" s="65">
        <f>'Watchlist Ratings'!BL11</f>
        <v/>
      </c>
      <c r="F71" s="65">
        <f>'Watchlist Ratings'!BM11</f>
        <v/>
      </c>
      <c r="G71" s="65">
        <f>F71-E71</f>
        <v/>
      </c>
      <c r="H71" s="63">
        <f>IF(E71&gt;0,"🟢 BUY",IF(E71&gt;-0.05,"🟡 HOLD","🔴 PASS"))</f>
        <v/>
      </c>
      <c r="J71" s="63">
        <f>'Watchlist Ratings'!B11</f>
        <v/>
      </c>
      <c r="K71" s="66">
        <f>'Watchlist Ratings'!AM11</f>
        <v/>
      </c>
      <c r="L71" s="67">
        <f>'Watchlist Ratings'!AF11</f>
        <v/>
      </c>
      <c r="M71" s="67">
        <f>'Watchlist Ratings'!AG11</f>
        <v/>
      </c>
      <c r="N71" s="67">
        <f>'Watchlist Ratings'!AK11</f>
        <v/>
      </c>
      <c r="O71" s="67">
        <f>'Watchlist Ratings'!K11</f>
        <v/>
      </c>
      <c r="P71" s="67">
        <f>'Watchlist Ratings'!L11</f>
        <v/>
      </c>
      <c r="Q71" s="63">
        <f>IF(K71&gt;=8,"🟢 ALTO",IF(K71&gt;=7,"🟡 MEDIO","🔴 BAJO"))</f>
        <v/>
      </c>
    </row>
    <row r="72" ht="27.75" customHeight="1" s="96">
      <c r="A72" s="162">
        <f>'Watchlist Ratings'!B12</f>
        <v/>
      </c>
      <c r="B72" s="111" t="n"/>
      <c r="C72" s="111" t="n"/>
      <c r="D72" s="111" t="n"/>
      <c r="E72" s="111" t="n"/>
      <c r="F72" s="111" t="n"/>
      <c r="G72" s="111" t="n"/>
      <c r="H72" s="111" t="n"/>
      <c r="I72" s="112" t="n"/>
      <c r="J72" s="110">
        <f>'Watchlist Ratings'!B12</f>
        <v/>
      </c>
      <c r="K72" s="111" t="n"/>
      <c r="L72" s="111" t="n"/>
      <c r="M72" s="111" t="n"/>
      <c r="N72" s="111" t="n"/>
      <c r="O72" s="111" t="n"/>
      <c r="P72" s="111" t="n"/>
      <c r="Q72" s="112" t="n"/>
    </row>
    <row r="73" ht="19.5" customHeight="1" s="96">
      <c r="A73" s="68">
        <f>'Watchlist Ratings'!B13</f>
        <v/>
      </c>
      <c r="B73" s="69">
        <f>'Watchlist Ratings'!G13</f>
        <v/>
      </c>
      <c r="C73" s="69">
        <f>'Watchlist Ratings'!BJ13</f>
        <v/>
      </c>
      <c r="D73" s="69">
        <f>'Watchlist Ratings'!BK13</f>
        <v/>
      </c>
      <c r="E73" s="70">
        <f>'Watchlist Ratings'!BL13</f>
        <v/>
      </c>
      <c r="F73" s="70">
        <f>'Watchlist Ratings'!BM13</f>
        <v/>
      </c>
      <c r="G73" s="70">
        <f>F73-E73</f>
        <v/>
      </c>
      <c r="H73" s="71">
        <f>IF(E73&gt;0,"🟢 BUY",IF(E73&gt;-0.05,"🟡 HOLD","🔴 PASS"))</f>
        <v/>
      </c>
      <c r="J73" s="72">
        <f>'Watchlist Ratings'!B13</f>
        <v/>
      </c>
      <c r="K73" s="73">
        <f>'Watchlist Ratings'!AM13</f>
        <v/>
      </c>
      <c r="L73" s="74">
        <f>'Watchlist Ratings'!AF13</f>
        <v/>
      </c>
      <c r="M73" s="74">
        <f>'Watchlist Ratings'!AG13</f>
        <v/>
      </c>
      <c r="N73" s="74">
        <f>'Watchlist Ratings'!AK13</f>
        <v/>
      </c>
      <c r="O73" s="74">
        <f>'Watchlist Ratings'!K13</f>
        <v/>
      </c>
      <c r="P73" s="74">
        <f>'Watchlist Ratings'!L13</f>
        <v/>
      </c>
      <c r="Q73" s="72">
        <f>IF(K73&gt;=8,"🟢 ALTO",IF(K73&gt;=7,"🟡 MEDIO","🔴 BAJO"))</f>
        <v/>
      </c>
    </row>
    <row r="74" ht="19.5" customHeight="1" s="96">
      <c r="A74" s="75" t="inlineStr">
        <is>
          <t>VEEV</t>
        </is>
      </c>
      <c r="B74" s="76">
        <f>VLOOKUP(A74,'Watchlist Ratings'!$B$4:$BM$64,4,FALSE())</f>
        <v/>
      </c>
      <c r="C74" s="76">
        <f>VLOOKUP(A74,'Watchlist Ratings'!$B$4:$BM$64,59,FALSE())</f>
        <v/>
      </c>
      <c r="D74" s="76">
        <f>VLOOKUP(A74,'Watchlist Ratings'!$B$4:$BM$64,60,FALSE())</f>
        <v/>
      </c>
      <c r="E74" s="77">
        <f>VLOOKUP(A74,'Watchlist Ratings'!$B$4:$BM$64,61,FALSE())</f>
        <v/>
      </c>
      <c r="F74" s="77">
        <f>VLOOKUP(A74,'Watchlist Ratings'!$B$4:$BM$64,64,FALSE())</f>
        <v/>
      </c>
      <c r="G74" s="77">
        <f>F74-E74</f>
        <v/>
      </c>
      <c r="H74" s="75">
        <f>IF(E74&gt;0,"🟢 BUY",IF(E74&gt;-0.05,"🟡 HOLD","🔴 PASS"))</f>
        <v/>
      </c>
      <c r="J74" s="78" t="inlineStr">
        <is>
          <t>VEEV</t>
        </is>
      </c>
      <c r="K74" s="78">
        <f>VLOOKUP(J74,'Watchlist Ratings'!$B$4:$BM$64,36,FALSE())</f>
        <v/>
      </c>
      <c r="L74" s="78">
        <f>VLOOKUP(J74,'Watchlist Ratings'!$B$4:$BM$64,29,FALSE())</f>
        <v/>
      </c>
      <c r="M74" s="78">
        <f>VLOOKUP(J74,'Watchlist Ratings'!$B$4:$BM$64,30,FALSE())</f>
        <v/>
      </c>
      <c r="N74" s="78">
        <f>VLOOKUP(J74,'Watchlist Ratings'!$B$4:$BM$64,34,FALSE())</f>
        <v/>
      </c>
      <c r="O74" s="78">
        <f>VLOOKUP(J74,'Watchlist Ratings'!$B$4:$BM$64,8,FALSE())</f>
        <v/>
      </c>
      <c r="P74" s="78">
        <f>VLOOKUP(J74,'Watchlist Ratings'!$B$4:$BM$64,9,FALSE())</f>
        <v/>
      </c>
      <c r="Q74" s="78">
        <f>IF(K74&gt;=8.5,"🟢 ALTO",IF(K74&gt;=7.5,"🟡 MEDIO","🔴 BAJO"))</f>
        <v/>
      </c>
    </row>
    <row r="75" ht="19.5" customHeight="1" s="96">
      <c r="A75" s="79" t="inlineStr">
        <is>
          <t>MSFT</t>
        </is>
      </c>
      <c r="B75" s="80">
        <f>VLOOKUP(A75,'Watchlist Ratings'!$B$4:$BM$64,4,FALSE())</f>
        <v/>
      </c>
      <c r="C75" s="80">
        <f>VLOOKUP(A75,'Watchlist Ratings'!$B$4:$BM$64,59,FALSE())</f>
        <v/>
      </c>
      <c r="D75" s="80">
        <f>VLOOKUP(A75,'Watchlist Ratings'!$B$4:$BM$64,60,FALSE())</f>
        <v/>
      </c>
      <c r="E75" s="81">
        <f>VLOOKUP(A75,'Watchlist Ratings'!$B$4:$BM$64,61,FALSE())</f>
        <v/>
      </c>
      <c r="F75" s="81">
        <f>VLOOKUP(A75,'Watchlist Ratings'!$B$4:$BM$64,64,FALSE())</f>
        <v/>
      </c>
      <c r="G75" s="81">
        <f>F75-E75</f>
        <v/>
      </c>
      <c r="H75" s="79">
        <f>IF(E75&gt;0,"🟢 BUY",IF(E75&gt;-0.05,"🟡 HOLD","🔴 PASS"))</f>
        <v/>
      </c>
      <c r="J75" s="79" t="inlineStr">
        <is>
          <t>MSFT</t>
        </is>
      </c>
      <c r="K75" s="79">
        <f>VLOOKUP(J75,'Watchlist Ratings'!$B$4:$BM$64,36,FALSE())</f>
        <v/>
      </c>
      <c r="L75" s="79">
        <f>VLOOKUP(J75,'Watchlist Ratings'!$B$4:$BM$64,29,FALSE())</f>
        <v/>
      </c>
      <c r="M75" s="79">
        <f>VLOOKUP(J75,'Watchlist Ratings'!$B$4:$BM$64,30,FALSE())</f>
        <v/>
      </c>
      <c r="N75" s="79">
        <f>VLOOKUP(J75,'Watchlist Ratings'!$B$4:$BM$64,34,FALSE())</f>
        <v/>
      </c>
      <c r="O75" s="79">
        <f>VLOOKUP(J75,'Watchlist Ratings'!$B$4:$BM$64,8,FALSE())</f>
        <v/>
      </c>
      <c r="P75" s="79">
        <f>VLOOKUP(J75,'Watchlist Ratings'!$B$4:$BM$64,9,FALSE())</f>
        <v/>
      </c>
      <c r="Q75" s="79">
        <f>IF(K75&gt;=8.5,"🟢 ALTO",IF(K75&gt;=7.5,"🟡 MEDIO","🔴 BAJO"))</f>
        <v/>
      </c>
    </row>
    <row r="76" ht="19.5" customHeight="1" s="96">
      <c r="A76" s="151" t="inlineStr">
        <is>
          <t>📋 RESUMEN EJECUTIVO — Los Mejores en Cada Categoría</t>
        </is>
      </c>
    </row>
    <row r="77" ht="19.5" customHeight="1" s="96">
      <c r="A77" s="79" t="inlineStr">
        <is>
          <t>BN</t>
        </is>
      </c>
      <c r="B77" s="80">
        <f>VLOOKUP(A77,'Watchlist Ratings'!$B$4:$BM$64,4,FALSE())</f>
        <v/>
      </c>
      <c r="C77" s="80">
        <f>VLOOKUP(A77,'Watchlist Ratings'!$B$4:$BM$64,59,FALSE())</f>
        <v/>
      </c>
      <c r="D77" s="80">
        <f>VLOOKUP(A77,'Watchlist Ratings'!$B$4:$BM$64,60,FALSE())</f>
        <v/>
      </c>
      <c r="E77" s="81">
        <f>VLOOKUP(A77,'Watchlist Ratings'!$B$4:$BM$64,61,FALSE())</f>
        <v/>
      </c>
      <c r="F77" s="81">
        <f>VLOOKUP(A77,'Watchlist Ratings'!$B$4:$BM$64,64,FALSE())</f>
        <v/>
      </c>
      <c r="G77" s="81">
        <f>F77-E77</f>
        <v/>
      </c>
      <c r="H77" s="79">
        <f>IF(E77&gt;0,"🟢 BUY",IF(E77&gt;-0.05,"🟡 HOLD","🔴 PASS"))</f>
        <v/>
      </c>
      <c r="J77" s="79" t="inlineStr">
        <is>
          <t>BN</t>
        </is>
      </c>
      <c r="K77" s="79">
        <f>VLOOKUP(J77,'Watchlist Ratings'!$B$4:$BM$64,36,FALSE())</f>
        <v/>
      </c>
      <c r="L77" s="79">
        <f>VLOOKUP(J77,'Watchlist Ratings'!$B$4:$BM$64,29,FALSE())</f>
        <v/>
      </c>
      <c r="M77" s="79">
        <f>VLOOKUP(J77,'Watchlist Ratings'!$B$4:$BM$64,30,FALSE())</f>
        <v/>
      </c>
      <c r="N77" s="79">
        <f>VLOOKUP(J77,'Watchlist Ratings'!$B$4:$BM$64,34,FALSE())</f>
        <v/>
      </c>
      <c r="O77" s="79">
        <f>VLOOKUP(J77,'Watchlist Ratings'!$B$4:$BM$64,8,FALSE())</f>
        <v/>
      </c>
      <c r="P77" s="79">
        <f>VLOOKUP(J77,'Watchlist Ratings'!$B$4:$BM$64,9,FALSE())</f>
        <v/>
      </c>
      <c r="Q77" s="79">
        <f>IF(K77&gt;=8.5,"🟢 ALTO",IF(K77&gt;=7.5,"🟡 MEDIO","🔴 BAJO"))</f>
        <v/>
      </c>
    </row>
    <row r="78" ht="19.5" customHeight="1" s="96">
      <c r="A78" s="105" t="inlineStr">
        <is>
          <t>🏆 MEJOR CALIDAD</t>
        </is>
      </c>
      <c r="B78" s="106" t="n"/>
      <c r="C78" s="169" t="inlineStr">
        <is>
          <t>📈 MEJOR IRR BULL</t>
        </is>
      </c>
      <c r="D78" s="106" t="n"/>
      <c r="E78" s="145" t="inlineStr">
        <is>
          <t>💰 MAYOR ROIC</t>
        </is>
      </c>
      <c r="F78" s="106" t="n"/>
      <c r="G78" s="145" t="inlineStr">
        <is>
          <t>🏰 MEJOR MOAT</t>
        </is>
      </c>
      <c r="H78" s="106" t="n"/>
      <c r="I78" s="166" t="inlineStr">
        <is>
          <t>🎯 MÁS OPCIONALIDAD</t>
        </is>
      </c>
      <c r="K78" s="105" t="inlineStr">
        <is>
          <t>🛡️ MÁS ANTIFRAGIL</t>
        </is>
      </c>
      <c r="L78" s="106" t="n"/>
      <c r="M78" s="105" t="inlineStr">
        <is>
          <t>💵 MENOR MÚLTIPLO</t>
        </is>
      </c>
      <c r="N78" s="106" t="n"/>
      <c r="O78" s="105" t="inlineStr">
        <is>
          <t>⚠️ MAYOR SPREAD</t>
        </is>
      </c>
      <c r="P78" s="106" t="n"/>
      <c r="Q78" s="82">
        <f>IF(K78&gt;=8.5,"🟢 ALTO",IF(K78&gt;=7.5,"🟡 MEDIO","🔴 BAJO"))</f>
        <v/>
      </c>
    </row>
    <row r="79" ht="19.5" customHeight="1" s="96">
      <c r="A79" s="116">
        <f>INDEX('Watchlist Ratings'!B:B,MATCH(MAX('Watchlist Ratings'!AN:AN),'Watchlist Ratings'!AN:AN,0))</f>
        <v/>
      </c>
      <c r="B79" s="106" t="n"/>
      <c r="C79" s="117">
        <f>INDEX('Watchlist Ratings'!B:B,MATCH(MAX('Watchlist Ratings'!BM:BM),'Watchlist Ratings'!BM:BM,0))</f>
        <v/>
      </c>
      <c r="D79" s="106" t="n"/>
      <c r="E79" s="118">
        <f>INDEX('Watchlist Ratings'!B:B,MATCH(MAX('Watchlist Ratings'!BC:BC),'Watchlist Ratings'!BC:BC,0))</f>
        <v/>
      </c>
      <c r="F79" s="106" t="n"/>
      <c r="G79" s="118">
        <f>INDEX('Watchlist Ratings'!B:B,MATCH(MAX('Watchlist Ratings'!K:K),'Watchlist Ratings'!K:K,0))</f>
        <v/>
      </c>
      <c r="H79" s="106" t="n"/>
      <c r="I79" s="153">
        <f>INDEX('Watchlist Ratings'!B:B,MATCH(MAX('Watchlist Ratings'!L:L),'Watchlist Ratings'!L:L,0))</f>
        <v/>
      </c>
      <c r="K79" s="116">
        <f>INDEX('Watchlist Ratings'!B:B,MATCH(MAX('Watchlist Ratings'!AM:AM),'Watchlist Ratings'!AM:AM,0))</f>
        <v/>
      </c>
      <c r="L79" s="106" t="n"/>
      <c r="M79" s="116">
        <f t="array" ref="M79">INDEX('Watchlist Ratings'!B:B,MATCH(MIN('Watchlist Ratings'!AW4:AW64),'Watchlist Ratings'!AW4:AW64,0)+3)</f>
        <v/>
      </c>
      <c r="N79" s="106" t="n"/>
      <c r="O79" s="116">
        <f t="array" ref="O79">INDEX('Watchlist Ratings'!B:B,MATCH(MAX('Watchlist Ratings'!BM4:BM64-'Watchlist Ratings'!BL4:BL64),'Watchlist Ratings'!BM4:BM64-'Watchlist Ratings'!BL4:BL64,0)+3)</f>
        <v/>
      </c>
      <c r="P79" s="106" t="n"/>
      <c r="Q79" s="79">
        <f>IF(K79&gt;=8.5,"🟢 ALTO",IF(K79&gt;=7.5,"🟡 MEDIO","🔴 BAJO"))</f>
        <v/>
      </c>
    </row>
    <row r="80" ht="19.5" customHeight="1" s="96">
      <c r="A80" s="143">
        <f>MAX('Watchlist Ratings'!AN:AN)</f>
        <v/>
      </c>
      <c r="B80" s="106" t="n"/>
      <c r="C80" s="144">
        <f>MAX('Watchlist Ratings'!BM:BM)</f>
        <v/>
      </c>
      <c r="D80" s="106" t="n"/>
      <c r="E80" s="149">
        <f>MAX('Watchlist Ratings'!BC:BC)</f>
        <v/>
      </c>
      <c r="F80" s="106" t="n"/>
      <c r="G80" s="149">
        <f>MAX('Watchlist Ratings'!K:K)&amp;"/8"</f>
        <v/>
      </c>
      <c r="H80" s="106" t="n"/>
      <c r="I80" s="126">
        <f>MAX('Watchlist Ratings'!L:L)&amp;"/3"</f>
        <v/>
      </c>
      <c r="K80" s="127">
        <f>MAX('Watchlist Ratings'!AM:AM)</f>
        <v/>
      </c>
      <c r="L80" s="106" t="n"/>
      <c r="M80" s="127">
        <f>MIN('Watchlist Ratings'!AW4:AW64)&amp;"x"</f>
        <v/>
      </c>
      <c r="N80" s="106" t="n"/>
      <c r="O80" s="127">
        <f t="array" ref="O80">TEXT(MAX('Watchlist Ratings'!BM4:BM64-'Watchlist Ratings'!BL4:BL64),"0.0%")</f>
        <v/>
      </c>
      <c r="P80" s="106" t="n"/>
      <c r="Q80" s="82">
        <f>IF(K80&gt;=8.5,"🟢 ALTO",IF(K80&gt;=7.5,"🟡 MEDIO","🔴 BAJO"))</f>
        <v/>
      </c>
    </row>
    <row r="81" ht="19.5" customHeight="1" s="96">
      <c r="A81" s="79" t="inlineStr">
        <is>
          <t>ZS</t>
        </is>
      </c>
      <c r="B81" s="80">
        <f>VLOOKUP(A81,'Watchlist Ratings'!$B$4:$BM$64,4,FALSE())</f>
        <v/>
      </c>
      <c r="C81" s="80">
        <f>VLOOKUP(A81,'Watchlist Ratings'!$B$4:$BM$64,59,FALSE())</f>
        <v/>
      </c>
      <c r="D81" s="80">
        <f>VLOOKUP(A81,'Watchlist Ratings'!$B$4:$BM$64,60,FALSE())</f>
        <v/>
      </c>
      <c r="E81" s="81">
        <f>VLOOKUP(A81,'Watchlist Ratings'!$B$4:$BM$64,61,FALSE())</f>
        <v/>
      </c>
      <c r="F81" s="81">
        <f>VLOOKUP(A81,'Watchlist Ratings'!$B$4:$BM$64,64,FALSE())</f>
        <v/>
      </c>
      <c r="G81" s="81">
        <f>F81-E81</f>
        <v/>
      </c>
      <c r="H81" s="79">
        <f>IF(E81&gt;0,"🟢 BUY",IF(E81&gt;-0.05,"🟡 HOLD","🔴 PASS"))</f>
        <v/>
      </c>
      <c r="J81" s="79" t="inlineStr">
        <is>
          <t>ZS</t>
        </is>
      </c>
      <c r="K81" s="79">
        <f>VLOOKUP(J81,'Watchlist Ratings'!$B$4:$BM$64,36,FALSE())</f>
        <v/>
      </c>
      <c r="L81" s="79">
        <f>VLOOKUP(J81,'Watchlist Ratings'!$B$4:$BM$64,29,FALSE())</f>
        <v/>
      </c>
      <c r="M81" s="79">
        <f>VLOOKUP(J81,'Watchlist Ratings'!$B$4:$BM$64,30,FALSE())</f>
        <v/>
      </c>
      <c r="N81" s="79">
        <f>VLOOKUP(J81,'Watchlist Ratings'!$B$4:$BM$64,34,FALSE())</f>
        <v/>
      </c>
      <c r="O81" s="79">
        <f>VLOOKUP(J81,'Watchlist Ratings'!$B$4:$BM$64,8,FALSE())</f>
        <v/>
      </c>
      <c r="P81" s="79">
        <f>VLOOKUP(J81,'Watchlist Ratings'!$B$4:$BM$64,9,FALSE())</f>
        <v/>
      </c>
      <c r="Q81" s="79">
        <f>IF(K81&gt;=8.5,"🟢 ALTO",IF(K81&gt;=7.5,"🟡 MEDIO","🔴 BAJO"))</f>
        <v/>
      </c>
    </row>
    <row r="82" ht="19.5" customHeight="1" s="96">
      <c r="A82" s="128" t="inlineStr">
        <is>
          <t>Dashboard generado automáticamente | Datos: April 2026 | Framework: JP Morgan Equity Research</t>
        </is>
      </c>
    </row>
    <row r="83" ht="19.5" customHeight="1" s="96">
      <c r="A83" s="83" t="inlineStr">
        <is>
          <t>AMZN</t>
        </is>
      </c>
      <c r="B83" s="84">
        <f>VLOOKUP(A83,'Watchlist Ratings'!$B$4:$BM$64,4,FALSE())</f>
        <v/>
      </c>
      <c r="C83" s="84">
        <f>VLOOKUP(A83,'Watchlist Ratings'!$B$4:$BM$64,59,FALSE())</f>
        <v/>
      </c>
      <c r="D83" s="84">
        <f>VLOOKUP(A83,'Watchlist Ratings'!$B$4:$BM$64,60,FALSE())</f>
        <v/>
      </c>
      <c r="E83" s="85">
        <f>VLOOKUP(A83,'Watchlist Ratings'!$B$4:$BM$64,61,FALSE())</f>
        <v/>
      </c>
      <c r="F83" s="85">
        <f>VLOOKUP(A83,'Watchlist Ratings'!$B$4:$BM$64,64,FALSE())</f>
        <v/>
      </c>
      <c r="G83" s="85">
        <f>F83-E83</f>
        <v/>
      </c>
      <c r="H83" s="83">
        <f>IF(E83&gt;0,"🟢 BUY",IF(E83&gt;-0.05,"🟡 HOLD","🔴 PASS"))</f>
        <v/>
      </c>
      <c r="J83" s="83" t="inlineStr">
        <is>
          <t>AMZN</t>
        </is>
      </c>
      <c r="K83" s="83">
        <f>VLOOKUP(J83,'Watchlist Ratings'!$B$4:$BM$64,36,FALSE())</f>
        <v/>
      </c>
      <c r="L83" s="83">
        <f>VLOOKUP(J83,'Watchlist Ratings'!$B$4:$BM$64,29,FALSE())</f>
        <v/>
      </c>
      <c r="M83" s="83">
        <f>VLOOKUP(J83,'Watchlist Ratings'!$B$4:$BM$64,30,FALSE())</f>
        <v/>
      </c>
      <c r="N83" s="83">
        <f>VLOOKUP(J83,'Watchlist Ratings'!$B$4:$BM$64,34,FALSE())</f>
        <v/>
      </c>
      <c r="O83" s="83">
        <f>VLOOKUP(J83,'Watchlist Ratings'!$B$4:$BM$64,8,FALSE())</f>
        <v/>
      </c>
      <c r="P83" s="83">
        <f>VLOOKUP(J83,'Watchlist Ratings'!$B$4:$BM$64,9,FALSE())</f>
        <v/>
      </c>
      <c r="Q83" s="83">
        <f>IF(K83&gt;=8.5,"🟢 ALTO",IF(K83&gt;=7.5,"🟡 MEDIO","🔴 BAJO"))</f>
        <v/>
      </c>
    </row>
    <row r="84" ht="19.5" customHeight="1" s="96"/>
    <row r="85" ht="27.75" customHeight="1" s="96">
      <c r="A85" s="152" t="inlineStr">
        <is>
          <t>📋 RESUMEN EJECUTIVO — Los Mejores en Cada Categoría</t>
        </is>
      </c>
    </row>
    <row r="86" ht="19.5" customHeight="1" s="96"/>
    <row r="87" ht="19.5" customHeight="1" s="96">
      <c r="A87" s="129" t="inlineStr">
        <is>
          <t>🏆 MEJOR CALIDAD</t>
        </is>
      </c>
      <c r="C87" s="171" t="inlineStr">
        <is>
          <t>📈 MEJOR IRR BULL</t>
        </is>
      </c>
      <c r="E87" s="119" t="inlineStr">
        <is>
          <t>💰 MAYOR ROIC</t>
        </is>
      </c>
      <c r="G87" s="147" t="inlineStr">
        <is>
          <t>🏰 MEJOR MOAT</t>
        </is>
      </c>
      <c r="I87" s="148" t="inlineStr">
        <is>
          <t>🎯 MÁS OPCIONALIDAD</t>
        </is>
      </c>
      <c r="K87" s="170" t="inlineStr">
        <is>
          <t>🛡️ MÁS ANTIFRAGIL</t>
        </is>
      </c>
      <c r="M87" s="133" t="inlineStr">
        <is>
          <t>💵 MENOR MÚLTIPLO</t>
        </is>
      </c>
      <c r="O87" s="156" t="inlineStr">
        <is>
          <t>⚠️ MAYOR SPREAD</t>
        </is>
      </c>
    </row>
    <row r="88" ht="19.5" customHeight="1" s="96">
      <c r="A88" s="115">
        <f>INDEX('Watchlist Ratings'!B$4:B$64,MATCH(MAX('Watchlist Ratings'!AN$4:AN$64),'Watchlist Ratings'!AN$4:AN$64,0))</f>
        <v/>
      </c>
      <c r="C88" s="157">
        <f>INDEX('Watchlist Ratings'!B$4:B$64,MATCH(MAX('Watchlist Ratings'!BM$4:BM$64),'Watchlist Ratings'!BM$4:BM$64,0))</f>
        <v/>
      </c>
      <c r="E88" s="115">
        <f>INDEX('Watchlist Ratings'!B$4:B$64,MATCH(MAX('Watchlist Ratings'!BC$4:BC$64),'Watchlist Ratings'!BC$4:BC$64,0))</f>
        <v/>
      </c>
      <c r="G88" s="115">
        <f>INDEX('Watchlist Ratings'!B$4:B$64,MATCH(MAX('Watchlist Ratings'!K$4:K$64),'Watchlist Ratings'!K$4:K$64,0))</f>
        <v/>
      </c>
      <c r="I88" s="115">
        <f>INDEX('Watchlist Ratings'!B$4:B$64,MATCH(MAX('Watchlist Ratings'!L$4:L$64),'Watchlist Ratings'!L$4:L$64,0))</f>
        <v/>
      </c>
      <c r="K88" s="115">
        <f>INDEX('Watchlist Ratings'!B$4:B$64,MATCH(MAX('Watchlist Ratings'!AM$4:AM$64),'Watchlist Ratings'!AM$4:AM$64,0))</f>
        <v/>
      </c>
      <c r="M88" s="115">
        <f t="array" ref="M88">INDEX('Watchlist Ratings'!B$4:B$64,MATCH(MIN(IF('Watchlist Ratings'!AW$4:AW$64&gt;0,'Watchlist Ratings'!AW$4:AW$64)),IF('Watchlist Ratings'!AW$4:AW$64&gt;0,'Watchlist Ratings'!AW$4:AW$64),0))</f>
        <v/>
      </c>
      <c r="O88" s="115">
        <f t="array" ref="O88">INDEX('Watchlist Ratings'!B$4:B$64,MATCH(MAX('Watchlist Ratings'!BM$4:BM$64-'Watchlist Ratings'!BL$4:BL$64),'Watchlist Ratings'!BM$4:BM$64-'Watchlist Ratings'!BL$4:BL$64,0))</f>
        <v/>
      </c>
    </row>
    <row r="89" ht="19.5" customHeight="1" s="96">
      <c r="A89" s="132">
        <f>MAX('Watchlist Ratings'!AN$4:AN$64)</f>
        <v/>
      </c>
      <c r="C89" s="114">
        <f>MAX('Watchlist Ratings'!BM$4:BM$64)</f>
        <v/>
      </c>
      <c r="E89" s="114">
        <f>MAX('Watchlist Ratings'!BC$4:BC$64)</f>
        <v/>
      </c>
      <c r="G89" s="109">
        <f>MAX('Watchlist Ratings'!K$4:K$64)&amp;"/8"</f>
        <v/>
      </c>
      <c r="I89" s="109">
        <f>MAX('Watchlist Ratings'!L$4:L$64)&amp;"/3"</f>
        <v/>
      </c>
      <c r="K89" s="109">
        <f>MAX('Watchlist Ratings'!AM$4:AM$64)</f>
        <v/>
      </c>
      <c r="M89" s="109">
        <f t="array" ref="M89">MIN(IF('Watchlist Ratings'!AW$4:AW$64&gt;0,'Watchlist Ratings'!AW$4:AW$64))&amp;"x"</f>
        <v/>
      </c>
      <c r="O89" s="109">
        <f t="array" ref="O89">MAX('Watchlist Ratings'!BM$4:BM$64-'Watchlist Ratings'!BL$4:BL$64)</f>
        <v/>
      </c>
    </row>
    <row r="90" ht="19.5" customHeight="1" s="96"/>
    <row r="91" ht="19.5" customHeight="1" s="96">
      <c r="A91" s="165" t="inlineStr">
        <is>
          <t>Dashboard generado automáticamente | Datos: April 2026 | Framework: JP Morgan Equity Research</t>
        </is>
      </c>
    </row>
  </sheetData>
  <mergeCells count="86">
    <mergeCell ref="O78:P78"/>
    <mergeCell ref="C6:D6"/>
    <mergeCell ref="L40:R40"/>
    <mergeCell ref="J72:Q72"/>
    <mergeCell ref="I89:J89"/>
    <mergeCell ref="K89:L89"/>
    <mergeCell ref="C89:D89"/>
    <mergeCell ref="A88:B88"/>
    <mergeCell ref="C79:D79"/>
    <mergeCell ref="M79:N79"/>
    <mergeCell ref="K88:L88"/>
    <mergeCell ref="E79:F79"/>
    <mergeCell ref="M88:N88"/>
    <mergeCell ref="E87:F87"/>
    <mergeCell ref="O88:P88"/>
    <mergeCell ref="J42:Q42"/>
    <mergeCell ref="C3:D3"/>
    <mergeCell ref="E3:F3"/>
    <mergeCell ref="K78:L78"/>
    <mergeCell ref="I6:J6"/>
    <mergeCell ref="C5:D5"/>
    <mergeCell ref="I80:J80"/>
    <mergeCell ref="E5:F5"/>
    <mergeCell ref="K80:L80"/>
    <mergeCell ref="A82:Q82"/>
    <mergeCell ref="A79:B79"/>
    <mergeCell ref="C4:D4"/>
    <mergeCell ref="K79:L79"/>
    <mergeCell ref="A87:B87"/>
    <mergeCell ref="E4:F4"/>
    <mergeCell ref="A89:B89"/>
    <mergeCell ref="M87:N87"/>
    <mergeCell ref="G88:H88"/>
    <mergeCell ref="I88:J88"/>
    <mergeCell ref="A62:H62"/>
    <mergeCell ref="K6:L6"/>
    <mergeCell ref="K3:L3"/>
    <mergeCell ref="K5:L5"/>
    <mergeCell ref="A2:L2"/>
    <mergeCell ref="A78:B78"/>
    <mergeCell ref="M78:N78"/>
    <mergeCell ref="A80:B80"/>
    <mergeCell ref="C80:D80"/>
    <mergeCell ref="E78:F78"/>
    <mergeCell ref="A3:B3"/>
    <mergeCell ref="G78:H78"/>
    <mergeCell ref="G87:H87"/>
    <mergeCell ref="I87:J87"/>
    <mergeCell ref="E6:F6"/>
    <mergeCell ref="E80:F80"/>
    <mergeCell ref="M89:N89"/>
    <mergeCell ref="A5:B5"/>
    <mergeCell ref="G80:H80"/>
    <mergeCell ref="E89:F89"/>
    <mergeCell ref="O89:P89"/>
    <mergeCell ref="G89:H89"/>
    <mergeCell ref="A76:Q76"/>
    <mergeCell ref="O79:P79"/>
    <mergeCell ref="A85:Q85"/>
    <mergeCell ref="G79:H79"/>
    <mergeCell ref="A4:B4"/>
    <mergeCell ref="I79:J79"/>
    <mergeCell ref="J62:Q62"/>
    <mergeCell ref="O87:P87"/>
    <mergeCell ref="C88:D88"/>
    <mergeCell ref="E88:F88"/>
    <mergeCell ref="A6:B6"/>
    <mergeCell ref="A8:L8"/>
    <mergeCell ref="G6:H6"/>
    <mergeCell ref="G3:H3"/>
    <mergeCell ref="A72:I72"/>
    <mergeCell ref="I3:J3"/>
    <mergeCell ref="G5:H5"/>
    <mergeCell ref="M80:N80"/>
    <mergeCell ref="I5:J5"/>
    <mergeCell ref="O80:P80"/>
    <mergeCell ref="G4:H4"/>
    <mergeCell ref="I4:J4"/>
    <mergeCell ref="I78:J78"/>
    <mergeCell ref="A91:Q91"/>
    <mergeCell ref="A24:R24"/>
    <mergeCell ref="A1:L1"/>
    <mergeCell ref="K4:L4"/>
    <mergeCell ref="C78:D78"/>
    <mergeCell ref="K87:L87"/>
    <mergeCell ref="C87:D87"/>
  </mergeCells>
  <conditionalFormatting sqref="F9:F22">
    <cfRule type="cellIs" priority="2" operator="greaterThanOrEqual" dxfId="5">
      <formula>8</formula>
    </cfRule>
    <cfRule type="cellIs" priority="3" operator="between" dxfId="4">
      <formula>7</formula>
      <formula>8</formula>
    </cfRule>
    <cfRule type="cellIs" priority="4" operator="greaterThanOrEqual" dxfId="5">
      <formula>8</formula>
    </cfRule>
    <cfRule type="cellIs" priority="5" operator="between" dxfId="4">
      <formula>7</formula>
      <formula>7.99</formula>
    </cfRule>
    <cfRule type="cellIs" priority="6" operator="lessThan" dxfId="3">
      <formula>7</formula>
    </cfRule>
  </conditionalFormatting>
  <conditionalFormatting sqref="G9:G22">
    <cfRule type="cellIs" priority="7" operator="greaterThanOrEqual" dxfId="2">
      <formula>7</formula>
    </cfRule>
  </conditionalFormatting>
  <conditionalFormatting sqref="I9:I22">
    <cfRule type="cellIs" priority="8" operator="greaterThanOrEqual" dxfId="1">
      <formula>0.25</formula>
    </cfRule>
    <cfRule type="cellIs" priority="9" operator="between" dxfId="0">
      <formula>0.15</formula>
      <formula>0.249</formula>
    </cfRule>
  </conditionalFormatting>
  <pageMargins left="0.7" right="0.7" top="0.75" bottom="0.75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topLeftCell="B1" workbookViewId="0">
      <selection activeCell="B6" sqref="B6"/>
    </sheetView>
  </sheetViews>
  <sheetFormatPr baseColWidth="10" defaultColWidth="9.140625" defaultRowHeight="15"/>
  <cols>
    <col width="10.42578125" bestFit="1" customWidth="1" style="96" min="2" max="2"/>
    <col width="27.85546875" customWidth="1" style="96" min="3" max="3"/>
    <col width="52.85546875" bestFit="1" customWidth="1" style="96" min="4" max="4"/>
    <col width="192.28515625" bestFit="1" customWidth="1" style="96" min="5" max="5"/>
  </cols>
  <sheetData>
    <row r="1">
      <c r="A1" t="inlineStr">
        <is>
          <t>Ticker</t>
        </is>
      </c>
      <c r="B1" t="inlineStr">
        <is>
          <t>Fecha</t>
        </is>
      </c>
      <c r="C1" t="inlineStr">
        <is>
          <t>Campos cambiados</t>
        </is>
      </c>
      <c r="D1" t="inlineStr">
        <is>
          <t>Fuente</t>
        </is>
      </c>
      <c r="E1" t="inlineStr">
        <is>
          <t>Resumen</t>
        </is>
      </c>
    </row>
    <row r="2">
      <c r="A2" t="inlineStr">
        <is>
          <t>NFLX</t>
        </is>
      </c>
      <c r="B2" t="inlineStr">
        <is>
          <t>2026-04-26</t>
        </is>
      </c>
      <c r="C2" t="inlineStr">
        <is>
          <t>No financial changes — LTM figures already reflect Q1 2026 results</t>
        </is>
      </c>
      <c r="D2" t="inlineStr">
        <is>
          <t>Q1 2026 Earnings (April 16, 2026) — ir.netflix.net</t>
        </is>
      </c>
      <c r="E2" t="inlineStr">
        <is>
          <t>Q1 2026 rev $12.25B (+16.2% YoY), LTM figures ya actualizados. Guía FY26 $50.7-51.7B, FCF elevado a $12.5B por termination fee WBD. Q2 guía decepcionó (-9% AH).</t>
        </is>
      </c>
    </row>
    <row r="3">
      <c r="A3" t="inlineStr">
        <is>
          <t>MIPS</t>
        </is>
      </c>
      <c r="B3" t="inlineStr">
        <is>
          <t>2026-04-26</t>
        </is>
      </c>
      <c r="C3" t="inlineStr">
        <is>
          <t>UPDATED [AP] Cash &amp; Equivalents: 200 → 180; UPDATED [AV] Revenue LTM: 450 → 485; UPDATED [AU] EBITDA LTM: 165 → 182; UPDATED [AT] NOPAT LTM: 130 → 143; UPDATED [AS] FCF LTM (unlevered): 110 → 118</t>
        </is>
      </c>
      <c r="D3" t="inlineStr">
        <is>
          <t>Q1 2026 Interim Report (mipscorp.com)</t>
        </is>
      </c>
      <c r="E3" t="inlineStr">
        <is>
          <t>Ventas +30% (SEK 151M), crecimiento orgánico +25%. EBIT adj SEK 50M (margen 33.2%). Caja baja a SEK 180M por adquisición Koroyd. Guía de &gt;30% org growth mantenida.</t>
        </is>
      </c>
    </row>
    <row r="4">
      <c r="A4" t="inlineStr">
        <is>
          <t>JFN</t>
        </is>
      </c>
      <c r="B4" t="inlineStr">
        <is>
          <t>2026-04-26</t>
        </is>
      </c>
      <c r="C4" t="inlineStr">
        <is>
          <t>UPDATED [AV] Revenue LTM: 225 → 306; UPDATED [AU] EBITDA LTM: 85 → 138; UPDATED [AS] FCF LTM (unlevered): 50 → 75; UPDATED [AT] NOPAT LTM: 35 → 78</t>
        </is>
      </c>
      <c r="D4" t="inlineStr">
        <is>
          <t>FY 2025 Annual Results (jungfrau.ch / webdisclosure.com)</t>
        </is>
      </c>
      <c r="E4" t="inlineStr">
        <is>
          <t>FY25: ingresos operativos CHF 305.7M (+3.7%), EBITDA CHF 138.4M (+3%), FCF CHF 74.5M (+9.6%), EBIT CHF 98.9M. Dividendo propuesto CHF 8.50 (+). Nota: Revenue actualizado a total operativo vs. transport previo.</t>
        </is>
      </c>
    </row>
    <row r="5">
      <c r="A5" t="inlineStr">
        <is>
          <t>KIST</t>
        </is>
      </c>
      <c r="B5" t="inlineStr">
        <is>
          <t>2026-04-26</t>
        </is>
      </c>
      <c r="C5" t="inlineStr">
        <is>
          <t xml:space="preserve">UPDATED manually on Bond presentation </t>
        </is>
      </c>
      <c r="D5" t="inlineStr">
        <is>
          <t>Bond Presetation on IR Kistos</t>
        </is>
      </c>
      <c r="E5" t="inlineStr">
        <is>
          <t>Net cash &amp; Eq and DCF updated</t>
        </is>
      </c>
    </row>
    <row r="6">
      <c r="A6" t="inlineStr">
        <is>
          <t>MSFT</t>
        </is>
      </c>
      <c r="B6" t="inlineStr">
        <is>
          <t>2026-04-30</t>
        </is>
      </c>
      <c r="C6" t="inlineStr">
        <is>
          <t>BN; BO; BP</t>
        </is>
      </c>
      <c r="D6" t="inlineStr">
        <is>
          <t>Microsoft Q3 FY2026 Earnings (30/04/2026)</t>
        </is>
      </c>
      <c r="E6" t="inlineStr">
        <is>
          <t>Azure +40%, AI $37B ann. Capex récord $190B FY2026.</t>
        </is>
      </c>
    </row>
    <row r="7">
      <c r="A7" t="inlineStr">
        <is>
          <t>AMZN</t>
        </is>
      </c>
      <c r="B7" t="inlineStr">
        <is>
          <t>2026-04-30</t>
        </is>
      </c>
      <c r="C7" t="inlineStr">
        <is>
          <t>BN; BO; BP</t>
        </is>
      </c>
      <c r="D7" t="inlineStr">
        <is>
          <t>Amazon Q1 2026 Earnings (30/04/2026)</t>
        </is>
      </c>
      <c r="E7" t="inlineStr">
        <is>
          <t>Rev +17%, margen op 13.1% récord, AWS +28%, Ads +24%.</t>
        </is>
      </c>
    </row>
    <row r="8">
      <c r="A8" t="inlineStr">
        <is>
          <t>STMN</t>
        </is>
      </c>
      <c r="B8" t="inlineStr">
        <is>
          <t>2026-04-30</t>
        </is>
      </c>
      <c r="C8" t="inlineStr">
        <is>
          <t>BN; BO; BP</t>
        </is>
      </c>
      <c r="D8" t="inlineStr">
        <is>
          <t>Straumann Q1 2026 Results (30/04/2026)</t>
        </is>
      </c>
      <c r="E8" t="inlineStr">
        <is>
          <t>Rev +7.1% org, China estabiliza, LATAM +19.5%. Guidance confirmado.</t>
        </is>
      </c>
    </row>
    <row r="9">
      <c r="A9" t="inlineStr">
        <is>
          <t>META</t>
        </is>
      </c>
      <c r="B9" t="inlineStr">
        <is>
          <t>2026-04-30</t>
        </is>
      </c>
      <c r="C9" t="inlineStr">
        <is>
          <t>BN; BO; BP</t>
        </is>
      </c>
      <c r="D9" t="inlineStr">
        <is>
          <t>Meta Q1 2026 Earnings (30/04/2026)</t>
        </is>
      </c>
      <c r="E9" t="inlineStr">
        <is>
          <t>Rev +33%, Net Inc +61%. Capex $125-145B. DAP 3.56B.</t>
        </is>
      </c>
    </row>
    <row r="10">
      <c r="A10" t="inlineStr">
        <is>
          <t>GOOG</t>
        </is>
      </c>
      <c r="B10" t="inlineStr">
        <is>
          <t>2026-04-30</t>
        </is>
      </c>
      <c r="C10" t="inlineStr">
        <is>
          <t>BN; BO; BP</t>
        </is>
      </c>
      <c r="D10" t="inlineStr">
        <is>
          <t>Alphabet Q1 2026 Earnings (30/04/2026)</t>
        </is>
      </c>
      <c r="E10" t="inlineStr">
        <is>
          <t>Cloud +63%, Net Inc +81%, backlog $462B. Capex $190B.</t>
        </is>
      </c>
    </row>
    <row r="11">
      <c r="A11" t="inlineStr">
        <is>
          <t>GRMN</t>
        </is>
      </c>
      <c r="B11" t="inlineStr">
        <is>
          <t>2026-04-30</t>
        </is>
      </c>
      <c r="C11" t="inlineStr">
        <is>
          <t>BN; BO; BP</t>
        </is>
      </c>
      <c r="D11" t="inlineStr">
        <is>
          <t>Garmin Q1 2026 Earnings (30/04/2026)</t>
        </is>
      </c>
      <c r="E11" t="inlineStr">
        <is>
          <t>Rev récord +14%, EPS $2.08 vs $1.86 est. Fitness +42%.</t>
        </is>
      </c>
    </row>
    <row r="12">
      <c r="A12" t="inlineStr">
        <is>
          <t>SPOT</t>
        </is>
      </c>
      <c r="B12" t="inlineStr">
        <is>
          <t>2026-04-30</t>
        </is>
      </c>
      <c r="C12" t="inlineStr">
        <is>
          <t>M; T; AH; BN; BO; BP</t>
        </is>
      </c>
      <c r="D12" t="inlineStr">
        <is>
          <t>Spotify Q1 2026 Earnings (22/04/2026)</t>
        </is>
      </c>
      <c r="E12" t="inlineStr">
        <is>
          <t>GM 33% near-record, FCF +54%. Autosuficiencia confirmada. RATING: M↑ T↑ AH↑</t>
        </is>
      </c>
    </row>
    <row r="13">
      <c r="A13" t="inlineStr">
        <is>
          <t>VID</t>
        </is>
      </c>
      <c r="B13" t="inlineStr">
        <is>
          <t>2026-04-30</t>
        </is>
      </c>
      <c r="C13" t="inlineStr">
        <is>
          <t>BN; BO; BP</t>
        </is>
      </c>
      <c r="D13" t="inlineStr">
        <is>
          <t>Vidrala Q1 2026 Results (30/04/2026)</t>
        </is>
      </c>
      <c r="E13" t="inlineStr">
        <is>
          <t>Rev -1.3%, EBITDA 28.3%, BN +13%. Guidance EBITDA €450M.</t>
        </is>
      </c>
    </row>
    <row r="14">
      <c r="A14" t="inlineStr">
        <is>
          <t>OTLY</t>
        </is>
      </c>
      <c r="B14" t="inlineStr">
        <is>
          <t>2026-04-30</t>
        </is>
      </c>
      <c r="C14" t="inlineStr">
        <is>
          <t>AV; M; T; AE; AH; BN; BO; BP</t>
        </is>
      </c>
      <c r="D14" t="inlineStr">
        <is>
          <t>Oatly Q1 2026 Earnings (07/05/2026)</t>
        </is>
      </c>
      <c r="E14" t="inlineStr">
        <is>
          <t>1er EBITDA positivo ($5M). Rev +15.6%. RATING: AV↑ M↑ T↑ AE↑ AH↑</t>
        </is>
      </c>
    </row>
    <row r="15">
      <c r="A15" t="inlineStr">
        <is>
          <t>RAA</t>
        </is>
      </c>
      <c r="B15" t="inlineStr">
        <is>
          <t>2026-05-07</t>
        </is>
      </c>
      <c r="C15" t="inlineStr">
        <is>
          <t>AV; AU; AS; AT; BN; BO; BP</t>
        </is>
      </c>
      <c r="D15" t="inlineStr">
        <is>
          <t>RB Global Q1 2026 Earnings (05/05/2026)</t>
        </is>
      </c>
      <c r="E15" t="inlineStr">
        <is>
          <t>Rev +11.4%, EBITDA $363M (beat +5.1%). Guidance $1.52B.</t>
        </is>
      </c>
    </row>
    <row r="16">
      <c r="A16" t="inlineStr">
        <is>
          <t>FICO</t>
        </is>
      </c>
      <c r="B16" t="inlineStr">
        <is>
          <t>2026-05-07</t>
        </is>
      </c>
      <c r="C16" t="inlineStr">
        <is>
          <t>AV; AU; AS; AT; T; AG; BN; BO; BP</t>
        </is>
      </c>
      <c r="D16" t="inlineStr">
        <is>
          <t>Fair Isaac Q2 FY2026 Earnings (28/04/2026)</t>
        </is>
      </c>
      <c r="E16" t="inlineStr">
        <is>
          <t>Rev +39%, FCF triplica, EPS $12.50. RATING: T↑17 AG↑15 (capital allocation récord)</t>
        </is>
      </c>
    </row>
    <row r="17">
      <c r="A17" t="inlineStr">
        <is>
          <t>VLTO</t>
        </is>
      </c>
      <c r="B17" t="inlineStr">
        <is>
          <t>2026-05-07</t>
        </is>
      </c>
      <c r="C17" t="inlineStr">
        <is>
          <t>AV; AU; AS; AT; BN; BO; BP</t>
        </is>
      </c>
      <c r="D17" t="inlineStr">
        <is>
          <t>Veralto Q1 2026 Earnings (28/04/2026)</t>
        </is>
      </c>
      <c r="E17" t="inlineStr">
        <is>
          <t>Rev +6.7%, adq $620M, EPS guidance alzada $4.20-4.28.</t>
        </is>
      </c>
    </row>
    <row r="18">
      <c r="A18" t="inlineStr">
        <is>
          <t>LR</t>
        </is>
      </c>
      <c r="B18" t="inlineStr">
        <is>
          <t>2026-05-07</t>
        </is>
      </c>
      <c r="C18" t="inlineStr">
        <is>
          <t>AV; AU; AS; AT; V; BN; BO; BP</t>
        </is>
      </c>
      <c r="D18" t="inlineStr">
        <is>
          <t>Legrand Q1 2026 Results (07/05/2026)</t>
        </is>
      </c>
      <c r="E18" t="inlineStr">
        <is>
          <t>Rev +9.3% org, data centers. Guidance +10-15%. RATING: V↑14 (data centers estructural)</t>
        </is>
      </c>
    </row>
    <row r="19">
      <c r="A19" t="inlineStr">
        <is>
          <t>KKR</t>
        </is>
      </c>
      <c r="B19" t="inlineStr">
        <is>
          <t>2026-05-07</t>
        </is>
      </c>
      <c r="C19" t="inlineStr">
        <is>
          <t>AV; AU; AS; AT; BN; BO; BP</t>
        </is>
      </c>
      <c r="D19" t="inlineStr">
        <is>
          <t>KKR Q1 2026 Earnings (05/05/2026)</t>
        </is>
      </c>
      <c r="E19" t="inlineStr">
        <is>
          <t>AUM $758B récord, ANI +20%. Aviso ANI &lt; $7/sh si monetización difícil.</t>
        </is>
      </c>
    </row>
    <row r="20">
      <c r="A20" t="inlineStr">
        <is>
          <t>COR</t>
        </is>
      </c>
      <c r="B20" t="inlineStr">
        <is>
          <t>2026-05-07</t>
        </is>
      </c>
      <c r="C20" t="inlineStr">
        <is>
          <t>BN; BO; BP</t>
        </is>
      </c>
      <c r="D20" t="inlineStr">
        <is>
          <t>Cencora Q2 FY2026 Earnings (06/05/2026)</t>
        </is>
      </c>
      <c r="E20" t="inlineStr">
        <is>
          <t>Rev miss, EPS miss pero guidance EPS alzado. Biosimilares aceleran.</t>
        </is>
      </c>
    </row>
    <row r="21">
      <c r="A21" t="inlineStr">
        <is>
          <t>PRY</t>
        </is>
      </c>
      <c r="B21" t="inlineStr">
        <is>
          <t>2026-05-07</t>
        </is>
      </c>
      <c r="C21" t="inlineStr">
        <is>
          <t>AV; AU; AS; AT; V; BN; BO; BP</t>
        </is>
      </c>
      <c r="D21" t="inlineStr">
        <is>
          <t>Prysmian Q1 2026 Earnings (30/04/2026)</t>
        </is>
      </c>
      <c r="E21" t="inlineStr">
        <is>
          <t>Digital Sols +740bps margen, AI infra demanda cables. RATING: V↑14</t>
        </is>
      </c>
    </row>
    <row r="22">
      <c r="A22" t="inlineStr">
        <is>
          <t>CHKP</t>
        </is>
      </c>
      <c r="B22" t="inlineStr">
        <is>
          <t>2026-05-07</t>
        </is>
      </c>
      <c r="C22" t="inlineStr">
        <is>
          <t>AV; AU; AS; AT; U; AA; AK; BN; BO; BP</t>
        </is>
      </c>
      <c r="D22" t="inlineStr">
        <is>
          <t>Check Point Q1 2026 Earnings (30/04/2026)</t>
        </is>
      </c>
      <c r="E22" t="inlineStr">
        <is>
          <t>Rev guidance rebajada, appliances decline estructural. RATING: U↓10 AA↓-14 AK↓-9</t>
        </is>
      </c>
    </row>
    <row r="23">
      <c r="A23" t="inlineStr">
        <is>
          <t>TFPM</t>
        </is>
      </c>
      <c r="B23" t="inlineStr">
        <is>
          <t>2026-05-07</t>
        </is>
      </c>
      <c r="C23" t="inlineStr">
        <is>
          <t>AV; AU; AS; AT; BN; BO; BP</t>
        </is>
      </c>
      <c r="D23" t="inlineStr">
        <is>
          <t>Triple Flag Q1 2026 Earnings (05/05/2026)</t>
        </is>
      </c>
      <c r="E23" t="inlineStr">
        <is>
          <t>Rev récord $147M (+79%), GEOs récord 30,166. Metal prices driver.</t>
        </is>
      </c>
    </row>
    <row r="24">
      <c r="A24" t="inlineStr">
        <is>
          <t>FERG</t>
        </is>
      </c>
      <c r="B24" t="inlineStr">
        <is>
          <t>2026-05-07</t>
        </is>
      </c>
      <c r="C24" t="inlineStr">
        <is>
          <t>BN; BO; BP</t>
        </is>
      </c>
      <c r="D24" t="inlineStr">
        <is>
          <t>Ferguson Q1 CY2026 Earnings (05/05/2026)</t>
        </is>
      </c>
      <c r="E24" t="inlineStr">
        <is>
          <t>Rev miss, EPS en línea. Non-res +8%. Guidance confirmado.</t>
        </is>
      </c>
    </row>
    <row r="25">
      <c r="A25" t="inlineStr">
        <is>
          <t>TREX</t>
        </is>
      </c>
      <c r="B25" t="inlineStr">
        <is>
          <t>2026-05-07</t>
        </is>
      </c>
      <c r="C25" t="inlineStr">
        <is>
          <t>AV; AU; AS; AT; M; T; BN; BO; BP</t>
        </is>
      </c>
      <c r="D25" t="inlineStr">
        <is>
          <t>Trex Q1 2026 Earnings (07/05/2026)</t>
        </is>
      </c>
      <c r="E25" t="inlineStr">
        <is>
          <t>EBITDA 30% en revenue flat (+1%). RATING: M↑1 T↑11 (calidad financiera demostrada)</t>
        </is>
      </c>
    </row>
    <row r="26">
      <c r="A26" t="inlineStr">
        <is>
          <t>IPCO</t>
        </is>
      </c>
      <c r="B26" t="inlineStr">
        <is>
          <t>2026-05-07</t>
        </is>
      </c>
      <c r="C26" t="inlineStr">
        <is>
          <t>AV; AU; AS; AT; BN; BO; BP</t>
        </is>
      </c>
      <c r="D26" t="inlineStr">
        <is>
          <t>Int'l Petroleum Q1 2026 Results (05/05/2026)</t>
        </is>
      </c>
      <c r="E26" t="inlineStr">
        <is>
          <t>FCF -$17M por Blackrod capex. First oil Q3 2026. Brent $81/bbl.</t>
        </is>
      </c>
    </row>
    <row r="27">
      <c r="A27" t="inlineStr">
        <is>
          <t>BN</t>
        </is>
      </c>
      <c r="B27" t="inlineStr">
        <is>
          <t>2026-05-15</t>
        </is>
      </c>
      <c r="C27" t="inlineStr">
        <is>
          <t>Financials_R1 (M); FCF_LTM (AS); Últimos resultados (BO); Próximos resultados (BP); Última actualización (BN)</t>
        </is>
      </c>
      <c r="D27" t="inlineStr">
        <is>
          <t>Q1 2026 Earnings Release (14 mayo 2026) + Alphastreet/TipRanks</t>
        </is>
      </c>
      <c r="E27" t="inlineStr">
        <is>
          <t>Q1 2026 beat: DE $1.4B, fee-bearing capital $614B (+12%), buybacks &gt;$1B YTD. Financials_R1 mejorado a 0.75 por solidez de distributable earnings y recompras agresivas.</t>
        </is>
      </c>
    </row>
    <row r="28">
      <c r="A28" t="inlineStr">
        <is>
          <t>NTO</t>
        </is>
      </c>
      <c r="B28" t="inlineStr">
        <is>
          <t>2026-05-15</t>
        </is>
      </c>
      <c r="C28" t="inlineStr">
        <is>
          <t>Potential (V); Revenue_LTM (AV); EBITDA_LTM (AU); Últimos resultados (BO); Próximos resultados (BP); Última actualización (BN)</t>
        </is>
      </c>
      <c r="D28" t="inlineStr">
        <is>
          <t>Nintendo FY2026 Annual Results (mayo 2026) + TechBooky/InvestGame</t>
        </is>
      </c>
      <c r="E28" t="inlineStr">
        <is>
          <t>FY2026: Rev ¥2,313B (+99%) por Switch 2 (6M unidades en 7 sem). OP ¥360B (+28%). Potential subido a 15 por éxito Switch 2 y digital +25%. Guidance FY2027 por debajo del consenso de Wall Street.</t>
        </is>
      </c>
    </row>
    <row r="29">
      <c r="A29" t="inlineStr">
        <is>
          <t>MNST</t>
        </is>
      </c>
      <c r="B29" t="inlineStr">
        <is>
          <t>2026-05-15</t>
        </is>
      </c>
      <c r="C29" t="inlineStr">
        <is>
          <t>Potential (V); Revenue_LTM (AV); EBITDA_LTM (AU); NOPAT_LTM (AT); FCF_LTM (AS); Últimos resultados (BO); Próximos resultados (BP); Última actualización (BN)</t>
        </is>
      </c>
      <c r="D29" t="inlineStr">
        <is>
          <t>Q1 2026 Earnings (7 mayo 2026) + Yahoo Finance/Insider Monkey</t>
        </is>
      </c>
      <c r="E29" t="inlineStr">
        <is>
          <t>Record Q1: Rev $2.35B (+27%), EPS $0.58 (beat). Internacional +44.9% (45% ventas). Potential subido a 11. Financials siguen en máximo. Leve compresión de margen bruto 55% vs 56.5%.</t>
        </is>
      </c>
    </row>
    <row r="30">
      <c r="A30" t="inlineStr">
        <is>
          <t>ABNB</t>
        </is>
      </c>
      <c r="B30" t="inlineStr">
        <is>
          <t>2026-05-15</t>
        </is>
      </c>
      <c r="C30" t="inlineStr">
        <is>
          <t>Potential (V); Revenue_LTM (AV); EBITDA_LTM (AU); Últimos resultados (BO); Próximos resultados (BP); Última actualización (BN)</t>
        </is>
      </c>
      <c r="D30" t="inlineStr">
        <is>
          <t>Q1 2026 Earnings (7 mayo 2026) + CNBC/Motley Fool</t>
        </is>
      </c>
      <c r="E30" t="inlineStr">
        <is>
          <t>Rev $2.68B (+18%, beat), GBV $29.2B (+19%). EPS miss ($0.26 vs $0.29). Guidance anual alzado. Potential subido a 15 por FIFA World Cup y aceleración de crecimiento.</t>
        </is>
      </c>
    </row>
    <row r="31">
      <c r="A31" t="inlineStr">
        <is>
          <t>DNP</t>
        </is>
      </c>
      <c r="B31" t="inlineStr">
        <is>
          <t>2026-05-15</t>
        </is>
      </c>
      <c r="C31" t="inlineStr">
        <is>
          <t>Financials_R1 (M); Revenue_LTM (AV); Últimos resultados (BO); Próximos resultados (BP); Última actualización (BN)</t>
        </is>
      </c>
      <c r="D31" t="inlineStr">
        <is>
          <t>Q1 2026 Report (14 mayo 2026) + TradingView/ESM Magazine</t>
        </is>
      </c>
      <c r="E31" t="inlineStr">
        <is>
          <t>Rev PLN 8,896M (+14.8%), LFL +4.4% (beat). EBITDA margen comprimido 6.7% vs 7.2%. 62 tiendas nuevas. Financials_R1 bajado a 0.75 por compresión de márgenes. Stock +14% por superar estimados.</t>
        </is>
      </c>
    </row>
    <row r="32">
      <c r="A32" t="inlineStr">
        <is>
          <t>NET</t>
        </is>
      </c>
      <c r="B32" t="inlineStr">
        <is>
          <t>2026-05-15</t>
        </is>
      </c>
      <c r="C32" t="inlineStr">
        <is>
          <t>Financials_R1 (M); Mgmt_Culture (Y); Capital_Allocation (AG); Risks (AA); Revenue_LTM (AV); FCF_LTM (AS); EBITDA_LTM (AU); NOPAT_LTM (AT); Últimos resultados (BO); Próximos resultados (BP); Última actualización (BN)</t>
        </is>
      </c>
      <c r="D32" t="inlineStr">
        <is>
          <t>Q1 2026 Earnings (7 mayo 2026) + Cloudflare IR / Seeking Alpha</t>
        </is>
      </c>
      <c r="E32" t="inlineStr">
        <is>
          <t>EVENTO CLAVE: recorte 20% plantilla + pivote "agentic AI-first". Rev $639.8M (+34%), FCF $84M mejorando. Mgmt_Culture -2 pts por layoffs masivos; Capital_Allocation -2 pts por $140-150M reestructuración; Risks más negativos. Financials_R1 +0.5 por mejora FCF.</t>
        </is>
      </c>
    </row>
    <row r="33">
      <c r="A33" t="inlineStr">
        <is>
          <t>KSPI</t>
        </is>
      </c>
      <c r="B33" t="inlineStr">
        <is>
          <t>2026-05-15</t>
        </is>
      </c>
      <c r="C33" t="inlineStr">
        <is>
          <t>Financials_R1 (M); Últimos resultados (BO); Próximos resultados (BP); Última actualización (BN)</t>
        </is>
      </c>
      <c r="D33" t="inlineStr">
        <is>
          <t>Q1 2026 Earnings (11 mayo 2026) + Kaspi IR / Grafa</t>
        </is>
      </c>
      <c r="E33" t="inlineStr">
        <is>
          <t>Rev KZT 1.1T (+31%), e-Commerce GMV +41%. Beneficio neto plano (KZT 252B). Stock cayó por presión de costes. Financials_R1 bajado a 0.75 por BN estancado pese al fuerte crecimiento de ingresos.</t>
        </is>
      </c>
    </row>
    <row r="34">
      <c r="A34" t="inlineStr">
        <is>
          <t>CPR</t>
        </is>
      </c>
      <c r="B34" t="inlineStr">
        <is>
          <t>2026-05-15</t>
        </is>
      </c>
      <c r="C34" t="inlineStr">
        <is>
          <t>Financials_R1 (M); Financials_R2 (T); Potential (V); Últimos resultados (BO); Próximos resultados (BP); Última actualización (BN)</t>
        </is>
      </c>
      <c r="D34" t="inlineStr">
        <is>
          <t>Q1 2026 Net Sales (6 mayo 2026) + Campari IR / GlobalBankingFinance</t>
        </is>
      </c>
      <c r="E34" t="inlineStr">
        <is>
          <t>Rev €643M, orgánico +2.9% (miss €651M). Emergentes +12.7%. Recuperación en curso pero lenta. Financials_R1 mejorado -1→-0.5, Financials_R2 y Potential +1 cada uno por momentum emergentes.</t>
        </is>
      </c>
    </row>
    <row r="35">
      <c r="A35" t="inlineStr">
        <is>
          <t>CELH</t>
        </is>
      </c>
      <c r="B35" t="inlineStr">
        <is>
          <t>2026-05-15</t>
        </is>
      </c>
      <c r="C35" t="inlineStr">
        <is>
          <t>MOAT (K); Financials_R1 (M); Concentration (N); Revenue_Quality (X); Risks (AA); Revenue_LTM (AV); EBITDA_LTM (AU); FCF_LTM (AS); NOPAT_LTM (AT); Capital_Employed (AZ); Últimos resultados (BO); Próximos resultados (BP); Última actualización (BN)</t>
        </is>
      </c>
      <c r="D35" t="inlineStr">
        <is>
          <t>Q1 2026 Earnings (11 mayo 2026) + BusinessWire / TIKR</t>
        </is>
      </c>
      <c r="E35" t="inlineStr">
        <is>
          <t>Rev récord $783M (+138% por Alani Nu + Rockstar), CELH orgánico solo +6%. EPS $0.41 (beat +41%). MOAT +1 (portfolio más amplio), Concentration -1 (más diversificado), Revenue_Quality -1 (crecimiento inorgánico), Risks -2 (integración), Capital_Employed 600→3,500 (capex adquisiciones).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2026-04-17T08:44:31Z</dcterms:created>
  <dcterms:modified xmlns:dcterms="http://purl.org/dc/terms/" xmlns:xsi="http://www.w3.org/2001/XMLSchema-instance" xsi:type="dcterms:W3CDTF">2026-05-15T18:30:12Z</dcterms:modified>
  <cp:lastModifiedBy>Roger Salvador Guasch</cp:lastModifiedBy>
  <cp:revision>8</cp:revision>
</cp:coreProperties>
</file>

<file path=docProps/custom.xml><?xml version="1.0" encoding="utf-8"?>
<Properties xmlns="http://schemas.openxmlformats.org/officeDocument/2006/custom-properties">
  <property name="MSIP_Label_89f856cd-5164-4576-94af-2a31e8fe1050_Enabled" fmtid="{D5CDD505-2E9C-101B-9397-08002B2CF9AE}" pid="2">
    <vt:lpwstr xmlns:vt="http://schemas.openxmlformats.org/officeDocument/2006/docPropsVTypes">true</vt:lpwstr>
  </property>
  <property name="MSIP_Label_89f856cd-5164-4576-94af-2a31e8fe1050_SetDate" fmtid="{D5CDD505-2E9C-101B-9397-08002B2CF9AE}" pid="3">
    <vt:lpwstr xmlns:vt="http://schemas.openxmlformats.org/officeDocument/2006/docPropsVTypes">2026-05-07T18:38:01Z</vt:lpwstr>
  </property>
  <property name="MSIP_Label_89f856cd-5164-4576-94af-2a31e8fe1050_Method" fmtid="{D5CDD505-2E9C-101B-9397-08002B2CF9AE}" pid="4">
    <vt:lpwstr xmlns:vt="http://schemas.openxmlformats.org/officeDocument/2006/docPropsVTypes">Standard</vt:lpwstr>
  </property>
  <property name="MSIP_Label_89f856cd-5164-4576-94af-2a31e8fe1050_Name" fmtid="{D5CDD505-2E9C-101B-9397-08002B2CF9AE}" pid="5">
    <vt:lpwstr xmlns:vt="http://schemas.openxmlformats.org/officeDocument/2006/docPropsVTypes">Interna</vt:lpwstr>
  </property>
  <property name="MSIP_Label_89f856cd-5164-4576-94af-2a31e8fe1050_SiteId" fmtid="{D5CDD505-2E9C-101B-9397-08002B2CF9AE}" pid="6">
    <vt:lpwstr xmlns:vt="http://schemas.openxmlformats.org/officeDocument/2006/docPropsVTypes">e235031e-0483-4333-9ddc-651595b3c56f</vt:lpwstr>
  </property>
  <property name="MSIP_Label_89f856cd-5164-4576-94af-2a31e8fe1050_ActionId" fmtid="{D5CDD505-2E9C-101B-9397-08002B2CF9AE}" pid="7">
    <vt:lpwstr xmlns:vt="http://schemas.openxmlformats.org/officeDocument/2006/docPropsVTypes">eb72fcb5-a4b2-467b-954d-4507bd198638</vt:lpwstr>
  </property>
  <property name="MSIP_Label_89f856cd-5164-4576-94af-2a31e8fe1050_ContentBits" fmtid="{D5CDD505-2E9C-101B-9397-08002B2CF9AE}" pid="8">
    <vt:lpwstr xmlns:vt="http://schemas.openxmlformats.org/officeDocument/2006/docPropsVTypes">0</vt:lpwstr>
  </property>
  <property name="MSIP_Label_89f856cd-5164-4576-94af-2a31e8fe1050_Tag" fmtid="{D5CDD505-2E9C-101B-9397-08002B2CF9AE}" pid="9">
    <vt:lpwstr xmlns:vt="http://schemas.openxmlformats.org/officeDocument/2006/docPropsVTypes">10, 3, 0, 1</vt:lpwstr>
  </property>
</Properties>
</file>