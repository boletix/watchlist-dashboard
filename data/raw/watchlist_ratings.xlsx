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360FB1B9-4543-4D70-98FF-6C3987BA9D82}" xr6:coauthVersionLast="47" xr6:coauthVersionMax="47" xr10:uidLastSave="{00000000-0000-0000-0000-000000000000}"/>
  <bookViews>
    <workbookView xWindow="-110" yWindow="-110" windowWidth="19420" windowHeight="10300" tabRatio="500" xr2:uid="{00000000-000D-0000-FFFF-FFFF00000000}"/>
  </bookViews>
  <sheets>
    <sheet name="Watchlist Ratings" sheetId="1" r:id="rId1"/>
    <sheet name="Framework Notes" sheetId="2" r:id="rId2"/>
    <sheet name="Dashboard" sheetId="3" r:id="rId3"/>
    <sheet name="Updates Log" sheetId="4" r:id="rId4"/>
  </sheets>
  <calcPr calcId="191029" iterateDelta="1E-4"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1" l="1" a="1"/>
  <c r="H4" i="1" s="1"/>
  <c r="BJ4" i="1" s="1"/>
  <c r="BB67" i="1"/>
  <c r="BG67" i="1"/>
  <c r="BE67" i="1"/>
  <c r="R71" i="1"/>
  <c r="S71" i="1" s="1"/>
  <c r="R70" i="1"/>
  <c r="S70" i="1" s="1"/>
  <c r="R69" i="1"/>
  <c r="S69" i="1" s="1"/>
  <c r="R68" i="1"/>
  <c r="S68" i="1" s="1"/>
  <c r="R67" i="1"/>
  <c r="S67" i="1" s="1"/>
  <c r="R66" i="1"/>
  <c r="S66" i="1" s="1"/>
  <c r="R65" i="1"/>
  <c r="S65" i="1" s="1"/>
  <c r="R64" i="1"/>
  <c r="S64" i="1" s="1"/>
  <c r="R63" i="1"/>
  <c r="S63" i="1" s="1"/>
  <c r="R62" i="1"/>
  <c r="S62" i="1" s="1"/>
  <c r="R61" i="1"/>
  <c r="S61" i="1" s="1"/>
  <c r="R60" i="1"/>
  <c r="S60" i="1" s="1"/>
  <c r="R59" i="1"/>
  <c r="S59" i="1" s="1"/>
  <c r="R58" i="1"/>
  <c r="S58" i="1" s="1"/>
  <c r="S57" i="1"/>
  <c r="R57" i="1"/>
  <c r="R56" i="1"/>
  <c r="S56" i="1" s="1"/>
  <c r="R55" i="1"/>
  <c r="S55" i="1" s="1"/>
  <c r="R54" i="1"/>
  <c r="S54" i="1" s="1"/>
  <c r="S53" i="1"/>
  <c r="R53" i="1"/>
  <c r="R52" i="1"/>
  <c r="S52" i="1" s="1"/>
  <c r="R51" i="1"/>
  <c r="S51" i="1" s="1"/>
  <c r="R50" i="1"/>
  <c r="S50" i="1" s="1"/>
  <c r="R49" i="1"/>
  <c r="S49" i="1" s="1"/>
  <c r="R48" i="1"/>
  <c r="S48" i="1" s="1"/>
  <c r="R47" i="1"/>
  <c r="S47" i="1" s="1"/>
  <c r="R46" i="1"/>
  <c r="S46" i="1" s="1"/>
  <c r="R45" i="1"/>
  <c r="S45" i="1" s="1"/>
  <c r="R44" i="1"/>
  <c r="S44" i="1" s="1"/>
  <c r="R43" i="1"/>
  <c r="S43" i="1" s="1"/>
  <c r="R42" i="1"/>
  <c r="S42" i="1" s="1"/>
  <c r="R41" i="1"/>
  <c r="S41" i="1" s="1"/>
  <c r="R40" i="1"/>
  <c r="S40" i="1" s="1"/>
  <c r="R39" i="1"/>
  <c r="S39" i="1" s="1"/>
  <c r="R38" i="1"/>
  <c r="S38" i="1" s="1"/>
  <c r="R37" i="1"/>
  <c r="S37" i="1" s="1"/>
  <c r="S36" i="1"/>
  <c r="R36" i="1"/>
  <c r="R35" i="1"/>
  <c r="S35" i="1" s="1"/>
  <c r="R34" i="1"/>
  <c r="S34" i="1" s="1"/>
  <c r="R33" i="1"/>
  <c r="S33" i="1" s="1"/>
  <c r="S32" i="1"/>
  <c r="R32" i="1"/>
  <c r="R31" i="1"/>
  <c r="S31" i="1" s="1"/>
  <c r="R30" i="1"/>
  <c r="S30" i="1" s="1"/>
  <c r="R29" i="1"/>
  <c r="S29" i="1" s="1"/>
  <c r="R28" i="1"/>
  <c r="S28" i="1" s="1"/>
  <c r="R27" i="1"/>
  <c r="S27" i="1" s="1"/>
  <c r="R26" i="1"/>
  <c r="S26" i="1" s="1"/>
  <c r="S25" i="1"/>
  <c r="R25" i="1"/>
  <c r="R24" i="1"/>
  <c r="S24" i="1" s="1"/>
  <c r="R23" i="1"/>
  <c r="S23" i="1" s="1"/>
  <c r="R22" i="1"/>
  <c r="S22" i="1" s="1"/>
  <c r="S21" i="1"/>
  <c r="R21" i="1"/>
  <c r="R20" i="1"/>
  <c r="S20" i="1" s="1"/>
  <c r="R19" i="1"/>
  <c r="S19" i="1" s="1"/>
  <c r="R18" i="1"/>
  <c r="S18" i="1" s="1"/>
  <c r="R17" i="1"/>
  <c r="S17" i="1" s="1"/>
  <c r="R16" i="1"/>
  <c r="S16" i="1" s="1"/>
  <c r="R15" i="1"/>
  <c r="S15" i="1" s="1"/>
  <c r="R14" i="1"/>
  <c r="S14" i="1" s="1"/>
  <c r="R13" i="1"/>
  <c r="S13" i="1" s="1"/>
  <c r="R12" i="1"/>
  <c r="S12" i="1" s="1"/>
  <c r="R11" i="1"/>
  <c r="S11" i="1" s="1"/>
  <c r="R10" i="1"/>
  <c r="S10" i="1" s="1"/>
  <c r="R9" i="1"/>
  <c r="S9" i="1" s="1"/>
  <c r="R8" i="1"/>
  <c r="S8" i="1" s="1"/>
  <c r="R7" i="1"/>
  <c r="S7" i="1" s="1"/>
  <c r="R6" i="1"/>
  <c r="S6" i="1" s="1"/>
  <c r="R5" i="1"/>
  <c r="S5" i="1" s="1"/>
  <c r="S4" i="1"/>
  <c r="R4" i="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J71" i="1"/>
  <c r="BG71" i="1"/>
  <c r="BE71" i="1"/>
  <c r="BB71" i="1"/>
  <c r="BA71" i="1"/>
  <c r="AL71" i="1"/>
  <c r="AM71" i="1" s="1"/>
  <c r="AB71" i="1"/>
  <c r="AC71" i="1" s="1"/>
  <c r="BG70" i="1"/>
  <c r="BE70" i="1"/>
  <c r="BB70" i="1"/>
  <c r="BA70" i="1"/>
  <c r="BC70" i="1" s="1"/>
  <c r="AL70" i="1"/>
  <c r="AM70" i="1" s="1"/>
  <c r="AB70" i="1"/>
  <c r="AC70" i="1" s="1"/>
  <c r="BG69" i="1"/>
  <c r="BE69" i="1"/>
  <c r="BB69" i="1"/>
  <c r="BA69" i="1"/>
  <c r="AL69" i="1"/>
  <c r="AM69" i="1" s="1"/>
  <c r="AB69" i="1"/>
  <c r="AC69" i="1" s="1"/>
  <c r="BG68" i="1"/>
  <c r="BE68" i="1"/>
  <c r="BB68" i="1"/>
  <c r="BA68" i="1"/>
  <c r="AL68" i="1"/>
  <c r="AM68" i="1" s="1"/>
  <c r="AB68" i="1"/>
  <c r="AC68" i="1" s="1"/>
  <c r="H67" i="1"/>
  <c r="BK67" i="1" s="1"/>
  <c r="G67" i="1"/>
  <c r="F67" i="1"/>
  <c r="E67" i="1"/>
  <c r="AL67" i="1"/>
  <c r="AM67" i="1" s="1"/>
  <c r="AB67" i="1"/>
  <c r="AC67" i="1" s="1"/>
  <c r="H66" i="1" a="1"/>
  <c r="H66" i="1" s="1"/>
  <c r="G66" i="1" a="1"/>
  <c r="G66" i="1" s="1"/>
  <c r="BA67" i="1"/>
  <c r="F65" i="1" a="1"/>
  <c r="F65" i="1" s="1"/>
  <c r="F66" i="1" a="1"/>
  <c r="F66" i="1" s="1"/>
  <c r="E65" i="1" a="1"/>
  <c r="E65" i="1" s="1"/>
  <c r="E66" i="1" a="1"/>
  <c r="E66" i="1" s="1"/>
  <c r="B65" i="1" a="1"/>
  <c r="B65" i="1" s="1"/>
  <c r="B66" i="1" a="1"/>
  <c r="B66" i="1" s="1"/>
  <c r="BM67" i="1" l="1"/>
  <c r="BM70" i="1"/>
  <c r="BM71" i="1"/>
  <c r="AN71" i="1"/>
  <c r="AN67" i="1"/>
  <c r="AN70" i="1"/>
  <c r="AN68" i="1"/>
  <c r="AN69" i="1"/>
  <c r="BC69" i="1"/>
  <c r="BC68" i="1"/>
  <c r="BC71" i="1"/>
  <c r="BC67" i="1"/>
  <c r="BJ67" i="1"/>
  <c r="BL67" i="1" s="1"/>
  <c r="I71" i="1"/>
  <c r="AR71" i="1" s="1"/>
  <c r="AY71" i="1" s="1"/>
  <c r="I69" i="1"/>
  <c r="AR69" i="1" s="1"/>
  <c r="AW69" i="1" s="1"/>
  <c r="BK69" i="1"/>
  <c r="BM69" i="1" s="1"/>
  <c r="BL71" i="1"/>
  <c r="BL69" i="1"/>
  <c r="BJ70" i="1"/>
  <c r="BL70" i="1" s="1"/>
  <c r="BK68" i="1"/>
  <c r="BM68" i="1" s="1"/>
  <c r="I67" i="1"/>
  <c r="I70" i="1"/>
  <c r="AR70" i="1" s="1"/>
  <c r="AY70" i="1" s="1"/>
  <c r="I68" i="1"/>
  <c r="AR68" i="1" s="1"/>
  <c r="AY68" i="1" s="1"/>
  <c r="BL68" i="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AL66" i="1"/>
  <c r="AM66" i="1" s="1"/>
  <c r="AB66" i="1"/>
  <c r="AC66" i="1" s="1"/>
  <c r="AN66" i="1" s="1"/>
  <c r="I66" i="1"/>
  <c r="AR66" i="1" s="1"/>
  <c r="BG65" i="1"/>
  <c r="BE65" i="1"/>
  <c r="BB65" i="1"/>
  <c r="BA65" i="1"/>
  <c r="AL65" i="1"/>
  <c r="AM65" i="1" s="1"/>
  <c r="AB65" i="1"/>
  <c r="AC65" i="1" s="1"/>
  <c r="H65" i="1" a="1"/>
  <c r="H65" i="1" s="1"/>
  <c r="G65" i="1" a="1"/>
  <c r="G65" i="1" s="1"/>
  <c r="BG64" i="1"/>
  <c r="BE64" i="1"/>
  <c r="BB64" i="1"/>
  <c r="BA64" i="1"/>
  <c r="AL64" i="1"/>
  <c r="AM64" i="1" s="1"/>
  <c r="AB64" i="1"/>
  <c r="AC64" i="1" s="1"/>
  <c r="H64" i="1" a="1"/>
  <c r="H64" i="1" s="1"/>
  <c r="BK64" i="1" s="1"/>
  <c r="BM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AL62" i="1"/>
  <c r="AM62" i="1" s="1"/>
  <c r="AB62" i="1"/>
  <c r="AC62" i="1" s="1"/>
  <c r="H62" i="1" a="1"/>
  <c r="H62" i="1" s="1"/>
  <c r="G62" i="1" a="1"/>
  <c r="G62" i="1" s="1"/>
  <c r="F62" i="1" a="1"/>
  <c r="F62" i="1" s="1"/>
  <c r="E62" i="1" a="1"/>
  <c r="E62" i="1" s="1"/>
  <c r="B62" i="1" a="1"/>
  <c r="B62" i="1" s="1"/>
  <c r="BG61" i="1"/>
  <c r="BE61" i="1"/>
  <c r="BB61" i="1"/>
  <c r="AT61" i="1"/>
  <c r="BA61" i="1" s="1"/>
  <c r="AQ61" i="1"/>
  <c r="AL61" i="1"/>
  <c r="AM61" i="1" s="1"/>
  <c r="AB61" i="1"/>
  <c r="AC61" i="1" s="1"/>
  <c r="AN61" i="1" s="1"/>
  <c r="H61" i="1" a="1"/>
  <c r="H61" i="1" s="1"/>
  <c r="G61" i="1" a="1"/>
  <c r="G61" i="1" s="1"/>
  <c r="F61" i="1" a="1"/>
  <c r="F61" i="1" s="1"/>
  <c r="E61" i="1" a="1"/>
  <c r="E61" i="1" s="1"/>
  <c r="B61" i="1" a="1"/>
  <c r="B61" i="1" s="1"/>
  <c r="BG60" i="1"/>
  <c r="BE60" i="1"/>
  <c r="BB60" i="1"/>
  <c r="BA60" i="1"/>
  <c r="AL60" i="1"/>
  <c r="AM60" i="1" s="1"/>
  <c r="AB60" i="1"/>
  <c r="AC60" i="1" s="1"/>
  <c r="AN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AL58" i="1"/>
  <c r="AM58" i="1" s="1"/>
  <c r="AB58" i="1"/>
  <c r="AC58" i="1" s="1"/>
  <c r="AN58" i="1" s="1"/>
  <c r="H58" i="1" a="1"/>
  <c r="H58" i="1" s="1"/>
  <c r="BJ58" i="1" s="1"/>
  <c r="G58" i="1" a="1"/>
  <c r="G58" i="1" s="1"/>
  <c r="F58" i="1" a="1"/>
  <c r="F58" i="1" s="1"/>
  <c r="E58" i="1" a="1"/>
  <c r="E58" i="1" s="1"/>
  <c r="B58" i="1" a="1"/>
  <c r="B58" i="1" s="1"/>
  <c r="BG57" i="1"/>
  <c r="BE57" i="1"/>
  <c r="BB57" i="1"/>
  <c r="BA57" i="1"/>
  <c r="AL57" i="1"/>
  <c r="AM57" i="1" s="1"/>
  <c r="AB57" i="1"/>
  <c r="AC57" i="1" s="1"/>
  <c r="H57" i="1" a="1"/>
  <c r="H57" i="1" s="1"/>
  <c r="G57" i="1" a="1"/>
  <c r="G57" i="1" s="1"/>
  <c r="F57" i="1" a="1"/>
  <c r="F57" i="1" s="1"/>
  <c r="E57" i="1" a="1"/>
  <c r="E57" i="1" s="1"/>
  <c r="B57" i="1" a="1"/>
  <c r="B57" i="1" s="1"/>
  <c r="BG56" i="1"/>
  <c r="BE56" i="1"/>
  <c r="BB56" i="1"/>
  <c r="BA56" i="1"/>
  <c r="AL56" i="1"/>
  <c r="AM56" i="1" s="1"/>
  <c r="AB56" i="1"/>
  <c r="AC56" i="1" s="1"/>
  <c r="H56" i="1" a="1"/>
  <c r="H56" i="1" s="1"/>
  <c r="G56" i="1" a="1"/>
  <c r="G56" i="1" s="1"/>
  <c r="F56" i="1" a="1"/>
  <c r="F56" i="1" s="1"/>
  <c r="E56" i="1" a="1"/>
  <c r="E56" i="1" s="1"/>
  <c r="B56" i="1" a="1"/>
  <c r="B56" i="1" s="1"/>
  <c r="BG55" i="1"/>
  <c r="BE55" i="1"/>
  <c r="BB55" i="1"/>
  <c r="BA55" i="1"/>
  <c r="AL55" i="1"/>
  <c r="AM55" i="1" s="1"/>
  <c r="AB55" i="1"/>
  <c r="AC55" i="1" s="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AL53" i="1"/>
  <c r="AM53" i="1" s="1"/>
  <c r="AB53" i="1"/>
  <c r="AC53" i="1" s="1"/>
  <c r="H53" i="1" a="1"/>
  <c r="H53" i="1" s="1"/>
  <c r="G53" i="1" a="1"/>
  <c r="G53" i="1" s="1"/>
  <c r="F53" i="1" a="1"/>
  <c r="F53" i="1" s="1"/>
  <c r="E53" i="1" a="1"/>
  <c r="E53" i="1" s="1"/>
  <c r="B53" i="1" a="1"/>
  <c r="B53" i="1" s="1"/>
  <c r="BG52" i="1"/>
  <c r="BE52" i="1"/>
  <c r="BB52" i="1"/>
  <c r="BA52" i="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G50" i="1" a="1"/>
  <c r="G50" i="1" s="1"/>
  <c r="F50" i="1" a="1"/>
  <c r="F50" i="1" s="1"/>
  <c r="E50" i="1" a="1"/>
  <c r="E50" i="1" s="1"/>
  <c r="B50" i="1" a="1"/>
  <c r="B50" i="1" s="1"/>
  <c r="BG49" i="1"/>
  <c r="BE49" i="1"/>
  <c r="BB49" i="1"/>
  <c r="BA49" i="1"/>
  <c r="BC49" i="1" s="1"/>
  <c r="AL49" i="1"/>
  <c r="AM49" i="1" s="1"/>
  <c r="AB49" i="1"/>
  <c r="AC49" i="1" s="1"/>
  <c r="H49" i="1" a="1"/>
  <c r="H49" i="1" s="1"/>
  <c r="G49" i="1" a="1"/>
  <c r="G49" i="1" s="1"/>
  <c r="F49" i="1" a="1"/>
  <c r="F49" i="1" s="1"/>
  <c r="E49" i="1" a="1"/>
  <c r="E49" i="1" s="1"/>
  <c r="B49" i="1" a="1"/>
  <c r="B49" i="1" s="1"/>
  <c r="BG48" i="1"/>
  <c r="BE48" i="1"/>
  <c r="BB48" i="1"/>
  <c r="BA48" i="1"/>
  <c r="AL48" i="1"/>
  <c r="AM48" i="1" s="1"/>
  <c r="AB48" i="1"/>
  <c r="AC48" i="1" s="1"/>
  <c r="H48" i="1" a="1"/>
  <c r="H48" i="1" s="1"/>
  <c r="BJ48" i="1" s="1"/>
  <c r="G48" i="1" a="1"/>
  <c r="G48" i="1" s="1"/>
  <c r="F48" i="1" a="1"/>
  <c r="F48" i="1" s="1"/>
  <c r="E48" i="1" a="1"/>
  <c r="E48" i="1" s="1"/>
  <c r="B48" i="1" a="1"/>
  <c r="B48" i="1" s="1"/>
  <c r="BG47" i="1"/>
  <c r="BE47" i="1"/>
  <c r="BB47" i="1"/>
  <c r="BA47" i="1"/>
  <c r="AL47" i="1"/>
  <c r="AM47" i="1" s="1"/>
  <c r="AB47" i="1"/>
  <c r="AC47" i="1" s="1"/>
  <c r="H47" i="1" a="1"/>
  <c r="H47" i="1" s="1"/>
  <c r="BJ47" i="1" s="1"/>
  <c r="G47" i="1" a="1"/>
  <c r="G47" i="1" s="1"/>
  <c r="F47" i="1" a="1"/>
  <c r="F47" i="1" s="1"/>
  <c r="E47" i="1" a="1"/>
  <c r="E47" i="1" s="1"/>
  <c r="B47" i="1" a="1"/>
  <c r="B47" i="1" s="1"/>
  <c r="BG46" i="1"/>
  <c r="BE46" i="1"/>
  <c r="BB46" i="1"/>
  <c r="BA46" i="1"/>
  <c r="AL46" i="1"/>
  <c r="AM46" i="1" s="1"/>
  <c r="AB46" i="1"/>
  <c r="AC46" i="1" s="1"/>
  <c r="H46" i="1" a="1"/>
  <c r="H46" i="1" s="1"/>
  <c r="G46" i="1" a="1"/>
  <c r="G46" i="1" s="1"/>
  <c r="F46" i="1" a="1"/>
  <c r="F46" i="1" s="1"/>
  <c r="E46" i="1" a="1"/>
  <c r="E46" i="1" s="1"/>
  <c r="B46" i="1" a="1"/>
  <c r="B46" i="1" s="1"/>
  <c r="BG45" i="1"/>
  <c r="BE45" i="1"/>
  <c r="BB45" i="1"/>
  <c r="BA45" i="1"/>
  <c r="AL45" i="1"/>
  <c r="AM45" i="1" s="1"/>
  <c r="AB45" i="1"/>
  <c r="AC45" i="1" s="1"/>
  <c r="H45" i="1" a="1"/>
  <c r="H45" i="1" s="1"/>
  <c r="BJ45" i="1" s="1"/>
  <c r="G45" i="1" a="1"/>
  <c r="G45" i="1" s="1"/>
  <c r="F45" i="1" a="1"/>
  <c r="F45" i="1" s="1"/>
  <c r="E45" i="1" a="1"/>
  <c r="E45" i="1" s="1"/>
  <c r="B45" i="1" a="1"/>
  <c r="B45" i="1" s="1"/>
  <c r="BG44" i="1"/>
  <c r="BE44" i="1"/>
  <c r="BB44" i="1"/>
  <c r="BA44" i="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AN42" i="1" s="1"/>
  <c r="H42" i="1" a="1"/>
  <c r="H42" i="1" s="1"/>
  <c r="G42" i="1" a="1"/>
  <c r="G42" i="1" s="1"/>
  <c r="F42" i="1" a="1"/>
  <c r="F42" i="1" s="1"/>
  <c r="E42" i="1" a="1"/>
  <c r="E42" i="1" s="1"/>
  <c r="B42" i="1" a="1"/>
  <c r="B42" i="1" s="1"/>
  <c r="BG41" i="1"/>
  <c r="BE41" i="1"/>
  <c r="BB41" i="1"/>
  <c r="BA41" i="1"/>
  <c r="AL41" i="1"/>
  <c r="AM41" i="1" s="1"/>
  <c r="AB41" i="1"/>
  <c r="AC41" i="1" s="1"/>
  <c r="H41" i="1" a="1"/>
  <c r="H41" i="1" s="1"/>
  <c r="G41" i="1" a="1"/>
  <c r="G41" i="1" s="1"/>
  <c r="F41" i="1" a="1"/>
  <c r="F41" i="1" s="1"/>
  <c r="E41" i="1" a="1"/>
  <c r="E41" i="1" s="1"/>
  <c r="B41" i="1" a="1"/>
  <c r="B41" i="1" s="1"/>
  <c r="BG40" i="1"/>
  <c r="BE40" i="1"/>
  <c r="BB40" i="1"/>
  <c r="BA40" i="1"/>
  <c r="AL40" i="1"/>
  <c r="AM40" i="1" s="1"/>
  <c r="AB40" i="1"/>
  <c r="AC40" i="1" s="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L37" i="1"/>
  <c r="AM37" i="1" s="1"/>
  <c r="AB37" i="1"/>
  <c r="AC37" i="1" s="1"/>
  <c r="AN37" i="1" s="1"/>
  <c r="H37" i="1" a="1"/>
  <c r="H37" i="1" s="1"/>
  <c r="G37" i="1" a="1"/>
  <c r="G37" i="1" s="1"/>
  <c r="F37" i="1" a="1"/>
  <c r="F37" i="1" s="1"/>
  <c r="E37" i="1" a="1"/>
  <c r="E37" i="1" s="1"/>
  <c r="B37" i="1" a="1"/>
  <c r="B37" i="1" s="1"/>
  <c r="BG36" i="1"/>
  <c r="BE36" i="1"/>
  <c r="BB36" i="1"/>
  <c r="BA36" i="1"/>
  <c r="AL36" i="1"/>
  <c r="AM36" i="1" s="1"/>
  <c r="AB36" i="1"/>
  <c r="AC36" i="1" s="1"/>
  <c r="H36" i="1" a="1"/>
  <c r="H36" i="1" s="1"/>
  <c r="G36" i="1" a="1"/>
  <c r="G36" i="1" s="1"/>
  <c r="F36" i="1" a="1"/>
  <c r="F36" i="1" s="1"/>
  <c r="E36" i="1" a="1"/>
  <c r="E36" i="1" s="1"/>
  <c r="B36" i="1" a="1"/>
  <c r="B36" i="1" s="1"/>
  <c r="BG35" i="1"/>
  <c r="BE35" i="1"/>
  <c r="BB35" i="1"/>
  <c r="BA35" i="1"/>
  <c r="BC35" i="1" s="1"/>
  <c r="AL35" i="1"/>
  <c r="AM35" i="1" s="1"/>
  <c r="AB35" i="1"/>
  <c r="AC35" i="1" s="1"/>
  <c r="H35" i="1" a="1"/>
  <c r="H35" i="1" s="1"/>
  <c r="G35" i="1" a="1"/>
  <c r="G35" i="1" s="1"/>
  <c r="F35" i="1" a="1"/>
  <c r="F35" i="1" s="1"/>
  <c r="B35" i="1" a="1"/>
  <c r="B35" i="1" s="1"/>
  <c r="BG34" i="1"/>
  <c r="BE34" i="1"/>
  <c r="BB34" i="1"/>
  <c r="BA34" i="1"/>
  <c r="AL34" i="1"/>
  <c r="AM34" i="1" s="1"/>
  <c r="AC34" i="1"/>
  <c r="AN34" i="1" s="1"/>
  <c r="AB34" i="1"/>
  <c r="H34" i="1" a="1"/>
  <c r="H34" i="1" s="1"/>
  <c r="G34" i="1" a="1"/>
  <c r="G34" i="1" s="1"/>
  <c r="F34" i="1" a="1"/>
  <c r="F34" i="1" s="1"/>
  <c r="E34" i="1" a="1"/>
  <c r="E34" i="1" s="1"/>
  <c r="B34" i="1" a="1"/>
  <c r="B34" i="1" s="1"/>
  <c r="BG33" i="1"/>
  <c r="BE33" i="1"/>
  <c r="BB33" i="1"/>
  <c r="BA33" i="1"/>
  <c r="AL33" i="1"/>
  <c r="AM33" i="1" s="1"/>
  <c r="AB33" i="1"/>
  <c r="AC33" i="1" s="1"/>
  <c r="AN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A30" i="1"/>
  <c r="AL30" i="1"/>
  <c r="AM30" i="1" s="1"/>
  <c r="AB30" i="1"/>
  <c r="AC30" i="1" s="1"/>
  <c r="H30" i="1" a="1"/>
  <c r="H30" i="1" s="1"/>
  <c r="G30" i="1" a="1"/>
  <c r="G30" i="1" s="1"/>
  <c r="F30" i="1" a="1"/>
  <c r="F30" i="1" s="1"/>
  <c r="E30" i="1" a="1"/>
  <c r="E30" i="1" s="1"/>
  <c r="B30" i="1" a="1"/>
  <c r="B30" i="1" s="1"/>
  <c r="BG29" i="1"/>
  <c r="BE29" i="1"/>
  <c r="BB29" i="1"/>
  <c r="BA29" i="1"/>
  <c r="AL29" i="1"/>
  <c r="AM29" i="1" s="1"/>
  <c r="AC29" i="1"/>
  <c r="AB29" i="1"/>
  <c r="H29" i="1" a="1"/>
  <c r="H29" i="1" s="1"/>
  <c r="G29" i="1" a="1"/>
  <c r="G29" i="1" s="1"/>
  <c r="F29" i="1" a="1"/>
  <c r="F29" i="1" s="1"/>
  <c r="E29" i="1" a="1"/>
  <c r="E29" i="1" s="1"/>
  <c r="B29" i="1" a="1"/>
  <c r="B29" i="1" s="1"/>
  <c r="BG28" i="1"/>
  <c r="BE28" i="1"/>
  <c r="BB28" i="1"/>
  <c r="BA28" i="1"/>
  <c r="AL28" i="1"/>
  <c r="AM28" i="1" s="1"/>
  <c r="AB28" i="1"/>
  <c r="AC28" i="1" s="1"/>
  <c r="AN28" i="1" s="1"/>
  <c r="H28" i="1" a="1"/>
  <c r="H28" i="1" s="1"/>
  <c r="BK28" i="1" s="1"/>
  <c r="G28" i="1" a="1"/>
  <c r="G28" i="1" s="1"/>
  <c r="F28" i="1" a="1"/>
  <c r="F28" i="1" s="1"/>
  <c r="E28" i="1" a="1"/>
  <c r="E28" i="1" s="1"/>
  <c r="B28" i="1" a="1"/>
  <c r="B28" i="1" s="1"/>
  <c r="BG27" i="1"/>
  <c r="BE27" i="1"/>
  <c r="BB27" i="1"/>
  <c r="BA27" i="1"/>
  <c r="AL27" i="1"/>
  <c r="AM27" i="1" s="1"/>
  <c r="AB27" i="1"/>
  <c r="AC27" i="1" s="1"/>
  <c r="H27" i="1" a="1"/>
  <c r="H27" i="1" s="1"/>
  <c r="G27" i="1" a="1"/>
  <c r="G27" i="1" s="1"/>
  <c r="F27" i="1" a="1"/>
  <c r="F27" i="1" s="1"/>
  <c r="E27" i="1" a="1"/>
  <c r="E27" i="1" s="1"/>
  <c r="B27" i="1" a="1"/>
  <c r="B27" i="1" s="1"/>
  <c r="BG26" i="1"/>
  <c r="BE26" i="1"/>
  <c r="BB26" i="1"/>
  <c r="BA26" i="1"/>
  <c r="AL26" i="1"/>
  <c r="AM26" i="1" s="1"/>
  <c r="AB26" i="1"/>
  <c r="AC26" i="1" s="1"/>
  <c r="H26" i="1" a="1"/>
  <c r="H26" i="1" s="1"/>
  <c r="BJ26" i="1" s="1"/>
  <c r="G26" i="1" a="1"/>
  <c r="G26" i="1" s="1"/>
  <c r="F26" i="1" a="1"/>
  <c r="F26" i="1" s="1"/>
  <c r="E26" i="1" a="1"/>
  <c r="E26" i="1" s="1"/>
  <c r="B26" i="1" a="1"/>
  <c r="B26" i="1" s="1"/>
  <c r="BG25" i="1"/>
  <c r="BE25" i="1"/>
  <c r="BB25" i="1"/>
  <c r="BA25" i="1"/>
  <c r="AL25" i="1"/>
  <c r="AM25" i="1" s="1"/>
  <c r="AB25" i="1"/>
  <c r="AC25" i="1" s="1"/>
  <c r="H25" i="1" a="1"/>
  <c r="H25" i="1" s="1"/>
  <c r="BK25" i="1" s="1"/>
  <c r="G25" i="1" a="1"/>
  <c r="G25" i="1" s="1"/>
  <c r="F25" i="1" a="1"/>
  <c r="F25" i="1" s="1"/>
  <c r="E25" i="1" a="1"/>
  <c r="E25" i="1" s="1"/>
  <c r="B25" i="1" a="1"/>
  <c r="B25" i="1" s="1"/>
  <c r="BG24" i="1"/>
  <c r="BE24" i="1"/>
  <c r="BB24" i="1"/>
  <c r="BA24" i="1"/>
  <c r="AL24" i="1"/>
  <c r="AM24" i="1" s="1"/>
  <c r="AB24" i="1"/>
  <c r="AC24" i="1" s="1"/>
  <c r="AN24" i="1" s="1"/>
  <c r="H24" i="1" a="1"/>
  <c r="H24" i="1" s="1"/>
  <c r="BJ24" i="1" s="1"/>
  <c r="G24" i="1" a="1"/>
  <c r="G24" i="1" s="1"/>
  <c r="F24" i="1" a="1"/>
  <c r="F24" i="1" s="1"/>
  <c r="E24" i="1" a="1"/>
  <c r="E24" i="1" s="1"/>
  <c r="B24" i="1" a="1"/>
  <c r="B24" i="1" s="1"/>
  <c r="BG23" i="1"/>
  <c r="BE23" i="1"/>
  <c r="BB23" i="1"/>
  <c r="BA23" i="1"/>
  <c r="AL23" i="1"/>
  <c r="AM23" i="1" s="1"/>
  <c r="AB23" i="1"/>
  <c r="AC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AL21" i="1"/>
  <c r="AM21" i="1" s="1"/>
  <c r="AB21" i="1"/>
  <c r="AC21" i="1" s="1"/>
  <c r="H21" i="1" a="1"/>
  <c r="H21" i="1" s="1"/>
  <c r="G21" i="1" a="1"/>
  <c r="G21" i="1" s="1"/>
  <c r="F21" i="1" a="1"/>
  <c r="F21" i="1" s="1"/>
  <c r="E21" i="1" a="1"/>
  <c r="E21" i="1" s="1"/>
  <c r="B21" i="1" a="1"/>
  <c r="B21" i="1" s="1"/>
  <c r="O25" i="3" s="1"/>
  <c r="BG20" i="1"/>
  <c r="BE20" i="1"/>
  <c r="BB20" i="1"/>
  <c r="BA20" i="1"/>
  <c r="AL20" i="1"/>
  <c r="AM20" i="1" s="1"/>
  <c r="AB20" i="1"/>
  <c r="AC20" i="1" s="1"/>
  <c r="AN20" i="1" s="1"/>
  <c r="H20" i="1" a="1"/>
  <c r="H20" i="1" s="1"/>
  <c r="BJ20" i="1" s="1"/>
  <c r="G20" i="1" a="1"/>
  <c r="G20" i="1" s="1"/>
  <c r="F20" i="1" a="1"/>
  <c r="F20" i="1" s="1"/>
  <c r="E20" i="1" a="1"/>
  <c r="E20" i="1" s="1"/>
  <c r="B20" i="1" a="1"/>
  <c r="B20" i="1" s="1"/>
  <c r="BG19" i="1"/>
  <c r="BE19" i="1"/>
  <c r="BB19" i="1"/>
  <c r="BA19" i="1"/>
  <c r="AL19" i="1"/>
  <c r="AM19" i="1" s="1"/>
  <c r="AB19" i="1"/>
  <c r="AC19" i="1" s="1"/>
  <c r="H19" i="1" a="1"/>
  <c r="H19" i="1" s="1"/>
  <c r="BJ19" i="1" s="1"/>
  <c r="G19" i="1" a="1"/>
  <c r="G19" i="1" s="1"/>
  <c r="F19" i="1" a="1"/>
  <c r="F19" i="1" s="1"/>
  <c r="E19" i="1" a="1"/>
  <c r="E19" i="1" s="1"/>
  <c r="B19" i="1" a="1"/>
  <c r="B19" i="1" s="1"/>
  <c r="O23" i="3" s="1"/>
  <c r="BG18" i="1"/>
  <c r="BE18" i="1"/>
  <c r="BB18" i="1"/>
  <c r="BA18" i="1"/>
  <c r="AL18" i="1"/>
  <c r="AM18" i="1" s="1"/>
  <c r="E22" i="3" s="1"/>
  <c r="AB18" i="1"/>
  <c r="AC18" i="1" s="1"/>
  <c r="H18" i="1" a="1"/>
  <c r="H18" i="1" s="1"/>
  <c r="G18" i="1" a="1"/>
  <c r="G18" i="1" s="1"/>
  <c r="F18" i="1" a="1"/>
  <c r="F18" i="1" s="1"/>
  <c r="E18" i="1" a="1"/>
  <c r="E18" i="1" s="1"/>
  <c r="B18" i="1" a="1"/>
  <c r="B18" i="1" s="1"/>
  <c r="BG17" i="1"/>
  <c r="BE17" i="1"/>
  <c r="BB17" i="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AM16" i="1"/>
  <c r="E20" i="3" s="1"/>
  <c r="AL16" i="1"/>
  <c r="AB16" i="1"/>
  <c r="AC16" i="1" s="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AL13" i="1"/>
  <c r="AM13" i="1" s="1"/>
  <c r="AB13" i="1"/>
  <c r="AC13" i="1" s="1"/>
  <c r="D17" i="3" s="1"/>
  <c r="C17" i="3"/>
  <c r="H13" i="1" a="1"/>
  <c r="H13" i="1" s="1"/>
  <c r="BJ13" i="1" s="1"/>
  <c r="G13" i="1" a="1"/>
  <c r="G13" i="1" s="1"/>
  <c r="B73" i="3" s="1"/>
  <c r="F13" i="1" a="1"/>
  <c r="F13" i="1" s="1"/>
  <c r="E13" i="1" a="1"/>
  <c r="E13" i="1" s="1"/>
  <c r="B13" i="1" a="1"/>
  <c r="B13" i="1" s="1"/>
  <c r="BG12" i="1"/>
  <c r="BE12" i="1"/>
  <c r="BB12" i="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B11" i="1"/>
  <c r="AC11" i="1" s="1"/>
  <c r="C15" i="3"/>
  <c r="H11" i="1" a="1"/>
  <c r="H11" i="1" s="1"/>
  <c r="BJ11" i="1" s="1"/>
  <c r="G11" i="1" a="1"/>
  <c r="G11" i="1" s="1"/>
  <c r="B71" i="3" s="1"/>
  <c r="F11" i="1" a="1"/>
  <c r="F11" i="1" s="1"/>
  <c r="E11" i="1" a="1"/>
  <c r="E11" i="1" s="1"/>
  <c r="B11" i="1" a="1"/>
  <c r="B11" i="1" s="1"/>
  <c r="BG10" i="1"/>
  <c r="BE10" i="1"/>
  <c r="BB10" i="1"/>
  <c r="BA10" i="1"/>
  <c r="AL10" i="1"/>
  <c r="AM10" i="1" s="1"/>
  <c r="AB10" i="1"/>
  <c r="AC10" i="1" s="1"/>
  <c r="H10" i="1" a="1"/>
  <c r="H10" i="1" s="1"/>
  <c r="G10" i="1" a="1"/>
  <c r="G10" i="1" s="1"/>
  <c r="B70" i="3" s="1"/>
  <c r="F10" i="1" a="1"/>
  <c r="F10" i="1" s="1"/>
  <c r="E10" i="1" a="1"/>
  <c r="E10" i="1" s="1"/>
  <c r="B10" i="1" a="1"/>
  <c r="B10" i="1" s="1"/>
  <c r="BG9" i="1"/>
  <c r="BE9" i="1"/>
  <c r="BB9" i="1"/>
  <c r="BA9" i="1"/>
  <c r="AL9" i="1"/>
  <c r="AM9" i="1" s="1"/>
  <c r="AB9" i="1"/>
  <c r="AC9" i="1" s="1"/>
  <c r="D13" i="3" s="1"/>
  <c r="C13" i="3"/>
  <c r="H9" i="1" a="1"/>
  <c r="H9" i="1" s="1"/>
  <c r="G9" i="1" a="1"/>
  <c r="G9" i="1" s="1"/>
  <c r="B69" i="3" s="1"/>
  <c r="F9" i="1" a="1"/>
  <c r="F9" i="1" s="1"/>
  <c r="E9" i="1" a="1"/>
  <c r="E9" i="1" s="1"/>
  <c r="B9" i="1" a="1"/>
  <c r="B9" i="1" s="1"/>
  <c r="BG8" i="1"/>
  <c r="BE8" i="1"/>
  <c r="BB8" i="1"/>
  <c r="BA8" i="1"/>
  <c r="AL8" i="1"/>
  <c r="AM8" i="1" s="1"/>
  <c r="AB8" i="1"/>
  <c r="AC8" i="1" s="1"/>
  <c r="D12" i="3" s="1"/>
  <c r="H8" i="1" a="1"/>
  <c r="H8" i="1" s="1"/>
  <c r="G8" i="1" a="1"/>
  <c r="G8" i="1" s="1"/>
  <c r="F8" i="1" a="1"/>
  <c r="F8" i="1" s="1"/>
  <c r="E8" i="1" a="1"/>
  <c r="E8" i="1" s="1"/>
  <c r="B8" i="1" a="1"/>
  <c r="B8" i="1" s="1"/>
  <c r="BG7" i="1"/>
  <c r="BE7" i="1"/>
  <c r="BB7" i="1"/>
  <c r="BA7" i="1"/>
  <c r="AL7" i="1"/>
  <c r="AM7" i="1" s="1"/>
  <c r="AB7" i="1"/>
  <c r="AC7" i="1" s="1"/>
  <c r="H7" i="1" a="1"/>
  <c r="H7" i="1" s="1"/>
  <c r="BK7" i="1" s="1"/>
  <c r="G7" i="1" a="1"/>
  <c r="G7" i="1" s="1"/>
  <c r="F7" i="1" a="1"/>
  <c r="F7" i="1" s="1"/>
  <c r="E7" i="1" a="1"/>
  <c r="E7" i="1" s="1"/>
  <c r="B7" i="1" a="1"/>
  <c r="B7" i="1" s="1"/>
  <c r="BG6" i="1"/>
  <c r="BE6" i="1"/>
  <c r="BB6" i="1"/>
  <c r="BA6" i="1"/>
  <c r="AL6" i="1"/>
  <c r="AM6" i="1" s="1"/>
  <c r="AB6" i="1"/>
  <c r="AC6" i="1" s="1"/>
  <c r="H6" i="1" a="1"/>
  <c r="H6" i="1" s="1"/>
  <c r="G6" i="1" a="1"/>
  <c r="G6" i="1" s="1"/>
  <c r="F6" i="1" a="1"/>
  <c r="F6" i="1" s="1"/>
  <c r="E6" i="1" a="1"/>
  <c r="E6" i="1" s="1"/>
  <c r="B6" i="1" a="1"/>
  <c r="B6" i="1" s="1"/>
  <c r="BG5" i="1"/>
  <c r="BE5" i="1"/>
  <c r="BB5" i="1"/>
  <c r="BA5" i="1"/>
  <c r="AL5" i="1"/>
  <c r="AM5" i="1" s="1"/>
  <c r="AB5" i="1"/>
  <c r="AC5" i="1" s="1"/>
  <c r="D9" i="3" s="1"/>
  <c r="C9" i="3"/>
  <c r="H5" i="1" a="1"/>
  <c r="H5" i="1" s="1"/>
  <c r="BJ5" i="1" s="1"/>
  <c r="G5" i="1" a="1"/>
  <c r="G5" i="1" s="1"/>
  <c r="B65" i="3" s="1"/>
  <c r="F5" i="1" a="1"/>
  <c r="F5" i="1" s="1"/>
  <c r="E5" i="1" a="1"/>
  <c r="E5" i="1" s="1"/>
  <c r="B5" i="1" a="1"/>
  <c r="B5" i="1" s="1"/>
  <c r="I88" i="3" s="1"/>
  <c r="BG4" i="1"/>
  <c r="BE4" i="1"/>
  <c r="BB4" i="1"/>
  <c r="BA4" i="1"/>
  <c r="AL4" i="1"/>
  <c r="AM4" i="1" s="1"/>
  <c r="AB4" i="1"/>
  <c r="AC4" i="1" s="1"/>
  <c r="AN4" i="1" s="1"/>
  <c r="BK4" i="1"/>
  <c r="G4" i="1" a="1"/>
  <c r="G4" i="1" s="1"/>
  <c r="F4" i="1" a="1"/>
  <c r="F4" i="1" s="1"/>
  <c r="E4" i="1" a="1"/>
  <c r="E4" i="1" s="1"/>
  <c r="B4" i="1" a="1"/>
  <c r="B4" i="1" s="1"/>
  <c r="AN36" i="1" l="1"/>
  <c r="AN54" i="1"/>
  <c r="AN64" i="1"/>
  <c r="AN62" i="1"/>
  <c r="BC28" i="1"/>
  <c r="BC7" i="1"/>
  <c r="AN50" i="1"/>
  <c r="AN55" i="1"/>
  <c r="BC16" i="1"/>
  <c r="I20" i="3" s="1"/>
  <c r="AN32" i="1"/>
  <c r="AN22" i="1"/>
  <c r="BC48" i="1"/>
  <c r="AW71" i="1"/>
  <c r="BM59" i="1"/>
  <c r="BM16" i="1"/>
  <c r="AN44" i="1"/>
  <c r="AN49" i="1"/>
  <c r="AN51" i="1"/>
  <c r="AN56" i="1"/>
  <c r="BC58" i="1"/>
  <c r="AN63" i="1"/>
  <c r="BC13" i="1"/>
  <c r="BC17" i="1"/>
  <c r="I21" i="3" s="1"/>
  <c r="AN26" i="1"/>
  <c r="AN31" i="1"/>
  <c r="AN39" i="1"/>
  <c r="BC46" i="1"/>
  <c r="AN59" i="1"/>
  <c r="BM7" i="1"/>
  <c r="F77" i="3" s="1"/>
  <c r="AN21" i="1"/>
  <c r="BC36" i="1"/>
  <c r="AN12" i="1"/>
  <c r="AN29" i="1"/>
  <c r="AN45" i="1"/>
  <c r="AN47" i="1"/>
  <c r="AN52" i="1"/>
  <c r="AN57" i="1"/>
  <c r="AN19" i="1"/>
  <c r="P23" i="3" s="1"/>
  <c r="AN40" i="1"/>
  <c r="AN65" i="1"/>
  <c r="BM25" i="1"/>
  <c r="AN43" i="1"/>
  <c r="AN48" i="1"/>
  <c r="BC52" i="1"/>
  <c r="BM4" i="1"/>
  <c r="F74" i="3" s="1"/>
  <c r="AN25" i="1"/>
  <c r="BM28" i="1"/>
  <c r="AN30" i="1"/>
  <c r="AN38" i="1"/>
  <c r="AN46" i="1"/>
  <c r="AN53" i="1"/>
  <c r="BC55" i="1"/>
  <c r="BC62" i="1"/>
  <c r="D15" i="3"/>
  <c r="AN11" i="1"/>
  <c r="D11" i="3"/>
  <c r="AN7" i="1"/>
  <c r="D22" i="3"/>
  <c r="AN18" i="1"/>
  <c r="AN27" i="1"/>
  <c r="D10" i="3"/>
  <c r="AN6" i="1"/>
  <c r="AN8" i="1"/>
  <c r="AN35" i="1"/>
  <c r="BC9" i="1"/>
  <c r="AN13" i="1"/>
  <c r="BC21" i="1"/>
  <c r="BC5" i="1"/>
  <c r="BK50" i="1"/>
  <c r="BM50" i="1" s="1"/>
  <c r="BC56" i="1"/>
  <c r="AN15" i="1"/>
  <c r="AN23" i="1"/>
  <c r="BC12" i="1"/>
  <c r="BC6" i="1"/>
  <c r="BC24" i="1"/>
  <c r="BC33" i="1"/>
  <c r="AN9" i="1"/>
  <c r="AN41" i="1"/>
  <c r="BC45" i="1"/>
  <c r="BC47" i="1"/>
  <c r="BC41" i="1"/>
  <c r="BC57" i="1"/>
  <c r="BC60" i="1"/>
  <c r="BC65" i="1"/>
  <c r="AN17" i="1"/>
  <c r="AN14" i="1"/>
  <c r="BC66" i="1"/>
  <c r="BC25" i="1"/>
  <c r="BC44" i="1"/>
  <c r="BC53" i="1"/>
  <c r="BC30" i="1"/>
  <c r="D14" i="3"/>
  <c r="AN10" i="1"/>
  <c r="D20" i="3"/>
  <c r="AN16" i="1"/>
  <c r="AN5" i="1"/>
  <c r="BC8" i="1"/>
  <c r="BK61" i="1"/>
  <c r="BM61" i="1" s="1"/>
  <c r="BJ61" i="1"/>
  <c r="BL61" i="1" s="1"/>
  <c r="AR67" i="1"/>
  <c r="AW67" i="1" s="1"/>
  <c r="BK65" i="1"/>
  <c r="BM65" i="1" s="1"/>
  <c r="BJ65" i="1"/>
  <c r="BK63" i="1"/>
  <c r="BM63" i="1" s="1"/>
  <c r="BJ63" i="1"/>
  <c r="BL63" i="1" s="1"/>
  <c r="AY69" i="1"/>
  <c r="AX71" i="1"/>
  <c r="AX69" i="1"/>
  <c r="AW70" i="1"/>
  <c r="AX70" i="1"/>
  <c r="P26" i="3"/>
  <c r="AW68" i="1"/>
  <c r="AX68" i="1"/>
  <c r="BC19" i="1"/>
  <c r="BC26" i="1"/>
  <c r="BC37" i="1"/>
  <c r="BC15" i="1"/>
  <c r="I19" i="3" s="1"/>
  <c r="BC54" i="1"/>
  <c r="BC63" i="1"/>
  <c r="BC11" i="1"/>
  <c r="BC18" i="1"/>
  <c r="I22" i="3" s="1"/>
  <c r="BC29" i="1"/>
  <c r="BC4" i="1"/>
  <c r="BC32" i="1"/>
  <c r="BC39" i="1"/>
  <c r="BC10" i="1"/>
  <c r="I14" i="3" s="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I40" i="1"/>
  <c r="AR40" i="1" s="1"/>
  <c r="AW40" i="1" s="1"/>
  <c r="I21" i="1"/>
  <c r="AR21" i="1" s="1"/>
  <c r="AX21" i="1" s="1"/>
  <c r="I28" i="1"/>
  <c r="AR28" i="1" s="1"/>
  <c r="AX28" i="1" s="1"/>
  <c r="BL43" i="1"/>
  <c r="BK11" i="1"/>
  <c r="I15" i="1"/>
  <c r="AR15" i="1" s="1"/>
  <c r="AX15" i="1" s="1"/>
  <c r="I19" i="1"/>
  <c r="AR19" i="1" s="1"/>
  <c r="AY19" i="1" s="1"/>
  <c r="I48" i="1"/>
  <c r="AR48" i="1" s="1"/>
  <c r="AX48" i="1" s="1"/>
  <c r="I55" i="1"/>
  <c r="AR55" i="1" s="1"/>
  <c r="AY55" i="1" s="1"/>
  <c r="BL45" i="1"/>
  <c r="BC42" i="1"/>
  <c r="BK29" i="1"/>
  <c r="BM29" i="1" s="1"/>
  <c r="BJ29" i="1"/>
  <c r="BL29" i="1" s="1"/>
  <c r="BL20" i="1"/>
  <c r="BK40" i="1"/>
  <c r="BM40" i="1" s="1"/>
  <c r="I65" i="1"/>
  <c r="I29" i="1"/>
  <c r="AR29" i="1" s="1"/>
  <c r="AX29" i="1" s="1"/>
  <c r="BK19" i="1"/>
  <c r="I16" i="1"/>
  <c r="AR16" i="1" s="1"/>
  <c r="AX16" i="1" s="1"/>
  <c r="I22" i="1"/>
  <c r="AR22" i="1" s="1"/>
  <c r="AY22" i="1" s="1"/>
  <c r="BK21" i="1"/>
  <c r="BJ21" i="1"/>
  <c r="BL21" i="1" s="1"/>
  <c r="I33" i="1"/>
  <c r="AR33" i="1" s="1"/>
  <c r="AW33" i="1" s="1"/>
  <c r="BL52" i="1"/>
  <c r="I56" i="1"/>
  <c r="AR56" i="1" s="1"/>
  <c r="AX56" i="1" s="1"/>
  <c r="BL58" i="1"/>
  <c r="BL19" i="1"/>
  <c r="BL32" i="1"/>
  <c r="I41" i="1"/>
  <c r="AR41" i="1" s="1"/>
  <c r="AW41" i="1" s="1"/>
  <c r="BJ28" i="1"/>
  <c r="BL28" i="1" s="1"/>
  <c r="I39" i="1"/>
  <c r="AR39" i="1" s="1"/>
  <c r="AY39" i="1" s="1"/>
  <c r="I53" i="1"/>
  <c r="AR53" i="1" s="1"/>
  <c r="AX53" i="1" s="1"/>
  <c r="AC20" i="3"/>
  <c r="BL17" i="1"/>
  <c r="AB21" i="3" s="1"/>
  <c r="BL24" i="1"/>
  <c r="I47" i="1"/>
  <c r="AR47" i="1" s="1"/>
  <c r="AW47" i="1" s="1"/>
  <c r="BK12" i="1"/>
  <c r="BK49" i="1"/>
  <c r="BM49" i="1" s="1"/>
  <c r="BJ36" i="1"/>
  <c r="BL36" i="1" s="1"/>
  <c r="BK41" i="1"/>
  <c r="BM41" i="1" s="1"/>
  <c r="BK33" i="1"/>
  <c r="BM33" i="1" s="1"/>
  <c r="BJ34" i="1"/>
  <c r="BL34" i="1" s="1"/>
  <c r="BK34" i="1"/>
  <c r="BM34" i="1" s="1"/>
  <c r="BJ57" i="1"/>
  <c r="BL57" i="1" s="1"/>
  <c r="I57" i="1"/>
  <c r="AR57" i="1" s="1"/>
  <c r="AY57" i="1" s="1"/>
  <c r="BJ18" i="1"/>
  <c r="BL18" i="1" s="1"/>
  <c r="AB22" i="3" s="1"/>
  <c r="BK18" i="1"/>
  <c r="BM18" i="1" s="1"/>
  <c r="I27" i="1"/>
  <c r="AR27" i="1" s="1"/>
  <c r="AX27" i="1" s="1"/>
  <c r="BK51" i="1"/>
  <c r="BM51" i="1" s="1"/>
  <c r="BJ51" i="1"/>
  <c r="BL51" i="1" s="1"/>
  <c r="BJ27" i="1"/>
  <c r="BL27" i="1" s="1"/>
  <c r="BK27" i="1"/>
  <c r="BM27" i="1" s="1"/>
  <c r="BJ60" i="1"/>
  <c r="BL60" i="1" s="1"/>
  <c r="BK60" i="1"/>
  <c r="BM60" i="1" s="1"/>
  <c r="I23" i="1"/>
  <c r="AR23" i="1" s="1"/>
  <c r="AX23" i="1" s="1"/>
  <c r="BL47" i="1"/>
  <c r="BJ7" i="1"/>
  <c r="C67" i="3" s="1"/>
  <c r="I14" i="1"/>
  <c r="AR14" i="1" s="1"/>
  <c r="AW14" i="1" s="1"/>
  <c r="BK22" i="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BL48" i="1"/>
  <c r="I20" i="1"/>
  <c r="AR20" i="1" s="1"/>
  <c r="AX20" i="1" s="1"/>
  <c r="BJ16" i="1"/>
  <c r="BL16" i="1" s="1"/>
  <c r="AB20" i="3" s="1"/>
  <c r="BK20" i="1"/>
  <c r="BM20" i="1" s="1"/>
  <c r="BJ25" i="1"/>
  <c r="BL25" i="1" s="1"/>
  <c r="I32" i="1"/>
  <c r="AR32" i="1" s="1"/>
  <c r="AY32" i="1" s="1"/>
  <c r="BK45" i="1"/>
  <c r="BM45" i="1" s="1"/>
  <c r="BK48" i="1"/>
  <c r="BM48" i="1" s="1"/>
  <c r="I60" i="1"/>
  <c r="AR60" i="1" s="1"/>
  <c r="AW60" i="1" s="1"/>
  <c r="I12" i="1"/>
  <c r="AR12" i="1" s="1"/>
  <c r="AW12" i="1" s="1"/>
  <c r="BL31" i="1"/>
  <c r="BL39" i="1"/>
  <c r="I59" i="1"/>
  <c r="AR59" i="1" s="1"/>
  <c r="AX59" i="1" s="1"/>
  <c r="I24" i="1"/>
  <c r="AR24" i="1" s="1"/>
  <c r="AW24" i="1" s="1"/>
  <c r="BK32" i="1"/>
  <c r="BM32" i="1" s="1"/>
  <c r="I34" i="1"/>
  <c r="AR34" i="1" s="1"/>
  <c r="AY34" i="1" s="1"/>
  <c r="I58" i="1"/>
  <c r="AR58" i="1" s="1"/>
  <c r="AY58" i="1" s="1"/>
  <c r="I16" i="3"/>
  <c r="T16" i="3"/>
  <c r="J66" i="3"/>
  <c r="A66" i="3"/>
  <c r="S10" i="3"/>
  <c r="AA10" i="3"/>
  <c r="Y10" i="3"/>
  <c r="O10" i="3"/>
  <c r="B10" i="3"/>
  <c r="V10" i="3"/>
  <c r="C12" i="3"/>
  <c r="BJ9" i="1"/>
  <c r="I9" i="1"/>
  <c r="AR9" i="1" s="1"/>
  <c r="BK9" i="1"/>
  <c r="BM9" i="1" s="1"/>
  <c r="C14" i="3"/>
  <c r="B64" i="3"/>
  <c r="I4" i="1"/>
  <c r="AR4" i="1" s="1"/>
  <c r="T8" i="3"/>
  <c r="K66" i="3"/>
  <c r="Q66" i="3" s="1"/>
  <c r="E10" i="3"/>
  <c r="AA13" i="3"/>
  <c r="J69" i="3"/>
  <c r="A69" i="3"/>
  <c r="Y13" i="3"/>
  <c r="O13" i="3"/>
  <c r="B13" i="3"/>
  <c r="V13" i="3"/>
  <c r="S13" i="3"/>
  <c r="C73" i="3"/>
  <c r="BL13" i="1"/>
  <c r="BK15" i="1"/>
  <c r="BM15" i="1" s="1"/>
  <c r="BJ15" i="1"/>
  <c r="BL15" i="1" s="1"/>
  <c r="AB19" i="3" s="1"/>
  <c r="B66" i="3"/>
  <c r="I6" i="1"/>
  <c r="AR6" i="1" s="1"/>
  <c r="B67" i="3"/>
  <c r="I7" i="1"/>
  <c r="AR7" i="1" s="1"/>
  <c r="K71" i="3"/>
  <c r="Q71" i="3" s="1"/>
  <c r="E15" i="3"/>
  <c r="D16" i="3"/>
  <c r="C18" i="3"/>
  <c r="V19" i="3"/>
  <c r="AA19" i="3"/>
  <c r="O19" i="3"/>
  <c r="B19" i="3"/>
  <c r="Y19" i="3"/>
  <c r="C20" i="3"/>
  <c r="D64" i="3"/>
  <c r="T10" i="3"/>
  <c r="I10" i="3"/>
  <c r="Y12" i="3"/>
  <c r="O12" i="3"/>
  <c r="J68" i="3"/>
  <c r="A68" i="3"/>
  <c r="B12" i="3"/>
  <c r="V12" i="3"/>
  <c r="S12" i="3"/>
  <c r="AA12" i="3"/>
  <c r="S14" i="3"/>
  <c r="J70" i="3"/>
  <c r="A70" i="3"/>
  <c r="AA14" i="3"/>
  <c r="Y14" i="3"/>
  <c r="O14" i="3"/>
  <c r="B14" i="3"/>
  <c r="V14" i="3"/>
  <c r="K70" i="3"/>
  <c r="Q70" i="3" s="1"/>
  <c r="E14" i="3"/>
  <c r="C65" i="3"/>
  <c r="BL5" i="1"/>
  <c r="T14" i="3"/>
  <c r="BJ14" i="1"/>
  <c r="BL14" i="1" s="1"/>
  <c r="AB18" i="3" s="1"/>
  <c r="BK14" i="1"/>
  <c r="BM14" i="1" s="1"/>
  <c r="BK6" i="1"/>
  <c r="BM6" i="1" s="1"/>
  <c r="BJ6" i="1"/>
  <c r="D67" i="3"/>
  <c r="T15" i="3"/>
  <c r="I15" i="3"/>
  <c r="C10" i="3"/>
  <c r="B68" i="3"/>
  <c r="I8" i="1"/>
  <c r="AR8" i="1" s="1"/>
  <c r="I13" i="3"/>
  <c r="T13" i="3"/>
  <c r="C71" i="3"/>
  <c r="BL11" i="1"/>
  <c r="AA18" i="3"/>
  <c r="O18" i="3"/>
  <c r="B18" i="3"/>
  <c r="Y18" i="3"/>
  <c r="V18" i="3"/>
  <c r="C22" i="3"/>
  <c r="K64" i="3"/>
  <c r="Q64" i="3" s="1"/>
  <c r="K80" i="3"/>
  <c r="Q80" i="3" s="1"/>
  <c r="K79" i="3"/>
  <c r="Q79" i="3" s="1"/>
  <c r="C11" i="3"/>
  <c r="BK8" i="1"/>
  <c r="BM8" i="1" s="1"/>
  <c r="BJ8" i="1"/>
  <c r="BK10" i="1"/>
  <c r="BM10" i="1" s="1"/>
  <c r="BJ10" i="1"/>
  <c r="B17" i="3"/>
  <c r="V17" i="3"/>
  <c r="S17" i="3"/>
  <c r="AA17" i="3"/>
  <c r="Y17" i="3"/>
  <c r="O17" i="3"/>
  <c r="J73" i="3"/>
  <c r="A73" i="3"/>
  <c r="I17" i="3"/>
  <c r="T17" i="3"/>
  <c r="BK17" i="1"/>
  <c r="BM17" i="1" s="1"/>
  <c r="BK5" i="1"/>
  <c r="BM5" i="1" s="1"/>
  <c r="K69" i="3"/>
  <c r="Q69" i="3" s="1"/>
  <c r="E13" i="3"/>
  <c r="I11" i="1"/>
  <c r="AR11" i="1" s="1"/>
  <c r="BJ12" i="1"/>
  <c r="BL12" i="1" s="1"/>
  <c r="AB16" i="3" s="1"/>
  <c r="BK13" i="1"/>
  <c r="BM13" i="1" s="1"/>
  <c r="BL22" i="1"/>
  <c r="BC22" i="1"/>
  <c r="BK24" i="1"/>
  <c r="BM24" i="1" s="1"/>
  <c r="I35" i="1"/>
  <c r="AR35" i="1" s="1"/>
  <c r="I79" i="3"/>
  <c r="AA9" i="3"/>
  <c r="J65" i="3"/>
  <c r="A65" i="3"/>
  <c r="Y9" i="3"/>
  <c r="O9" i="3"/>
  <c r="B9" i="3"/>
  <c r="V9" i="3"/>
  <c r="S9" i="3"/>
  <c r="K68" i="3"/>
  <c r="Q68" i="3" s="1"/>
  <c r="E12" i="3"/>
  <c r="I12" i="3"/>
  <c r="T12" i="3"/>
  <c r="I10" i="1"/>
  <c r="AR10" i="1" s="1"/>
  <c r="I18" i="1"/>
  <c r="AR18" i="1" s="1"/>
  <c r="I30" i="1"/>
  <c r="AR30" i="1" s="1"/>
  <c r="BL40" i="1"/>
  <c r="I44" i="1"/>
  <c r="AR44" i="1" s="1"/>
  <c r="J72" i="3"/>
  <c r="V16" i="3"/>
  <c r="A72" i="3"/>
  <c r="S16" i="3"/>
  <c r="AA16" i="3"/>
  <c r="Y16" i="3"/>
  <c r="O16" i="3"/>
  <c r="B16" i="3"/>
  <c r="J67" i="3"/>
  <c r="A67" i="3"/>
  <c r="V11" i="3"/>
  <c r="S11" i="3"/>
  <c r="AA11" i="3"/>
  <c r="Y11" i="3"/>
  <c r="O11" i="3"/>
  <c r="B11" i="3"/>
  <c r="K67" i="3"/>
  <c r="Q67" i="3" s="1"/>
  <c r="E11" i="3"/>
  <c r="I11" i="3"/>
  <c r="T11" i="3"/>
  <c r="AA20" i="3"/>
  <c r="O20" i="3"/>
  <c r="B20" i="3"/>
  <c r="Y20" i="3"/>
  <c r="V20" i="3"/>
  <c r="BJ30" i="1"/>
  <c r="BL30" i="1" s="1"/>
  <c r="BK30" i="1"/>
  <c r="BM30" i="1" s="1"/>
  <c r="BJ35" i="1"/>
  <c r="BL35" i="1" s="1"/>
  <c r="BK35" i="1"/>
  <c r="BM35" i="1" s="1"/>
  <c r="BK44" i="1"/>
  <c r="BM44" i="1" s="1"/>
  <c r="BJ44" i="1"/>
  <c r="BL44" i="1" s="1"/>
  <c r="K65" i="3"/>
  <c r="Q65" i="3" s="1"/>
  <c r="E9" i="3"/>
  <c r="I9" i="3"/>
  <c r="T9" i="3"/>
  <c r="P25"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BL26" i="1"/>
  <c r="I31" i="1"/>
  <c r="AR31" i="1" s="1"/>
  <c r="V21" i="3"/>
  <c r="AA21" i="3"/>
  <c r="O21" i="3"/>
  <c r="B21" i="3"/>
  <c r="Y21" i="3"/>
  <c r="AA22" i="3"/>
  <c r="O22" i="3"/>
  <c r="B22" i="3"/>
  <c r="Y22" i="3"/>
  <c r="V22" i="3"/>
  <c r="P27" i="3"/>
  <c r="BJ42" i="1"/>
  <c r="BL42" i="1" s="1"/>
  <c r="BK42" i="1"/>
  <c r="BM42" i="1" s="1"/>
  <c r="BK47" i="1"/>
  <c r="BM47" i="1" s="1"/>
  <c r="BJ49" i="1"/>
  <c r="BL49" i="1" s="1"/>
  <c r="BK52" i="1"/>
  <c r="BM52" i="1" s="1"/>
  <c r="BK57" i="1"/>
  <c r="BM57" i="1" s="1"/>
  <c r="BC40" i="1"/>
  <c r="BC50" i="1"/>
  <c r="BK58" i="1"/>
  <c r="BM58" i="1" s="1"/>
  <c r="BC59" i="1"/>
  <c r="BJ62" i="1"/>
  <c r="BL62" i="1" s="1"/>
  <c r="BK62" i="1"/>
  <c r="BM62" i="1" s="1"/>
  <c r="I42" i="1"/>
  <c r="AR42" i="1" s="1"/>
  <c r="I52" i="1"/>
  <c r="AR52" i="1" s="1"/>
  <c r="BK43" i="1"/>
  <c r="BM43" i="1" s="1"/>
  <c r="BJ59" i="1"/>
  <c r="BL59" i="1" s="1"/>
  <c r="I62" i="1"/>
  <c r="AR62" i="1" s="1"/>
  <c r="BL65" i="1"/>
  <c r="AY66" i="1"/>
  <c r="AX66" i="1"/>
  <c r="AW66" i="1"/>
  <c r="I63" i="1"/>
  <c r="AR63" i="1" s="1"/>
  <c r="I61" i="1"/>
  <c r="AR61" i="1" s="1"/>
  <c r="BC61" i="1"/>
  <c r="BJ64" i="1"/>
  <c r="BL64" i="1" s="1"/>
  <c r="BM19" i="1" l="1"/>
  <c r="Q23" i="3" s="1"/>
  <c r="BM12" i="1"/>
  <c r="Q16" i="3" s="1"/>
  <c r="BM21" i="1"/>
  <c r="Q25" i="3" s="1"/>
  <c r="D71" i="3"/>
  <c r="BM11" i="1"/>
  <c r="BM23" i="1"/>
  <c r="Q27" i="3" s="1"/>
  <c r="BM22" i="1"/>
  <c r="Q26" i="3" s="1"/>
  <c r="AY67" i="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BL7" i="1"/>
  <c r="AB11" i="3" s="1"/>
  <c r="AY47" i="1"/>
  <c r="AW19" i="1"/>
  <c r="AY29" i="1"/>
  <c r="AW16" i="1"/>
  <c r="J20" i="3" s="1"/>
  <c r="AX58" i="1"/>
  <c r="AW29" i="1"/>
  <c r="AX43" i="1"/>
  <c r="AW26" i="1"/>
  <c r="AY20" i="1"/>
  <c r="AY43" i="1"/>
  <c r="AW20" i="1"/>
  <c r="AY12" i="1"/>
  <c r="AW53" i="1"/>
  <c r="AW56" i="1"/>
  <c r="AW55" i="1"/>
  <c r="AY16" i="1"/>
  <c r="AY56" i="1"/>
  <c r="AX60" i="1"/>
  <c r="AY33" i="1"/>
  <c r="AX34" i="1"/>
  <c r="AY60" i="1"/>
  <c r="AX33" i="1"/>
  <c r="AW34" i="1"/>
  <c r="AX55" i="1"/>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BL9" i="1"/>
  <c r="F19" i="3"/>
  <c r="P19" i="3"/>
  <c r="AW5" i="1"/>
  <c r="AY5" i="1"/>
  <c r="AX5" i="1"/>
  <c r="AX63" i="1"/>
  <c r="AW63" i="1"/>
  <c r="AY63" i="1"/>
  <c r="AW30" i="1"/>
  <c r="AY30" i="1"/>
  <c r="AX30" i="1"/>
  <c r="AY11" i="1"/>
  <c r="AX11" i="1"/>
  <c r="AW11" i="1"/>
  <c r="C70" i="3"/>
  <c r="BL10" i="1"/>
  <c r="F18" i="3"/>
  <c r="P18" i="3"/>
  <c r="AX6" i="1"/>
  <c r="AW6" i="1"/>
  <c r="AY6" i="1"/>
  <c r="F12" i="3"/>
  <c r="P12" i="3"/>
  <c r="D70" i="3"/>
  <c r="AY8" i="1"/>
  <c r="AW8" i="1"/>
  <c r="AX8" i="1"/>
  <c r="F64" i="3"/>
  <c r="AC8" i="3"/>
  <c r="Q8" i="3"/>
  <c r="F20" i="3"/>
  <c r="P20" i="3"/>
  <c r="AY4" i="1"/>
  <c r="AX4" i="1"/>
  <c r="AW4" i="1"/>
  <c r="AY18" i="1"/>
  <c r="AX18" i="1"/>
  <c r="AW18" i="1"/>
  <c r="C68" i="3"/>
  <c r="BL8" i="1"/>
  <c r="AC11" i="3"/>
  <c r="F67" i="3"/>
  <c r="Q11" i="3"/>
  <c r="F16" i="3"/>
  <c r="P16" i="3"/>
  <c r="AY31" i="1"/>
  <c r="AW31" i="1"/>
  <c r="AX31" i="1"/>
  <c r="AW42" i="1"/>
  <c r="AY42" i="1"/>
  <c r="AX42" i="1"/>
  <c r="AY51" i="1"/>
  <c r="AX51" i="1"/>
  <c r="AW51" i="1"/>
  <c r="AY46" i="1"/>
  <c r="AX46" i="1"/>
  <c r="AW46" i="1"/>
  <c r="AY10" i="1"/>
  <c r="AX10" i="1"/>
  <c r="AW10" i="1"/>
  <c r="D65" i="3"/>
  <c r="D68" i="3"/>
  <c r="F10" i="3"/>
  <c r="P10" i="3"/>
  <c r="E65" i="3"/>
  <c r="H65" i="3" s="1"/>
  <c r="AB9" i="3"/>
  <c r="E80" i="3"/>
  <c r="F14" i="3"/>
  <c r="P14" i="3"/>
  <c r="AW52" i="1"/>
  <c r="AY52" i="1"/>
  <c r="AX52" i="1"/>
  <c r="P9" i="3"/>
  <c r="F9" i="3"/>
  <c r="AX50" i="1"/>
  <c r="AW50" i="1"/>
  <c r="AY50" i="1"/>
  <c r="AY61" i="1"/>
  <c r="AX61" i="1"/>
  <c r="AW61" i="1"/>
  <c r="F17" i="3"/>
  <c r="P17" i="3"/>
  <c r="P13" i="3"/>
  <c r="F13" i="3"/>
  <c r="C64" i="3"/>
  <c r="BL4" i="1"/>
  <c r="F11" i="3"/>
  <c r="P11" i="3"/>
  <c r="Z18" i="3"/>
  <c r="J18" i="3"/>
  <c r="C66" i="3"/>
  <c r="BL6" i="1"/>
  <c r="Z16" i="3"/>
  <c r="J16" i="3"/>
  <c r="AX38" i="1"/>
  <c r="AW38" i="1"/>
  <c r="AY38" i="1"/>
  <c r="AW13" i="1"/>
  <c r="AY13" i="1"/>
  <c r="AX13" i="1"/>
  <c r="F21" i="3"/>
  <c r="P21" i="3"/>
  <c r="AW35" i="1"/>
  <c r="AY35" i="1"/>
  <c r="AX35" i="1"/>
  <c r="AC21" i="3"/>
  <c r="Q21" i="3"/>
  <c r="AB15" i="3"/>
  <c r="E71" i="3"/>
  <c r="H71" i="3" s="1"/>
  <c r="D66" i="3"/>
  <c r="D69" i="3"/>
  <c r="AY37" i="1"/>
  <c r="AX37" i="1"/>
  <c r="AW37" i="1"/>
  <c r="AX44" i="1"/>
  <c r="AY44" i="1"/>
  <c r="AW44" i="1"/>
  <c r="D73" i="3"/>
  <c r="F22" i="3"/>
  <c r="P22" i="3"/>
  <c r="A80" i="3"/>
  <c r="A79" i="3"/>
  <c r="P8" i="3"/>
  <c r="AY7" i="1"/>
  <c r="AX7" i="1"/>
  <c r="AW7" i="1"/>
  <c r="AC19" i="3"/>
  <c r="Q19" i="3"/>
  <c r="AW9" i="1"/>
  <c r="AY9" i="1"/>
  <c r="AX9" i="1"/>
  <c r="AC16" i="3" l="1"/>
  <c r="AW65" i="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73">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5"/>
        </ext>
      </extLst>
    </bk>
    <bk>
      <extLst>
        <ext uri="{3e2802c4-a4d2-4d8b-9148-e3be6c30e623}">
          <xlrd:rvb i="207"/>
        </ext>
      </extLst>
    </bk>
    <bk>
      <extLst>
        <ext uri="{3e2802c4-a4d2-4d8b-9148-e3be6c30e623}">
          <xlrd:rvb i="209"/>
        </ext>
      </extLst>
    </bk>
    <bk>
      <extLst>
        <ext uri="{3e2802c4-a4d2-4d8b-9148-e3be6c30e623}">
          <xlrd:rvb i="211"/>
        </ext>
      </extLst>
    </bk>
    <bk>
      <extLst>
        <ext uri="{3e2802c4-a4d2-4d8b-9148-e3be6c30e623}">
          <xlrd:rvb i="213"/>
        </ext>
      </extLst>
    </bk>
  </futureMetadata>
  <futureMetadata name="XLDAPR" count="1">
    <bk>
      <extLst>
        <ext uri="{bdbb8cdc-fa1e-496e-a857-3c3f30c029c3}">
          <xda:dynamicArrayProperties fDynamic="1" fCollapsed="0"/>
        </ext>
      </extLst>
    </bk>
  </futureMetadata>
  <cellMetadata count="1">
    <bk>
      <rc t="2" v="0"/>
    </bk>
  </cellMetadata>
  <valueMetadata count="7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valueMetadata>
</metadata>
</file>

<file path=xl/sharedStrings.xml><?xml version="1.0" encoding="utf-8"?>
<sst xmlns="http://schemas.openxmlformats.org/spreadsheetml/2006/main" count="1709" uniqueCount="786">
  <si>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</si>
  <si>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</si>
  <si>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</si>
  <si>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</si>
  <si>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</si>
  <si>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</si>
  <si>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</si>
  <si>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</si>
  <si>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</si>
  <si>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</si>
  <si>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</si>
  <si>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</si>
  <si>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</si>
  <si>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</si>
  <si>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</si>
  <si>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</si>
  <si>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</si>
  <si>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</si>
  <si>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</si>
  <si>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</si>
  <si>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</si>
  <si>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</si>
  <si>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</si>
  <si>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</si>
  <si>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</si>
  <si>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</si>
  <si>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</si>
  <si>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</si>
  <si>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</si>
  <si>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</si>
  <si>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</si>
  <si>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</si>
  <si>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</si>
  <si>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</si>
  <si>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</si>
  <si>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</si>
  <si>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</si>
  <si>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</si>
  <si>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</si>
  <si>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</si>
  <si>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</si>
  <si>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</si>
  <si>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</si>
  <si>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</si>
  <si>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</si>
  <si>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</si>
  <si>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</si>
  <si>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</si>
  <si>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</si>
  <si>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</si>
  <si>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</si>
  <si>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</si>
  <si>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</si>
  <si>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</si>
  <si>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</si>
  <si>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</si>
  <si>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</si>
  <si>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</si>
  <si>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</si>
  <si>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</si>
  <si>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</si>
  <si>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</si>
  <si>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</si>
  <si>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</si>
  <si>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</si>
  <si>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</si>
  <si>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</si>
  <si>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</si>
  <si>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</si>
  <si>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</si>
  <si>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</si>
  <si>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</si>
  <si>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</si>
  <si>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</si>
  <si>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</si>
  <si>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</si>
  <si>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</si>
  <si>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</si>
  <si>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</si>
  <si>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</si>
  <si>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03/06/2026</t>
  </si>
  <si>
    <t>26/08/2026</t>
  </si>
  <si>
    <t>Mag 7</t>
  </si>
  <si>
    <t>2026-07-30</t>
  </si>
  <si>
    <t>29/07/2026</t>
  </si>
  <si>
    <t>28/10/2026</t>
  </si>
  <si>
    <t>Fintech</t>
  </si>
  <si>
    <t>EUR</t>
  </si>
  <si>
    <t>13/08/2026</t>
  </si>
  <si>
    <t>Real Assets</t>
  </si>
  <si>
    <t>Defensive</t>
  </si>
  <si>
    <t>2026-06-10</t>
  </si>
  <si>
    <t>28/05/2026</t>
  </si>
  <si>
    <t>24/09/2026</t>
  </si>
  <si>
    <t>09/09/2026</t>
  </si>
  <si>
    <t>Hardware</t>
  </si>
  <si>
    <t>479</t>
  </si>
  <si>
    <t>2026-06-24</t>
  </si>
  <si>
    <t>05/08/2026</t>
  </si>
  <si>
    <t>Cyber</t>
  </si>
  <si>
    <t>Growth</t>
  </si>
  <si>
    <t>02/09/2026</t>
  </si>
  <si>
    <t>IP owner</t>
  </si>
  <si>
    <t>JPY</t>
  </si>
  <si>
    <t>07/08/2026</t>
  </si>
  <si>
    <t>2026-07-18</t>
  </si>
  <si>
    <t>30/07/2026</t>
  </si>
  <si>
    <t>Electrify</t>
  </si>
  <si>
    <t>29/10/2026</t>
  </si>
  <si>
    <t>Consumo</t>
  </si>
  <si>
    <t>09/06/2026</t>
  </si>
  <si>
    <t>252</t>
  </si>
  <si>
    <t>378</t>
  </si>
  <si>
    <t>2026-04-26</t>
  </si>
  <si>
    <t>Healthcare</t>
  </si>
  <si>
    <t>GBP</t>
  </si>
  <si>
    <t>737</t>
  </si>
  <si>
    <t>11/06/2026</t>
  </si>
  <si>
    <t>19/11/2026</t>
  </si>
  <si>
    <t>1,670</t>
  </si>
  <si>
    <t>18/11/2026</t>
  </si>
  <si>
    <t>Industrial</t>
  </si>
  <si>
    <t>SEK</t>
  </si>
  <si>
    <t>8,331</t>
  </si>
  <si>
    <t>14/07/2026</t>
  </si>
  <si>
    <t>22/10/2026</t>
  </si>
  <si>
    <t>27/08/2026</t>
  </si>
  <si>
    <t>3,033</t>
  </si>
  <si>
    <t>06/08/2026</t>
  </si>
  <si>
    <t>PLN</t>
  </si>
  <si>
    <t>2026-07-29</t>
  </si>
  <si>
    <t>28/07/2026</t>
  </si>
  <si>
    <t>27/10/2026</t>
  </si>
  <si>
    <t>CHF</t>
  </si>
  <si>
    <t>19/08/2026</t>
  </si>
  <si>
    <t>04/08/2026</t>
  </si>
  <si>
    <t>22/07/2026</t>
  </si>
  <si>
    <t>16/07/2026</t>
  </si>
  <si>
    <t>Sports</t>
  </si>
  <si>
    <t>construction</t>
  </si>
  <si>
    <t>KZT</t>
  </si>
  <si>
    <t>10/08/2026</t>
  </si>
  <si>
    <t>92</t>
  </si>
  <si>
    <t>IA</t>
  </si>
  <si>
    <t>20/05/2026</t>
  </si>
  <si>
    <t>Alcohol</t>
  </si>
  <si>
    <t>123</t>
  </si>
  <si>
    <t>05/11/2026</t>
  </si>
  <si>
    <t>15/10/2026</t>
  </si>
  <si>
    <t>77</t>
  </si>
  <si>
    <t>31/03/2026</t>
  </si>
  <si>
    <t>28/08/2026</t>
  </si>
  <si>
    <t>Special situation</t>
  </si>
  <si>
    <t>183</t>
  </si>
  <si>
    <t>308</t>
  </si>
  <si>
    <t>23/07/2026</t>
  </si>
  <si>
    <t>Materials</t>
  </si>
  <si>
    <t>Raw materials</t>
  </si>
  <si>
    <t>20/10/2026</t>
  </si>
  <si>
    <t>30/06/2026</t>
  </si>
  <si>
    <t>30/09/2026</t>
  </si>
  <si>
    <t>23/10/2026</t>
  </si>
  <si>
    <t>4,044</t>
  </si>
  <si>
    <t>186</t>
  </si>
  <si>
    <t>44</t>
  </si>
  <si>
    <t>08/07/2026</t>
  </si>
  <si>
    <t>30/01/2027</t>
  </si>
  <si>
    <t>168</t>
  </si>
  <si>
    <t>26/06/2026</t>
  </si>
  <si>
    <t>173</t>
  </si>
  <si>
    <t>02/12/2026</t>
  </si>
  <si>
    <t>405</t>
  </si>
  <si>
    <t>114</t>
  </si>
  <si>
    <t>04/11/2026</t>
  </si>
  <si>
    <t>CSU</t>
  </si>
  <si>
    <t>2026-05-18</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</si>
  <si>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</si>
  <si>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</si>
  <si>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</si>
  <si>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</si>
  <si>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</si>
  <si>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</si>
  <si>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</si>
  <si>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</si>
  <si>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</si>
  <si>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</si>
  <si>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</si>
  <si>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</si>
  <si>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</si>
  <si>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</si>
  <si>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</si>
  <si>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</si>
  <si>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</si>
  <si>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</si>
  <si>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</si>
  <si>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</si>
  <si>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</si>
  <si>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</si>
  <si>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</si>
  <si>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</si>
  <si>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</si>
  <si>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</si>
  <si>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</si>
  <si>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</si>
  <si>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</si>
  <si>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</si>
  <si>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</si>
  <si>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</si>
  <si>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</si>
  <si>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</si>
  <si>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</si>
  <si>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</si>
  <si>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</si>
  <si>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</si>
  <si>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</si>
  <si>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</si>
  <si>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</si>
  <si>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</si>
  <si>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</si>
  <si>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</si>
  <si>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</si>
  <si>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</si>
  <si>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</si>
  <si>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</si>
  <si>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</si>
  <si>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</si>
  <si>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</si>
  <si>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</si>
  <si>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</si>
  <si>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</si>
  <si>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</si>
  <si>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</si>
  <si>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</si>
  <si>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</si>
  <si>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</si>
  <si>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</si>
  <si>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</si>
  <si>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</si>
  <si>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</si>
  <si>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</si>
  <si>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</si>
  <si>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</si>
  <si>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</si>
  <si>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</si>
  <si>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</si>
  <si>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</si>
  <si>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</si>
  <si>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</si>
  <si>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</si>
  <si>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</si>
  <si>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</si>
  <si>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</si>
  <si>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</si>
  <si>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</si>
  <si>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</si>
  <si>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</si>
  <si>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</si>
  <si>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</si>
  <si>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</si>
  <si>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</si>
  <si>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</si>
  <si>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</si>
  <si>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</si>
  <si>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</si>
  <si>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</si>
  <si>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</si>
  <si>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</si>
  <si>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</si>
  <si>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</si>
  <si>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</si>
  <si>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</si>
  <si>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</si>
  <si>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</si>
  <si>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</si>
  <si>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</si>
  <si>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</si>
  <si>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</si>
  <si>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</si>
  <si>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</si>
  <si>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</si>
  <si>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</si>
  <si>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</si>
  <si>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</si>
  <si>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</si>
  <si>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</si>
  <si>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</si>
  <si>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</si>
  <si>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</si>
  <si>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</si>
  <si>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</si>
  <si>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</si>
  <si>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</si>
  <si>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</si>
  <si>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</si>
  <si>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</si>
  <si>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</si>
  <si>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</si>
  <si>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</si>
  <si>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</si>
  <si>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</si>
  <si>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</si>
  <si>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</si>
  <si>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</si>
  <si>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</si>
  <si>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</si>
  <si>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</si>
  <si>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</si>
  <si>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</si>
  <si>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</si>
  <si>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</si>
  <si>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</si>
  <si>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</si>
  <si>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</si>
  <si>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</si>
  <si>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</si>
  <si>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</si>
  <si>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</si>
  <si>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</si>
  <si>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</si>
  <si>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</si>
  <si>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</si>
  <si>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</si>
  <si>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</si>
  <si>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</si>
  <si>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</si>
  <si>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</si>
  <si>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</si>
  <si>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</si>
  <si>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</si>
  <si>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</si>
  <si>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</si>
  <si>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</si>
  <si>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</si>
  <si>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</si>
  <si>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</si>
  <si>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</si>
  <si>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</si>
  <si>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</si>
  <si>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</si>
  <si>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</si>
  <si>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</si>
  <si>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</si>
  <si>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</si>
  <si>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</si>
  <si>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</si>
  <si>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</si>
  <si>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</si>
  <si>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</si>
  <si>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</si>
  <si>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</si>
  <si>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</si>
  <si>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</si>
  <si>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</si>
  <si>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</si>
  <si>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</si>
  <si>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</si>
  <si>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</si>
  <si>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</si>
  <si>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</si>
  <si>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</si>
  <si>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</si>
  <si>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</si>
  <si>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</si>
  <si>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</si>
  <si>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</si>
  <si>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</si>
  <si>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</si>
  <si>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</si>
  <si>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</si>
  <si>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</si>
  <si>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</si>
  <si>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</si>
  <si>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</si>
  <si>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</si>
  <si>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</si>
  <si>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</si>
  <si>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</si>
  <si>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</si>
  <si>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</si>
  <si>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</si>
  <si>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</si>
  <si>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</si>
  <si>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</si>
  <si>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</si>
  <si>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</si>
  <si>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</si>
  <si>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</si>
  <si>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</si>
  <si>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</si>
  <si>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</si>
  <si>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</si>
  <si>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</si>
  <si>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</si>
  <si>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</si>
  <si>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</si>
  <si>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</si>
  <si>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</si>
  <si>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</si>
  <si>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</si>
  <si>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</si>
  <si>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</si>
  <si>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</si>
  <si>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</si>
  <si>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</si>
  <si>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</si>
  <si>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</si>
  <si>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</si>
  <si>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</si>
  <si>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</si>
  <si>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</si>
  <si>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</si>
  <si>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</si>
  <si>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</si>
  <si>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</si>
  <si>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</si>
  <si>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</si>
  <si>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</si>
  <si>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</si>
  <si>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</si>
  <si>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</si>
  <si>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</si>
  <si>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</si>
  <si>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</si>
  <si>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</si>
  <si>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</si>
  <si>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</si>
  <si>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</si>
  <si>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</si>
  <si>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</si>
  <si>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</si>
  <si>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</si>
  <si>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</si>
  <si>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</si>
  <si>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</si>
  <si>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</si>
  <si>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</si>
  <si>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</si>
  <si>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</si>
  <si>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</si>
  <si>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</si>
  <si>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</si>
  <si>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</si>
  <si>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</si>
  <si>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</si>
  <si>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</si>
  <si>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</si>
  <si>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</si>
  <si>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</si>
  <si>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</si>
  <si>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</si>
  <si>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</si>
  <si>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</si>
  <si>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</si>
  <si>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</si>
  <si>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</si>
  <si>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</si>
  <si>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</si>
  <si>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</si>
  <si>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</si>
  <si>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</si>
  <si>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</si>
  <si>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</si>
  <si>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</si>
  <si>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</si>
  <si>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</si>
  <si>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</si>
  <si>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</si>
  <si>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</si>
  <si>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</si>
  <si>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</si>
  <si>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</si>
  <si>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</si>
  <si>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</si>
  <si>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</si>
  <si>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</si>
  <si>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</si>
  <si>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</si>
  <si>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</si>
  <si>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</si>
  <si>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</si>
  <si>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</si>
  <si>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</si>
  <si>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</si>
  <si>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</si>
  <si>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</si>
  <si>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</si>
  <si>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</si>
  <si>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</si>
  <si>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</si>
  <si>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</si>
  <si>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</si>
  <si>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</si>
  <si>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</si>
  <si>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</si>
  <si>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</si>
  <si>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</si>
  <si>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</si>
  <si>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</si>
  <si>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</si>
  <si>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</si>
  <si>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</si>
  <si>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</si>
  <si>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</si>
  <si>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</si>
  <si>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</si>
  <si>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</si>
  <si>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</si>
  <si>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</si>
  <si>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</si>
  <si>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</si>
  <si>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</si>
  <si>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</si>
  <si>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</si>
  <si>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</si>
  <si>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</si>
  <si>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</si>
  <si>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</si>
  <si>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</si>
  <si>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</si>
  <si>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</si>
  <si>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</si>
  <si>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</si>
  <si>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</si>
  <si>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</si>
  <si>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</si>
  <si>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</si>
  <si>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</si>
  <si>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</si>
  <si>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</si>
  <si>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</si>
  <si>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</si>
  <si>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</si>
  <si>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</si>
  <si>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</si>
  <si>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</si>
  <si>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</si>
  <si>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</si>
  <si>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</si>
  <si>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</si>
  <si>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10/03/2026</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</si>
  <si>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</si>
  <si>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</si>
  <si>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</si>
  <si>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</si>
  <si>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</si>
  <si>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</si>
  <si>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</si>
  <si>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</si>
  <si>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</si>
  <si>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</si>
  <si>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</si>
  <si>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</si>
  <si>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</si>
  <si>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</si>
  <si>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</si>
  <si>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</si>
  <si>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</si>
  <si>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</si>
  <si>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</si>
  <si>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</si>
  <si>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</si>
  <si>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</si>
  <si>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</si>
  <si>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</si>
  <si>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</si>
  <si>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</si>
  <si>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</si>
  <si>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</si>
  <si>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</si>
  <si>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</si>
  <si>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</si>
  <si>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</si>
  <si>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</si>
  <si>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</si>
  <si>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</si>
  <si>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</si>
  <si>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</si>
  <si>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</si>
  <si>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</si>
  <si>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</si>
  <si>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</si>
  <si>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</si>
  <si>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</si>
  <si>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</si>
  <si>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</si>
  <si>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</si>
  <si>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</si>
  <si>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</si>
  <si>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</si>
  <si>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</si>
  <si>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</si>
  <si>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</si>
  <si>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</si>
  <si>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</si>
  <si>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</si>
  <si>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</si>
  <si>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</si>
  <si>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</si>
  <si>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</si>
  <si>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</si>
  <si>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</si>
  <si>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</si>
  <si>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</si>
  <si>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</si>
  <si>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</si>
  <si>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</si>
  <si>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</si>
  <si>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</si>
  <si>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</si>
  <si>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</si>
  <si>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</si>
  <si>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</si>
  <si>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</si>
  <si>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</si>
  <si>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</si>
  <si>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</si>
  <si>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</si>
  <si>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</si>
  <si>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</si>
  <si>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</si>
  <si>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</si>
  <si>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</si>
  <si>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</si>
  <si>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</si>
  <si>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</si>
  <si>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</si>
  <si>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</si>
  <si>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</si>
  <si>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</si>
  <si>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</si>
  <si>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</si>
  <si>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</si>
  <si>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</si>
  <si>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</si>
  <si>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</si>
  <si>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</si>
  <si>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</si>
  <si>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</si>
  <si>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</si>
  <si>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</si>
  <si>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</si>
  <si>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</si>
  <si>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</si>
  <si>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</si>
  <si>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</si>
  <si>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OJO: el FCF normalizado NO sustituye a las columnas FCF@5y, que siguen siendo la vision forward y la base de la valoracion. El normalizado solo sirve para que el EV/FCF de cribado signifique algo durante el ciclo de inversion.</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</si>
  <si>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</si>
  <si>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</si>
  <si>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</si>
  <si>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</si>
  <si>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</si>
  <si>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</si>
  <si>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</si>
  <si>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</si>
  <si>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</si>
  <si>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</si>
  <si>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</si>
  <si>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</si>
  <si>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</si>
  <si>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</si>
  <si>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</si>
  <si>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</si>
  <si>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</si>
  <si>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</si>
  <si>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</si>
  <si>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</si>
  <si>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</si>
  <si>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</si>
  <si>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</si>
  <si>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</si>
  <si>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</si>
  <si>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</si>
  <si>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</si>
  <si>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</si>
  <si>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</si>
  <si>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</si>
  <si>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</si>
  <si>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</si>
  <si>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</si>
  <si>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</si>
  <si>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</si>
  <si>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</si>
  <si>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</si>
  <si>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</si>
  <si>
    <t>12/11/2026</t>
  </si>
  <si>
    <t>2026-08-25</t>
  </si>
  <si>
    <t>10/09/2026</t>
  </si>
  <si>
    <t>25/02/2027</t>
  </si>
  <si>
    <t>22/09/2026</t>
  </si>
  <si>
    <t>20/11/2026</t>
  </si>
  <si>
    <t>09/11/2026</t>
  </si>
  <si>
    <t>03/11/2026</t>
  </si>
  <si>
    <t>11/08/2026</t>
  </si>
  <si>
    <t>BO9; BO10; BO16; BO65 (formato de fecha)</t>
  </si>
  <si>
    <t>Auditoria de fechas de resultados</t>
  </si>
  <si>
    <t>Bug de la sesion del 22-ago: al escribir "10/09/2026" via COM, Excel parsea en en-US y guarda mm/dd. DSGX quedo en 9-oct en vez de 10-sep, RAA en 8-jun en vez de 6-ago, LOTB en 8-jul en vez de 7-ago y CSU en 8-nov (fecha futura como "ultimos resultados") en vez de 11-ago. Las cuatro celdas se reescriben como TEXTO con formato "@", que es lo que usa el resto de la columna.</t>
  </si>
  <si>
    <t>AP; AQ; AS; AT; AU; AV; BD; BF; BO; BP</t>
  </si>
  <si>
    <t>Q1 FY2027 (6-ago-2026) + resultados FY2026 (8-may-2026)</t>
  </si>
  <si>
    <t>LTM a jun-2026: ingresos 2.000.000 -&gt; 2.258.501 MJPY (FY2026 2.313.000 menos Q1FY26 572.300 mas Q1FY27 517.800). EBITDA 550.000 -&gt; 461.600 (EBIT LTM 445.785 + D&amp;A 15.854). NOPAT 350.000 -&gt; 325.400 (27% de tipo efectivo). Caja 1.950.000 -&gt; 1.967.908 y deuda 20.000 -&gt; 0. FCF 330.000 -&gt; 262.620: es el FY2026 (289.789 de operaciones menos 27.169 de capex) porque Nintendo NO publica estado de flujos trimestral. Capex 27.169 &lt; 2x D&amp;A, asi que no se normaliza. FCF@5y rebasado sobre la nueva base manteniendo las CAGR implicitas (0% y 13%): min 330.000 -&gt; 262.620, max 608.004 -&gt; 483.861. Sin cambios de rating: el +150,5% de resultado operativo del Q1 lleva dentro unos 300 M$ de devolucion de aranceles (partida no recurrente) y el hardware de Switch 2 cayo un 34%; la guia del ejercicio se mantiene. AVISO: con estos numeros la asimetria de Nintendo queda mal, bajista -47% y alcista solo +16% total a 5 anos.</t>
  </si>
  <si>
    <t>AP; AQ; AS; AT; AU; AV; AZ; BD; BF; BO; BP</t>
  </si>
  <si>
    <t>Q2 2026 (6-ago-2026)</t>
  </si>
  <si>
    <t>Ingresos LTM 11.100 -&gt; 13.159 M$, FCF LTM 4.200 -&gt; 4.800 (dato de la propia compania, margen FCF LTM del 37%). EBITDA 3.500 -&gt; 2.874 por coherencia con el metodo del libro (EBIT + D&amp;A = 2.738 + 136); el 3.500 anterior era EBITDA ajustado con el SBC sumado. NOPAT 1.500 -&gt; 2.081. Caja mas inversiones a corto 11.000 -&gt; 12.069 y deuda 2.000 -&gt; 2.496. Capital empleado 4.000 -&gt; 10.662 (activo 28.754 menos pasivo corriente 18.092). El trimestre: ingresos +17%, GBV +16% hasta 27.200, noches +10% acelerando. FCF@5y: el max se rebasa a 9.655 manteniendo el 15,0%/a implicito, pero el min NO se rebasa mecanicamente porque con 6.126 el caso bajista solo perdia un 3%; se endurece a 5.100 (+1,2%/a) para cumplir el test del -15%. Sin cambios de rating: MOAT y Optionality ya se ajustaron el 21-ago.</t>
  </si>
  <si>
    <t>Q2 2026 (13-ago-2026)</t>
  </si>
  <si>
    <t>Ingresos LTM 36.000 -&gt; 35.628 MPLN, EBITDA 2.500 -&gt; 2.609 (EBIT 2.045 + D&amp;A 564), NOPAT 1.700 -&gt; 1.656 (19% CIT polaco). Caja 500 -&gt; 771, deuda 1.000 -&gt; 852, capital empleado 6.500 -&gt; 9.909. FCF NORMALIZADO: capex LTM 2.024 supera el doble del D&amp;A (1.128), asi que se aplica la regla del libro. Capex de mantenimiento = max(563,86 ; 1.012) = 1.012 y FCF = 2.693 - 1.012 = 1.681 en vez de los 669 reportados. Sin la normalizacion el EV/FCF salia 51x para un discounter que abre cientos de tiendas al ano; con ella queda en 20,3x. FCF@5y rebasado: min 1.234 -&gt; 1.900 (+2,5%/a, endurecido porque el rebase mecanico daba un caso bajista que GANABA un 30%) y max 2.052 -&gt; 3.381 (+15,0%/a, bajado desde el 24,0%/a implicito anterior porque no se sostiene con la nueva base).</t>
  </si>
  <si>
    <t>1S 2026 (6-ago-2026)</t>
  </si>
  <si>
    <t>LTM a jun-2026: ingresos 9.500 -&gt; 10.107 M EUR, EBITDA 2.250 -&gt; 2.319 (EBIT 1.904 + D&amp;A 414,5), NOPAT 1.450 -&gt; 1.409, FCF 1.300 -&gt; 1.340 (operaciones 1.567 menos capex 228). Caja 1.800 -&gt; 1.971 y deuda 4.300 -&gt; 7.724: la deuda estaba infravalorada en 3.400 M EUR, es el cambio mas importante de la fila. Capital empleado 9.500 -&gt; 15.683. FCF@5y rebasado manteniendo las CAGR (6,0% y 15,0%): min 1.740 -&gt; 1.794 y max 2.615 -&gt; 2.696. Sin cambios de rating. AVISO: el multiplo de salida bajista (13x, columna protegida) frente a un EV/FCF de 30,6x hace que el caso bajista pierda un 50%; casi todo viene del de-rating, no del negocio.</t>
  </si>
  <si>
    <t>1S 2026 (19-ago-2026)</t>
  </si>
  <si>
    <t>LTM a jun-2026: ingresos 2.600 -&gt; 2.637 MCHF, EBITDA 550 -&gt; 779 (EBIT 651,3 + D&amp;A 128), NOPAT 380 -&gt; 528. FCF 350 -&gt; 384 (FY2025 328,3 menos 1S25 113,6 mas 1S26 169,0). Caja 300 -&gt; 415 y deuda 700 -&gt; 475. Capital empleado 2.800 -&gt; 3.139, con lo que el ROIC pasa del 13,6% al 16,8%. El semestre: organico +7,8% (Q2 +8,5%, acelerando), margen core EBIT del 26,9% a tipos constantes (+90 pb) y guia del ejercicio confirmada al alza. FCF@5y rebasado manteniendo las CAGR (6,0% y 16,0%): min 468 -&gt; 514 y max 735 -&gt; 807. Sin cambios de rating: la aceleracion del organico confirma la tesis pero no aporta un hecho estructural nuevo.</t>
  </si>
  <si>
    <t>Q2 2026 (30-jul-2026)</t>
  </si>
  <si>
    <t>Ingresos LTM 17.500 -&gt; 25.833 M$, EBITDA 7.500 -&gt; 6.752 (EBIT 6.636 + D&amp;A 116), NOPAT 4.500 -&gt; 5.176. Caja 10.000 -&gt; 21.080 y deuda 60.000 -&gt; 56.164. FCF 4.200 -&gt; 5.000: se usa el beneficio neto ajustado LTM, mismo criterio que en Brookfield, y NO el FCF contable (2.340), que en una gestora consolidada con la aseguradora no significa nada. El calculo: FY2025 4.400 menos 1S25 (2.110) mas 1S26 (Q1 ~1.200 estimado + Q2 1.493 reportado) = ~4.980. PENDIENTE: el ANI del Q1 2026 es una estimacion, conviene sustituirlo por el dato publicado. El trimestre fue record en las tres metricas: FRE 1.214, TOE 1.539, ANI 1.493 (+38% por accion) y AUM 796.000. FCF@5y rebasado manteniendo las CAGR (7,0% y 20,0%): min 5.891 -&gt; 7.013 y max 10.451 -&gt; 12.442. AZ (capital empleado) NO se toca: activo menos pasivo corriente da 349.000 M$ y el ROIC resultante (1,5%) no significa nada en un balance consolidado con Global Atlantic y los vehiculos.</t>
  </si>
  <si>
    <t>Ingresos LTM 1.850 -&gt; 2.512 M$ (Q2 696,1, +36%). FCF 280 -&gt; 342 (operaciones 633,4 menos capex 291,5; capex &lt; 2x D&amp;A, no se normaliza). Caja mas inversiones a corto 1.800 -&gt; 4.163 y deuda 1.300 -&gt; 3.529. Capital empleado 3.500 -&gt; 3.846. CAMBIO IMPORTANTE DE SIGNO: en GAAP el resultado operativo LTM es -194,7 y el EBITDA (EBIT + D&amp;A) es -2,2, no +320. El NOPAT pasa de +50 a -195 y el ROIC de +1,4% a -5,1%. AVISO: el rating R2 Financials se bajo de 10 a 8 el 21-ago justificandolo con "ROIC 1,4%", una cifra que no esta en las cuentas; antes de volver a tocar el rating hay que decidir si esta fila se juzga en GAAP o en no-GAAP. El SBC LTM es 507,7 M$, el 20% de los ingresos, y todo el FCF se explica por sumarlo de vuelta. SEGUNDO AVISO: en el Q2 la compania anuncio una reestructuracion con recorte del 20% de la plantilla mientras los ingresos crecian un 36%; hay que leer la llamada antes de la proxima revision. La fila entera esta rota como valoracion: con un EV/FCF de 303x, el caso bajista pierde un 87% y el ALCISTA un 66%; los multiplos de salida (20-30x, columnas protegidas) no pueden capturar este precio.</t>
  </si>
  <si>
    <t>KRX</t>
  </si>
  <si>
    <t>AP; AQ; AS; AT; AU; AV; BD; BF; V (R2 Potential); BO; BP</t>
  </si>
  <si>
    <t>1S 2026 (7-ago-2026)</t>
  </si>
  <si>
    <t>LTM a jun-2026: ingresos 9.200 -&gt; 9.561 M EUR (FY2025 9.200 menos 1S25 4.496,3 mas 1S26 4.857,8), EBITDA 1.200 -&gt; 1.277, NOPAT 700 -&gt; 780. FCF 600 -&gt; 594 (FY2025 429,3 menos 1S25 -20,0 mas 1S26 144,3). Caja 800 -&gt; 590 y deuda 2.800 -&gt; 2.450, reconstruidas desde la deuda neta publicada de 1.859,8 y una liquidez disponible de 1.290 con 700 de credito no dispuesto. R2 Potential 13 -&gt; 14: hecho nuevo del paso 2, el segmento Advnsys (centros de datos) crecio un 36% en el semestre y la guia del ejercicio sube a 1.125 M EUR de trading profit (+18%) con ingresos que rompen los 10.000 M EUR por primera vez; es un vector de crecimiento nuevo, no el ciclo de la construccion europea. FCF@5y rebasado manteniendo las CAGR (4,0% y 15,0%): min 730 -&gt; 723 y max 1.207 -&gt; 1.195.</t>
  </si>
  <si>
    <t>CBAV</t>
  </si>
  <si>
    <t>AP; AT; AU; AV; BO; BP</t>
  </si>
  <si>
    <t>1S 2026 (29-jul-2026)</t>
  </si>
  <si>
    <t>Clinica Baviera. La fila llevaba sin tocarse desde el 26-abr y no tenia fecha de proximos resultados. LTM a jun-2026: ingresos 290 -&gt; 320 M EUR (FY2025 304,9 menos 1S25 154,5 mas 1S26 169,9), EBITDA 62 -&gt; 95, NOPAT 35 -&gt; 50. Caja 45 -&gt; 51,6. El semestre: ingresos +10%, EBITDA +14%, beneficio neto 26,7 (+17%), posicion financiera neta POSITIVA de 41,7 y capex de 12,4. Espana +11% en ingresos y +15% en EBITDA, Reino Unido +28%, Alemania plana con el EBITDA -11%. PENDIENTE: AQ (deuda 70) son pasivos por arrendamiento IFRS16, no deuda financiera; conviene decidir el criterio. El FCF (42) se deja como estaba: no hay estado de flujos semestral publicado.</t>
  </si>
  <si>
    <t>AP; AQ; AS; AT; AU; AV; AZ; BD; BF; T (R2 Financials); BO; BP</t>
  </si>
  <si>
    <t>Q2 2026 (29-jul-2026)</t>
  </si>
  <si>
    <t>La fila estaba MUY mal. Ingresos LTM 30.000 -&gt; 18.113 M EUR (un 65% de exceso), EBITDA 7.500 -&gt; 2.750 (EBIT 2.653 + D&amp;A 97), NOPAT 4.500 -&gt; 2.122, FCF 4.000 -&gt; 3.267. Y sobre todo el balance: la deuda pasa de 10.000 a 466 y la caja mas inversiones a corto de 5.000 a 6.985, o sea de 5.000 M EUR de deuda neta a 6.519 M EUR de CAJA NETA. Capital empleado 25.000 -&gt; 8.834. R2 Financials 12 -&gt; 13: el rating estaba calibrado contra un balance que no existe; con caja neta de 6.500 M EUR, FCF del 18% sobre ingresos y margen operativo del 14,7%, un 12 sobre 17 lo dejaba por debajo de companias claramente peor financiadas. FCF@5y rebasado manteniendo las CAGR (3,0% y 10,0%): min 4.637 -&gt; 3.787 y max 6.442 -&gt; 5.262. Resultado: bajista -20%, alcista +47%.</t>
  </si>
  <si>
    <t>LTM a jun-2026: ingresos 3.100 -&gt; 3.035 M EUR, EBITDA 700 -&gt; 664 (EBIT 549,7 + D&amp;A 113,9), NOPAT 420 -&gt; 412. Caja 800 -&gt; 711 y deuda 4.200 -&gt; 2.806: la deuda estaba sobrevalorada en 1.400 M EUR, la deuda neta real es 2.095. Capital empleado 5.500 -&gt; 7.090. FCF NORMALIZADO: capex LTM 245,6 supera el doble del D&amp;A (227,8), asi que capex de mantenimiento = max(113,9 ; 122,8) = 122,8 y FCF = 556,6 - 122,8 = 433,8 en vez de los 311 reportados; Campari sigue en ciclo de capacidad (agave y tequila). FCF@5y rebasado manteniendo las CAGR (3,0% y 11,0%): min 348 -&gt; 503 y max 506 -&gt; 731. El semestre: ventas 1.510 (+2,7% organico), EBIT ajustado 358 (+8,5% organico, margen 23,7% frente al 23,0%) y guia del ejercicio subida. Sin cambios de rating.</t>
  </si>
  <si>
    <t>AP; AQ; AS; AT; AU; AV; AZ; BD; BF; V (R2 Potential); BO; BP</t>
  </si>
  <si>
    <t>Q2 2026 (5-ago-2026)</t>
  </si>
  <si>
    <t>La fila estaba desfasada mas del doble. Ingresos LTM 230 -&gt; 489 M$ (Q2 129,2 + Q1 147,0 + Q4 118,9 + Q3 93,5), EBITDA 210 -&gt; 377 (EBIT 302,2 + agotamiento 74,8), NOPAT 140 -&gt; 257. Caja 80 -&gt; 35 y deuda 0 -&gt; 236, tras financiar Ravenswood. Capital empleado 1.800 -&gt; 2.539. FCF 190 -&gt; 395: se usa el flujo de operaciones LTM SIN restar capex. EXCEPCION EXPLICITA a la regla de FCF normalizado: el "capex" de 622 M$ del periodo son compras de streams (440 de Ravenswood), o sea M&amp;A de crecimiento, no reposicion; en una royalty el capex de sostenimiento es cero y el agotamiento es contable. R2 Potential 10 -&gt; 12: hecho nuevo, la guia de 2026 sube a 100.000-110.000 GEO y la de 2030 a 150.000-160.000, un recorrido de volumen del 9-10% anual que antes no estaba publicado. FCF@5y REHECHO, no rebasado: el min mecanico (503) daba un caso bajista que GANABA un 27%, asi que queda en 330 (-3,5%/a, reversion parcial del precio del oro); y el max mecanico (983) implicaba un 20,0%/a durante cinco anos mas sobre una base que acaba de duplicarse, asi que se ancla al 9,0%/a de la guia de volumen: 608. Resultado: bajista -18%, alcista +89%.</t>
  </si>
  <si>
    <t>AP; AQ; AS; AT; AU; AV; AZ; BO; BP</t>
  </si>
  <si>
    <t>Q2 2026 cerrado el 30-jun (4-ago-2026)</t>
  </si>
  <si>
    <t>Ferguson cambio de ejercicio fiscal: el cierre pasa del 31-jul al 31-dic y desde el 1-ene-2026 reporta por ano natural, asi que ahora hay resultados en agosto (antes no los habia y por eso la fila tenia mal el calendario). LTM a jun-2026: ingresos 30.000 -&gt; 31.446 M$, EBITDA 3.700 -&gt; 3.071 (EBIT 2.687 + D&amp;A 383,8), NOPAT 2.800 -&gt; 2.015. Caja 450 -&gt; 437 y deuda 4.000 -&gt; 6.887. Capital empleado 12.000 -&gt; 12.926. FCF 2.400 -&gt; 1.118 (operaciones 1.655 menos capex 537). PASO 4 DEJADO A PROPOSITO SIN HACER: con la nueva base y los multiplos de salida actuales (12-18x, columnas protegidas) frente a un EV/FCF de 47,7x, el rebase mecanico deja el caso ALCISTA perdiendo un 41%. Antes de rebasar hay que decidir si 1.118 es el FCF del ciclo o un ano con acumulacion de circulante: el beneficio neto LTM es 1.987 y la conversion historica de Ferguson ronda el 90%. BD y BF se quedan como estaban.</t>
  </si>
  <si>
    <t>Q2 2026 (4-ago-2026)</t>
  </si>
  <si>
    <t>LTM a jun-2026: ingresos 1.100 -&gt; 1.208 M$ (Q2 record de 418, +8%), EBITDA 270 -&gt; 313 (EBIT 243,6 + D&amp;A 69,2), NOPAT 190 -&gt; 183. Caja 50 -&gt; 6,5 y deuda 150 -&gt; 303. Capital empleado 900 -&gt; 1.176. FCF NORMALIZADO: capex LTM 150,1 supera el doble del D&amp;A (138,5), capex de mantenimiento = max(69,2 ; 75,0) = 75,0 y FCF = 358,1 - 75,0 = 283 en vez de los 208 reportados; Trex sigue levantando la planta de Arkansas. FCF@5y rebasado manteniendo las CAGR (0,0% y 14,0%): min 190 -&gt; 283 y max 366 -&gt; 545. Resultado: bajista -35%, alcista +99%.</t>
  </si>
  <si>
    <t>1S 2026 (30-jul-2026)</t>
  </si>
  <si>
    <t>La fila llevaba con datos del FY2025 desde febrero. LTM a jun-2026: ingresos 46.600 -&gt; 46.226 M EUR, EBITDA 6.800 -&gt; 7.337 (EBIT 4.976 + D&amp;A 2.361), NOPAT 3.000 -&gt; 3.632, FCF 2.400 -&gt; 3.378 (operaciones 5.327 menos capex 1.949). Caja 6.500 -&gt; 5.751 y deuda 15.000 -&gt; 17.270. Capital empleado 28.000 -&gt; 43.914 (activo 61.537 menos pasivo corriente 17.623), con lo que el ROIC queda en el 8,3%. FCF@5y rebasado manteniendo las CAGR (1,0% y 9,0%): min 2.522 -&gt; 3.550 y max 3.693 -&gt; 5.198. Sin cambios de rating. Es la fila mas barata del grupo revisado: EV/FCF de 15,3x, bajista -23% y alcista +78%.</t>
  </si>
  <si>
    <t>LTM a jun-2026: ingresos 790 -&gt; 707 M$, EBITDA 380 -&gt; 253 (EBIT 109,0 + D&amp;A 143,6), NOPAT 170 -&gt; 76. Caja 50 -&gt; 11,3 y deuda 430 -&gt; 517. FCF NORMALIZADO POR LA SEGUNDA CONDICION de la regla (FCF reportado negativo con flujo de operaciones positivo): operaciones 162,2, D&amp;A 143,6, capex 268,0; capex de mantenimiento = max(143,6 ; 134,0) = 143,6 y FCF = 18,6 frente a los -105,8 reportados y los 230 que habia en la hoja. Con Blackrod en construccion el capex es el 38% de las ventas y la compania no genera caja libre. PASO 4 DEJADO A PROPOSITO SIN HACER: rebasar FCF@5y sobre una base de 18,6 daria unas CAGR implicitas del 57% y el 85% anual, que no significan nada; la nota metodologica del libro ya dice que el FCF normalizado no sustituye a FCF@5y, que es la vision forward de post-Blackrod. BD y BF se quedan como estaban. Sin cambios de rating: Capital Intensity ya esta en 2 sobre 10, el minimo practico del libro.</t>
  </si>
  <si>
    <t>JDG</t>
  </si>
  <si>
    <t>BO; BP</t>
  </si>
  <si>
    <t>Calendario de Judges Scientific</t>
  </si>
  <si>
    <t>La fila no tenia ninguna de las dos fechas ("N/D") desde el 26-abr. Ultimos resultados: 31-mar-2026 (preliminares del FY2025). Proximos: 22-sep-2026, los del semestre cerrado el 30-jun-2026, con webinar de inversores el 23-sep. Financieros sin tocar: el semestre todavia no esta publicado.</t>
  </si>
  <si>
    <t>Calendario de Uber</t>
  </si>
  <si>
    <t>La fila tenia las dos fechas en "N/D" pese a haberse actualizado el 17-ago. Ultimos resultados: 5-ago-2026 (Q2 2026). Proximos: 3-nov-2026 (sin confirmar por la compania).</t>
  </si>
  <si>
    <t>BP7; BP13; BP21; BP36; BP58; BP65; BP10; BP16; BP9</t>
  </si>
  <si>
    <t>Calendario: proximos resultados vencidos</t>
  </si>
  <si>
    <t>Nueve filas tenian la fecha de proximos resultados ya pasada o igual a la de ultimos resultados, con lo que el disparador de revision no saltaba. Quedan: BN 12-nov, AMZN 29-oct, MNST 5-nov, KSPI 9-nov, CELH 5-nov, CSU 5-nov, RAA 5-nov, LOTB 25-feb-2027 (Lotus solo publica semestre y ejercicio) y DSGX 10-sep. Todas son estimaciones sobre el calendario del ano anterior salvo DSGX, que ya estaba confirmada.</t>
  </si>
  <si>
    <t>BM4:BM71 (Best IRR)</t>
  </si>
  <si>
    <t>Correccion del horizonte de anualizacion</t>
  </si>
  <si>
    <t>La TIR alcista se anualizaba a 4 anos y la bajista a 5: =(BK/G)^(1/4)-1 frente a =(BJ/G)^(1/5)-1. Las dos valoraciones salen de FCF@5y, asi que el horizonte correcto es 5 en las dos. Detectado el 21-ago-2026 y corregido hoy por indicacion expresa de Roger; BM esta en la lista de columnas protegidas de la skill, se toca solo por eso. Baja la TIR alcista de las 68 filas. Falta replicar el mismo cambio en repos/watchlist-dashboard/src/analytics.py, linea 263 (_reprice_valuation).</t>
  </si>
  <si>
    <t>Framework Notes filas 58 y 72</t>
  </si>
  <si>
    <t>Framework de actualizacion en 4 pasos</t>
  </si>
  <si>
    <t>Actualizada la lista de filas con FCF normalizado: se anaden DNP (23), CPR (44), TREX (55) e IPCO (63) a las que ya estaban (MSFT y AMZN), y se documenta la excepcion de TFPM (49), donde la regla se activa mecanicamente pero no se aplica porque el capex son compras de streams. Actualizado el estado de los cuatro pasos a 25-ago-2026. NOTA: esta fila se reescribe el 25-ago porque la entrada de la correccion de la TIR la piso al calcular la primera fila libre con UsedRange en vez de con End(xlUp).</t>
  </si>
  <si>
    <t>AV</t>
  </si>
  <si>
    <t>Refresco de LTM contra los ultimos cuatro trimestres publicados</t>
  </si>
  <si>
    <t>Brookfield. Solo se corrigen los ingresos LTM: 98.000 -&gt; 80.690 M$, la cifra GAAP publicada. AVISO: el resto de la fila es DELIBERADAMENTE de perimetro corporativo (caja 10.000, deuda 17.815, FCF 6.200 de beneficio distribuible), fijado el 22-ago. No se sustituye por el consolidado GAAP (deuda de 268.910 M$ incluyendo Global Atlantic y los vehiculos) porque daria un EV sin sentido. EBITDA (15.000) y NOPAT (5.500) siguen siendo cifras de relleno: necesitan una definicion explicita antes de tocarlas.</t>
  </si>
  <si>
    <t>AP; AQ; AS; AT; AU; AV; AZ; BD; BF</t>
  </si>
  <si>
    <t>Costco. FCF NORMALIZADO: capex LTM 6.190 supera el doble del D&amp;A (5.120); mantenimiento = max(2.560 ; 3.095) = 3.095 y FCF = 15.000 - 3.095 = 11.905 en vez de los 8.810 reportados. Abre unos 25-30 almacenes al ano, es capex de crecimiento.  Cambios: AP 12,500-&gt;20,000; AQ 7,500-&gt;8,230; AS 8,500-&gt;11,905; AT 7,500-&gt;8,445; AU 11,800-&gt;13,790; AV 287,790-&gt;293,590; AZ 40,000-&gt;44,305; BD 11,375-&gt;15,932; BF 14,980-&gt;20,981.</t>
  </si>
  <si>
    <t>Descartes. Q1 FY2027 cerrado el 30-abr-2026. CASO BAJISTA ENDURECIDO: asumia el FCF creciendo un 8,0% anual, que es su caso base, no el malo; Descartes crece a doble digito COMPRANDO. Un caso bajista es que pare la maquina de adquisiciones: queda en +0,8%/a y el escenario pasa de +13% a -18%.  Cambios: AP 356-&gt;377; AQ 0.0-&gt;8.1; AS 240-&gt;281; AT 160-&gt;176; AU 329-&gt;320; AV 729-&gt;754; AZ 950-&gt;1,676; BD 353-&gt;293; BF 504-&gt;590.</t>
  </si>
  <si>
    <t>Zscaler. CAMBIO DE SIGNO EN GAAP: resultado operativo LTM -135,0 y EBITDA -60,8, no +50 y +550. El FCF (963) sigue siendo real pero se explica por el SBC. Aparece deuda de 1.870 que la hoja tenia en cero. CASO BAJISTA ENDURECIDO: asumia +10,0% anual de FCF durante cinco anos, que es un caso base optimista; queda en +3,1%/a y pasa de +11% a -18%.  Cambios: AP 2,400-&gt;3,540; AQ 0.0-&gt;1,870.0; AS 730-&gt;963; AT 300-&gt;-135; AU 550-&gt;-61; AV 2,700-&gt;3,170; AZ 2,000-&gt;4,597; BD 1,176-&gt;1,122; BF 2,140-&gt;2,823.</t>
  </si>
  <si>
    <t>Schneider Electric. La deuda estaba infravalorada en 8.300 M EUR (12.500 -&gt; 20.810). Capital empleado 38.000 -&gt; 43.259, ROIC 12,6% -&gt; 13,2%.  Cambios: AP 3,500-&gt;4,520; AQ 12,500-&gt;20,810; AS 4,500-&gt;6,190; AT 4,800-&gt;5,727; AU 8,800-&gt;8,520; AV 39,500-&gt;42,040; AZ 38,000-&gt;43,259; BD 5,743-&gt;7,900; BF 8,291-&gt;11,405.</t>
  </si>
  <si>
    <t>Inditex. La hoja tenia DEUDA CERO; son 6.040 M EUR, practicamente todo pasivos por arrendamiento IFRS16 (coherente con un EBITDA post-IFRS16). Caja 11.500 -&gt; 10.800.  Cambios: AP 11,500-&gt;10,800; AQ 0.0-&gt;6,040.0; AS 6,500-&gt;7,040; AT 6,500-&gt;6,327; AU 11,000-&gt;9,510; AV 38,600-&gt;40,340; AZ 18,000-&gt;24,023; BD 7,908-&gt;8,565; BF 11,455-&gt;12,407.</t>
  </si>
  <si>
    <t>CTS Eventim. El FCF estaba inflado un 64% (450 -&gt; 274) y la deuda un 564% (800 -&gt; 120). Con el FCF correcto el EV/FCF sube de 11,1x a 16,3x, con lo que el multiplo de salida bajista de 12x YA NO esta por encima del actual: el defecto senalado el 21-ago se resuelve solo. CASO BAJISTA ENDURECIDO de +4,0% a +0,9%/a. AVISO: no se normaliza el FCF pese a que la regla se dispara, porque el D&amp;A de la fuente (38,5) es implausible para esta compania y el capex derivado no es fiable.  Cambios: AP 1,500-&gt;1,360; AQ 800-&gt;120; AS 450-&gt;274; AT 350-&gt;332; AU 630-&gt;529; AV 3,100-&gt;3,300; AZ 1,600-&gt;1,573; BD 547-&gt;287; BF 866-&gt;527.</t>
  </si>
  <si>
    <t>Veralto. Fila que ya estaba casi bien: solo cambian caja (1.000 -&gt; 2.120) y deuda (2.500 -&gt; 3.590). El capital empleado de 6.500 era correcto.  Cambios: AP 1,000-&gt;2,120; AQ 2,500-&gt;3,590; AS 1,100-&gt;1,050; AT 1,000-&gt;1,062; AU 1,350-&gt;1,390; AV 5,500-&gt;5,700; AZ 6,500-&gt;6,501; BD 1,338-&gt;1,277; BF 1,939-&gt;1,851.</t>
  </si>
  <si>
    <t>Judges Scientific. NOPAT sobrevalorado mas del doble (18 -&gt; 8,4): el margen operativo real es del 8,5%, no del 12%. Deuda 55 -&gt; 65,2 y capital empleado 120 -&gt; 158,5, con lo que el ROIC cae del 15% al 5,3%. CASO BAJISTA ENDURECIDO: asumia +6,2% anual justo despues de que la compania rebajara expectativas por la debilidad de EE.UU.; queda en +1,4%/a y pasa de +8% a -18%.  Cambios: AP 10-&gt;19; AQ 55-&gt;65; AS 20-&gt;24; AT 18-&gt;8; AU 30-&gt;29; AV 145-&gt;146; AZ 120-&gt;158; BD 27-&gt;26; BF 46-&gt;56.</t>
  </si>
  <si>
    <t>Meta. FCF NORMALIZADO: capex LTM 89.320 (el 39% de las ventas) frente a un D&amp;A de 22.730; mantenimiento = max(22.730 ; 44.660) = 44.660 y FCF = 130.300 - 44.660 = 85.640 en vez de los 40.980 reportados. Mismo caso que Amazon y Microsoft. CASO BAJISTA REHECHO: con la base nueva el escenario malo GANABA un 39%; para que sea un caso bajista de verdad el FCF tiene que CAER un 5,4% anual, que es justo la tesis de que el capex de IA no se paga. Queda en -18%.  Cambios: AP 68,000-&gt;90,260; AQ 30,000-&gt;112,320; AS 50,000-&gt;85,640; AT 55,000-&gt;67,631; AU 95,000-&gt;109,660; AV 164,000-&gt;228,250; AZ 190,000-&gt;393,577; BD 63,814-&gt;65,043; BF 105,017-&gt;179,873.</t>
  </si>
  <si>
    <t>CrowdStrike. CAMBIO DE SIGNO EN GAAP: resultado operativo LTM -160,4 y EBITDA 59,3, no +700 y +1.400. ROIC +20,0% -&gt; -2,2%. AVISO: la fila esta rota como valoracion, con un EV/FCF de 127x el bajista pierde un 71% y el ALCISTA un 24%; los multiplos de salida (columnas protegidas) no pueden capturar este precio. Mismo problema que Cloudflare.  Cambios: AP 4,400-&gt;4,550; AQ 750-&gt;821; AS 1,200-&gt;1,510; AT 700-&gt;-160; AU 1,400-&gt;59; AV 4,000-&gt;5,090; AZ 3,500-&gt;7,154; BD 2,115-&gt;2,661; BF 3,811-&gt;4,796.</t>
  </si>
  <si>
    <t>Alphabet. FCF NORMALIZADO: capex LTM 132.410 frente a un D&amp;A de 25.530; mantenimiento = max(25.530 ; 66.205) = 66.205 y FCF = 185.680 - 66.205 = 119.475 en vez de los 53.270 reportados. Capital empleado 350.000 -&gt; 795.872, ROIC 27,1% -&gt; 15,1%.  Cambios: AP 110,000-&gt;242,470; AQ 15,000-&gt;120,790; AS 75,000-&gt;119,475; AT 95,000-&gt;120,466; AU 148,000-&gt;173,160; AV 350,000-&gt;445,870; AZ 350,000-&gt;795,872; BD 95,721-&gt;152,484; BF 150,852-&gt;240,307.</t>
  </si>
  <si>
    <t>ABB. Los numeros de la hoja estaban en el orden de magnitud pero no eran los publicados. OJO: ABB reporta en USD y cotiza en CHF; se han tomado las cifras del ADR (ABBNY) para que cuadren con la columna AO=USD y con el factor E5.  Cambios: AP 5,000-&gt;5,860; AQ 7,500-&gt;9,150; AS 4,200-&gt;4,870; AT 4,500-&gt;4,811; AU 6,200-&gt;7,150; AV 33,500-&gt;35,750; AZ 22,000-&gt;27,296; BD 5,110-&gt;5,925; BF 7,402-&gt;8,583.</t>
  </si>
  <si>
    <t>Garmin. Deuda 0 -&gt; 227 y capital empleado 4.800 -&gt; 9.341, con lo que el ROIC baja del 25,0% al 18,8%. El capex (380) queda justo en el doble del D&amp;A (190), asi que NO se normaliza.  Cambios: AP 3,500-&gt;2,670; AQ 0.0-&gt;227.0; AS 1,300-&gt;1,600; AT 1,200-&gt;1,754; AU 1,650-&gt;2,310; AV 6,300-&gt;7,670; AZ 4,800-&gt;9,341; BD 1,582-&gt;1,947; BF 2,395-&gt;2,948.</t>
  </si>
  <si>
    <t>Nvidia. LTM al 26-abr-2026 (el Q2 FY2027 se publica el 26-ago). Ingresos 130.000 -&gt; 253.490. FCF NORMALIZADO por la regla, aunque el disparador salta por poco (capex 6.570 frente a 6.440) y el efecto es solo del 2,8%: 119.080 -&gt; 122.365. CASO ALCISTA CON TOPE: la CAGR heredada del 32% anual sobre la base nueva daba un FCF de 490.000 M$ en 2031, mas que los ingresos de toda la industria hoy; se baja al 18%/a (279.941). El alcista pasa del +184% al +62%.  Cambios: AP 40,000-&gt;53,170; AQ 10,000-&gt;12,810; AS 60,000-&gt;122,365; AT 75,000-&gt;136,729; AU 90,000-&gt;165,510; AV 130,000-&gt;253,490; AZ 90,000-&gt;215,590; BD 88,160-&gt;179,795; BF 240,448-&gt;279,942.</t>
  </si>
  <si>
    <t>TSMC. FCF NORMALIZADO: capex LTM 46.770 (el 34% de las ventas) frente a un D&amp;A de 21.290; mantenimiento = 23.385 y FCF = 59.255 en vez de los 35.870 reportados. Capital empleado 120.000 -&gt; 244.100 (activo menos pasivo corriente en TWD convertido a unos 30,8 TWD/USD), ROIC 41,7% -&gt; 26,6%, que ya es creible. CASO ALCISTA CON TOPE del 22% al 16% anual por la misma razon que Nvidia.  Cambios: AP 60,000-&gt;110,580; AQ 30,000-&gt;33,590; AS 35,000-&gt;59,255; AT 50,000-&gt;65,027; AU 75,000-&gt;99,560; AV 122,400-&gt;139,570; AZ 120,000-&gt;244,100; BD 51,426-&gt;87,064; BF 94,595-&gt;124,456.</t>
  </si>
  <si>
    <t>Sika. Caja 1.200 -&gt; 625 y deuda 4.700 -&gt; 6.080: la deuda neta real es 5.455, no 3.500. El capital empleado de 12.500 era correcto.  Cambios: AP 1,200-&gt;625; AQ 4,700-&gt;6,080; AS 1,100-&gt;1,320; AT 1,250-&gt;1,173; AU 2,100-&gt;1,940; AV 11,760-&gt;11,110; AZ 12,500-&gt;12,207; BD 1,275-&gt;1,530; BF 1,854-&gt;2,225.</t>
  </si>
  <si>
    <t>Check Point. FCF 1.300 -&gt; 1.100, caja 3.000 -&gt; 2.280 y aparece deuda de 1.970 que la hoja tenia en cero. El EV/FCF sube de 7,9x a 11,8x y el caso bajista pasa de -12,9% a -43%: el defecto del test bajista se resuelve solo con el dato correcto. Sigue siendo la fila mas barata del libro.  Cambios: AP 3,000-&gt;2,280; AQ 0.0-&gt;1,970.0; AS 1,300-&gt;1,100; AT 1,000-&gt;682; AU 1,250-&gt;846; AV 2,730-&gt;2,760; AZ 1,200-&gt;5,759; BD 1,435-&gt;1,214; BF 2,094-&gt;1,772.</t>
  </si>
  <si>
    <t>Netflix. FCF NORMALIZADO (disparador por poco, efecto del 3,7%): capex 820 frente a un D&amp;A de 380; mantenimiento = 410 y FCF = 11.560. Caja 12.250 -&gt; 9.130 y deuda 14.360 -&gt; 16.650.  Cambios: AP 12,250-&gt;9,130; AQ 14,360-&gt;16,650; AS 11,900-&gt;11,560; AT 13,800-&gt;11,876; AU 14,000-&gt;14,730; AV 46,900-&gt;48,370; AZ 28,000-&gt;46,315; BD 14,500-&gt;14,086; BF 20,000-&gt;19,429.</t>
  </si>
  <si>
    <t>Nike. LO QUE SENALABA LA NOTA DEL 21-AGO, CORREGIDO: el FCF LTM pasa de 5.000 a 2.180 M$ reales del FY2026 (cerrado el 31-may-2026) y los ingresos de 51.000 a 46.400. El EV/FCF real es 28,7x, no 12,4x. LA ASIMETRIA SE INVIERTE: el caso bajista pasa de +13,3% a -53% y el alcista de +30% a +13%. Con el dato correcto el multiplo de salida bajista de 14x ya no esta por encima del EV/FCF actual: el defecto del 21-ago se resuelve solo.  Cambios: AP 8,000-&gt;9,030; AQ 9,500-&gt;11,040; AS 5,000-&gt;2,180; AT 4,800-&gt;3,331; AU 7,500-&gt;4,930; AV 51,000-&gt;46,400; AZ 20,000-&gt;25,863; BD 5,000-&gt;2,180; BF 7,693-&gt;3,354.</t>
  </si>
  <si>
    <t>AP; AQ; AS; AT; AU; AV; BD; BF</t>
  </si>
  <si>
    <t>Interpump. Cifras ya casi correctas del 21-ago, se ajustan a las publicadas. CASO BAJISTA ENDURECIDO: asumia +2,5% anual para un industrial ciclico; un caso malo de verdad es que el FCF CAIGA un 3,0% anual. Pasa de +11% a -18%.  Cambios: AP 416-&gt;370; AQ 707-&gt;675; AS 230-&gt;263; AT 236-&gt;229; AU 456-&gt;446; AV 2,080-&gt;2,080; BD 260-&gt;226; BF 480-&gt;549.</t>
  </si>
  <si>
    <t>Robertet. Cifras del 21-ago ya correctas, se ajustan caja (142,3 -&gt; 180,7) y EBITDA (174 -&gt; 167,2). CASO BAJISTA ENDURECIDO de +6,6% a +4,2%/a: un +6,6% anual durante cinco anos no es un escenario malo para una casa de fragancias cuya conversion de EBITDA a FCF esta en el 40%.  Cambios: AP 142-&gt;181; AQ 253-&gt;253; AS 67-&gt;67; AT 107-&gt;108; AU 174-&gt;167; AV 844-&gt;844; BD 92-&gt;82; BF 145-&gt;145.</t>
  </si>
  <si>
    <t>Roko. Deuda 4.887 -&gt; 3.020 y capital empleado 9.895. El caso bajista (FCF plano, 0%/a) esta bien planteado y NO se toca; lo que hace que solo pierda un 1% es el multiplo de salida bajista de 22x contra un EV/FCF de 21,9x, o sea que el escenario malo casi no incluye de-rating. BH es columna protegida: queda como aviso.  Cambios: AP 500-&gt;435; AQ 4,887-&gt;3,020; AS 1,150-&gt;1,150; AT 891-&gt;893; AU 1,750-&gt;1,560; AV 7,091-&gt;7,090; AZ 10,160-&gt;9,895; BD 1,150-&gt;1,150; BF 1,900-&gt;1,900.</t>
  </si>
  <si>
    <t>Framework Notes fila 58</t>
  </si>
  <si>
    <t>Refresco de LTM</t>
  </si>
  <si>
    <t>Se anaden a la lista de filas con FCF normalizado: COST (8), META (28), GOOG (32), NVDA (38), TSM (40) y NFLX (50). Con MSFT, AMZN, DNP, CPR, TREX e IPCO son doce. Todas cumplen el disparador escrito (capex del periodo por encima del doble del D&amp;A, o FCF reportado negativo con flujo de operaciones positivo); NVDA y NFLX lo cumplen por poco y el efecto es del 2,8% y el 3,7%, se aplican igual para no elegir a dedo.</t>
  </si>
  <si>
    <t>BD de DSGX, ZS, EVD, JDG, META, IP, RBT</t>
  </si>
  <si>
    <t>Revision del realismo del caso bajista</t>
  </si>
  <si>
    <t>Roger pidio comprobar si el caso bajista era demasiado optimista en las once filas que no perdian un 15%. Diagnostico: en ocho de ellas el escenario MALO asumia que el FCF CRECIA, entre un +2,5% y un +10,0% anual durante cinco anos, que no es un caso bajista sino un caso base. Se endurece el FCF@5y minimo en siete (ZS +10,0-&gt;+3,1; DSGX +8,0-&gt;+0,8; RBT +6,6-&gt;+4,2; JDG +6,2-&gt;+1,4; META +5,0-&gt;-5,4; EVD +4,0-&gt;+0,9; IP +2,5-&gt;-3,0). NO se tocan: ROKO B (el 0%/a esta bien, el problema es el multiplo de salida, columna protegida), BN (el beneficio distribuible es contratado y el escenario se fijo a proposito el 22-ago), CHKP y NKE (se arreglan solos al corregir el LTM) y SOM (publica el 8-sep, se revisa entonces).</t>
  </si>
  <si>
    <t>ninguno</t>
  </si>
  <si>
    <t>Somero no ha publicado el semestre: los resultados del 1S2026 son el 8-sep-2026, la fecha que ya tenia la hoja. AVISO PARA ENTONCES: los ingresos LTM de la hoja son 64,9 M$ y la actualizacion de trading de julio situa las expectativas de mercado para 2026 en 86,0 M$ de ingresos y 15,9 M$ de EBITDA ajustado; la cifra de la hoja parece corta. Su caso bajista asume el FCF creciendo un 6,5% anual para un ciclico puro de construccion no residencial en EE.UU., lo que tambien habra que endurecer.</t>
  </si>
  <si>
    <t>Filas normalizadas a 25-ago-2026 (doce): MSFT (5), COST (8), AMZN (13), DNP (23), META (28), GOOG (32), NVDA (38), TSM (40), CPR (44), NFLX (50), TREX (55) e IPCO (63). El resto usa FCF reportado. NVDA y NFLX cumplen el disparador por poco (efecto del 2,8% y el 3,7%) y se aplican igual para no elegir a dedo. EXCEPCIONES documentadas: TFPM (49) lo activa mecanicamente pero NO se normaliza, porque ese capex son compras de streams -M&amp;A de crecimiento- y en una royalty el capex de sostenimiento es cero; EVD (20) tampoco, porque el D&amp;A de la fuente es implausible y el capex derivado no es fiable.</t>
  </si>
  <si>
    <t>Estado a 25-ago-2026: los cuatro pasos hechos en AMZN, MSFT, CSU, BN, COST, LIFCO B, RAA y LOTB (22-ago); en NTO, ABNB, DNP, LR, STMN, KKR, KRX, SPOT, CPR, TFPM, TREX y SGO (25-ago, resultados nuevos); y en COST, DSGX, ZS, SU, ITX, EVD, VLTO, JDG, META, GOOG, ABBNE, GRMN, NVDA, TSM, SIKA, CHKP, NFLX, NKE, IP, RBT y ROKO B (25-ago, refresco de LTM). Con los pasos 1-3 hechos y el 4 pendiente a proposito: FERG, IPCO, NET y CRWD (estas dos con EV/FCF de 303x y 127x, los multiplos de salida no pueden capturar el precio). Pendientes de publicar: VEEV y NVDA el 26-ago, EVD y S el 27-ago, SOM el 8-sep, DSGX el 10-sep, JDG el 22-sep.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</si>
</sst>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9">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49" fontId="8" fillId="47" borderId="0" xfId="0" applyNumberFormat="1" applyFont="1" applyFill="1" applyAlignment="1">
      <alignment horizontal="center" vertical="center"/>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0" fillId="0" borderId="10" xfId="0" applyBorder="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16" fillId="23" borderId="7" xfId="0" applyFont="1" applyFill="1" applyBorder="1" applyAlignment="1">
      <alignment horizontal="center" vertical="center"/>
    </xf>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9" fillId="24" borderId="10"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2" fontId="33" fillId="9" borderId="0" xfId="0" applyNumberFormat="1" applyFont="1" applyFill="1" applyAlignment="1">
      <alignment horizontal="center"/>
    </xf>
    <xf numFmtId="0" fontId="15" fillId="42"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0" fillId="9" borderId="0" xfId="0" applyFill="1" applyAlignment="1">
      <alignment horizontal="center"/>
    </xf>
    <xf numFmtId="10" fontId="0" fillId="9" borderId="0" xfId="0" applyNumberForma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0" fontId="23" fillId="27" borderId="0" xfId="0" applyFont="1" applyFill="1" applyAlignment="1">
      <alignment horizontal="center"/>
    </xf>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25" fillId="34" borderId="21" xfId="0" applyFont="1" applyFill="1" applyBorder="1" applyAlignment="1">
      <alignment horizontal="center"/>
    </xf>
    <xf numFmtId="0" fontId="22" fillId="27" borderId="0" xfId="0" applyFont="1" applyFill="1"/>
    <xf numFmtId="2" fontId="0" fillId="9" borderId="0" xfId="0" applyNumberFormat="1" applyFill="1" applyAlignment="1">
      <alignment horizontal="center"/>
    </xf>
    <xf numFmtId="0" fontId="25" fillId="27" borderId="0" xfId="0" applyFont="1" applyFill="1"/>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18</c:v>
                </c:pt>
                <c:pt idx="2">
                  <c:v>16</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8.0500000000000007</c:v>
                </c:pt>
                <c:pt idx="5">
                  <c:v>7.92</c:v>
                </c:pt>
                <c:pt idx="6">
                  <c:v>7.78</c:v>
                </c:pt>
                <c:pt idx="7">
                  <c:v>7.22</c:v>
                </c:pt>
                <c:pt idx="8">
                  <c:v>7.76</c:v>
                </c:pt>
                <c:pt idx="9">
                  <c:v>7.81</c:v>
                </c:pt>
                <c:pt idx="10">
                  <c:v>7.79</c:v>
                </c:pt>
                <c:pt idx="11">
                  <c:v>7.77</c:v>
                </c:pt>
                <c:pt idx="12">
                  <c:v>7.9</c:v>
                </c:pt>
                <c:pt idx="13">
                  <c:v>7.82</c:v>
                </c:pt>
                <c:pt idx="14">
                  <c:v>7.19</c:v>
                </c:pt>
              </c:numCache>
            </c:numRef>
          </c:xVal>
          <c:yVal>
            <c:numRef>
              <c:f>Dashboard!$Q$8:$Q$22</c:f>
              <c:numCache>
                <c:formatCode>0.00%</c:formatCode>
                <c:ptCount val="15"/>
                <c:pt idx="0">
                  <c:v>0.21724859954203968</c:v>
                </c:pt>
                <c:pt idx="1">
                  <c:v>0.12780422738436692</c:v>
                </c:pt>
                <c:pt idx="2">
                  <c:v>0.21268691268480011</c:v>
                </c:pt>
                <c:pt idx="3">
                  <c:v>0.21900244611200459</c:v>
                </c:pt>
                <c:pt idx="4">
                  <c:v>8.4916787387159243E-2</c:v>
                </c:pt>
                <c:pt idx="5">
                  <c:v>0.19745985531708032</c:v>
                </c:pt>
                <c:pt idx="6">
                  <c:v>0.12867081613737774</c:v>
                </c:pt>
                <c:pt idx="7">
                  <c:v>0.25949207403006769</c:v>
                </c:pt>
                <c:pt idx="8">
                  <c:v>2.2808301254799268E-2</c:v>
                </c:pt>
                <c:pt idx="9">
                  <c:v>0.11301923910271405</c:v>
                </c:pt>
                <c:pt idx="10">
                  <c:v>9.4174490275463096E-2</c:v>
                </c:pt>
                <c:pt idx="11">
                  <c:v>0.10741088468091919</c:v>
                </c:pt>
                <c:pt idx="12">
                  <c:v>-2.6426000842472375E-2</c:v>
                </c:pt>
                <c:pt idx="13">
                  <c:v>8.4171531047791737E-2</c:v>
                </c:pt>
                <c:pt idx="14">
                  <c:v>0.10791391779857418</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14">
  <rv s="0">
    <v>https://www.bing.com/financeapi/forcetrigger?t=a259jc&amp;q=XNYS%3aVEEV&amp;form=skydnc</v>
    <v>Learn more on Bing</v>
  </rv>
  <rv s="1">
    <v>es-ES</v>
    <v>a259jc</v>
    <v>268435456</v>
    <v>1</v>
    <v>Con tecnología de Refinitiv</v>
    <v>0</v>
    <v>1</v>
    <v>VEEVA SYSTEMS INC. (XNYS:VEEV)</v>
    <v>3</v>
    <v>4</v>
    <v>Finance</v>
    <v>5</v>
    <v>XNYS</v>
    <v>162443300</v>
    <v>2007</v>
    <v>244.17</v>
    <v>0.94240000000000002</v>
    <v>-4.62</v>
    <v>-1.8595E-2</v>
    <v>39610174272</v>
    <v>248.46</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46259.736814907032</v>
    <v>New York Stock Exchange</v>
    <v>0</v>
    <v>247.35</v>
    <v>310.5</v>
    <v>243.09</v>
    <v>148.05000000000001</v>
    <v>USD</v>
    <v>VEEVA SYSTEMS INC.</v>
    <v>VEEVA SYSTEMS INC.</v>
    <v>43.136899999999997</v>
    <v>243.84</v>
    <v>Healthcare Equipment &amp; Supplies</v>
    <v>4280 Hacienda Drive, PLEASANTON, CA, 94588 US</v>
    <v>VEEV</v>
    <v>Acciones</v>
    <v>VEEVA SYSTEMS INC. (XNYS:VEEV)</v>
    <v>782256</v>
    <v>1649889</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485.75</v>
    <v>1.1020000000000001</v>
    <v>2.52</v>
    <v>5.1710000000000002E-3</v>
    <v>3637254707350</v>
    <v>487.31</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46259.736870601562</v>
    <v>6</v>
    <v>Nasdaq Stock Market</v>
    <v>7</v>
    <v>490.76499999999999</v>
    <v>553.72</v>
    <v>484.3</v>
    <v>349.2</v>
    <v>USD</v>
    <v>MICROSOFT CORPORATION</v>
    <v>MICROSOFT CORPORATION</v>
    <v>27.293600000000001</v>
    <v>489.83</v>
    <v>Software &amp; IT Services</v>
    <v>One Microsoft Way, REDMOND, WA, 98052 US</v>
    <v>MSFT</v>
    <v>Acciones</v>
    <v>MICROSOFT CORPORATION (XNAS:MSFT)</v>
    <v>9638027</v>
    <v>34423023</v>
  </rv>
  <rv s="2">
    <v>8</v>
  </rv>
  <rv s="0">
    <v>https://www.bing.com/financeapi/forcetrigger?t=b1ao52&amp;q=XAMS%3aADYEN&amp;form=skydnc</v>
    <v>Learn more on Bing</v>
  </rv>
  <rv s="1">
    <v>es-ES</v>
    <v>b1ao52</v>
    <v>268435456</v>
    <v>1</v>
    <v>Con tecnología de Refinitiv</v>
    <v>0</v>
    <v>1</v>
    <v>Adyen N.V. (XAMS:ADYEN)</v>
    <v>3</v>
    <v>12</v>
    <v>Finance</v>
    <v>13</v>
    <v>XAMS</v>
    <v>31683550</v>
    <v>2006</v>
    <v>1079.8</v>
    <v>2.2585999999999999</v>
    <v>0.4</v>
    <v>3.7089999999999996E-4</v>
    <v>34173880000</v>
    <v>1078.5999999999999</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46259.666666666664</v>
    <v>Euronext Amsterdam</v>
    <v>10</v>
    <v>1082.2</v>
    <v>1600.8</v>
    <v>1065.4000000000001</v>
    <v>772.4</v>
    <v>EUR</v>
    <v>Adyen N.V.</v>
    <v>Adyen N.V.</v>
    <v>30.2348</v>
    <v>1079</v>
    <v>Financial Technology (Fintech) &amp; Infrastructure</v>
    <v>Simon Carmiggeltstraat 6-50, AMSTERDAM, NOORD-HOLLAND, 1011DJ NL</v>
    <v>ADYEN</v>
    <v>Acciones</v>
    <v>Adyen N.V. (XAMS:ADYEN)</v>
    <v>99023</v>
    <v>189500</v>
  </rv>
  <rv s="2">
    <v>11</v>
  </rv>
  <rv s="0">
    <v>https://www.bing.com/financeapi/forcetrigger?t=a1o5ur&amp;q=XNYS%3aBAM&amp;form=skydnc</v>
    <v>Learn more on Bing</v>
  </rv>
  <rv s="1">
    <v>es-ES</v>
    <v>a1o5ur</v>
    <v>268435456</v>
    <v>1</v>
    <v>Con tecnología de Refinitiv</v>
    <v>0</v>
    <v>1</v>
    <v>Brookfield Corporation (XNYS:BN)</v>
    <v>3</v>
    <v>4</v>
    <v>Finance</v>
    <v>5</v>
    <v>XNYS</v>
    <v>2451915000</v>
    <v>2005</v>
    <v>42.21</v>
    <v>1.5463</v>
    <v>0.105</v>
    <v>2.5019999999999999E-3</v>
    <v>103164323625</v>
    <v>41.97</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46259.736837823439</v>
    <v>New York Stock Exchange</v>
    <v>13</v>
    <v>42.301499999999997</v>
    <v>49.564999999999998</v>
    <v>41.78</v>
    <v>37.93</v>
    <v>USD</v>
    <v>Brookfield Corporation</v>
    <v>Brookfield Corporation</v>
    <v>82.274100000000004</v>
    <v>42.075000000000003</v>
    <v>Investment Banking &amp; Investment Services</v>
    <v>Brookfield Place, 181 Bay St, Ste 100, Po Box 762, TORONTO, ON, M5J 2T3 CA</v>
    <v>BN</v>
    <v>Acciones</v>
    <v>Brookfield Corporation (XNYS:BN)</v>
    <v>1265132</v>
    <v>4358850</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966.56</v>
    <v>0.8669</v>
    <v>-9.49</v>
    <v>-9.7689999999999999E-3</v>
    <v>426586692508</v>
    <v>971.4</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46259.736856029689</v>
    <v>Nasdaq Stock Market</v>
    <v>16</v>
    <v>968.76</v>
    <v>1096.5</v>
    <v>959.89</v>
    <v>844.06</v>
    <v>USD</v>
    <v>COSTCO WHOLESALE CORPORATION</v>
    <v>COSTCO WHOLESALE CORPORATION</v>
    <v>48.380499999999998</v>
    <v>961.91</v>
    <v>Diversified Retail</v>
    <v>999 Lake Dr, ISSAQUAH, WA, 98027- US</v>
    <v>COST</v>
    <v>Acciones</v>
    <v>COSTCO WHOLESALE CORPORATION (XNAS:COST)</v>
    <v>432862</v>
    <v>1860725</v>
  </rv>
  <rv s="2">
    <v>17</v>
  </rv>
  <rv s="0">
    <v>https://www.bing.com/financeapi/forcetrigger?t=a1rb5r&amp;q=XNAS%3aDSGX&amp;form=skydnc</v>
    <v>Learn more on Bing</v>
  </rv>
  <rv s="1">
    <v>es-ES</v>
    <v>a1rb5r</v>
    <v>268435456</v>
    <v>1</v>
    <v>Con tecnología de Refinitiv</v>
    <v>0</v>
    <v>1</v>
    <v>The Descartes Systems Group Inc. (XNAS:DSGX)</v>
    <v>3</v>
    <v>14</v>
    <v>Finance</v>
    <v>5</v>
    <v>XNAS</v>
    <v>85653660</v>
    <v>2023</v>
    <v>77.709999999999994</v>
    <v>0.19470000000000001</v>
    <v>-1.17</v>
    <v>-1.4910000000000001E-2</v>
    <v>9370206000</v>
    <v>78.47</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46259.736787094531</v>
    <v>Nasdaq Stock Market</v>
    <v>19</v>
    <v>79.209999999999994</v>
    <v>109</v>
    <v>76.81</v>
    <v>62.555</v>
    <v>USD</v>
    <v>The Descartes Systems Group Inc.</v>
    <v>The Descartes Systems Group Inc.</v>
    <v>38.444299999999998</v>
    <v>77.3</v>
    <v>Software &amp; IT Services</v>
    <v>120 Randall Drive, WATERLOO, ON, N2V 1C6 CA</v>
    <v>DSGX</v>
    <v>Acciones</v>
    <v>The Descartes Systems Group Inc. (XNAS:DSGX)</v>
    <v>177395</v>
    <v>477978</v>
  </rv>
  <rv s="2">
    <v>20</v>
  </rv>
  <rv s="0">
    <v>https://www.bing.com/financeapi/forcetrigger?t=afjdk2&amp;q=XFRA%3aRAA&amp;form=skydnc</v>
    <v>Learn more on Bing</v>
  </rv>
  <rv s="1">
    <v>es-ES</v>
    <v>afjdk2</v>
    <v>268435456</v>
    <v>1</v>
    <v>Con tecnología de Refinitiv</v>
    <v>0</v>
    <v>1</v>
    <v>Rational (XFRA:RAA)</v>
    <v>3</v>
    <v>12</v>
    <v>Finance</v>
    <v>13</v>
    <v>XFRA</v>
    <v>11370000</v>
    <v>1999</v>
    <v>623</v>
    <v>1.3577999999999999</v>
    <v>5.5</v>
    <v>8.7580000000000002E-3</v>
    <v>7123305000</v>
    <v>628</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46259.652777777781</v>
    <v>Deutsche Boerse AG</v>
    <v>22</v>
    <v>633.5</v>
    <v>1028</v>
    <v>623</v>
    <v>388.4</v>
    <v>EUR</v>
    <v>Rational</v>
    <v>Rational</v>
    <v>27.084199999999999</v>
    <v>633.5</v>
    <v>Household Goods</v>
    <v>Siegfried-Meister-Strasse 1, BAYERN, 86899 DE</v>
    <v>RAA</v>
    <v>Acciones</v>
    <v>Rational (XFRA:RAA)</v>
    <v>2</v>
    <v>11770</v>
  </rv>
  <rv s="2">
    <v>23</v>
  </rv>
  <rv s="0">
    <v>https://www.bing.com/financeapi/forcetrigger?t=azbtyc&amp;q=XNAS%3aZS&amp;form=skydnc</v>
    <v>Learn more on Bing</v>
  </rv>
  <rv s="1">
    <v>es-ES</v>
    <v>azbtyc</v>
    <v>268435456</v>
    <v>1</v>
    <v>Con tecnología de Refinitiv</v>
    <v>0</v>
    <v>1</v>
    <v>ZSCALER, INC. (XNAS:ZS)</v>
    <v>3</v>
    <v>4</v>
    <v>Finance</v>
    <v>5</v>
    <v>XNAS</v>
    <v>161709500</v>
    <v>2007</v>
    <v>175</v>
    <v>0.93230000000000002</v>
    <v>-7.56</v>
    <v>-4.2939999999999999E-2</v>
    <v>27248050750</v>
    <v>176.06</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46259.736836365628</v>
    <v>Nasdaq Stock Market</v>
    <v>25</v>
    <v>176.81</v>
    <v>336.99</v>
    <v>168.18</v>
    <v>114.625</v>
    <v>USD</v>
    <v>ZSCALER, INC.</v>
    <v>ZSCALER, INC.</v>
    <v>0</v>
    <v>168.5</v>
    <v>Software &amp; IT Services</v>
    <v>120 Holger Way, SAN JOSE, CA, 95134 US</v>
    <v>ZS</v>
    <v>Acciones</v>
    <v>ZSCALER, INC. (XNAS:ZS)</v>
    <v>825529</v>
    <v>2141928</v>
  </rv>
  <rv s="2">
    <v>26</v>
  </rv>
  <rv s="0">
    <v>https://www.bing.com/financeapi/forcetrigger?t=afgyk2&amp;q=XFRA%3aNTO&amp;form=skydnc</v>
    <v>Learn more on Bing</v>
  </rv>
  <rv s="1">
    <v>es-ES</v>
    <v>afgyk2</v>
    <v>268435456</v>
    <v>1</v>
    <v>Con tecnología de Refinitiv</v>
    <v>0</v>
    <v>1</v>
    <v>Nintendo Co., Ltd. (XFRA:NTO)</v>
    <v>3</v>
    <v>15</v>
    <v>Finance</v>
    <v>13</v>
    <v>XFRA</v>
    <v>1287260000</v>
    <v>1947</v>
    <v>47.5</v>
    <v>0.1275</v>
    <v>0.505</v>
    <v>1.0632999999999998E-2</v>
    <v>11318880000000</v>
    <v>47.494999999999997</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46259.725694444445</v>
    <v>Deutsche Boerse AG</v>
    <v>28</v>
    <v>48.454999999999998</v>
    <v>546.1</v>
    <v>47.5</v>
    <v>34.6</v>
    <v>EUR</v>
    <v>Nintendo Co., Ltd.</v>
    <v>Nintendo Co., Ltd.</v>
    <v>21.7195</v>
    <v>48</v>
    <v>Leisure Products</v>
    <v>11-1, Kamitoba Hokotate-cho, Minami-ku, KYOTO-SHI, KYOTO-FU, 601-8501 JP</v>
    <v>NTO</v>
    <v>Acciones</v>
    <v>Nintendo Co., Ltd. (XFRA:NTO)</v>
    <v>818</v>
    <v>12187950</v>
  </rv>
  <rv s="2">
    <v>29</v>
  </rv>
  <rv s="0">
    <v>https://www.bing.com/financeapi/forcetrigger?t=a1nhlh&amp;q=XNAS%3aAMZN&amp;form=skydnc</v>
    <v>Learn more on Bing</v>
  </rv>
  <rv s="1">
    <v>es-ES</v>
    <v>a1nhlh</v>
    <v>268435456</v>
    <v>1</v>
    <v>Con tecnología de Refinitiv</v>
    <v>0</v>
    <v>1</v>
    <v>AMAZON.COM, INC. (XNAS:AMZN)</v>
    <v>3</v>
    <v>4</v>
    <v>Finance</v>
    <v>5</v>
    <v>XNAS</v>
    <v>10786310000</v>
    <v>1996</v>
    <v>262.73</v>
    <v>1.4475</v>
    <v>-1.85</v>
    <v>-7.0589999999999993E-3</v>
    <v>2806813588200</v>
    <v>262.07</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46259.73687836797</v>
    <v>Nasdaq Stock Market</v>
    <v>31</v>
    <v>263.87189999999998</v>
    <v>287.2</v>
    <v>260.08</v>
    <v>196</v>
    <v>USD</v>
    <v>AMAZON.COM, INC.</v>
    <v>AMAZON.COM, INC.</v>
    <v>20.930499999999999</v>
    <v>260.22000000000003</v>
    <v>Diversified Retail</v>
    <v>410 Terry Avenue North, SEATTLE, WA, 98109 US</v>
    <v>AMZN</v>
    <v>Acciones</v>
    <v>AMAZON.COM, INC. (XNAS:AMZN)</v>
    <v>11114718</v>
    <v>45276854</v>
  </rv>
  <rv s="2">
    <v>32</v>
  </rv>
  <rv s="0">
    <v>https://www.bing.com/financeapi/forcetrigger?t=aea5k2&amp;q=XPAR%3aSU&amp;form=skydnc</v>
    <v>Learn more on Bing</v>
  </rv>
  <rv s="1">
    <v>es-ES</v>
    <v>aea5k2</v>
    <v>268435456</v>
    <v>1</v>
    <v>Con tecnología de Refinitiv</v>
    <v>0</v>
    <v>1</v>
    <v>Schneider Electric SE (XPAR:SU)</v>
    <v>3</v>
    <v>12</v>
    <v>Finance</v>
    <v>13</v>
    <v>XPAR</v>
    <v>578605300</v>
    <v>1988</v>
    <v>294.64999999999998</v>
    <v>1.4120999999999999</v>
    <v>4.45</v>
    <v>1.525E-2</v>
    <v>168837000000</v>
    <v>291.8</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46259.666666666664</v>
    <v>Euronext Paris</v>
    <v>34</v>
    <v>298.55</v>
    <v>312.3</v>
    <v>294.10000000000002</v>
    <v>208.8</v>
    <v>EUR</v>
    <v>Schneider Electric SE</v>
    <v>Schneider Electric SE</v>
    <v>35.21</v>
    <v>296.25</v>
    <v>Machinery, Equipment &amp; Components</v>
    <v>35 rue Joseph Monier, RUEIL-MALMAISON, ILE-DE-FRANCE, 92500 FR</v>
    <v>SU</v>
    <v>Acciones</v>
    <v>Schneider Electric SE (XPAR:SU)</v>
    <v>533996</v>
    <v>629630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58.76</v>
    <v>1.1346000000000001</v>
    <v>-0.14000000000000001</v>
    <v>-2.3960000000000001E-3</v>
    <v>182074800000</v>
    <v>58.42</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46259.666666666664</v>
    <v>Bolsas y Mercados Espanoles</v>
    <v>37</v>
    <v>58.88</v>
    <v>59.42</v>
    <v>58.12</v>
    <v>41.24</v>
    <v>EUR</v>
    <v>Industria de Diseño Textil, S.A.</v>
    <v>Industria de Diseño Textil, S.A.</v>
    <v>28.877199999999998</v>
    <v>58.28</v>
    <v>Specialty Retailers</v>
    <v>Edificio Inditex, Avda. Diputacion, s/n, ARTEIXO, LA CORUNA, 15143 ES</v>
    <v>ITX</v>
    <v>Acciones</v>
    <v>Industria de Diseño Textil, S.A. (BMEX:ITX)</v>
    <v>720248</v>
    <v>1043490</v>
  </rv>
  <rv s="2">
    <v>38</v>
  </rv>
  <rv s="0">
    <v>https://www.bing.com/financeapi/forcetrigger?t=aaq652&amp;q=XBRU%3aLOTB&amp;form=skydnc</v>
    <v>Learn more on Bing</v>
  </rv>
  <rv s="1">
    <v>es-ES</v>
    <v>aaq652</v>
    <v>268435456</v>
    <v>1</v>
    <v>Con tecnología de Refinitiv</v>
    <v>0</v>
    <v>1</v>
    <v>Lotus Bakeries (XBRU:LOTB)</v>
    <v>3</v>
    <v>12</v>
    <v>Finance</v>
    <v>13</v>
    <v>XBRU</v>
    <v>816010</v>
    <v>1934</v>
    <v>12980</v>
    <v>0.87239999999999995</v>
    <v>100</v>
    <v>7.6920000000000001E-3</v>
    <v>10608170000</v>
    <v>13000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46259.666666666664</v>
    <v>Euronext Brussels</v>
    <v>40</v>
    <v>13200</v>
    <v>13200</v>
    <v>12900</v>
    <v>7270</v>
    <v>EUR</v>
    <v>Lotus Bakeries</v>
    <v>Lotus Bakeries</v>
    <v>55.741500000000002</v>
    <v>13100</v>
    <v>Food &amp; Tobacco</v>
    <v>Gentstraat 1, Lembeke, OOST-VLAANDEREN, 9971 BE</v>
    <v>LOTB</v>
    <v>Acciones</v>
    <v>Lotus Bakeries (XBRU:LOTB)</v>
    <v>862</v>
    <v>760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3580</v>
    <v>1.1296999999999999</v>
    <v>22</v>
    <v>6.1900000000000002E-3</v>
    <v>13492590000</v>
    <v>3554</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46259.662939814814</v>
    <v>London Stock Exchange</v>
    <v>43</v>
    <v>3624</v>
    <v>4902</v>
    <v>3562</v>
    <v>3194</v>
    <v>GBp</v>
    <v>HALMA PUBLIC LIMITED COMPANY</v>
    <v>HALMA PUBLIC LIMITED COMPANY</v>
    <v>36.286099999999998</v>
    <v>3576</v>
    <v>Electronic Equipment &amp; Parts</v>
    <v>Misbourne Court, Rectory Way, AMERSHAM, BUCKINGHAMSHIRE, HP7 0DE GB</v>
    <v>HLMA</v>
    <v>Acciones</v>
    <v>HALMA PUBLIC LIMITED COMPANY (XLON:HLMA)</v>
    <v>539503</v>
    <v>976310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1157.24</v>
    <v>1.3213999999999999</v>
    <v>-23.07</v>
    <v>-1.9779000000000001E-2</v>
    <v>24693229741</v>
    <v>1166.4000000000001</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46259.73682334453</v>
    <v>New York Stock Exchange</v>
    <v>46</v>
    <v>1169.2663</v>
    <v>1998.01</v>
    <v>1134.67</v>
    <v>870.01</v>
    <v>USD</v>
    <v>FAIR ISAAC CORPORATION</v>
    <v>FAIR ISAAC CORPORATION</v>
    <v>33.030500000000004</v>
    <v>1143.33</v>
    <v>Software &amp; IT Services</v>
    <v>5 West Mendenhall, Suites 105, BOZEMAN, MT, 59715 US</v>
    <v>FICO</v>
    <v>Acciones</v>
    <v>FAIR ISAAC CORPORATION (XNYS:FICO)</v>
    <v>100223</v>
    <v>368737</v>
  </rv>
  <rv s="2">
    <v>47</v>
  </rv>
  <rv s="0">
    <v>https://www.bing.com/financeapi/forcetrigger?t=amwtu2&amp;q=XSTO%3aLIFCO+B&amp;form=skydnc</v>
    <v>Learn more on Bing</v>
  </rv>
  <rv s="6">
    <v>es-ES</v>
    <v>amwtu2</v>
    <v>268435456</v>
    <v>1</v>
    <v>Con tecnología de Refinitiv</v>
    <v>18</v>
    <v>19</v>
    <v>Lifco (XSTO:LIFCO B)</v>
    <v>3</v>
    <v>20</v>
    <v>Finance</v>
    <v>21</v>
    <v>XSTO</v>
    <v>423836500</v>
    <v>1993</v>
    <v>318</v>
    <v>1.3004</v>
    <v>0.4</v>
    <v>0</v>
    <v>1.263E-3</v>
    <v>0</v>
    <v>134271400000</v>
    <v>316.8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46259.666666666664</v>
    <v>NASDAQ Stockholm</v>
    <v>49</v>
    <v>319.60000000000002</v>
    <v>956.5</v>
    <v>315.39999999999998</v>
    <v>140.30000000000001</v>
    <v>SEK</v>
    <v>Lifco</v>
    <v>Lifco</v>
    <v>37.405700000000003</v>
    <v>317.2</v>
    <v>317.2</v>
    <v>Consumer Goods Conglomerates</v>
    <v>Verkmastaregatan 1, ENKOPING, UPPSALA, 745 85 SE</v>
    <v>LIFCO B</v>
    <v>Acciones</v>
    <v>Lifco (XSTO:LIFCO B)</v>
    <v>252931</v>
    <v>300770</v>
  </rv>
  <rv s="2">
    <v>50</v>
  </rv>
  <rv s="0">
    <v>https://www.bing.com/financeapi/forcetrigger?t=af9n8m&amp;q=XFRA%3aEVD&amp;form=skydnc</v>
    <v>Learn more on Bing</v>
  </rv>
  <rv s="1">
    <v>es-ES</v>
    <v>af9n8m</v>
    <v>268435456</v>
    <v>1</v>
    <v>Con tecnología de Refinitiv</v>
    <v>0</v>
    <v>1</v>
    <v>Eventim (XFRA:EVD)</v>
    <v>3</v>
    <v>12</v>
    <v>Finance</v>
    <v>13</v>
    <v>XFRA</v>
    <v>96000000</v>
    <v>2014</v>
    <v>61.45</v>
    <v>1.3953</v>
    <v>-0.5</v>
    <v>-8.319E-3</v>
    <v>5836800000</v>
    <v>60.1</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46259.722222222219</v>
    <v>Deutsche Boerse AG</v>
    <v>52</v>
    <v>61.5</v>
    <v>113.8</v>
    <v>59.5</v>
    <v>25.98</v>
    <v>EUR</v>
    <v>Eventim</v>
    <v>Eventim</v>
    <v>18.625</v>
    <v>59.6</v>
    <v>Software &amp; IT Services</v>
    <v>Contrescarpe 75 A, BREMEN, BREMEN, 28195 DE</v>
    <v>EVD</v>
    <v>Acciones</v>
    <v>Eventim (XFRA:EVD)</v>
    <v>565</v>
    <v>219770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48.82</v>
    <v>0.52370000000000005</v>
    <v>-0.31</v>
    <v>-6.3370000000000006E-3</v>
    <v>95081937760</v>
    <v>48.92</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46259.736860601559</v>
    <v>Nasdaq Stock Market</v>
    <v>55</v>
    <v>49.24</v>
    <v>50.17</v>
    <v>48.5</v>
    <v>30.484999999999999</v>
    <v>USD</v>
    <v>MONSTER BEVERAGE CORPORATION</v>
    <v>MONSTER BEVERAGE CORPORATION</v>
    <v>45.113700000000001</v>
    <v>48.61</v>
    <v>Beverages</v>
    <v>1 Monster Way, CORONA, CA, 92879-7101 US</v>
    <v>MNST</v>
    <v>Acciones</v>
    <v>MONSTER BEVERAGE CORPORATION (XNAS:MNST)</v>
    <v>2845312</v>
    <v>11028559</v>
  </rv>
  <rv s="2">
    <v>56</v>
  </rv>
  <rv s="0">
    <v>https://www.bing.com/financeapi/forcetrigger?t=bwvem7&amp;q=XNAS%3aABNB&amp;form=skydnc</v>
    <v>Learn more on Bing</v>
  </rv>
  <rv s="1">
    <v>es-ES</v>
    <v>bwvem7</v>
    <v>268435456</v>
    <v>1</v>
    <v>Con tecnología de Refinitiv</v>
    <v>0</v>
    <v>1</v>
    <v>AIRBNB, INC. (XNAS:ABNB)</v>
    <v>3</v>
    <v>4</v>
    <v>Finance</v>
    <v>5</v>
    <v>XNAS</v>
    <v>589585700</v>
    <v>2008</v>
    <v>190.13</v>
    <v>1.1597999999999999</v>
    <v>-0.26</v>
    <v>-1.3669999999999999E-3</v>
    <v>111991803715</v>
    <v>190.21</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46259.736880763281</v>
    <v>Nasdaq Stock Market</v>
    <v>58</v>
    <v>191.3595</v>
    <v>193.4529</v>
    <v>189.03</v>
    <v>110.81</v>
    <v>USD</v>
    <v>AIRBNB, INC.</v>
    <v>AIRBNB, INC.</v>
    <v>43.191099999999999</v>
    <v>189.95</v>
    <v>Software &amp; IT Services</v>
    <v>888 Brannan St., SAN FRANCISCO, CA, 94103 US</v>
    <v>ABNB</v>
    <v>Acciones</v>
    <v>AIRBNB, INC. (XNAS:ABNB)</v>
    <v>1594049</v>
    <v>4988542</v>
  </rv>
  <rv s="2">
    <v>59</v>
  </rv>
  <rv s="0">
    <v>https://www.bing.com/financeapi/forcetrigger?t=aqbzjc&amp;q=XWAR%3aDNP&amp;form=skydnc</v>
    <v>Learn more on Bing</v>
  </rv>
  <rv s="1">
    <v>es-ES</v>
    <v>aqbzjc</v>
    <v>268435456</v>
    <v>1</v>
    <v>Con tecnología de Refinitiv</v>
    <v>0</v>
    <v>1</v>
    <v>Dino Polska (XWAR:DNP)</v>
    <v>3</v>
    <v>22</v>
    <v>Finance</v>
    <v>23</v>
    <v>XWAR</v>
    <v>980400000</v>
    <v>2012</v>
    <v>35.049999999999997</v>
    <v>1.0213000000000001</v>
    <v>1.1299999999999999</v>
    <v>3.2240000000000005E-2</v>
    <v>34363020000</v>
    <v>35.049999999999997</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46259.628376411718</v>
    <v>Warsaw Stock Exchange</v>
    <v>61</v>
    <v>36.450000000000003</v>
    <v>48.21</v>
    <v>34.520000000000003</v>
    <v>26.89</v>
    <v>PLN</v>
    <v>Dino Polska</v>
    <v>Dino Polska</v>
    <v>22.6281</v>
    <v>36.18</v>
    <v>Food &amp; Drug Retailing</v>
    <v>ul. Ostrowska 122, KROTOSZYN, WOJ. WIELKOPOLSKIE, 63-700 PL</v>
    <v>DNP</v>
    <v>Acciones</v>
    <v>Dino Polska (XWAR:DNP)</v>
    <v>5864181</v>
    <v>5461920</v>
  </rv>
  <rv s="2">
    <v>62</v>
  </rv>
  <rv s="7">
    <v>es-ES</v>
    <v>caydcw</v>
    <v>268435456</v>
    <v>1</v>
    <v>Con tecnología de Refinitiv</v>
    <v>24</v>
    <v>25</v>
    <v>VERALTO CORPORATION (XNYS:VLTO)</v>
    <v>26</v>
    <v>4</v>
    <v>Finance</v>
    <v>5</v>
    <v>XNYS</v>
    <v>243793300</v>
    <v>2022</v>
    <v>99.11</v>
    <v>0.68899999999999995</v>
    <v>-1.175</v>
    <v>-1.1823999999999999E-2</v>
    <v>23939283093</v>
    <v>99.37</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46259.736862858597</v>
    <v>New York Stock Exchange</v>
    <v>99.69</v>
    <v>109.86</v>
    <v>98.09</v>
    <v>80.03</v>
    <v>USD</v>
    <v>VERALTO CORPORATION</v>
    <v>VERALTO CORPORATION</v>
    <v>24.753</v>
    <v>98.194999999999993</v>
    <v>Professional &amp; Commercial Services</v>
    <v>225 Wyman Street, Suite 250, WALTHAM, MA, 02451 US</v>
    <v>VLTO</v>
    <v>Acciones</v>
    <v>VERALTO CORPORATION (XNYS:VLTO)</v>
    <v>438934</v>
    <v>1598214</v>
  </rv>
  <rv s="2">
    <v>64</v>
  </rv>
  <rv s="0">
    <v>https://www.bing.com/financeapi/forcetrigger?t=ae94vh&amp;q=XPAR%3aLR&amp;form=skydnc</v>
    <v>Learn more on Bing</v>
  </rv>
  <rv s="1">
    <v>es-ES</v>
    <v>ae94vh</v>
    <v>268435456</v>
    <v>1</v>
    <v>Con tecnología de Refinitiv</v>
    <v>0</v>
    <v>1</v>
    <v>Legrand SA (XPAR:LR)</v>
    <v>3</v>
    <v>12</v>
    <v>Finance</v>
    <v>13</v>
    <v>XPAR</v>
    <v>262245700</v>
    <v>1998</v>
    <v>134.1</v>
    <v>1.2539</v>
    <v>3.3</v>
    <v>2.4775000000000002E-2</v>
    <v>34931130000</v>
    <v>133.19999999999999</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46259.666666666664</v>
    <v>Euronext Paris</v>
    <v>66</v>
    <v>137.05000000000001</v>
    <v>166.95</v>
    <v>134.1</v>
    <v>121.95</v>
    <v>EUR</v>
    <v>Legrand SA</v>
    <v>Legrand SA</v>
    <v>26.524899999999999</v>
    <v>136.5</v>
    <v>Machinery, Equipment &amp; Components</v>
    <v>128, av. du Marechal de Lattre de Tassigny, LIMOGES, NOUVELLE-AQUITAINE, 87000 FR</v>
    <v>LR</v>
    <v>Acciones</v>
    <v>Legrand SA (XPAR:LR)</v>
    <v>471768</v>
    <v>356710</v>
  </rv>
  <rv s="2">
    <v>67</v>
  </rv>
  <rv s="0">
    <v>https://www.bing.com/financeapi/forcetrigger?t=aoaorw&amp;q=XLON%3aJDG&amp;form=skydnc</v>
    <v>Learn more on Bing</v>
  </rv>
  <rv s="1">
    <v>es-ES</v>
    <v>aoaorw</v>
    <v>268435456</v>
    <v>1</v>
    <v>Con tecnología de Refinitiv</v>
    <v>0</v>
    <v>1</v>
    <v>Judges (XLON:JDG)</v>
    <v>3</v>
    <v>16</v>
    <v>Finance</v>
    <v>17</v>
    <v>XLON</v>
    <v>6660690</v>
    <v>2002</v>
    <v>3925</v>
    <v>0.76480000000000004</v>
    <v>100</v>
    <v>2.5316000000000002E-2</v>
    <v>263097400</v>
    <v>3950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46259.328709409376</v>
    <v>London Stock Exchange</v>
    <v>69</v>
    <v>4050</v>
    <v>7000</v>
    <v>3950</v>
    <v>3480</v>
    <v>GBp</v>
    <v>Judges</v>
    <v>Judges</v>
    <v>47.721800000000002</v>
    <v>4050</v>
    <v>Machinery, Equipment &amp; Components</v>
    <v>52c Borough High Street, LONDON, SE1 1XN GB</v>
    <v>JDG</v>
    <v>Acciones</v>
    <v>Judges (XLON:JDG)</v>
    <v>16570</v>
    <v>9410</v>
  </rv>
  <rv s="2">
    <v>70</v>
  </rv>
  <rv s="0">
    <v>https://www.bing.com/financeapi/forcetrigger?t=an3gc7&amp;q=XSWX%3aSTMN&amp;form=skydnc</v>
    <v>Learn more on Bing</v>
  </rv>
  <rv s="6">
    <v>es-ES</v>
    <v>an3gc7</v>
    <v>268435456</v>
    <v>1</v>
    <v>Con tecnología de Refinitiv</v>
    <v>18</v>
    <v>19</v>
    <v>Straumann Holding Ltd (XSWX:STMN)</v>
    <v>3</v>
    <v>27</v>
    <v>Finance</v>
    <v>28</v>
    <v>XSWX</v>
    <v>159455200</v>
    <v>2005</v>
    <v>93.32</v>
    <v>1.3734</v>
    <v>-1.36</v>
    <v>1.9659999999999999E-3</v>
    <v>-1.4638999999999999E-2</v>
    <v>0.18</v>
    <v>14813390000</v>
    <v>92.9</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46259.726388888892</v>
    <v>SIX Swiss Exchange</v>
    <v>72</v>
    <v>93.44</v>
    <v>109.8</v>
    <v>91.48</v>
    <v>73.02</v>
    <v>CHF</v>
    <v>Straumann Holding Ltd</v>
    <v>Straumann Holding Ltd</v>
    <v>39.456899999999997</v>
    <v>91.54</v>
    <v>91.72</v>
    <v>Healthcare Equipment &amp; Supplies</v>
    <v>Peter Merian-Weg 12, BASEL, BASEL-STADT, 4002 CH</v>
    <v>STMN</v>
    <v>Acciones</v>
    <v>Straumann Holding Ltd (XSWX:STMN)</v>
    <v>443674</v>
    <v>393000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563.29999999999995</v>
    <v>1.2408999999999999</v>
    <v>6.04</v>
    <v>1.0805E-2</v>
    <v>1439493740359</v>
    <v>559.02</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46259.736876469535</v>
    <v>Nasdaq Stock Market</v>
    <v>75</v>
    <v>568.64</v>
    <v>790.8</v>
    <v>561.40009999999995</v>
    <v>520.26</v>
    <v>USD</v>
    <v>META PLATFORMS, INC.</v>
    <v>META PLATFORMS, INC.</v>
    <v>19.5669</v>
    <v>565.05999999999995</v>
    <v>Software &amp; IT Services</v>
    <v>1 Meta Way, MENLO PARK, CA, 94025 US</v>
    <v>META</v>
    <v>Acciones</v>
    <v>META PLATFORMS, INC. (XNAS:META)</v>
    <v>4752126</v>
    <v>16293971</v>
  </rv>
  <rv s="2">
    <v>76</v>
  </rv>
  <rv s="0">
    <v>https://www.bing.com/financeapi/forcetrigger?t=a1wj9c&amp;q=XNYS%3aKKR&amp;form=skydnc</v>
    <v>Learn more on Bing</v>
  </rv>
  <rv s="1">
    <v>es-ES</v>
    <v>a1wj9c</v>
    <v>268435456</v>
    <v>1</v>
    <v>Con tecnología de Refinitiv</v>
    <v>0</v>
    <v>1</v>
    <v>KKR &amp; CO. INC. (XNYS:KKR)</v>
    <v>3</v>
    <v>4</v>
    <v>Finance</v>
    <v>5</v>
    <v>XNYS</v>
    <v>897635600</v>
    <v>2021</v>
    <v>106.78</v>
    <v>1.7875000000000001</v>
    <v>0.26</v>
    <v>2.4229999999999998E-3</v>
    <v>96567637848</v>
    <v>107.32</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46259.736887337502</v>
    <v>New York Stock Exchange</v>
    <v>78</v>
    <v>107.85</v>
    <v>152.095</v>
    <v>105.92</v>
    <v>82.67</v>
    <v>USD</v>
    <v>KKR &amp; CO. INC.</v>
    <v>KKR &amp; CO. INC.</v>
    <v>34.296100000000003</v>
    <v>107.58</v>
    <v>Investment Banking &amp; Investment Services</v>
    <v>30 Hudson Yards, NEW YORK, NY, 10001 US</v>
    <v>KKR</v>
    <v>Acciones</v>
    <v>KKR &amp; CO. INC. (XNYS:KKR)</v>
    <v>847320</v>
    <v>4782292</v>
  </rv>
  <rv s="2">
    <v>79</v>
  </rv>
  <rv s="0">
    <v>https://www.bing.com/financeapi/forcetrigger?t=brh6oc&amp;q=XNYS%3aNET&amp;form=skydnc</v>
    <v>Learn more on Bing</v>
  </rv>
  <rv s="1">
    <v>es-ES</v>
    <v>brh6oc</v>
    <v>268435456</v>
    <v>1</v>
    <v>Con tecnología de Refinitiv</v>
    <v>0</v>
    <v>1</v>
    <v>CLOUDFLARE, INC. (XNYS:NET)</v>
    <v>3</v>
    <v>4</v>
    <v>Finance</v>
    <v>5</v>
    <v>XNYS</v>
    <v>356079700</v>
    <v>2009</v>
    <v>285.42</v>
    <v>1.6548</v>
    <v>-4.54</v>
    <v>-1.6194E-2</v>
    <v>98210342057</v>
    <v>280.35000000000002</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46259.736867974221</v>
    <v>New York Stock Exchange</v>
    <v>81</v>
    <v>287</v>
    <v>332.22</v>
    <v>275.59440000000001</v>
    <v>158.83000000000001</v>
    <v>USD</v>
    <v>CLOUDFLARE, INC.</v>
    <v>CLOUDFLARE, INC.</v>
    <v>0</v>
    <v>275.81</v>
    <v>Software &amp; IT Services</v>
    <v>101 Townsend St, SAN FRANCISCO, CA, 94107-1934 US</v>
    <v>NET</v>
    <v>Acciones</v>
    <v>CLOUDFLARE, INC. (XNYS:NET)</v>
    <v>856157</v>
    <v>3817041</v>
  </rv>
  <rv s="2">
    <v>82</v>
  </rv>
  <rv s="0">
    <v>https://www.bing.com/financeapi/forcetrigger?t=bq8rqh&amp;q=XNAS%3aCRWD&amp;form=skydnc</v>
    <v>Learn more on Bing</v>
  </rv>
  <rv s="1">
    <v>es-ES</v>
    <v>bq8rqh</v>
    <v>268435456</v>
    <v>1</v>
    <v>Con tecnología de Refinitiv</v>
    <v>0</v>
    <v>1</v>
    <v>CROWDSTRIKE HOLDINGS, INC. (XNAS:CRWD)</v>
    <v>3</v>
    <v>4</v>
    <v>Finance</v>
    <v>5</v>
    <v>XNAS</v>
    <v>1018322000</v>
    <v>2011</v>
    <v>191.25</v>
    <v>1.2294</v>
    <v>-7.38</v>
    <v>-3.8704000000000002E-2</v>
    <v>186658422600</v>
    <v>190.68</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46259.736866828127</v>
    <v>Nasdaq Stock Market</v>
    <v>84</v>
    <v>194.45</v>
    <v>227.5</v>
    <v>183.3</v>
    <v>85.68</v>
    <v>USD</v>
    <v>CROWDSTRIKE HOLDINGS, INC.</v>
    <v>CROWDSTRIKE HOLDINGS, INC.</v>
    <v>0</v>
    <v>183.3</v>
    <v>Software &amp; IT Services</v>
    <v>206 E. 9TH STREET, SUITE 1400, AUSTIN, TX, 78701 US</v>
    <v>CRWD</v>
    <v>Acciones</v>
    <v>CROWDSTRIKE HOLDINGS, INC. (XNAS:CRWD)</v>
    <v>4138776</v>
    <v>7663469</v>
  </rv>
  <rv s="2">
    <v>85</v>
  </rv>
  <rv s="0">
    <v>https://www.bing.com/financeapi/forcetrigger?t=a1u3p2&amp;q=XNAS%3aGOOG&amp;form=skydnc</v>
    <v>Learn more on Bing</v>
  </rv>
  <rv s="1">
    <v>es-ES</v>
    <v>a1u3p2</v>
    <v>268435456</v>
    <v>1</v>
    <v>Con tecnología de Refinitiv</v>
    <v>0</v>
    <v>1</v>
    <v>ALPHABET INC. (XNAS:GOOG)</v>
    <v>3</v>
    <v>4</v>
    <v>Finance</v>
    <v>5</v>
    <v>XNAS</v>
    <v>12230000000</v>
    <v>2015</v>
    <v>345.61</v>
    <v>1.2306999999999999</v>
    <v>-1.2648999999999999</v>
    <v>-3.6709999999999998E-3</v>
    <v>4198865973000</v>
    <v>344.59</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46259.736882638281</v>
    <v>Nasdaq Stock Market</v>
    <v>87</v>
    <v>346.7</v>
    <v>404.47</v>
    <v>342.14499999999998</v>
    <v>205.95</v>
    <v>USD</v>
    <v>ALPHABET INC.</v>
    <v>ALPHABET INC.</v>
    <v>17.2578</v>
    <v>343.32510000000002</v>
    <v>Software &amp; IT Services</v>
    <v>1600 Amphitheatre Parkway, MOUNTAIN VIEW, CA, 94043 US</v>
    <v>GOOG</v>
    <v>Acciones</v>
    <v>ALPHABET INC. (XNAS:GOOG)</v>
    <v>4957789</v>
    <v>19444835</v>
  </rv>
  <rv s="2">
    <v>88</v>
  </rv>
  <rv s="8">
    <v>es-ES</v>
    <v>cjjy9c</v>
    <v>268435456</v>
    <v>1</v>
    <v>Con tecnología de Refinitiv</v>
    <v>29</v>
    <v>30</v>
    <v>Abb Ltd (XSWX:ABBNE)</v>
    <v>26</v>
    <v>31</v>
    <v>Finance</v>
    <v>13</v>
    <v>XSWX</v>
    <v>1823154000</v>
    <v>1999</v>
    <v>79.52</v>
    <v>1.1416999999999999</v>
    <v>1.48</v>
    <v>1.8881999999999999E-2</v>
    <v>142783400000</v>
    <v>78.38</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46259.63559027778</v>
    <v>SIX Swiss Exchange</v>
    <v>80.400000000000006</v>
    <v>79.16</v>
    <v>CHF</v>
    <v>Abb Ltd</v>
    <v>Abb Ltd</v>
    <v>79.86</v>
    <v>Machinery, Equipment &amp; Components</v>
    <v>Affolternstrasse 44, ZUERICH, ZUERICH, 8050 CH</v>
    <v>ABBNE</v>
    <v>Acciones</v>
    <v>Abb Ltd (XSWX:ABBNE)</v>
    <v>74553</v>
    <v>1683890</v>
  </rv>
  <rv s="2">
    <v>90</v>
  </rv>
  <rv s="0">
    <v>https://www.bing.com/financeapi/forcetrigger?t=a1u6sm&amp;q=XNYS%3aGRMN&amp;form=skydnc</v>
    <v>Learn more on Bing</v>
  </rv>
  <rv s="1">
    <v>es-ES</v>
    <v>a1u6sm</v>
    <v>268435456</v>
    <v>1</v>
    <v>Con tecnología de Refinitiv</v>
    <v>0</v>
    <v>1</v>
    <v>Garmin Ltd. (XNYS:GRMN)</v>
    <v>3</v>
    <v>4</v>
    <v>Finance</v>
    <v>5</v>
    <v>XNYS</v>
    <v>192852500</v>
    <v>2010</v>
    <v>292.01</v>
    <v>0.87039999999999995</v>
    <v>-2.1800000000000002</v>
    <v>-7.4850000000000003E-3</v>
    <v>55747872175</v>
    <v>291.25</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46259.736895022659</v>
    <v>New York Stock Exchange</v>
    <v>92</v>
    <v>294.99</v>
    <v>314.27999999999997</v>
    <v>286.95</v>
    <v>186.67</v>
    <v>USD</v>
    <v>Garmin Ltd.</v>
    <v>Garmin Ltd.</v>
    <v>29.8109</v>
    <v>289.07</v>
    <v>Communications &amp; Networking</v>
    <v>Muehlentalstrasse 2, SCHAFFHAUSEN, SCHAFFHAUSEN, 8200 CH</v>
    <v>GRMN</v>
    <v>Acciones</v>
    <v>Garmin Ltd. (XNYS:GRMN)</v>
    <v>173797</v>
    <v>1036306</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180369900</v>
    <v>1979</v>
    <v>98.6</v>
    <v>1.2549999999999999</v>
    <v>-0.6</v>
    <v>-5.8370000000000002E-3</v>
    <v>18181290000</v>
    <v>102.8</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46259.688194444447</v>
    <v>Deutsche Boerse AG</v>
    <v>95</v>
    <v>102.2</v>
    <v>108.4</v>
    <v>98.6</v>
    <v>32.01</v>
    <v>EUR</v>
    <v>KINGSPAN GROUP PUBLIC LIMITED COMPANY</v>
    <v>KINGSPAN GROUP PUBLIC LIMITED COMPANY</v>
    <v>27.036999999999999</v>
    <v>102.2</v>
    <v>Homebuilding &amp; Construction Supplies</v>
    <v>Dublin Road,, KINGSCOURT, CAVAN, A82 XY31 IE</v>
    <v>KRX</v>
    <v>Acciones</v>
    <v>KINGSPAN GROUP PUBLIC LIMITED COMPANY (XFRA:KRX)</v>
    <v>114</v>
    <v>447680</v>
  </rv>
  <rv s="2">
    <v>96</v>
  </rv>
  <rv s="0">
    <v>https://www.bing.com/financeapi/forcetrigger?t=bpiour&amp;q=OTCM%3aKAKZF&amp;form=skydnc</v>
    <v>Learn more on Bing</v>
  </rv>
  <rv s="1">
    <v>es-ES</v>
    <v>bpiour</v>
    <v>268435456</v>
    <v>1</v>
    <v>Con tecnología de Refinitiv</v>
    <v>0</v>
    <v>1</v>
    <v>Kaspi.kz AO (XNAS:KSPI)</v>
    <v>3</v>
    <v>4</v>
    <v>Finance</v>
    <v>5</v>
    <v>XNAS</v>
    <v>189333500</v>
    <v>2008</v>
    <v>106.5</v>
    <v>0.20369999999999999</v>
    <v>1.71</v>
    <v>1.6062E-2</v>
    <v>20480204695</v>
    <v>106.46</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46259.736895242968</v>
    <v>Nasdaq Stock Market</v>
    <v>98</v>
    <v>108.3</v>
    <v>108.3</v>
    <v>105.1</v>
    <v>68.59</v>
    <v>USD</v>
    <v>Kaspi.kz AO</v>
    <v>Kaspi.kz AO</v>
    <v>9.2832000000000008</v>
    <v>108.17</v>
    <v>Financial Technology (Fintech) &amp; Infrastructure</v>
    <v>Bostandykskiy Rayon, Ul. Nauryzbay Batyra, 154A, ALMATY, ALMATY, 050013 KZ</v>
    <v>KSPI</v>
    <v>Acciones</v>
    <v>Kaspi.kz AO (XNAS:KSPI)</v>
    <v>535581</v>
    <v>542477</v>
  </rv>
  <rv s="2">
    <v>99</v>
  </rv>
  <rv s="0">
    <v>https://www.bing.com/financeapi/forcetrigger?t=amft3m&amp;q=BMEX%3aCBAV&amp;form=skydnc</v>
    <v>Learn more on Bing</v>
  </rv>
  <rv s="9">
    <v>es-ES</v>
    <v>amft3m</v>
    <v>268435456</v>
    <v>1</v>
    <v>Con tecnología de Refinitiv</v>
    <v>32</v>
    <v>33</v>
    <v>CLINICA BAVIERA S.A (BMEX:CBAV)</v>
    <v>3</v>
    <v>34</v>
    <v>Finance</v>
    <v>13</v>
    <v>BMEX</v>
    <v>16307580</v>
    <v>58.2</v>
    <v>0.70199999999999996</v>
    <v>0.2</v>
    <v>3.4009999999999999E-3</v>
    <v>958885700</v>
    <v>58.8</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46259.666666666664</v>
    <v>Bolsas y Mercados Espanoles</v>
    <v>101</v>
    <v>59</v>
    <v>62</v>
    <v>58.2</v>
    <v>40.1</v>
    <v>EUR</v>
    <v>CLINICA BAVIERA S.A</v>
    <v>CLINICA BAVIERA S.A</v>
    <v>20.5962</v>
    <v>59</v>
    <v>Healthcare Providers &amp; Services</v>
    <v>Paseo de la Castellana 20, MADRID, MADRID, 28046 ES</v>
    <v>CBAV</v>
    <v>Acciones</v>
    <v>CLINICA BAVIERA S.A (BMEX:CBAV)</v>
    <v>133</v>
    <v>1660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210.8</v>
    <v>2.2109999999999999</v>
    <v>3.7866</v>
    <v>1.8162999999999999E-2</v>
    <v>5136851720000</v>
    <v>208.48</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46259.736876724222</v>
    <v>Nasdaq Stock Market</v>
    <v>104</v>
    <v>214.72909999999999</v>
    <v>236.54</v>
    <v>210.11</v>
    <v>164.07</v>
    <v>USD</v>
    <v>NVIDIA CORPORATION</v>
    <v>NVIDIA CORPORATION</v>
    <v>32.506399999999999</v>
    <v>212.26660000000001</v>
    <v>Semiconductors &amp; Semiconductor Equipment</v>
    <v>2788 San Tomas Expressway, SANTA CLARA, CA, 95051 US</v>
    <v>NVDA</v>
    <v>Acciones</v>
    <v>NVIDIA CORPORATION (XNAS:NVDA)</v>
    <v>68379799</v>
    <v>117539452</v>
  </rv>
  <rv s="2">
    <v>105</v>
  </rv>
  <rv s="0">
    <v>https://www.bing.com/financeapi/forcetrigger?t=alwkk2&amp;q=XLIS%3aCOR&amp;form=skydnc</v>
    <v>Learn more on Bing</v>
  </rv>
  <rv s="1">
    <v>es-ES</v>
    <v>alwkk2</v>
    <v>268435456</v>
    <v>1</v>
    <v>Con tecnología de Refinitiv</v>
    <v>0</v>
    <v>1</v>
    <v>Corticeira Amori (XLIS:COR)</v>
    <v>3</v>
    <v>12</v>
    <v>Finance</v>
    <v>13</v>
    <v>XLIS</v>
    <v>133000000</v>
    <v>1963</v>
    <v>6.99</v>
    <v>0.43309999999999998</v>
    <v>7.0000000000000007E-2</v>
    <v>1.0014E-2</v>
    <v>929670000</v>
    <v>6.99</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46259.666666666664</v>
    <v>Euronext Lisbon</v>
    <v>107</v>
    <v>7.09</v>
    <v>7.9</v>
    <v>6.99</v>
    <v>6.04</v>
    <v>EUR</v>
    <v>Corticeira Amori</v>
    <v>Corticeira Amori</v>
    <v>21.4069</v>
    <v>7.06</v>
    <v>Paper &amp; Forest Products</v>
    <v>Rua Comendador Americo Ferreira Amorim, N 380, Apartado 20, Mozelos, AVEIRO, 4536-902 PT</v>
    <v>COR</v>
    <v>Acciones</v>
    <v>Corticeira Amori (XLIS:COR)</v>
    <v>122430</v>
    <v>114900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414.91</v>
    <v>1.3940999999999999</v>
    <v>5.5250000000000004</v>
    <v>1.3472E-2</v>
    <v>2155731985730</v>
    <v>410.12</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46259.736848159373</v>
    <v>New York Stock Exchange</v>
    <v>110</v>
    <v>419.76949999999999</v>
    <v>479</v>
    <v>414.03</v>
    <v>225.6301</v>
    <v>USD</v>
    <v>Taiwan Semiconductor Manufacturing Company Limited</v>
    <v>Taiwan Semiconductor Manufacturing Company Limited</v>
    <v>30.231400000000001</v>
    <v>415.64499999999998</v>
    <v>Semiconductors &amp; Semiconductor Equipment</v>
    <v>No.8, Li-Hsin 6th Road, Hsinchu Science Park, HSINCHU, HSINCHU, 300 TW</v>
    <v>TSM</v>
    <v>Acciones</v>
    <v>Taiwan Semiconductor Manufacturing Company Limited (XNYS:TSM)</v>
    <v>4304845</v>
    <v>12203006</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532.49</v>
    <v>1.5842000000000001</v>
    <v>13.98</v>
    <v>2.5992999999999999E-2</v>
    <v>113417882244</v>
    <v>537.84</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46259.736869872657</v>
    <v>New York Stock Exchange</v>
    <v>113</v>
    <v>554.21</v>
    <v>745</v>
    <v>532.49</v>
    <v>405</v>
    <v>USD</v>
    <v>Spotify Technology S.A.</v>
    <v>Spotify Technology S.A.</v>
    <v>30.489799999999999</v>
    <v>551.82000000000005</v>
    <v>Software &amp; IT Services</v>
    <v>33, Boulevard Prince Henri, LUXEMBOURG, 1724 LU</v>
    <v>SPOT</v>
    <v>Acciones</v>
    <v>Spotify Technology S.A. (XNYS:SPOT)</v>
    <v>773242</v>
    <v>2048995</v>
  </rv>
  <rv s="2">
    <v>114</v>
  </rv>
  <rv s="0">
    <v>https://www.bing.com/financeapi/forcetrigger?t=ajg6ec&amp;q=XMIL%3aPRY&amp;form=skydnc</v>
    <v>Learn more on Bing</v>
  </rv>
  <rv s="9">
    <v>es-ES</v>
    <v>ajg6ec</v>
    <v>268435456</v>
    <v>1</v>
    <v>Con tecnología de Refinitiv</v>
    <v>32</v>
    <v>33</v>
    <v>Prysmian S.p.A. (XMIL:PRY)</v>
    <v>3</v>
    <v>34</v>
    <v>Finance</v>
    <v>35</v>
    <v>XMIL</v>
    <v>301836800</v>
    <v>119.9</v>
    <v>0.98719999999999997</v>
    <v>3.4</v>
    <v>2.8912E-2</v>
    <v>35496010000</v>
    <v>117.6</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46259.666666666664</v>
    <v>Borsa Italiana</v>
    <v>116</v>
    <v>123.25</v>
    <v>157.25</v>
    <v>119.8</v>
    <v>73.12</v>
    <v>EUR</v>
    <v>Prysmian S.p.A.</v>
    <v>Prysmian S.p.A.</v>
    <v>25.245100000000001</v>
    <v>121</v>
    <v>Machinery, Equipment &amp; Components</v>
    <v>Via Chiese 6, MILANO, MILANO, 20126 IT</v>
    <v>PRY</v>
    <v>Acciones</v>
    <v>Prysmian S.p.A. (XMIL:PRY)</v>
    <v>1043254</v>
    <v>1022350</v>
  </rv>
  <rv s="2">
    <v>117</v>
  </rv>
  <rv s="0">
    <v>https://www.bing.com/financeapi/forcetrigger?t=an2bf2&amp;q=XSWX%3aJFN&amp;form=skydnc</v>
    <v>Learn more on Bing</v>
  </rv>
  <rv s="6">
    <v>es-ES</v>
    <v>an2bf2</v>
    <v>268435456</v>
    <v>1</v>
    <v>Con tecnología de Refinitiv</v>
    <v>18</v>
    <v>19</v>
    <v>Jungfraubahn (XSWX:JFN)</v>
    <v>3</v>
    <v>27</v>
    <v>Finance</v>
    <v>28</v>
    <v>XSWX</v>
    <v>5835000</v>
    <v>1952</v>
    <v>251</v>
    <v>0.56010000000000004</v>
    <v>3.5</v>
    <v>-3.9290000000000002E-3</v>
    <v>1.3944000000000002E-2</v>
    <v>-1</v>
    <v>1464585000</v>
    <v>251</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46259.652777777781</v>
    <v>SIX Swiss Exchange</v>
    <v>119</v>
    <v>255</v>
    <v>327</v>
    <v>251</v>
    <v>201</v>
    <v>CHF</v>
    <v>Jungfraubahn</v>
    <v>Jungfraubahn</v>
    <v>18.713200000000001</v>
    <v>254.5</v>
    <v>253.5</v>
    <v>Hotels &amp; Entertainment Services</v>
    <v>Harderstrasse 14, BERN, 3800 CH</v>
    <v>JFN</v>
    <v>Acciones</v>
    <v>Jungfraubahn (XSWX:JFN)</v>
    <v>5603</v>
    <v>6270</v>
  </rv>
  <rv s="2">
    <v>120</v>
  </rv>
  <rv s="0">
    <v>https://www.bing.com/financeapi/forcetrigger?t=ajejhw&amp;q=XMIL%3aCPR&amp;form=skydnc</v>
    <v>Learn more on Bing</v>
  </rv>
  <rv s="1">
    <v>es-ES</v>
    <v>ajejhw</v>
    <v>268435456</v>
    <v>1</v>
    <v>Con tecnología de Refinitiv</v>
    <v>0</v>
    <v>1</v>
    <v>Davide Campari Milano NV (XMIL:CPR)</v>
    <v>3</v>
    <v>12</v>
    <v>Finance</v>
    <v>35</v>
    <v>XMIL</v>
    <v>1231268000</v>
    <v>2020</v>
    <v>5.9740000000000002</v>
    <v>0.32779999999999998</v>
    <v>-7.1999999999999995E-2</v>
    <v>-1.2052E-2</v>
    <v>7355593000</v>
    <v>5.9740000000000002</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46259.666666666664</v>
    <v>Borsa Italiana</v>
    <v>122</v>
    <v>6</v>
    <v>6.82</v>
    <v>5.8920000000000003</v>
    <v>5.27</v>
    <v>EUR</v>
    <v>Davide Campari Milano NV</v>
    <v>Davide Campari Milano NV</v>
    <v>25.897300000000001</v>
    <v>5.9020000000000001</v>
    <v>Beverages</v>
    <v>Via Sacchetti, 20, SESTO SAN GIOVANNI, MILANO, 20099 IT</v>
    <v>CPR</v>
    <v>Acciones</v>
    <v>Davide Campari Milano NV (XMIL:CPR)</v>
    <v>3135656</v>
    <v>3856410</v>
  </rv>
  <rv s="2">
    <v>123</v>
  </rv>
  <rv s="0">
    <v>https://www.bing.com/financeapi/forcetrigger?t=b1lbp2&amp;q=XSWX%3aSIKA&amp;form=skydnc</v>
    <v>Learn more on Bing</v>
  </rv>
  <rv s="6">
    <v>es-ES</v>
    <v>b1lbp2</v>
    <v>268435456</v>
    <v>1</v>
    <v>Con tecnología de Refinitiv</v>
    <v>18</v>
    <v>19</v>
    <v>Sika Ltd (XSWX:SIKA)</v>
    <v>3</v>
    <v>27</v>
    <v>Finance</v>
    <v>28</v>
    <v>XSWX</v>
    <v>160479300</v>
    <v>1971</v>
    <v>188</v>
    <v>1.6383000000000001</v>
    <v>2.85</v>
    <v>-1.5759999999999999E-3</v>
    <v>1.52E-2</v>
    <v>-0.3</v>
    <v>30089870000</v>
    <v>187.5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46259.725555555553</v>
    <v>SIX Swiss Exchange</v>
    <v>125</v>
    <v>191.5</v>
    <v>197.6</v>
    <v>187.1</v>
    <v>120.35</v>
    <v>CHF</v>
    <v>Sika Ltd</v>
    <v>Sika Ltd</v>
    <v>29.375</v>
    <v>190.35</v>
    <v>190.05</v>
    <v>Chemicals</v>
    <v>Zugerstrasse 50, BAAR, ZUG, 6340 CH</v>
    <v>SIKA</v>
    <v>Acciones</v>
    <v>Sika Ltd (XSWX:SIKA)</v>
    <v>293223</v>
    <v>313960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129.80000000000001</v>
    <v>0.49270000000000003</v>
    <v>-2.25</v>
    <v>-1.7240999999999999E-2</v>
    <v>13094401950</v>
    <v>130.5</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46259.736859478908</v>
    <v>Nasdaq Stock Market</v>
    <v>128</v>
    <v>130.35</v>
    <v>210.66</v>
    <v>127.645</v>
    <v>112.23</v>
    <v>USD</v>
    <v>CHECK POINT SOFTWARE TECHNOLOGIES LTD.</v>
    <v>CHECK POINT SOFTWARE TECHNOLOGIES LTD.</v>
    <v>13.1381</v>
    <v>128.25</v>
    <v>Software &amp; IT Services</v>
    <v>5 Shlomo Kaplan Street, TEL AVIV, TEL AVIV, 6789159 IL</v>
    <v>CHKP</v>
    <v>Acciones</v>
    <v>CHECK POINT SOFTWARE TECHNOLOGIES LTD. (XNAS:CHKP)</v>
    <v>274926</v>
    <v>1187282</v>
  </rv>
  <rv s="2">
    <v>129</v>
  </rv>
  <rv s="0">
    <v>https://www.bing.com/financeapi/forcetrigger?t=ajgoa2&amp;q=XMIL%3aTGYM&amp;form=skydnc</v>
    <v>Learn more on Bing</v>
  </rv>
  <rv s="9">
    <v>es-ES</v>
    <v>ajgoa2</v>
    <v>268435456</v>
    <v>1</v>
    <v>Con tecnología de Refinitiv</v>
    <v>32</v>
    <v>33</v>
    <v>Technogym S.p.A. (XMIL:TGYM)</v>
    <v>3</v>
    <v>34</v>
    <v>Finance</v>
    <v>35</v>
    <v>XMIL</v>
    <v>201327500</v>
    <v>13.04</v>
    <v>0.84530000000000005</v>
    <v>0.04</v>
    <v>3.094E-3</v>
    <v>2603165000</v>
    <v>12.93</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46259.666666666664</v>
    <v>Borsa Italiana</v>
    <v>131</v>
    <v>13.13</v>
    <v>21.82</v>
    <v>12.96</v>
    <v>12.92</v>
    <v>EUR</v>
    <v>Technogym S.p.A.</v>
    <v>Technogym S.p.A.</v>
    <v>22.5213</v>
    <v>12.97</v>
    <v>Leisure Products</v>
    <v>Via Calcinaro, 2861, CESENA, FORLI CESENA, 47521 IT</v>
    <v>TGYM</v>
    <v>Acciones</v>
    <v>Technogym S.p.A. (XMIL:TGYM)</v>
    <v>168721</v>
    <v>321200</v>
  </rv>
  <rv s="2">
    <v>132</v>
  </rv>
  <rv s="0">
    <v>https://www.bing.com/financeapi/forcetrigger?t=amg4gh&amp;q=BMEX%3aVID&amp;form=skydnc</v>
    <v>Learn more on Bing</v>
  </rv>
  <rv s="9">
    <v>es-ES</v>
    <v>amg4gh</v>
    <v>268435456</v>
    <v>1</v>
    <v>Con tecnología de Refinitiv</v>
    <v>32</v>
    <v>33</v>
    <v>VIDRALA, S.A. (BMEX:VID)</v>
    <v>3</v>
    <v>34</v>
    <v>Finance</v>
    <v>13</v>
    <v>BMEX</v>
    <v>35206260</v>
    <v>90</v>
    <v>1.0364</v>
    <v>0</v>
    <v>0</v>
    <v>3200249000</v>
    <v>90.9</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46259.666666666664</v>
    <v>Bolsas y Mercados Espanoles</v>
    <v>134</v>
    <v>91</v>
    <v>92.8</v>
    <v>89.9</v>
    <v>70.400000000000006</v>
    <v>EUR</v>
    <v>VIDRALA, S.A.</v>
    <v>VIDRALA, S.A.</v>
    <v>14.5563</v>
    <v>90.9</v>
    <v>Containers &amp; Packaging</v>
    <v>Barrio Munegazo, 22, LLODIO, ALAVA, 01400 ES</v>
    <v>VID</v>
    <v>Acciones</v>
    <v>VIDRALA, S.A. (BMEX:VID)</v>
    <v>22124</v>
    <v>21130</v>
  </rv>
  <rv s="2">
    <v>135</v>
  </rv>
  <rv s="0">
    <v>https://www.bing.com/financeapi/forcetrigger?t=c276a2&amp;q=XTSE%3aTFPM&amp;form=skydnc</v>
    <v>Learn more on Bing</v>
  </rv>
  <rv s="1">
    <v>es-ES</v>
    <v>c276a2</v>
    <v>268435456</v>
    <v>1</v>
    <v>Con tecnología de Refinitiv</v>
    <v>0</v>
    <v>1</v>
    <v>Triple Flag Prec (XTSE:TFPM)</v>
    <v>3</v>
    <v>36</v>
    <v>Finance</v>
    <v>37</v>
    <v>XTSE</v>
    <v>206003000</v>
    <v>2019</v>
    <v>47.25</v>
    <v>0.3654</v>
    <v>1.01</v>
    <v>2.1006999999999998E-2</v>
    <v>10112687270</v>
    <v>48.08</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46259.724988425929</v>
    <v>Toronto Stock Exchange</v>
    <v>137</v>
    <v>49.2</v>
    <v>57.26</v>
    <v>47.15</v>
    <v>35.950000000000003</v>
    <v>CAD</v>
    <v>Triple Flag Prec</v>
    <v>Triple Flag Prec</v>
    <v>17.3689</v>
    <v>49.09</v>
    <v>Metals &amp; Mining</v>
    <v>TD Canada Trust Tower, 161 Bay Street, Suite 4535, Toronto, ON, M5J 2S1 CA</v>
    <v>TFPM</v>
    <v>Acciones</v>
    <v>Triple Flag Prec (XTSE:TFPM)</v>
    <v>86672</v>
    <v>238650</v>
  </rv>
  <rv s="2">
    <v>138</v>
  </rv>
  <rv s="0">
    <v>https://www.bing.com/financeapi/forcetrigger?t=a1ygoc&amp;q=XNAS%3aNFLX&amp;form=skydnc</v>
    <v>Learn more on Bing</v>
  </rv>
  <rv s="1">
    <v>es-ES</v>
    <v>a1ygoc</v>
    <v>268435456</v>
    <v>1</v>
    <v>Con tecnología de Refinitiv</v>
    <v>0</v>
    <v>1</v>
    <v>NETFLIX, INC. (XNAS:NFLX)</v>
    <v>3</v>
    <v>4</v>
    <v>Finance</v>
    <v>5</v>
    <v>XNAS</v>
    <v>4163939000</v>
    <v>1997</v>
    <v>79.510000000000005</v>
    <v>1.5216000000000001</v>
    <v>1.98</v>
    <v>2.4746999999999998E-2</v>
    <v>341401358610</v>
    <v>80.010000000000005</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46259.736888321095</v>
    <v>Nasdaq Stock Market</v>
    <v>140</v>
    <v>82.325000000000003</v>
    <v>126.71</v>
    <v>79.400000000000006</v>
    <v>65.08</v>
    <v>USD</v>
    <v>NETFLIX, INC.</v>
    <v>NETFLIX, INC.</v>
    <v>25.830100000000002</v>
    <v>81.99</v>
    <v>Software &amp; IT Services</v>
    <v>121 Albright Way, LOS GATOS, CA, 95032 US</v>
    <v>NFLX</v>
    <v>Acciones</v>
    <v>NETFLIX, INC. (XNAS:NFLX)</v>
    <v>15188105</v>
    <v>35113398</v>
  </rv>
  <rv s="2">
    <v>141</v>
  </rv>
  <rv s="0">
    <v>https://www.bing.com/financeapi/forcetrigger?t=a1yjxm&amp;q=XNYS%3aNKE&amp;form=skydnc</v>
    <v>Learn more on Bing</v>
  </rv>
  <rv s="1">
    <v>es-ES</v>
    <v>a1yjxm</v>
    <v>268435456</v>
    <v>1</v>
    <v>Con tecnología de Refinitiv</v>
    <v>0</v>
    <v>1</v>
    <v>NIKE, INC. (XNYS:NKE)</v>
    <v>3</v>
    <v>4</v>
    <v>Finance</v>
    <v>5</v>
    <v>XNYS</v>
    <v>1483499000</v>
    <v>1969</v>
    <v>39.6</v>
    <v>1.1161000000000001</v>
    <v>-1.08</v>
    <v>-2.6503000000000002E-2</v>
    <v>58850405330</v>
    <v>40.75</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46259.736870532033</v>
    <v>New York Stock Exchange</v>
    <v>143</v>
    <v>39.865000000000002</v>
    <v>80.165000000000006</v>
    <v>39.03</v>
    <v>38.86</v>
    <v>USD</v>
    <v>NIKE, INC.</v>
    <v>NIKE, INC.</v>
    <v>18.906700000000001</v>
    <v>39.67</v>
    <v>Textiles &amp; Apparel</v>
    <v>One Bowerman Dr, BEAVERTON, OR, 97005-6453 US</v>
    <v>NKE</v>
    <v>Acciones</v>
    <v>NIKE, INC. (XNYS:NKE)</v>
    <v>24289581</v>
    <v>23006900</v>
  </rv>
  <rv s="2">
    <v>144</v>
  </rv>
  <rv s="0">
    <v>https://www.bing.com/financeapi/forcetrigger?t=amwwgh&amp;q=XSTO%3aMIPS&amp;form=skydnc</v>
    <v>Learn more on Bing</v>
  </rv>
  <rv s="10">
    <v>es-ES</v>
    <v>amwwgh</v>
    <v>268435456</v>
    <v>1</v>
    <v>Con tecnología de Refinitiv</v>
    <v>38</v>
    <v>39</v>
    <v>MIPS (XSTO:MIPS)</v>
    <v>3</v>
    <v>40</v>
    <v>Finance</v>
    <v>21</v>
    <v>XSTO</v>
    <v>26491120</v>
    <v>2001</v>
    <v>366.2</v>
    <v>2.0165999999999999</v>
    <v>3.4</v>
    <v>0</v>
    <v>9.3610000000000013E-3</v>
    <v>0</v>
    <v>9621575000</v>
    <v>363.2</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46259.666666666664</v>
    <v>NASDAQ Stockholm</v>
    <v>146</v>
    <v>372</v>
    <v>360.6</v>
    <v>SEK</v>
    <v>MIPS</v>
    <v>MIPS</v>
    <v>58.655999999999999</v>
    <v>366.6</v>
    <v>366.6</v>
    <v>Leisure Products</v>
    <v>Kemistvagen 1B, STOCKHOLM, 183 79 SE</v>
    <v>MIPS</v>
    <v>Acciones</v>
    <v>MIPS (XSTO:MIPS)</v>
    <v>65660</v>
    <v>92810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237.21</v>
    <v>1.1198999999999999</v>
    <v>-2.06</v>
    <v>-8.7119999999999993E-3</v>
    <v>45343378353</v>
    <v>236.45</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46259.736896110939</v>
    <v>New York Stock Exchange</v>
    <v>149</v>
    <v>237.76499999999999</v>
    <v>271.64</v>
    <v>233.34</v>
    <v>207.64</v>
    <v>USD</v>
    <v>FERGUSON ENTERPRISES INC.</v>
    <v>FERGUSON ENTERPRISES INC.</v>
    <v>23.065100000000001</v>
    <v>234.39</v>
    <v>Homebuilding &amp; Construction Supplies</v>
    <v>751 Lakefront Commons, NEWPORT NEWS, VA, 23606 US</v>
    <v>FERG</v>
    <v>Acciones</v>
    <v>FERGUSON ENTERPRISES INC. (XNYS:FERG)</v>
    <v>813653</v>
    <v>3782353</v>
  </rv>
  <rv s="2">
    <v>150</v>
  </rv>
  <rv s="0">
    <v>https://www.bing.com/financeapi/forcetrigger?t=c2kadm&amp;q=XNYS%3aS&amp;form=skydnc</v>
    <v>Learn more on Bing</v>
  </rv>
  <rv s="1">
    <v>es-ES</v>
    <v>c2kadm</v>
    <v>268435456</v>
    <v>1</v>
    <v>Con tecnología de Refinitiv</v>
    <v>0</v>
    <v>1</v>
    <v>SENTINELONE, INC. (XNYS:S)</v>
    <v>3</v>
    <v>4</v>
    <v>Finance</v>
    <v>5</v>
    <v>XNYS</v>
    <v>342803700</v>
    <v>2013</v>
    <v>20.76</v>
    <v>0.76</v>
    <v>-0.6139</v>
    <v>-2.9485999999999998E-2</v>
    <v>6926725842</v>
    <v>20.82</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46259.736888587497</v>
    <v>New York Stock Exchange</v>
    <v>152</v>
    <v>20.91</v>
    <v>23.95</v>
    <v>20.18</v>
    <v>11.81</v>
    <v>USD</v>
    <v>SENTINELONE, INC.</v>
    <v>SENTINELONE, INC.</v>
    <v>0</v>
    <v>20.206099999999999</v>
    <v>Software &amp; IT Services</v>
    <v>444 Castro Street, Suite 400, MOUNTAIN VIEW, CA, 94041 US</v>
    <v>S</v>
    <v>Acciones</v>
    <v>SENTINELONE, INC. (XNYS:S)</v>
    <v>1980784</v>
    <v>6492375</v>
  </rv>
  <rv s="2">
    <v>153</v>
  </rv>
  <rv s="0">
    <v>https://www.bing.com/financeapi/forcetrigger?t=a24grw&amp;q=XNYS%3aTREX&amp;form=skydnc</v>
    <v>Learn more on Bing</v>
  </rv>
  <rv s="1">
    <v>es-ES</v>
    <v>a24grw</v>
    <v>268435456</v>
    <v>1</v>
    <v>Con tecnología de Refinitiv</v>
    <v>0</v>
    <v>1</v>
    <v>TREX COMPANY, INC. (XNYS:TREX)</v>
    <v>3</v>
    <v>4</v>
    <v>Finance</v>
    <v>5</v>
    <v>XNYS</v>
    <v>101865200</v>
    <v>1998</v>
    <v>47.75</v>
    <v>1.4733000000000001</v>
    <v>-0.42</v>
    <v>-8.8849999999999988E-3</v>
    <v>4772384620</v>
    <v>47.27</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46259.736879664066</v>
    <v>New York Stock Exchange</v>
    <v>155</v>
    <v>48</v>
    <v>66.055000000000007</v>
    <v>46.82</v>
    <v>29.77</v>
    <v>USD</v>
    <v>TREX COMPANY, INC.</v>
    <v>TREX COMPANY, INC.</v>
    <v>27.649899999999999</v>
    <v>46.85</v>
    <v>Homebuilding &amp; Construction Supplies</v>
    <v>2500 TREX WAY, WINCHESTER, VA, 22601 US</v>
    <v>TREX</v>
    <v>Acciones</v>
    <v>TREX COMPANY, INC. (XNYS:TREX)</v>
    <v>595089</v>
    <v>2039791</v>
  </rv>
  <rv s="2">
    <v>156</v>
  </rv>
  <rv s="0">
    <v>https://www.bing.com/financeapi/forcetrigger?t=aea12w&amp;q=XPAR%3aSGO&amp;form=skydnc</v>
    <v>Learn more on Bing</v>
  </rv>
  <rv s="1">
    <v>es-ES</v>
    <v>aea12w</v>
    <v>268435456</v>
    <v>1</v>
    <v>Con tecnología de Refinitiv</v>
    <v>0</v>
    <v>1</v>
    <v>Compagnie de Saint Gobain SA (XPAR:SGO)</v>
    <v>3</v>
    <v>12</v>
    <v>Finance</v>
    <v>13</v>
    <v>XPAR</v>
    <v>494834000</v>
    <v>1981</v>
    <v>81</v>
    <v>1.4041999999999999</v>
    <v>1.02</v>
    <v>1.2712000000000001E-2</v>
    <v>39705480000</v>
    <v>80.239999999999995</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46259.666666666664</v>
    <v>Euronext Paris</v>
    <v>158</v>
    <v>81.64</v>
    <v>97.84</v>
    <v>80.08</v>
    <v>65.88</v>
    <v>EUR</v>
    <v>Compagnie de Saint Gobain SA</v>
    <v>Compagnie de Saint Gobain SA</v>
    <v>14.949</v>
    <v>81.260000000000005</v>
    <v>Homebuilding &amp; Construction Supplies</v>
    <v>Tour Saint-Gobain, 12 place de l'Iris, La Defense Cedex, 92096 FR</v>
    <v>SGO</v>
    <v>Acciones</v>
    <v>Compagnie de Saint Gobain SA (XPAR:SGO)</v>
    <v>673629</v>
    <v>833630</v>
  </rv>
  <rv s="2">
    <v>159</v>
  </rv>
  <rv s="0">
    <v>https://www.bing.com/financeapi/forcetrigger?t=aea7cw&amp;q=XPAR%3aTFF&amp;form=skydnc</v>
    <v>Learn more on Bing</v>
  </rv>
  <rv s="1">
    <v>es-ES</v>
    <v>aea7cw</v>
    <v>268435456</v>
    <v>1</v>
    <v>Con tecnología de Refinitiv</v>
    <v>0</v>
    <v>1</v>
    <v>Tonnellerie FF (XPAR:TFF)</v>
    <v>3</v>
    <v>12</v>
    <v>Finance</v>
    <v>13</v>
    <v>XPAR</v>
    <v>21680000</v>
    <v>1956</v>
    <v>16.8</v>
    <v>0.56579999999999997</v>
    <v>-0.12</v>
    <v>-7.143E-3</v>
    <v>364224000</v>
    <v>16.8</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46259.666666666664</v>
    <v>Euronext Paris</v>
    <v>161</v>
    <v>16.899999999999999</v>
    <v>20</v>
    <v>16.68</v>
    <v>14.65</v>
    <v>EUR</v>
    <v>Tonnellerie FF</v>
    <v>Tonnellerie FF</v>
    <v>15.438700000000001</v>
    <v>16.68</v>
    <v>Containers &amp; Packaging</v>
    <v>Route departementale 17, Saint-Romain, SAINT-ROMAIN-AU-MONT-D OR, AUVERGNE-RHONE-ALPES, 21190 FR</v>
    <v>TFF</v>
    <v>Acciones</v>
    <v>Tonnellerie FF (XPAR:TFF)</v>
    <v>510</v>
    <v>6040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35</v>
    <v>0.93210000000000004</v>
    <v>0.35499999999999998</v>
    <v>1.0134000000000001E-2</v>
    <v>8953643475</v>
    <v>35.03</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46259.736849872657</v>
    <v>Nasdaq Stock Market</v>
    <v>164</v>
    <v>35.65</v>
    <v>66.739999999999995</v>
    <v>34.590000000000003</v>
    <v>23.555</v>
    <v>USD</v>
    <v>CELSIUS HOLDINGS, INC.</v>
    <v>CELSIUS HOLDINGS, INC.</v>
    <v>152.12809999999999</v>
    <v>35.384999999999998</v>
    <v>Beverages</v>
    <v>2424 N. Federal Hwy, Suite 208, BOCA RATON, FL, 33431 US</v>
    <v>CELH</v>
    <v>Acciones</v>
    <v>CELSIUS HOLDINGS, INC. (XNAS:CELH)</v>
    <v>4511589</v>
    <v>12600191</v>
  </rv>
  <rv s="2">
    <v>165</v>
  </rv>
  <rv s="0">
    <v>https://www.bing.com/financeapi/forcetrigger?t=alo1ar&amp;q=XAMS%3aBFIT&amp;form=skydnc</v>
    <v>Learn more on Bing</v>
  </rv>
  <rv s="1">
    <v>es-ES</v>
    <v>alo1ar</v>
    <v>268435456</v>
    <v>1</v>
    <v>Con tecnología de Refinitiv</v>
    <v>0</v>
    <v>1</v>
    <v>Basic-Fit N.V. (XAMS:BFIT)</v>
    <v>3</v>
    <v>12</v>
    <v>Finance</v>
    <v>13</v>
    <v>XAMS</v>
    <v>66000000</v>
    <v>2016</v>
    <v>34</v>
    <v>0.86470000000000002</v>
    <v>-0.18</v>
    <v>-5.3220000000000003E-3</v>
    <v>2232120000</v>
    <v>33.82</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46259.666666666664</v>
    <v>Euronext Amsterdam</v>
    <v>167</v>
    <v>34.020000000000003</v>
    <v>36.700000000000003</v>
    <v>33.64</v>
    <v>22.84</v>
    <v>EUR</v>
    <v>Basic-Fit N.V.</v>
    <v>Basic-Fit N.V.</v>
    <v>47.433700000000002</v>
    <v>33.64</v>
    <v>Hotels &amp; Entertainment Services</v>
    <v>Wegalaan 60, HOOFDDORP, NOORD-HOLLAND, 2132JC NL</v>
    <v>BFIT</v>
    <v>Acciones</v>
    <v>Basic-Fit N.V. (XAMS:BFIT)</v>
    <v>75847</v>
    <v>96200</v>
  </rv>
  <rv s="2">
    <v>168</v>
  </rv>
  <rv s="0">
    <v>https://www.bing.com/financeapi/forcetrigger?t=bscvur&amp;q=XWBO%3aVRLA&amp;form=skydnc</v>
    <v>Learn more on Bing</v>
  </rv>
  <rv s="11">
    <v>es-ES</v>
    <v>bscvur</v>
    <v>268435456</v>
    <v>1</v>
    <v>Con tecnología de Refinitiv</v>
    <v>41</v>
    <v>42</v>
    <v>Verallia SA (XWBO:VRLA)</v>
    <v>3</v>
    <v>43</v>
    <v>Finance</v>
    <v>13</v>
    <v>XWBO</v>
    <v>127587300</v>
    <v>2015</v>
    <v>18.45</v>
    <v>1.1122000000000001</v>
    <v>-0.96</v>
    <v>-4.9611999999999996E-2</v>
    <v>2467538000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47.34</v>
    <v>18.39</v>
    <v>Containers &amp; Packaging</v>
    <v>TOUR CARPE DIEM - ESPLANADE NORD, 31 PLACE DES COROLLES, COURBEVOIE, ILE-DE-FRANCE, 92400 FR</v>
    <v>VRLA</v>
    <v>Acciones</v>
    <v>Verallia SA (XWBO:VRLA)</v>
    <v>798</v>
    <v>28540</v>
  </rv>
  <rv s="2">
    <v>171</v>
  </rv>
  <rv s="7">
    <v>es-ES</v>
    <v>c8f4a2</v>
    <v>268435456</v>
    <v>1</v>
    <v>Con tecnología de Refinitiv</v>
    <v>24</v>
    <v>25</v>
    <v>Kistos Holdings (XLON:KIST)</v>
    <v>26</v>
    <v>16</v>
    <v>Finance</v>
    <v>17</v>
    <v>XLON</v>
    <v>83117650</v>
    <v>2022</v>
    <v>287.5</v>
    <v>1.1780999999999999</v>
    <v>-5</v>
    <v>-1.7391E-2</v>
    <v>239018600</v>
    <v>287.5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46259.631193066409</v>
    <v>London Stock Exchange</v>
    <v>280</v>
    <v>335</v>
    <v>280</v>
    <v>145</v>
    <v>GBp</v>
    <v>Kistos Holdings</v>
    <v>Kistos Holdings</v>
    <v>0</v>
    <v>282.5</v>
    <v>Oil &amp; Gas</v>
    <v>2nd Floor, 3 St James Square, NaN, LONDON, ENGLAND, SW1Y 4JU GB</v>
    <v>KIST</v>
    <v>Acciones</v>
    <v>Kistos Holdings (XLON:KIST)</v>
    <v>54971</v>
    <v>227200</v>
  </rv>
  <rv s="2">
    <v>173</v>
  </rv>
  <rv s="0">
    <v>https://www.bing.com/financeapi/forcetrigger?t=bq9y7w&amp;q=XLON%3aWOSG&amp;form=skydnc</v>
    <v>Learn more on Bing</v>
  </rv>
  <rv s="1">
    <v>es-ES</v>
    <v>bq9y7w</v>
    <v>268435456</v>
    <v>1</v>
    <v>Con tecnología de Refinitiv</v>
    <v>0</v>
    <v>1</v>
    <v>Watches of CH (XLON:WOSG)</v>
    <v>3</v>
    <v>16</v>
    <v>Finance</v>
    <v>17</v>
    <v>XLON</v>
    <v>233301600</v>
    <v>2019</v>
    <v>675.5</v>
    <v>2.4213</v>
    <v>6</v>
    <v>8.8370000000000011E-3</v>
    <v>1584118000</v>
    <v>679</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46259.65185256875</v>
    <v>London Stock Exchange</v>
    <v>175</v>
    <v>696.5</v>
    <v>801.5</v>
    <v>675.5</v>
    <v>316.2</v>
    <v>GBp</v>
    <v>Watches of CH</v>
    <v>Watches of CH</v>
    <v>16.239599999999999</v>
    <v>685</v>
    <v>Specialty Retailers</v>
    <v>Aurum House, 2 Elland Road, LEICESTER, LEICESTERSHIRE, LE3 1TT GB</v>
    <v>WOSG</v>
    <v>Acciones</v>
    <v>Watches of CH (XLON:WOSG)</v>
    <v>607013</v>
    <v>447060</v>
  </rv>
  <rv s="2">
    <v>176</v>
  </rv>
  <rv s="0">
    <v>https://www.bing.com/financeapi/forcetrigger?t=aayx5r&amp;q=XTSE%3aIPCO&amp;form=skydnc</v>
    <v>Learn more on Bing</v>
  </rv>
  <rv s="1">
    <v>es-ES</v>
    <v>aayx5r</v>
    <v>268435456</v>
    <v>1</v>
    <v>Con tecnología de Refinitiv</v>
    <v>0</v>
    <v>1</v>
    <v>INTERNATIONAL PETROLEUM CORPORATION (XTSE:IPCO)</v>
    <v>3</v>
    <v>44</v>
    <v>Finance</v>
    <v>37</v>
    <v>XTSE</v>
    <v>112826800</v>
    <v>2017</v>
    <v>34.56</v>
    <v>0.3357</v>
    <v>-0.13</v>
    <v>-3.6909999999999998E-3</v>
    <v>27016750000</v>
    <v>35.22</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46259.72215277778</v>
    <v>Toronto Stock Exchange</v>
    <v>178</v>
    <v>35.35</v>
    <v>39.47</v>
    <v>34.450000000000003</v>
    <v>20.74</v>
    <v>CAD</v>
    <v>INTERNATIONAL PETROLEUM CORPORATION</v>
    <v>INTERNATIONAL PETROLEUM CORPORATION</v>
    <v>134.1874</v>
    <v>35.090000000000003</v>
    <v>Oil &amp; Gas</v>
    <v>Suite 2800, 1055 Dunsmuir Street, VANCOUVER, BC, V7X 1L2 CA</v>
    <v>IPCO</v>
    <v>Acciones</v>
    <v>INTERNATIONAL PETROLEUM CORPORATION (XTSE:IPCO)</v>
    <v>109640</v>
    <v>159030</v>
  </rv>
  <rv s="2">
    <v>179</v>
  </rv>
  <rv s="0">
    <v>https://www.bing.com/financeapi/forcetrigger?t=c1w41h&amp;q=XNAS%3aOTLY&amp;form=skydnc</v>
    <v>Learn more on Bing</v>
  </rv>
  <rv s="1">
    <v>es-ES</v>
    <v>c1w41h</v>
    <v>268435456</v>
    <v>1</v>
    <v>Con tecnología de Refinitiv</v>
    <v>0</v>
    <v>1</v>
    <v>Oatly Group (XNAS:OTLY)</v>
    <v>3</v>
    <v>4</v>
    <v>Finance</v>
    <v>5</v>
    <v>XNAS</v>
    <v>31912260</v>
    <v>2016</v>
    <v>15.9</v>
    <v>1.8165</v>
    <v>-0.13500000000000001</v>
    <v>-8.4930000000000005E-3</v>
    <v>502937217</v>
    <v>15.895</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46259.736454363279</v>
    <v>Nasdaq Stock Market</v>
    <v>181</v>
    <v>16.2</v>
    <v>18.84</v>
    <v>15.505000000000001</v>
    <v>8.01</v>
    <v>USD</v>
    <v>Oatly Group</v>
    <v>Oatly Group</v>
    <v>0</v>
    <v>15.76</v>
    <v>Food &amp; Tobacco</v>
    <v>Angfarjekajen 8, MALMO, SKANE, 211 36 SE</v>
    <v>OTLY</v>
    <v>Acciones</v>
    <v>Oatly Group (XNAS:OTLY)</v>
    <v>76627</v>
    <v>207028</v>
  </rv>
  <rv s="2">
    <v>182</v>
  </rv>
  <rv s="0">
    <v>https://www.bing.com/financeapi/forcetrigger?t=aaxn6h&amp;q=XTSE%3aCSU&amp;form=skydnc</v>
    <v>Learn more on Bing</v>
  </rv>
  <rv s="1">
    <v>es-ES</v>
    <v>aaxn6h</v>
    <v>268435456</v>
    <v>1</v>
    <v>Con tecnología de Refinitiv</v>
    <v>0</v>
    <v>1</v>
    <v>Constellation Software Inc. (XTSE:CSU)</v>
    <v>3</v>
    <v>36</v>
    <v>Finance</v>
    <v>37</v>
    <v>XTSE</v>
    <v>21191530</v>
    <v>2002</v>
    <v>3106.02</v>
    <v>0.69550000000000001</v>
    <v>-46.38</v>
    <v>-1.4967999999999999E-2</v>
    <v>64682695103</v>
    <v>3098.67</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46259.726400462961</v>
    <v>Toronto Stock Exchange</v>
    <v>184</v>
    <v>3106.02</v>
    <v>4634.9799999999996</v>
    <v>3014.7150000000001</v>
    <v>2196</v>
    <v>CAD</v>
    <v>Constellation Software Inc.</v>
    <v>Constellation Software Inc.</v>
    <v>47.416499999999999</v>
    <v>3052.29</v>
    <v>Software &amp; IT Services</v>
    <v>#66 Wellington Street West, Suite 5300, TD Bank Tower, TORONTO, ON, M5K 1E6 CA</v>
    <v>CSU</v>
    <v>Acciones</v>
    <v>Constellation Software Inc. (XTSE:CSU)</v>
    <v>14449</v>
    <v>53640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79.38</v>
    <v>1.1629</v>
    <v>0.52</v>
    <v>6.5580000000000005E-3</v>
    <v>163016713600</v>
    <v>79.290000000000006</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46259.736892303124</v>
    <v>New York Stock Exchange</v>
    <v>187</v>
    <v>80.19</v>
    <v>101.99</v>
    <v>78.61</v>
    <v>65.41</v>
    <v>USD</v>
    <v>UBER TECHNOLOGIES, INC.</v>
    <v>UBER TECHNOLOGIES, INC.</v>
    <v>17.519100000000002</v>
    <v>79.81</v>
    <v>Software &amp; IT Services</v>
    <v>1725 3Rd Street, SAN FRANCISCO, CA, 94158 US</v>
    <v>UBER</v>
    <v>Acciones</v>
    <v>UBER TECHNOLOGIES, INC. (XNYS:UBER)</v>
    <v>6925648</v>
    <v>19803871</v>
  </rv>
  <rv s="2">
    <v>188</v>
  </rv>
  <rv s="0">
    <v>https://www.bing.com/financeapi/forcetrigger?t=aodtkr&amp;q=XLON%3aSOM&amp;form=skydnc</v>
    <v>Learn more on Bing</v>
  </rv>
  <rv s="1">
    <v>es-ES</v>
    <v>aodtkr</v>
    <v>268435456</v>
    <v>1</v>
    <v>Con tecnología de Refinitiv</v>
    <v>0</v>
    <v>1</v>
    <v>Somero (XLON:SOM)</v>
    <v>3</v>
    <v>16</v>
    <v>Finance</v>
    <v>17</v>
    <v>XLON</v>
    <v>51776020</v>
    <v>2002</v>
    <v>240</v>
    <v>0.86370000000000002</v>
    <v>0</v>
    <v>0</v>
    <v>124291200</v>
    <v>240</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46259.641760925784</v>
    <v>London Stock Exchange</v>
    <v>190</v>
    <v>245</v>
    <v>250</v>
    <v>245</v>
    <v>170</v>
    <v>GBp</v>
    <v>Somero</v>
    <v>Somero</v>
    <v>17.103400000000001</v>
    <v>240</v>
    <v>Machinery, Equipment &amp; Components</v>
    <v>14530 Global Pkwy, FORT MYERS, FL, 33913 US</v>
    <v>SOM</v>
    <v>Acciones</v>
    <v>Somero (XLON:SOM)</v>
    <v>28224</v>
    <v>47850</v>
  </rv>
  <rv s="2">
    <v>191</v>
  </rv>
  <rv s="0">
    <v>https://www.bing.com/financeapi/forcetrigger?t=ajflbh&amp;q=XMIL%3aIP&amp;form=skydnc</v>
    <v>Learn more on Bing</v>
  </rv>
  <rv s="9">
    <v>es-ES</v>
    <v>ajflbh</v>
    <v>268435456</v>
    <v>1</v>
    <v>Con tecnología de Refinitiv</v>
    <v>32</v>
    <v>33</v>
    <v>Interpump Group S.p.A. (XMIL:IP)</v>
    <v>3</v>
    <v>34</v>
    <v>Finance</v>
    <v>35</v>
    <v>XMIL</v>
    <v>108879300</v>
    <v>37.5</v>
    <v>1.2612000000000001</v>
    <v>0.54</v>
    <v>1.4477E-2</v>
    <v>4061198000</v>
    <v>37.299999999999997</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46259.666666666664</v>
    <v>Borsa Italiana</v>
    <v>193</v>
    <v>38</v>
    <v>51.3</v>
    <v>37.340000000000003</v>
    <v>30.1</v>
    <v>EUR</v>
    <v>Interpump Group S.p.A.</v>
    <v>Interpump Group S.p.A.</v>
    <v>18.860600000000002</v>
    <v>37.840000000000003</v>
    <v>Machinery, Equipment &amp; Components</v>
    <v>Via E. Fermi, 25, SANT'ILARIO D'ENZA, REGGIO EMILIA, 42049 IT</v>
    <v>IP</v>
    <v>Acciones</v>
    <v>Interpump Group S.p.A. (XMIL:IP)</v>
    <v>70543</v>
    <v>122450</v>
  </rv>
  <rv s="2">
    <v>194</v>
  </rv>
  <rv s="0">
    <v>https://www.bing.com/financeapi/forcetrigger?t=ae9vtc&amp;q=XPAR%3aRBT&amp;form=skydnc</v>
    <v>Learn more on Bing</v>
  </rv>
  <rv s="1">
    <v>es-ES</v>
    <v>ae9vtc</v>
    <v>268435456</v>
    <v>1</v>
    <v>Con tecnología de Refinitiv</v>
    <v>0</v>
    <v>1</v>
    <v>Robertet (XPAR:RBT)</v>
    <v>3</v>
    <v>12</v>
    <v>Finance</v>
    <v>13</v>
    <v>XPAR</v>
    <v>2169300</v>
    <v>1957</v>
    <v>801</v>
    <v>0.42430000000000001</v>
    <v>-1</v>
    <v>-1.2520000000000001E-3</v>
    <v>1717833000</v>
    <v>799</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46259.666666666664</v>
    <v>Euronext Paris</v>
    <v>196</v>
    <v>802</v>
    <v>922</v>
    <v>790</v>
    <v>743</v>
    <v>EUR</v>
    <v>Robertet</v>
    <v>Robertet</v>
    <v>16.6691</v>
    <v>798</v>
    <v>Chemicals</v>
    <v>37 Avenue Sidi Brahim, Bp 52100, GRASSE, PACA, 06130 FR</v>
    <v>RBT</v>
    <v>Acciones</v>
    <v>Robertet (XPAR:RBT)</v>
    <v>631</v>
    <v>710</v>
  </rv>
  <rv s="2">
    <v>197</v>
  </rv>
  <rv s="12">
    <v>es-ES</v>
    <v>cg32pr</v>
    <v>268435456</v>
    <v>1</v>
    <v>Con tecnología de Refinitiv</v>
    <v>45</v>
    <v>46</v>
    <v>Roko (XSTO:ROKO B)</v>
    <v>26</v>
    <v>40</v>
    <v>Finance</v>
    <v>21</v>
    <v>XSTO</v>
    <v>12136500</v>
    <v>2019</v>
    <v>1882</v>
    <v>0.74</v>
    <v>4</v>
    <v>0</v>
    <v>2.1279999999999997E-3</v>
    <v>0</v>
    <v>22816620000</v>
    <v>1880</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46259.666666666664</v>
    <v>NASDAQ Stockholm</v>
    <v>1908</v>
    <v>1878</v>
    <v>SEK</v>
    <v>Roko</v>
    <v>Roko</v>
    <v>35.155799999999999</v>
    <v>1884</v>
    <v>1884</v>
    <v>Investment Banking &amp; Investment Services</v>
    <v>Ostermalmsgatan 33, STOCKSUND, STOCKHOLM, 114 26 SE</v>
    <v>ROKO B</v>
    <v>Acciones</v>
    <v>Roko (XSTO:ROKO B)</v>
    <v>5335</v>
    <v>6010</v>
  </rv>
  <rv s="2">
    <v>199</v>
  </rv>
  <rv s="0">
    <v>https://www.bing.com/financeapi/forcetrigger?t=a253tc&amp;q=XNYS%3aUSPH&amp;form=skydnc</v>
    <v>Learn more on Bing</v>
  </rv>
  <rv s="1">
    <v>es-ES</v>
    <v>a253tc</v>
    <v>268435456</v>
    <v>1</v>
    <v>Con tecnología de Refinitiv</v>
    <v>0</v>
    <v>1</v>
    <v>US Physical (XNYS:USPH)</v>
    <v>3</v>
    <v>4</v>
    <v>Finance</v>
    <v>5</v>
    <v>XNYS</v>
    <v>14922700</v>
    <v>1992</v>
    <v>78.254999999999995</v>
    <v>1.1266</v>
    <v>0.18</v>
    <v>2.3259999999999999E-3</v>
    <v>1157404612</v>
    <v>77.38</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46259.736806550784</v>
    <v>New York Stock Exchange</v>
    <v>201</v>
    <v>78.499899999999997</v>
    <v>93.5</v>
    <v>76.650000000000006</v>
    <v>58.19</v>
    <v>USD</v>
    <v>US Physical</v>
    <v>US Physical</v>
    <v>441.43430000000001</v>
    <v>77.56</v>
    <v>Healthcare Providers &amp; Services</v>
    <v>1300 West Sam Houston Parkway South, Suite 300, HOUSTON, TX, 77043 US</v>
    <v>USPH</v>
    <v>Acciones</v>
    <v>US Physical (XNYS:USPH)</v>
    <v>71017</v>
    <v>237137</v>
  </rv>
  <rv s="2">
    <v>202</v>
  </rv>
  <rv s="13">
    <v>es-ES</v>
    <v>av8wim</v>
    <v>268435456</v>
    <v>1</v>
    <v>Con tecnología de Refinitiv</v>
    <v>47</v>
    <v>48</v>
    <v>EUR/JPY</v>
    <v>49</v>
    <v>50</v>
    <v>Finance</v>
    <v>51</v>
    <v>185.52</v>
    <v>0.34</v>
    <v>1.833E-3</v>
    <v>185.52</v>
    <v>EUR</v>
    <v>46259.736840277779</v>
    <v>185.94</v>
    <v>187.93</v>
    <v>185.53</v>
    <v>171.06</v>
    <v>JPY</v>
    <v>Euro/Japanese Yen FX Cross Rate</v>
    <v>185.86</v>
    <v>EURJPY</v>
    <v>Par de divisa</v>
    <v>EUR/JPY</v>
  </rv>
  <rv s="2">
    <v>204</v>
  </rv>
  <rv s="13">
    <v>es-ES</v>
    <v>avv7r7</v>
    <v>268435456</v>
    <v>1</v>
    <v>Con tecnología de Refinitiv</v>
    <v>47</v>
    <v>48</v>
    <v>CHF/USD</v>
    <v>49</v>
    <v>52</v>
    <v>Finance</v>
    <v>51</v>
    <v>1.2458</v>
    <v>0</v>
    <v>0</v>
    <v>1.2461</v>
    <v>CHF</v>
    <v>46259.736886574072</v>
    <v>1.2472000000000001</v>
    <v>1.3149</v>
    <v>1.2435</v>
    <v>1.2181999999999999</v>
    <v>USD</v>
    <v>Swiss Franc/US Dollar FX Cross Rate</v>
    <v>1.2461</v>
    <v>CHFUSD</v>
    <v>Par de divisa</v>
    <v>CHF/USD</v>
  </rv>
  <rv s="2">
    <v>206</v>
  </rv>
  <rv s="13">
    <v>es-ES</v>
    <v>avyosm</v>
    <v>268435456</v>
    <v>1</v>
    <v>Con tecnología de Refinitiv</v>
    <v>47</v>
    <v>48</v>
    <v>USD/KZT</v>
    <v>49</v>
    <v>53</v>
    <v>Finance</v>
    <v>51</v>
    <v>457.19</v>
    <v>0.63</v>
    <v>1.3780000000000001E-3</v>
    <v>457.15</v>
    <v>USD</v>
    <v>46259.736875000002</v>
    <v>459.69</v>
    <v>549.66</v>
    <v>456.73</v>
    <v>453.81</v>
    <v>KZT</v>
    <v>US Dollar/Kazakhstan Tenge FX Spot Rate</v>
    <v>457.78</v>
    <v>USDKZT</v>
    <v>Par de divisa</v>
    <v>USD/KZT</v>
  </rv>
  <rv s="2">
    <v>208</v>
  </rv>
  <rv s="13">
    <v>es-ES</v>
    <v>av3wnm</v>
    <v>268435456</v>
    <v>1</v>
    <v>Con tecnología de Refinitiv</v>
    <v>47</v>
    <v>48</v>
    <v>CAD/USD</v>
    <v>49</v>
    <v>52</v>
    <v>Finance</v>
    <v>51</v>
    <v>0.72209999999999996</v>
    <v>4.0000000000000002E-4</v>
    <v>5.5380000000000002E-4</v>
    <v>0.72230000000000005</v>
    <v>CAD</v>
    <v>46259.736828703702</v>
    <v>0.72319999999999995</v>
    <v>0.74170000000000003</v>
    <v>0.72109999999999996</v>
    <v>0.70169999999999999</v>
    <v>USD</v>
    <v>Canadian Dollar/US Dollar FX Cross Rate</v>
    <v>0.72270000000000001</v>
    <v>CADUSD</v>
    <v>Par de divisa</v>
    <v>CAD/USD</v>
  </rv>
  <rv s="2">
    <v>210</v>
  </rv>
  <rv s="13">
    <v>es-ES</v>
    <v>avyn9c</v>
    <v>268435456</v>
    <v>1</v>
    <v>Con tecnología de Refinitiv</v>
    <v>47</v>
    <v>48</v>
    <v>USD/EUR</v>
    <v>49</v>
    <v>54</v>
    <v>Finance</v>
    <v>51</v>
    <v>0.85729999999999995</v>
    <v>-5.0000000000000001E-4</v>
    <v>-5.8319999999999997E-4</v>
    <v>0.85729999999999995</v>
    <v>USD</v>
    <v>46259.736840277779</v>
    <v>0.85819999999999996</v>
    <v>0.88300000000000001</v>
    <v>0.85650000000000004</v>
    <v>0.82779999999999998</v>
    <v>EUR</v>
    <v>US Dollar/Euro FX Cross Rate</v>
    <v>0.85680000000000001</v>
    <v>USDEUR</v>
    <v>Par de divisa</v>
    <v>USD/EUR</v>
  </rv>
  <rv s="2">
    <v>212</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0">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55">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17</v>
      <v>17</v>
      <v>17</v>
      <v>3</v>
      <v>17</v>
      <v>4</v>
      <v>17</v>
      <v>4</v>
      <v>5</v>
      <v>17</v>
      <v>4</v>
      <v>6</v>
      <v>7</v>
      <v>17</v>
      <v>17</v>
      <v>4</v>
      <v>17</v>
      <v>18</v>
      <v>17</v>
      <v>5</v>
      <v>9</v>
    </spb>
    <spb s="14">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6">
      <v>3</v>
      <v>Name</v>
    </spb>
    <spb s="17">
      <v>2</v>
      <v>2</v>
      <v>2</v>
    </spb>
    <spb s="13">
      <v>1</v>
      <v>1</v>
      <v>21</v>
      <v>21</v>
      <v>21</v>
      <v>3</v>
      <v>21</v>
      <v>4</v>
      <v>21</v>
      <v>4</v>
      <v>5</v>
      <v>21</v>
      <v>4</v>
      <v>6</v>
      <v>7</v>
      <v>21</v>
      <v>21</v>
      <v>4</v>
      <v>21</v>
      <v>22</v>
      <v>21</v>
      <v>5</v>
      <v>9</v>
    </spb>
    <spb s="18">
      <v xml:space="preserve">desde el cierre anterior </v>
      <v xml:space="preserve">al cierre </v>
      <v xml:space="preserve">desde el cierre anterior </v>
      <v xml:space="preserve">desde el cierre </v>
      <v>Retrasado 15 minutos</v>
      <v xml:space="preserve">desde el cierre </v>
      <v>GMT</v>
    </spb>
    <spb s="19">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6">
      <v>4</v>
      <v>Name</v>
    </spb>
    <spb s="20">
      <v>1</v>
      <v>21</v>
      <v>21</v>
      <v>21</v>
      <v>3</v>
      <v>21</v>
      <v>4</v>
      <v>21</v>
      <v>4</v>
      <v>5</v>
      <v>21</v>
      <v>4</v>
      <v>6</v>
      <v>7</v>
      <v>4</v>
      <v>22</v>
      <v>9</v>
    </spb>
    <spb s="21">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5</v>
      <v>Name</v>
      <v>LearnMoreOnLink</v>
    </spb>
    <spb s="22">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6</v>
      <v>Name</v>
      <v>LearnMoreOnLink</v>
    </spb>
    <spb s="24">
      <v>1</v>
      <v>1</v>
      <v>17</v>
      <v>17</v>
      <v>17</v>
      <v>3</v>
      <v>17</v>
      <v>4</v>
      <v>17</v>
      <v>4</v>
      <v>5</v>
      <v>17</v>
      <v>4</v>
      <v>6</v>
      <v>7</v>
      <v>4</v>
      <v>17</v>
      <v>18</v>
      <v>17</v>
      <v>5</v>
      <v>9</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6">
      <v>1</v>
      <v>1</v>
      <v>11</v>
      <v>11</v>
      <v>11</v>
      <v>3</v>
      <v>11</v>
      <v>4</v>
      <v>11</v>
      <v>4</v>
      <v>5</v>
      <v>11</v>
      <v>4</v>
      <v>6</v>
      <v>7</v>
      <v>4</v>
      <v>12</v>
      <v>24</v>
    </spb>
    <spb s="4">
      <v>1</v>
      <v>1</v>
      <v>23</v>
      <v>23</v>
      <v>23</v>
      <v>3</v>
      <v>23</v>
      <v>4</v>
      <v>23</v>
      <v>4</v>
      <v>5</v>
      <v>23</v>
      <v>4</v>
      <v>6</v>
      <v>7</v>
      <v>23</v>
      <v>23</v>
      <v>4</v>
      <v>18</v>
      <v>9</v>
    </spb>
    <spb s="27">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6">
      <v>8</v>
      <v>Name</v>
    </spb>
    <spb s="28">
      <v>Change</v>
      <v>Currency</v>
      <v>High</v>
      <v>Low</v>
      <v>Name</v>
      <v>Price</v>
      <v>Open</v>
      <v>Change (%)</v>
      <v>UniqueName</v>
      <v>From currency</v>
      <v>%ProviderInfo</v>
      <v>Previous close</v>
      <v>Ticker symbol</v>
      <v>Instrument type</v>
      <v>52 week high</v>
      <v>52 week low</v>
      <v>Last trade time</v>
    </spb>
    <spb s="16">
      <v>9</v>
      <v>Name</v>
    </spb>
    <spb s="29">
      <v>2</v>
      <v>2</v>
    </spb>
    <spb s="30">
      <v>25</v>
      <v>25</v>
      <v>25</v>
      <v>3</v>
      <v>25</v>
      <v>25</v>
      <v>5</v>
      <v>25</v>
      <v>6</v>
      <v>25</v>
      <v>25</v>
      <v>9</v>
    </spb>
    <spb s="31">
      <v>GMT</v>
    </spb>
    <spb s="30">
      <v>2</v>
      <v>2</v>
      <v>2</v>
      <v>3</v>
      <v>2</v>
      <v>2</v>
      <v>5</v>
      <v>2</v>
      <v>6</v>
      <v>2</v>
      <v>2</v>
      <v>9</v>
    </spb>
    <spb s="30">
      <v>26</v>
      <v>26</v>
      <v>26</v>
      <v>3</v>
      <v>26</v>
      <v>26</v>
      <v>5</v>
      <v>26</v>
      <v>6</v>
      <v>26</v>
      <v>26</v>
      <v>9</v>
    </spb>
    <spb s="30">
      <v>11</v>
      <v>11</v>
      <v>11</v>
      <v>3</v>
      <v>11</v>
      <v>11</v>
      <v>5</v>
      <v>11</v>
      <v>6</v>
      <v>11</v>
      <v>11</v>
      <v>9</v>
    </spb>
  </spbData>
</supportingPropertyBags>
</file>

<file path=xl/richData/rdsupportingpropertybagstructure.xml><?xml version="1.0" encoding="utf-8"?>
<spbStructures xmlns="http://schemas.microsoft.com/office/spreadsheetml/2017/richdata2" count="32">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Cambio" t="s"/>
    <k n="Precio" t="s"/>
    <k n="Cambio (%)" t="s"/>
    <k n="Cambio (horario ampliado)" t="s"/>
    <k n="Precio (horario ampliado)" t="s"/>
    <k n="Cambio % (horario ampliado)" t="s"/>
    <k n="Hora de la última operación" t="s"/>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71"/>
  <sheetViews>
    <sheetView tabSelected="1" zoomScaleNormal="100" workbookViewId="0">
      <pane xSplit="2" ySplit="3" topLeftCell="C25" activePane="bottomRight" state="frozen"/>
      <selection pane="topRight" activeCell="C1" sqref="C1"/>
      <selection pane="bottomLeft" activeCell="A4" sqref="A4"/>
      <selection pane="bottomRight" activeCell="A4" sqref="A4"/>
    </sheetView>
  </sheetViews>
  <sheetFormatPr baseColWidth="10" defaultColWidth="8.54296875" defaultRowHeight="14.5" x14ac:dyDescent="0.35"/>
  <cols>
    <col min="1" max="1" width="27" customWidth="1"/>
    <col min="2" max="2" width="10" customWidth="1"/>
    <col min="3" max="3" width="12.1796875" bestFit="1" customWidth="1"/>
    <col min="4" max="4" width="14.7265625" bestFit="1" customWidth="1"/>
    <col min="5" max="5" width="22" customWidth="1"/>
    <col min="6" max="6" width="9.726562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1640625" customWidth="1"/>
    <col min="42" max="42" width="9.1796875" customWidth="1"/>
    <col min="43" max="43" width="7.54296875" customWidth="1"/>
    <col min="44" max="44" width="10.26953125" customWidth="1"/>
    <col min="46" max="47" width="7.54296875" customWidth="1"/>
    <col min="48" max="48" width="9.1796875" customWidth="1"/>
    <col min="49" max="49" width="10.1796875" bestFit="1" customWidth="1"/>
    <col min="50" max="50" width="11.81640625" customWidth="1"/>
    <col min="52" max="52" width="9.1796875" customWidth="1"/>
    <col min="56" max="56" width="10" customWidth="1"/>
    <col min="57" max="57" width="7.81640625" customWidth="1"/>
    <col min="58" max="58" width="9.1796875" customWidth="1"/>
    <col min="59" max="59" width="8.81640625" bestFit="1" customWidth="1"/>
    <col min="60" max="61" width="11.26953125" customWidth="1"/>
    <col min="62" max="62" width="9.54296875" customWidth="1"/>
    <col min="63" max="63" width="10.54296875" customWidth="1"/>
    <col min="64" max="65" width="10.1796875" bestFit="1" customWidth="1"/>
    <col min="66" max="66" width="9.54296875" customWidth="1"/>
    <col min="67" max="67" width="11.81640625" customWidth="1"/>
  </cols>
  <sheetData>
    <row r="1" spans="1:68" ht="27.75" customHeight="1" x14ac:dyDescent="0.35">
      <c r="A1" s="106" t="s">
        <v>0</v>
      </c>
      <c r="B1" s="102"/>
      <c r="C1" s="102"/>
      <c r="D1" s="102"/>
      <c r="E1" s="102"/>
      <c r="F1" s="102"/>
      <c r="G1" s="102"/>
      <c r="H1" s="102"/>
      <c r="I1" s="102"/>
      <c r="J1" s="102"/>
      <c r="K1" s="102"/>
      <c r="L1" s="102"/>
      <c r="M1" s="102"/>
      <c r="N1" s="102"/>
      <c r="O1" s="102"/>
      <c r="P1" s="102"/>
      <c r="Q1" s="102"/>
      <c r="R1" s="102"/>
      <c r="S1" s="102"/>
      <c r="T1" s="102"/>
      <c r="U1" s="102"/>
      <c r="V1" s="102"/>
      <c r="W1" s="102"/>
      <c r="X1" s="102"/>
      <c r="Y1" s="102"/>
      <c r="Z1" s="102"/>
      <c r="AA1" s="102"/>
      <c r="AB1" s="102"/>
      <c r="AC1" s="102"/>
      <c r="AD1" s="102"/>
      <c r="AE1" s="102"/>
      <c r="AF1" s="102"/>
      <c r="AG1" s="102"/>
      <c r="AH1" s="102"/>
      <c r="AI1" s="102"/>
      <c r="AJ1" s="102"/>
      <c r="AK1" s="102"/>
      <c r="AL1" s="102"/>
      <c r="AM1" s="102"/>
      <c r="AN1" s="102"/>
      <c r="AO1" s="102"/>
      <c r="AP1" s="102"/>
      <c r="AQ1" s="102"/>
      <c r="AR1" s="102"/>
      <c r="AS1" s="102"/>
      <c r="AT1" s="102"/>
      <c r="AU1" s="102"/>
      <c r="AV1" s="102"/>
      <c r="AW1" s="102"/>
    </row>
    <row r="2" spans="1:68" ht="21.75" customHeight="1" x14ac:dyDescent="0.35">
      <c r="A2" s="109" t="s">
        <v>1</v>
      </c>
      <c r="B2" s="102"/>
      <c r="C2" s="102"/>
      <c r="D2" s="102"/>
      <c r="E2" s="102"/>
      <c r="F2" s="102"/>
      <c r="G2" s="102"/>
      <c r="H2" s="102"/>
      <c r="I2" s="102"/>
      <c r="J2" s="104" t="s">
        <v>2</v>
      </c>
      <c r="K2" s="102"/>
      <c r="L2" s="102"/>
      <c r="M2" s="102"/>
      <c r="N2" s="102"/>
      <c r="O2" s="102"/>
      <c r="P2" s="102"/>
      <c r="Q2" s="102"/>
      <c r="R2" s="102"/>
      <c r="S2" s="102"/>
      <c r="T2" s="103" t="s">
        <v>3</v>
      </c>
      <c r="U2" s="102"/>
      <c r="V2" s="102"/>
      <c r="W2" s="102"/>
      <c r="X2" s="102"/>
      <c r="Y2" s="102"/>
      <c r="Z2" s="102"/>
      <c r="AA2" s="102"/>
      <c r="AB2" s="102"/>
      <c r="AC2" s="102"/>
      <c r="AD2" s="107" t="s">
        <v>4</v>
      </c>
      <c r="AE2" s="102"/>
      <c r="AF2" s="102"/>
      <c r="AG2" s="102"/>
      <c r="AH2" s="102"/>
      <c r="AI2" s="102"/>
      <c r="AJ2" s="102"/>
      <c r="AK2" s="102"/>
      <c r="AL2" s="102"/>
      <c r="AM2" s="102"/>
      <c r="AN2" s="105" t="s">
        <v>5</v>
      </c>
      <c r="AO2" s="110" t="s">
        <v>6</v>
      </c>
      <c r="AP2" s="102"/>
      <c r="AQ2" s="102"/>
      <c r="AR2" s="102"/>
      <c r="AS2" s="102"/>
      <c r="AT2" s="102"/>
      <c r="AU2" s="102"/>
      <c r="AV2" s="102"/>
      <c r="AW2" s="102"/>
      <c r="AX2" s="102"/>
      <c r="AY2" s="102"/>
      <c r="AZ2" s="102"/>
      <c r="BA2" s="102"/>
      <c r="BB2" s="102"/>
      <c r="BC2" s="102"/>
      <c r="BD2" s="102"/>
      <c r="BE2" s="102"/>
      <c r="BF2" s="102"/>
      <c r="BG2" s="1"/>
      <c r="BH2" s="1"/>
      <c r="BI2" s="1"/>
      <c r="BJ2" s="108" t="s">
        <v>7</v>
      </c>
      <c r="BK2" s="102"/>
      <c r="BL2" s="102"/>
      <c r="BM2" s="102"/>
      <c r="BN2" s="101" t="s">
        <v>8</v>
      </c>
      <c r="BO2" s="102"/>
      <c r="BP2" s="102"/>
    </row>
    <row r="3" spans="1:68" ht="45" customHeight="1" x14ac:dyDescent="0.3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2"/>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3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243.84</v>
      </c>
      <c r="H4" s="13" cm="1">
        <f t="array" aca="1" ref="H4" ca="1">_FV(A4,"Acciones en circulación",TRUE)/1000000</f>
        <v>162.44329999999999</v>
      </c>
      <c r="I4" s="14">
        <f t="shared" ref="I4:I16" ca="1" si="0">G4*H4</f>
        <v>39610.174271999997</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7313</v>
      </c>
      <c r="AQ4" s="19">
        <v>100</v>
      </c>
      <c r="AR4" s="19">
        <f t="shared" ref="AR4:AR11" ca="1" si="8">I4-AP4+AQ4</f>
        <v>32397.174271999997</v>
      </c>
      <c r="AS4" s="19">
        <v>1640</v>
      </c>
      <c r="AT4" s="19">
        <v>810</v>
      </c>
      <c r="AU4" s="19">
        <v>1050</v>
      </c>
      <c r="AV4" s="19">
        <v>3319</v>
      </c>
      <c r="AW4" s="20">
        <f t="shared" ref="AW4:AW35" ca="1" si="9">AR4/AS4</f>
        <v>19.754374556097559</v>
      </c>
      <c r="AX4" s="20">
        <f t="shared" ref="AX4:AX35" ca="1" si="10">AR4/AU4</f>
        <v>30.854451687619044</v>
      </c>
      <c r="AY4" s="20">
        <f t="shared" ref="AY4:AY35" ca="1" si="11">AR4/AV4</f>
        <v>9.7611251196143414</v>
      </c>
      <c r="AZ4" s="21">
        <v>1500</v>
      </c>
      <c r="BA4" s="22">
        <f t="shared" ref="BA4:BA35" si="12">AT4/AV4</f>
        <v>0.24404941247363665</v>
      </c>
      <c r="BB4" s="22">
        <f t="shared" ref="BB4:BB35" si="13">AV4/AZ4</f>
        <v>2.2126666666666668</v>
      </c>
      <c r="BC4" s="23">
        <f t="shared" ref="BC4:BC35" si="14">BA4*BB4</f>
        <v>0.54</v>
      </c>
      <c r="BD4" s="98">
        <v>1497</v>
      </c>
      <c r="BE4" s="23">
        <f t="shared" ref="BE4:BE35" si="15">(BD4/AS4)^(1/5)-1</f>
        <v>-1.8081165477835559E-2</v>
      </c>
      <c r="BF4">
        <v>3288</v>
      </c>
      <c r="BG4" s="23">
        <f t="shared" ref="BG4:BG35" si="16">(BF4/AS4)^(1/5)-1</f>
        <v>0.14925814978284069</v>
      </c>
      <c r="BH4" s="24">
        <v>18</v>
      </c>
      <c r="BI4" s="24">
        <v>30</v>
      </c>
      <c r="BJ4" s="25">
        <f ca="1">(BD4*BH4+$AP4-$AQ4)/$H4</f>
        <v>210.28260322217045</v>
      </c>
      <c r="BK4" s="25">
        <f t="shared" ref="BK4:BK11" ca="1" si="17">(BF4*BI4+$AP4-$AQ4)/$H4</f>
        <v>651.6304458232504</v>
      </c>
      <c r="BL4" s="23">
        <f t="shared" ref="BL4:BL35" ca="1" si="18">($BJ4/G4)^(1/5)-1</f>
        <v>-2.9177844379771334E-2</v>
      </c>
      <c r="BM4" s="23">
        <f t="shared" ref="BM4:BM35" ca="1" si="19">(BK4/G4)^(1/5)-1</f>
        <v>0.21724859954203968</v>
      </c>
      <c r="BN4" t="s">
        <v>79</v>
      </c>
      <c r="BO4" t="s">
        <v>80</v>
      </c>
      <c r="BP4" t="s">
        <v>81</v>
      </c>
    </row>
    <row r="5" spans="1:68" ht="15" customHeight="1" x14ac:dyDescent="0.3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489.83</v>
      </c>
      <c r="H5" s="13">
        <f t="array" aca="1" ref="H5" ca="1">_FV(A5,"Acciones en circulación",TRUE())/1000000</f>
        <v>7425.5450000000001</v>
      </c>
      <c r="I5" s="14">
        <f t="shared" ca="1" si="0"/>
        <v>3637254.7073499998</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76843</v>
      </c>
      <c r="AQ5" s="19">
        <v>40294</v>
      </c>
      <c r="AR5" s="19">
        <f t="shared" ca="1" si="8"/>
        <v>3600705.7073499998</v>
      </c>
      <c r="AS5" s="19">
        <v>124961</v>
      </c>
      <c r="AT5" s="19">
        <v>125127</v>
      </c>
      <c r="AU5" s="19">
        <v>193771</v>
      </c>
      <c r="AV5" s="19">
        <v>331839</v>
      </c>
      <c r="AW5" s="20">
        <f t="shared" ca="1" si="9"/>
        <v>28.814635825177454</v>
      </c>
      <c r="AX5" s="20">
        <f t="shared" ca="1" si="10"/>
        <v>18.582273443136486</v>
      </c>
      <c r="AY5" s="20">
        <f t="shared" ca="1" si="11"/>
        <v>10.850761083989525</v>
      </c>
      <c r="AZ5" s="21">
        <v>589551</v>
      </c>
      <c r="BA5" s="22">
        <f t="shared" si="12"/>
        <v>0.37707141113612325</v>
      </c>
      <c r="BB5" s="22">
        <f t="shared" si="13"/>
        <v>0.56286733463262717</v>
      </c>
      <c r="BC5" s="23">
        <f t="shared" si="14"/>
        <v>0.21224118015235321</v>
      </c>
      <c r="BD5" s="98">
        <v>145000</v>
      </c>
      <c r="BE5" s="23">
        <f t="shared" si="15"/>
        <v>3.0193254901657696E-2</v>
      </c>
      <c r="BF5">
        <v>220000</v>
      </c>
      <c r="BG5" s="23">
        <f t="shared" si="16"/>
        <v>0.11977208778058923</v>
      </c>
      <c r="BH5" s="24">
        <v>20</v>
      </c>
      <c r="BI5" s="24">
        <v>30</v>
      </c>
      <c r="BJ5" s="25">
        <f t="shared" ref="BJ5:BJ11" ca="1" si="20">(BD5*BH5+$AP5-$AQ5)/$H5</f>
        <v>395.4657873597157</v>
      </c>
      <c r="BK5" s="25">
        <f t="shared" ca="1" si="17"/>
        <v>893.74571159423317</v>
      </c>
      <c r="BL5" s="23">
        <f t="shared" ca="1" si="18"/>
        <v>-4.1895880509692951E-2</v>
      </c>
      <c r="BM5" s="23">
        <f t="shared" ca="1" si="19"/>
        <v>0.12780422738436692</v>
      </c>
      <c r="BN5" s="99">
        <v>46256</v>
      </c>
      <c r="BO5" s="93" t="s">
        <v>84</v>
      </c>
      <c r="BP5" s="93" t="s">
        <v>85</v>
      </c>
    </row>
    <row r="6" spans="1:68" ht="15" customHeight="1" x14ac:dyDescent="0.35">
      <c r="A6" s="86" t="e" vm="3">
        <v>#VALUE!</v>
      </c>
      <c r="B6" s="10" t="str">
        <f t="array" aca="1" ref="B6" ca="1">_FV(A6,"Símbolo bursátil",TRUE())</f>
        <v>ADYEN</v>
      </c>
      <c r="C6" s="88" t="s">
        <v>86</v>
      </c>
      <c r="D6" s="88" t="s">
        <v>77</v>
      </c>
      <c r="E6" s="11" t="str">
        <f t="array" aca="1" ref="E6" ca="1">_FV(A6,"Abreviatura de intercambio",TRUE())</f>
        <v>XAMS</v>
      </c>
      <c r="F6" s="11" t="str">
        <f t="array" aca="1" ref="F6" ca="1">_FV(A6,"Moneda")</f>
        <v>EUR</v>
      </c>
      <c r="G6" s="12">
        <f t="array" aca="1" ref="G6" ca="1">_FV(A6,"Precio")</f>
        <v>1079</v>
      </c>
      <c r="H6" s="13">
        <f t="array" aca="1" ref="H6" ca="1">_FV(A6,"Acciones en circulación",TRUE())/1000000</f>
        <v>31.68355</v>
      </c>
      <c r="I6" s="14">
        <f t="shared" ca="1" si="0"/>
        <v>34186.550450000002</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87</v>
      </c>
      <c r="AP6" s="19">
        <v>3000</v>
      </c>
      <c r="AQ6" s="19">
        <v>0</v>
      </c>
      <c r="AR6" s="19">
        <f t="shared" ca="1" si="8"/>
        <v>31186.550450000002</v>
      </c>
      <c r="AS6" s="19">
        <v>1036</v>
      </c>
      <c r="AT6" s="19">
        <v>600</v>
      </c>
      <c r="AU6" s="19">
        <v>1144</v>
      </c>
      <c r="AV6" s="19">
        <v>2258</v>
      </c>
      <c r="AW6" s="20">
        <f t="shared" ca="1" si="9"/>
        <v>30.102847924710428</v>
      </c>
      <c r="AX6" s="20">
        <f t="shared" ca="1" si="10"/>
        <v>27.260970673076926</v>
      </c>
      <c r="AY6" s="20">
        <f t="shared" ca="1" si="11"/>
        <v>13.811581244464129</v>
      </c>
      <c r="AZ6" s="21">
        <v>2500</v>
      </c>
      <c r="BA6" s="22">
        <f t="shared" si="12"/>
        <v>0.26572187776793621</v>
      </c>
      <c r="BB6" s="22">
        <f t="shared" si="13"/>
        <v>0.9032</v>
      </c>
      <c r="BC6" s="23">
        <f t="shared" si="14"/>
        <v>0.24</v>
      </c>
      <c r="BD6" s="98">
        <v>1150</v>
      </c>
      <c r="BE6" s="23">
        <f t="shared" si="15"/>
        <v>2.1098450102299937E-2</v>
      </c>
      <c r="BF6">
        <v>3095</v>
      </c>
      <c r="BG6" s="23">
        <f t="shared" si="16"/>
        <v>0.24468707439913118</v>
      </c>
      <c r="BH6" s="24">
        <v>17.5</v>
      </c>
      <c r="BI6" s="24">
        <v>28</v>
      </c>
      <c r="BJ6" s="25">
        <f t="shared" ca="1" si="20"/>
        <v>729.87401979891774</v>
      </c>
      <c r="BK6" s="25">
        <f t="shared" ca="1" si="17"/>
        <v>2829.85965903442</v>
      </c>
      <c r="BL6" s="23">
        <f t="shared" ca="1" si="18"/>
        <v>-7.5205385336348685E-2</v>
      </c>
      <c r="BM6" s="23">
        <f t="shared" ca="1" si="19"/>
        <v>0.21268691268480011</v>
      </c>
      <c r="BN6" s="93" t="s">
        <v>79</v>
      </c>
      <c r="BO6" s="93" t="s">
        <v>88</v>
      </c>
      <c r="BP6" s="93" t="s">
        <v>85</v>
      </c>
    </row>
    <row r="7" spans="1:68" ht="15" customHeight="1" x14ac:dyDescent="0.35">
      <c r="A7" s="86" t="e" vm="4">
        <v>#VALUE!</v>
      </c>
      <c r="B7" s="10" t="str">
        <f t="array" aca="1" ref="B7" ca="1">_FV(A7,"Símbolo bursátil",TRUE())</f>
        <v>BN</v>
      </c>
      <c r="C7" s="88" t="s">
        <v>89</v>
      </c>
      <c r="D7" s="88" t="s">
        <v>77</v>
      </c>
      <c r="E7" s="11" t="str">
        <f t="array" aca="1" ref="E7" ca="1">_FV(A7,"Abreviatura de intercambio",TRUE())</f>
        <v>XNYS</v>
      </c>
      <c r="F7" s="11" t="str">
        <f t="array" aca="1" ref="F7" ca="1">_FV(A7,"Moneda")</f>
        <v>USD</v>
      </c>
      <c r="G7" s="12">
        <f t="array" aca="1" ref="G7" ca="1">_FV(A7,"Precio")</f>
        <v>42.075000000000003</v>
      </c>
      <c r="H7" s="13">
        <f t="array" aca="1" ref="H7" ca="1">_FV(A7,"Acciones en circulación",TRUE())/1000000</f>
        <v>2451.915</v>
      </c>
      <c r="I7" s="14">
        <f t="shared" ca="1" si="0"/>
        <v>103164.323625</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110979.323625</v>
      </c>
      <c r="AS7" s="19">
        <v>6200</v>
      </c>
      <c r="AT7" s="19">
        <v>5500</v>
      </c>
      <c r="AU7" s="19">
        <v>15000</v>
      </c>
      <c r="AV7" s="19">
        <v>80690</v>
      </c>
      <c r="AW7" s="20">
        <f t="shared" ca="1" si="9"/>
        <v>17.899890907258065</v>
      </c>
      <c r="AX7" s="20">
        <f t="shared" ca="1" si="10"/>
        <v>7.398621575</v>
      </c>
      <c r="AY7" s="20">
        <f t="shared" ca="1" si="11"/>
        <v>1.3753789022803322</v>
      </c>
      <c r="AZ7" s="21">
        <v>90000</v>
      </c>
      <c r="BA7" s="22">
        <f t="shared" si="12"/>
        <v>6.8162101871359529E-2</v>
      </c>
      <c r="BB7" s="22">
        <f t="shared" si="13"/>
        <v>0.89655555555555555</v>
      </c>
      <c r="BC7" s="23">
        <f t="shared" si="14"/>
        <v>6.1111111111111116E-2</v>
      </c>
      <c r="BD7" s="98">
        <v>6845</v>
      </c>
      <c r="BE7" s="23">
        <f t="shared" si="15"/>
        <v>1.9991030201967463E-2</v>
      </c>
      <c r="BF7">
        <v>11420</v>
      </c>
      <c r="BG7" s="23">
        <f t="shared" si="16"/>
        <v>0.12993869883637732</v>
      </c>
      <c r="BH7" s="24">
        <v>17.5</v>
      </c>
      <c r="BI7" s="24">
        <v>25</v>
      </c>
      <c r="BJ7" s="25">
        <f t="shared" ca="1" si="20"/>
        <v>45.66736611995114</v>
      </c>
      <c r="BK7" s="25">
        <f t="shared" ca="1" si="17"/>
        <v>113.25229463500978</v>
      </c>
      <c r="BL7" s="23">
        <f t="shared" ca="1" si="18"/>
        <v>1.6521030185501884E-2</v>
      </c>
      <c r="BM7" s="23">
        <f t="shared" ca="1" si="19"/>
        <v>0.21900244611200459</v>
      </c>
      <c r="BN7" s="96" t="s">
        <v>685</v>
      </c>
      <c r="BO7" t="s">
        <v>88</v>
      </c>
      <c r="BP7" s="96" t="s">
        <v>684</v>
      </c>
    </row>
    <row r="8" spans="1:68" ht="15" customHeight="1" x14ac:dyDescent="0.35">
      <c r="A8" s="86" t="e" vm="5">
        <v>#VALUE!</v>
      </c>
      <c r="B8" s="10" t="str">
        <f t="array" aca="1" ref="B8" ca="1">_FV(A8,"Símbolo bursátil",TRUE())</f>
        <v>COST</v>
      </c>
      <c r="C8" s="88" t="s">
        <v>90</v>
      </c>
      <c r="D8" s="88" t="s">
        <v>90</v>
      </c>
      <c r="E8" s="11" t="str">
        <f t="array" aca="1" ref="E8" ca="1">_FV(A8,"Abreviatura de intercambio",TRUE())</f>
        <v>XNAS</v>
      </c>
      <c r="F8" s="11" t="str">
        <f t="array" aca="1" ref="F8" ca="1">_FV(A8,"Moneda")</f>
        <v>USD</v>
      </c>
      <c r="G8" s="12">
        <f t="array" aca="1" ref="G8" ca="1">_FV(A8,"Precio")</f>
        <v>961.91</v>
      </c>
      <c r="H8" s="13">
        <f t="array" aca="1" ref="H8" ca="1">_FV(A8,"Acciones en circulación",TRUE())/1000000</f>
        <v>443.47879999999998</v>
      </c>
      <c r="I8" s="14">
        <f t="shared" ca="1" si="0"/>
        <v>426586.69250799995</v>
      </c>
      <c r="J8" s="90">
        <v>1.5</v>
      </c>
      <c r="K8" s="90">
        <v>8</v>
      </c>
      <c r="L8" s="90">
        <v>1</v>
      </c>
      <c r="M8" s="90">
        <v>1</v>
      </c>
      <c r="N8" s="90">
        <v>0</v>
      </c>
      <c r="O8" s="90">
        <v>0.78</v>
      </c>
      <c r="P8" s="90">
        <v>1</v>
      </c>
      <c r="Q8" s="90">
        <v>0</v>
      </c>
      <c r="R8" s="15">
        <f t="shared" si="1"/>
        <v>12.5</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8.0500000000000007</v>
      </c>
      <c r="AO8" s="18" t="s">
        <v>78</v>
      </c>
      <c r="AP8" s="19">
        <v>20000</v>
      </c>
      <c r="AQ8" s="19">
        <v>8230</v>
      </c>
      <c r="AR8" s="19">
        <f t="shared" ca="1" si="8"/>
        <v>414816.69250799995</v>
      </c>
      <c r="AS8" s="19">
        <v>11905</v>
      </c>
      <c r="AT8" s="19">
        <v>8445</v>
      </c>
      <c r="AU8" s="19">
        <v>13790</v>
      </c>
      <c r="AV8" s="19">
        <v>293590</v>
      </c>
      <c r="AW8" s="20">
        <f t="shared" ca="1" si="9"/>
        <v>34.843905292566141</v>
      </c>
      <c r="AX8" s="20">
        <f t="shared" ca="1" si="10"/>
        <v>30.080978426976067</v>
      </c>
      <c r="AY8" s="20">
        <f t="shared" ca="1" si="11"/>
        <v>1.4129115177901153</v>
      </c>
      <c r="AZ8" s="21">
        <v>44305</v>
      </c>
      <c r="BA8" s="22">
        <f t="shared" si="12"/>
        <v>2.8764603699036072E-2</v>
      </c>
      <c r="BB8" s="22">
        <f t="shared" si="13"/>
        <v>6.6265658503554903</v>
      </c>
      <c r="BC8" s="23">
        <f t="shared" si="14"/>
        <v>0.19061054057104165</v>
      </c>
      <c r="BD8" s="98">
        <v>15931.7</v>
      </c>
      <c r="BE8" s="23">
        <f t="shared" si="15"/>
        <v>6.0001656687121763E-2</v>
      </c>
      <c r="BF8">
        <v>20980.799999999999</v>
      </c>
      <c r="BG8" s="23">
        <f t="shared" si="16"/>
        <v>0.12000130532070519</v>
      </c>
      <c r="BH8" s="24">
        <v>20</v>
      </c>
      <c r="BI8" s="24">
        <v>30</v>
      </c>
      <c r="BJ8" s="25">
        <f t="shared" ca="1" si="20"/>
        <v>745.02772173100504</v>
      </c>
      <c r="BK8" s="25">
        <f t="shared" ca="1" si="17"/>
        <v>1445.8278501700645</v>
      </c>
      <c r="BL8" s="23">
        <f t="shared" ca="1" si="18"/>
        <v>-4.9816250558583963E-2</v>
      </c>
      <c r="BM8" s="23">
        <f t="shared" ca="1" si="19"/>
        <v>8.4916787387159243E-2</v>
      </c>
      <c r="BN8" s="96" t="s">
        <v>685</v>
      </c>
      <c r="BO8" t="s">
        <v>92</v>
      </c>
      <c r="BP8" t="s">
        <v>93</v>
      </c>
    </row>
    <row r="9" spans="1:68" ht="15" customHeight="1" x14ac:dyDescent="0.3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77.3</v>
      </c>
      <c r="H9" s="13">
        <f t="array" aca="1" ref="H9" ca="1">_FV(A9,"Acciones en circulación",TRUE())/1000000</f>
        <v>85.653660000000002</v>
      </c>
      <c r="I9" s="14">
        <f t="shared" ca="1" si="0"/>
        <v>6621.0279179999998</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377</v>
      </c>
      <c r="AQ9" s="19">
        <v>8.1</v>
      </c>
      <c r="AR9" s="19">
        <f t="shared" ca="1" si="8"/>
        <v>6252.1279180000001</v>
      </c>
      <c r="AS9" s="19">
        <v>281</v>
      </c>
      <c r="AT9" s="19">
        <v>176</v>
      </c>
      <c r="AU9" s="19">
        <v>320</v>
      </c>
      <c r="AV9" s="19">
        <v>754</v>
      </c>
      <c r="AW9" s="20">
        <f t="shared" ca="1" si="9"/>
        <v>22.249565544483985</v>
      </c>
      <c r="AX9" s="20">
        <f t="shared" ca="1" si="10"/>
        <v>19.53789974375</v>
      </c>
      <c r="AY9" s="20">
        <f t="shared" ca="1" si="11"/>
        <v>8.2919468408488068</v>
      </c>
      <c r="AZ9" s="21">
        <v>1676</v>
      </c>
      <c r="BA9" s="22">
        <f t="shared" si="12"/>
        <v>0.23342175066312998</v>
      </c>
      <c r="BB9" s="22">
        <f t="shared" si="13"/>
        <v>0.44988066825775658</v>
      </c>
      <c r="BC9" s="23">
        <f t="shared" si="14"/>
        <v>0.10501193317422435</v>
      </c>
      <c r="BD9" s="98">
        <v>292.8</v>
      </c>
      <c r="BE9" s="23">
        <f t="shared" si="15"/>
        <v>8.260957498062993E-3</v>
      </c>
      <c r="BF9">
        <v>590.1</v>
      </c>
      <c r="BG9" s="23">
        <f t="shared" si="16"/>
        <v>0.15996225865400127</v>
      </c>
      <c r="BH9" s="24">
        <v>17.5</v>
      </c>
      <c r="BI9" s="24">
        <v>27</v>
      </c>
      <c r="BJ9" s="25">
        <f t="shared" ca="1" si="20"/>
        <v>64.129191910771823</v>
      </c>
      <c r="BK9" s="25">
        <f t="shared" ca="1" si="17"/>
        <v>190.31994663158585</v>
      </c>
      <c r="BL9" s="23">
        <f t="shared" ca="1" si="18"/>
        <v>-3.6669624209512586E-2</v>
      </c>
      <c r="BM9" s="23">
        <f t="shared" ca="1" si="19"/>
        <v>0.19745985531708032</v>
      </c>
      <c r="BN9" s="96" t="s">
        <v>685</v>
      </c>
      <c r="BO9" t="s">
        <v>80</v>
      </c>
      <c r="BP9" s="96" t="s">
        <v>686</v>
      </c>
    </row>
    <row r="10" spans="1:68" ht="15" customHeight="1" x14ac:dyDescent="0.35">
      <c r="A10" s="86" t="e" vm="7">
        <v>#VALUE!</v>
      </c>
      <c r="B10" s="10" t="str">
        <f t="array" aca="1" ref="B10" ca="1">_FV(A10,"Símbolo bursátil",TRUE())</f>
        <v>RAA</v>
      </c>
      <c r="C10" s="88" t="s">
        <v>95</v>
      </c>
      <c r="D10" s="88" t="s">
        <v>77</v>
      </c>
      <c r="E10" s="11" t="str">
        <f t="array" aca="1" ref="E10" ca="1">_FV(A10,"Abreviatura de intercambio",TRUE())</f>
        <v>XFRA</v>
      </c>
      <c r="F10" s="11" t="str">
        <f t="array" aca="1" ref="F10" ca="1">_FV(A10,"Moneda")</f>
        <v>EUR</v>
      </c>
      <c r="G10" s="12">
        <f t="array" aca="1" ref="G10" ca="1">_FV(A10,"Precio")</f>
        <v>633.5</v>
      </c>
      <c r="H10" s="13">
        <f t="array" aca="1" ref="H10" ca="1">_FV(A10,"Acciones en circulación",TRUE())/1000000</f>
        <v>11.37</v>
      </c>
      <c r="I10" s="14">
        <f t="shared" ca="1" si="0"/>
        <v>7202.8949999999995</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87</v>
      </c>
      <c r="AP10" s="19">
        <v>280</v>
      </c>
      <c r="AQ10" s="19">
        <v>20</v>
      </c>
      <c r="AR10" s="19">
        <f t="shared" ca="1" si="8"/>
        <v>6942.8949999999995</v>
      </c>
      <c r="AS10" s="19">
        <v>260</v>
      </c>
      <c r="AT10" s="19">
        <v>230</v>
      </c>
      <c r="AU10" s="19">
        <v>350</v>
      </c>
      <c r="AV10" s="19">
        <v>1296</v>
      </c>
      <c r="AW10" s="20">
        <f t="shared" ca="1" si="9"/>
        <v>26.703442307692306</v>
      </c>
      <c r="AX10" s="20">
        <f t="shared" ca="1" si="10"/>
        <v>19.836842857142855</v>
      </c>
      <c r="AY10" s="20">
        <f t="shared" ca="1" si="11"/>
        <v>5.3571720679012342</v>
      </c>
      <c r="AZ10" s="21">
        <v>600</v>
      </c>
      <c r="BA10" s="22">
        <f t="shared" si="12"/>
        <v>0.17746913580246915</v>
      </c>
      <c r="BB10" s="22">
        <f t="shared" si="13"/>
        <v>2.16</v>
      </c>
      <c r="BC10" s="23">
        <f t="shared" si="14"/>
        <v>0.38333333333333336</v>
      </c>
      <c r="BD10" s="98">
        <v>332</v>
      </c>
      <c r="BE10" s="23">
        <f t="shared" si="15"/>
        <v>5.0105533884466924E-2</v>
      </c>
      <c r="BF10" t="s">
        <v>96</v>
      </c>
      <c r="BG10" s="23">
        <f t="shared" si="16"/>
        <v>0.12998436153517012</v>
      </c>
      <c r="BH10" s="24">
        <v>15</v>
      </c>
      <c r="BI10" s="24">
        <v>27</v>
      </c>
      <c r="BJ10" s="25">
        <f t="shared" ca="1" si="20"/>
        <v>460.86191732629732</v>
      </c>
      <c r="BK10" s="25">
        <f t="shared" ca="1" si="17"/>
        <v>1160.3342128408092</v>
      </c>
      <c r="BL10" s="23">
        <f t="shared" ca="1" si="18"/>
        <v>-6.165003828172777E-2</v>
      </c>
      <c r="BM10" s="23">
        <f t="shared" ca="1" si="19"/>
        <v>0.12867081613737774</v>
      </c>
      <c r="BN10" s="95" t="s">
        <v>685</v>
      </c>
      <c r="BO10" s="95" t="s">
        <v>128</v>
      </c>
      <c r="BP10" s="95" t="s">
        <v>147</v>
      </c>
    </row>
    <row r="11" spans="1:68" ht="15" customHeight="1" x14ac:dyDescent="0.35">
      <c r="A11" s="86" t="e" vm="8">
        <v>#VALUE!</v>
      </c>
      <c r="B11" s="10" t="str">
        <f t="array" aca="1" ref="B11" ca="1">_FV(A11,"Símbolo bursátil",TRUE())</f>
        <v>ZS</v>
      </c>
      <c r="C11" s="88" t="s">
        <v>99</v>
      </c>
      <c r="D11" s="88" t="s">
        <v>100</v>
      </c>
      <c r="E11" s="11" t="str">
        <f t="array" aca="1" ref="E11" ca="1">_FV(A11,"Abreviatura de intercambio",TRUE())</f>
        <v>XNAS</v>
      </c>
      <c r="F11" s="11" t="str">
        <f t="array" aca="1" ref="F11" ca="1">_FV(A11,"Moneda")</f>
        <v>USD</v>
      </c>
      <c r="G11" s="12">
        <f t="array" aca="1" ref="G11" ca="1">_FV(A11,"Precio")</f>
        <v>168.5</v>
      </c>
      <c r="H11" s="13">
        <f t="array" aca="1" ref="H11" ca="1">_FV(A11,"Acciones en circulación",TRUE())/1000000</f>
        <v>161.70949999999999</v>
      </c>
      <c r="I11" s="14">
        <f t="shared" ca="1" si="0"/>
        <v>27248.050749999999</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3540</v>
      </c>
      <c r="AQ11" s="19">
        <v>1870</v>
      </c>
      <c r="AR11" s="19">
        <f t="shared" ca="1" si="8"/>
        <v>25578.050749999999</v>
      </c>
      <c r="AS11" s="19">
        <v>963</v>
      </c>
      <c r="AT11" s="19">
        <v>-135</v>
      </c>
      <c r="AU11" s="19">
        <v>-61</v>
      </c>
      <c r="AV11" s="19">
        <v>3170</v>
      </c>
      <c r="AW11" s="20">
        <f t="shared" ca="1" si="9"/>
        <v>26.560800363447559</v>
      </c>
      <c r="AX11" s="20">
        <f t="shared" ca="1" si="10"/>
        <v>-419.31230737704914</v>
      </c>
      <c r="AY11" s="20">
        <f t="shared" ca="1" si="11"/>
        <v>8.0687857255520505</v>
      </c>
      <c r="AZ11" s="21">
        <v>4597</v>
      </c>
      <c r="BA11" s="22">
        <f t="shared" si="12"/>
        <v>-4.2586750788643532E-2</v>
      </c>
      <c r="BB11" s="22">
        <f t="shared" si="13"/>
        <v>0.68958016097454866</v>
      </c>
      <c r="BC11" s="23">
        <f t="shared" si="14"/>
        <v>-2.9366978464215793E-2</v>
      </c>
      <c r="BD11" s="98">
        <v>1121.5</v>
      </c>
      <c r="BE11" s="23">
        <f t="shared" si="15"/>
        <v>3.0942867066001467E-2</v>
      </c>
      <c r="BF11">
        <v>2823</v>
      </c>
      <c r="BG11" s="23">
        <f t="shared" si="16"/>
        <v>0.23998638943061512</v>
      </c>
      <c r="BH11" s="24">
        <v>20</v>
      </c>
      <c r="BI11" s="24">
        <v>30</v>
      </c>
      <c r="BJ11" s="25">
        <f t="shared" ca="1" si="20"/>
        <v>149.03267897062327</v>
      </c>
      <c r="BK11" s="25">
        <f t="shared" ca="1" si="17"/>
        <v>534.04407285904665</v>
      </c>
      <c r="BL11" s="23">
        <f t="shared" ca="1" si="18"/>
        <v>-2.4255031214933664E-2</v>
      </c>
      <c r="BM11" s="23">
        <f t="shared" ca="1" si="19"/>
        <v>0.25949207403006769</v>
      </c>
      <c r="BN11" s="96" t="s">
        <v>685</v>
      </c>
      <c r="BO11" t="s">
        <v>92</v>
      </c>
      <c r="BP11" t="s">
        <v>101</v>
      </c>
    </row>
    <row r="12" spans="1:68" ht="15" customHeight="1" x14ac:dyDescent="0.35">
      <c r="A12" s="86" t="e" vm="9">
        <v>#VALUE!</v>
      </c>
      <c r="B12" s="10" t="str">
        <f t="array" aca="1" ref="B12" ca="1">_FV(A12,"Símbolo bursátil",TRUE())</f>
        <v>NTO</v>
      </c>
      <c r="C12" s="88" t="s">
        <v>102</v>
      </c>
      <c r="D12" s="88" t="s">
        <v>77</v>
      </c>
      <c r="E12" s="11" t="str">
        <f t="array" aca="1" ref="E12" ca="1">_FV(A12,"Abreviatura de intercambio",TRUE())</f>
        <v>XFRA</v>
      </c>
      <c r="F12" s="11" t="str">
        <f t="array" aca="1" ref="F12" ca="1">_FV(A12,"Moneda")</f>
        <v>EUR</v>
      </c>
      <c r="G12" s="12">
        <f t="array" aca="1" ref="G12" ca="1">_FV(A12,"Precio")</f>
        <v>48</v>
      </c>
      <c r="H12" s="13">
        <f t="array" aca="1" ref="H12" ca="1">_FV(A12,"Acciones en circulación",TRUE())/1000000</f>
        <v>1287.26</v>
      </c>
      <c r="I12" s="14">
        <f t="shared" ca="1" si="0"/>
        <v>61788.479999999996</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103</v>
      </c>
      <c r="AP12" s="19">
        <v>1967908</v>
      </c>
      <c r="AQ12" s="19">
        <v>0</v>
      </c>
      <c r="AR12" s="19">
        <f ca="1">I12*'Framework Notes'!E4-AP12+AQ12</f>
        <v>9516098.8927999996</v>
      </c>
      <c r="AS12" s="19">
        <v>262620</v>
      </c>
      <c r="AT12" s="19">
        <v>325400</v>
      </c>
      <c r="AU12" s="19">
        <v>461600</v>
      </c>
      <c r="AV12" s="19">
        <v>2258501</v>
      </c>
      <c r="AW12" s="20">
        <f t="shared" ca="1" si="9"/>
        <v>36.235240624476425</v>
      </c>
      <c r="AX12" s="20">
        <f t="shared" ca="1" si="10"/>
        <v>20.615465538994801</v>
      </c>
      <c r="AY12" s="20">
        <f t="shared" ca="1" si="11"/>
        <v>4.2134579053983146</v>
      </c>
      <c r="AZ12" s="21">
        <v>1600000</v>
      </c>
      <c r="BA12" s="22">
        <f t="shared" si="12"/>
        <v>0.14407786403459641</v>
      </c>
      <c r="BB12" s="22">
        <f t="shared" si="13"/>
        <v>1.411563125</v>
      </c>
      <c r="BC12" s="23">
        <f t="shared" si="14"/>
        <v>0.20337500000000003</v>
      </c>
      <c r="BD12" s="98">
        <v>262620</v>
      </c>
      <c r="BE12" s="23">
        <f t="shared" si="15"/>
        <v>0</v>
      </c>
      <c r="BF12">
        <v>483861</v>
      </c>
      <c r="BG12" s="23">
        <f t="shared" si="16"/>
        <v>0.1300003144417341</v>
      </c>
      <c r="BH12" s="24">
        <v>15</v>
      </c>
      <c r="BI12" s="24">
        <v>22.5</v>
      </c>
      <c r="BJ12" s="25">
        <f ca="1">((BD12*BH12+$AP12-$AQ12)/$H12)/'Framework Notes'!E4</f>
        <v>24.690509736438038</v>
      </c>
      <c r="BK12" s="25">
        <f ca="1">((BF12*BI12+$AP12-$AQ12)/$H12)/'Framework Notes'!E4</f>
        <v>53.729457824241827</v>
      </c>
      <c r="BL12" s="23">
        <f t="shared" ca="1" si="18"/>
        <v>-0.12449674769032804</v>
      </c>
      <c r="BM12" s="23">
        <f t="shared" ca="1" si="19"/>
        <v>2.2808301254799268E-2</v>
      </c>
      <c r="BN12" s="95" t="s">
        <v>685</v>
      </c>
      <c r="BO12" s="100" t="s">
        <v>128</v>
      </c>
      <c r="BP12" s="95" t="s">
        <v>147</v>
      </c>
    </row>
    <row r="13" spans="1:68" ht="15" customHeight="1" x14ac:dyDescent="0.3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260.22000000000003</v>
      </c>
      <c r="H13" s="13">
        <f t="array" aca="1" ref="H13" ca="1">_FV(A13,"Acciones en circulación",TRUE())/1000000</f>
        <v>10786.31</v>
      </c>
      <c r="I13" s="14">
        <f t="shared" ca="1" si="0"/>
        <v>2806813.5882000001</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2857494.5882000001</v>
      </c>
      <c r="AS13" s="19">
        <v>76899</v>
      </c>
      <c r="AT13" s="19">
        <v>55000</v>
      </c>
      <c r="AU13" s="19">
        <v>138000</v>
      </c>
      <c r="AV13" s="19">
        <v>775656</v>
      </c>
      <c r="AW13" s="20">
        <f t="shared" ca="1" si="9"/>
        <v>37.159060432515382</v>
      </c>
      <c r="AX13" s="20">
        <f t="shared" ca="1" si="10"/>
        <v>20.706482523188406</v>
      </c>
      <c r="AY13" s="20">
        <f t="shared" ca="1" si="11"/>
        <v>3.6839714876182228</v>
      </c>
      <c r="AZ13" s="21">
        <v>300000</v>
      </c>
      <c r="BA13" s="22">
        <f t="shared" si="12"/>
        <v>7.0907721979846738E-2</v>
      </c>
      <c r="BB13" s="22">
        <f t="shared" si="13"/>
        <v>2.5855199999999998</v>
      </c>
      <c r="BC13" s="23">
        <f t="shared" si="14"/>
        <v>0.18333333333333332</v>
      </c>
      <c r="BD13" s="98">
        <v>93500</v>
      </c>
      <c r="BE13" s="23">
        <f t="shared" si="15"/>
        <v>3.9867927971268147E-2</v>
      </c>
      <c r="BF13">
        <v>161500</v>
      </c>
      <c r="BG13" s="23">
        <f t="shared" si="16"/>
        <v>0.15997964091321126</v>
      </c>
      <c r="BH13" s="24">
        <v>22.5</v>
      </c>
      <c r="BI13" s="24">
        <v>30</v>
      </c>
      <c r="BJ13" s="25">
        <f ca="1">(BD13*BH13+$AP13-$AQ13)/$H13</f>
        <v>190.34025537927243</v>
      </c>
      <c r="BK13" s="25">
        <f ca="1">(BF13*BI13+$AP13-$AQ13)/$H13</f>
        <v>444.48184782376921</v>
      </c>
      <c r="BL13" s="23">
        <f t="shared" ca="1" si="18"/>
        <v>-6.0627169269325321E-2</v>
      </c>
      <c r="BM13" s="23">
        <f t="shared" ca="1" si="19"/>
        <v>0.11301923910271405</v>
      </c>
      <c r="BN13" s="95" t="s">
        <v>685</v>
      </c>
      <c r="BO13" s="93" t="s">
        <v>106</v>
      </c>
      <c r="BP13" s="95" t="s">
        <v>108</v>
      </c>
    </row>
    <row r="14" spans="1:68" ht="15" customHeight="1" x14ac:dyDescent="0.35">
      <c r="A14" s="86" t="e" vm="11">
        <v>#VALUE!</v>
      </c>
      <c r="B14" s="10" t="str">
        <f t="array" aca="1" ref="B14" ca="1">_FV(A14,"Símbolo bursátil",TRUE())</f>
        <v>SU</v>
      </c>
      <c r="C14" s="88" t="s">
        <v>107</v>
      </c>
      <c r="D14" s="88" t="s">
        <v>77</v>
      </c>
      <c r="E14" s="11" t="str">
        <f t="array" aca="1" ref="E14" ca="1">_FV(A14,"Abreviatura de intercambio",TRUE())</f>
        <v>XPAR</v>
      </c>
      <c r="F14" s="11" t="str">
        <f t="array" aca="1" ref="F14" ca="1">_FV(A14,"Moneda")</f>
        <v>EUR</v>
      </c>
      <c r="G14" s="12">
        <f t="array" aca="1" ref="G14" ca="1">_FV(A14,"Precio")</f>
        <v>296.25</v>
      </c>
      <c r="H14" s="13">
        <f t="array" aca="1" ref="H14" ca="1">_FV(A14,"Acciones en circulación",TRUE())/1000000</f>
        <v>578.60530000000006</v>
      </c>
      <c r="I14" s="14">
        <f t="shared" ca="1" si="0"/>
        <v>171411.82012500003</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7.79</v>
      </c>
      <c r="AO14" s="18" t="s">
        <v>87</v>
      </c>
      <c r="AP14" s="19">
        <v>4520</v>
      </c>
      <c r="AQ14" s="19">
        <v>20810</v>
      </c>
      <c r="AR14" s="19">
        <f t="shared" ca="1" si="21"/>
        <v>187701.82012500003</v>
      </c>
      <c r="AS14" s="19">
        <v>6190</v>
      </c>
      <c r="AT14" s="19">
        <v>5727</v>
      </c>
      <c r="AU14" s="19">
        <v>8520</v>
      </c>
      <c r="AV14" s="19">
        <v>42040</v>
      </c>
      <c r="AW14" s="20">
        <f t="shared" ca="1" si="9"/>
        <v>30.323395819870765</v>
      </c>
      <c r="AX14" s="20">
        <f t="shared" ca="1" si="10"/>
        <v>22.030730061619721</v>
      </c>
      <c r="AY14" s="20">
        <f t="shared" ca="1" si="11"/>
        <v>4.4648387279971464</v>
      </c>
      <c r="AZ14" s="21">
        <v>43259</v>
      </c>
      <c r="BA14" s="22">
        <f t="shared" si="12"/>
        <v>0.13622740247383444</v>
      </c>
      <c r="BB14" s="22">
        <f t="shared" si="13"/>
        <v>0.97182089276219974</v>
      </c>
      <c r="BC14" s="23">
        <f t="shared" si="14"/>
        <v>0.13238863589079727</v>
      </c>
      <c r="BD14" s="98">
        <v>7899.8</v>
      </c>
      <c r="BE14" s="23">
        <f t="shared" si="15"/>
        <v>4.998982243148653E-2</v>
      </c>
      <c r="BF14">
        <v>11404.7</v>
      </c>
      <c r="BG14" s="23">
        <f t="shared" si="16"/>
        <v>0.13000051998546613</v>
      </c>
      <c r="BH14" s="24">
        <v>17.5</v>
      </c>
      <c r="BI14" s="24">
        <v>25</v>
      </c>
      <c r="BJ14" s="25">
        <f ca="1">(BD14*BH14+$AP14-$AQ14)/$H14</f>
        <v>210.77667280268602</v>
      </c>
      <c r="BK14" s="25">
        <f ca="1">(BF14*BI14+$AP14-$AQ14)/$H14</f>
        <v>464.61292352489681</v>
      </c>
      <c r="BL14" s="23">
        <f t="shared" ca="1" si="18"/>
        <v>-6.5815112928822916E-2</v>
      </c>
      <c r="BM14" s="23">
        <f t="shared" ca="1" si="19"/>
        <v>9.4174490275463096E-2</v>
      </c>
      <c r="BN14" s="95" t="s">
        <v>685</v>
      </c>
      <c r="BO14" s="93" t="s">
        <v>106</v>
      </c>
      <c r="BP14" s="93" t="s">
        <v>108</v>
      </c>
    </row>
    <row r="15" spans="1:68" ht="15" customHeight="1" x14ac:dyDescent="0.35">
      <c r="A15" s="86" t="e" vm="12">
        <v>#VALUE!</v>
      </c>
      <c r="B15" s="10" t="str">
        <f t="array" aca="1" ref="B15" ca="1">_FV(A15,"Símbolo bursátil",TRUE())</f>
        <v>ITX</v>
      </c>
      <c r="C15" s="88" t="s">
        <v>109</v>
      </c>
      <c r="D15" s="88" t="s">
        <v>77</v>
      </c>
      <c r="E15" s="11" t="str">
        <f t="array" aca="1" ref="E15" ca="1">_FV(A15,"Abreviatura de intercambio",TRUE())</f>
        <v>BMEX</v>
      </c>
      <c r="F15" s="11" t="str">
        <f t="array" aca="1" ref="F15" ca="1">_FV(A15,"Moneda")</f>
        <v>EUR</v>
      </c>
      <c r="G15" s="12">
        <f t="array" aca="1" ref="G15" ca="1">_FV(A15,"Precio")</f>
        <v>58.28</v>
      </c>
      <c r="H15" s="13">
        <f t="array" aca="1" ref="H15" ca="1">_FV(A15,"Acciones en circulación",TRUE())/1000000</f>
        <v>3116.652</v>
      </c>
      <c r="I15" s="14">
        <f t="shared" ca="1" si="0"/>
        <v>181638.47856000002</v>
      </c>
      <c r="J15" s="91">
        <v>0</v>
      </c>
      <c r="K15" s="91">
        <v>6.5</v>
      </c>
      <c r="L15" s="91">
        <v>2</v>
      </c>
      <c r="M15" s="91">
        <v>1</v>
      </c>
      <c r="N15" s="91">
        <v>0</v>
      </c>
      <c r="O15" s="91">
        <v>0.74</v>
      </c>
      <c r="P15" s="91">
        <v>1</v>
      </c>
      <c r="Q15" s="91">
        <v>1</v>
      </c>
      <c r="R15" s="26">
        <f t="shared" si="1"/>
        <v>11.5</v>
      </c>
      <c r="S15" s="16">
        <f t="shared" si="2"/>
        <v>7.19</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7.77</v>
      </c>
      <c r="AO15" s="18" t="s">
        <v>87</v>
      </c>
      <c r="AP15" s="19">
        <v>10800</v>
      </c>
      <c r="AQ15" s="19">
        <v>6040</v>
      </c>
      <c r="AR15" s="19">
        <f t="shared" ca="1" si="21"/>
        <v>176878.47856000002</v>
      </c>
      <c r="AS15" s="19">
        <v>7040</v>
      </c>
      <c r="AT15" s="19">
        <v>6327</v>
      </c>
      <c r="AU15" s="19">
        <v>9510</v>
      </c>
      <c r="AV15" s="19">
        <v>40340</v>
      </c>
      <c r="AW15" s="20">
        <f t="shared" ca="1" si="9"/>
        <v>25.124783886363637</v>
      </c>
      <c r="AX15" s="20">
        <f t="shared" ca="1" si="10"/>
        <v>18.5992091019979</v>
      </c>
      <c r="AY15" s="20">
        <f t="shared" ca="1" si="11"/>
        <v>4.3846920813088754</v>
      </c>
      <c r="AZ15" s="21">
        <v>24023</v>
      </c>
      <c r="BA15" s="22">
        <f t="shared" si="12"/>
        <v>0.15684184432325235</v>
      </c>
      <c r="BB15" s="22">
        <f t="shared" si="13"/>
        <v>1.679224076926279</v>
      </c>
      <c r="BC15" s="23">
        <f t="shared" si="14"/>
        <v>0.26337260125712858</v>
      </c>
      <c r="BD15" s="98">
        <v>8565</v>
      </c>
      <c r="BE15" s="23">
        <f t="shared" si="15"/>
        <v>3.9994258350512402E-2</v>
      </c>
      <c r="BF15">
        <v>12406.6</v>
      </c>
      <c r="BG15" s="23">
        <f t="shared" si="16"/>
        <v>0.11999484630306445</v>
      </c>
      <c r="BH15" s="24">
        <v>16</v>
      </c>
      <c r="BI15" s="24">
        <v>24</v>
      </c>
      <c r="BJ15" s="25">
        <f ca="1">(BD15*BH15+$AP15-$AQ15)/$H15</f>
        <v>45.497540309280602</v>
      </c>
      <c r="BK15" s="25">
        <f ca="1">(BF15*BI15+$AP15-$AQ15)/$H15</f>
        <v>97.065184050063991</v>
      </c>
      <c r="BL15" s="23">
        <f t="shared" ca="1" si="18"/>
        <v>-4.8314012051720368E-2</v>
      </c>
      <c r="BM15" s="23">
        <f t="shared" ca="1" si="19"/>
        <v>0.10741088468091919</v>
      </c>
      <c r="BN15" s="96" t="s">
        <v>685</v>
      </c>
      <c r="BO15" t="s">
        <v>110</v>
      </c>
      <c r="BP15" t="s">
        <v>94</v>
      </c>
    </row>
    <row r="16" spans="1:68" ht="15" customHeight="1" x14ac:dyDescent="0.35">
      <c r="A16" s="86" t="e" vm="13">
        <v>#VALUE!</v>
      </c>
      <c r="B16" s="10" t="str">
        <f t="array" aca="1" ref="B16" ca="1">_FV(A16,"Símbolo bursátil",TRUE())</f>
        <v>LOTB</v>
      </c>
      <c r="C16" s="88" t="s">
        <v>109</v>
      </c>
      <c r="D16" s="88" t="s">
        <v>77</v>
      </c>
      <c r="E16" s="11" t="str">
        <f t="array" aca="1" ref="E16" ca="1">_FV(A16,"Abreviatura de intercambio",TRUE())</f>
        <v>XBRU</v>
      </c>
      <c r="F16" s="11" t="str">
        <f t="array" aca="1" ref="F16" ca="1">_FV(A16,"Moneda")</f>
        <v>EUR</v>
      </c>
      <c r="G16" s="12">
        <f t="array" aca="1" ref="G16" ca="1">_FV(A16,"Precio")</f>
        <v>13100</v>
      </c>
      <c r="H16" s="13">
        <f t="array" aca="1" ref="H16" ca="1">_FV(A16,"Acciones en circulación",TRUE())/1000000</f>
        <v>0.81601000000000001</v>
      </c>
      <c r="I16" s="14">
        <f t="shared" ca="1" si="0"/>
        <v>10689.731</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7</v>
      </c>
      <c r="AG16" s="90">
        <v>13</v>
      </c>
      <c r="AH16" s="90">
        <v>4</v>
      </c>
      <c r="AI16" s="90">
        <v>9</v>
      </c>
      <c r="AJ16" s="90">
        <v>13</v>
      </c>
      <c r="AK16" s="90">
        <v>-3</v>
      </c>
      <c r="AL16" s="15">
        <f t="shared" si="5"/>
        <v>56</v>
      </c>
      <c r="AM16" s="16">
        <f t="shared" si="6"/>
        <v>8</v>
      </c>
      <c r="AN16" s="17">
        <f t="shared" si="7"/>
        <v>7.9</v>
      </c>
      <c r="AO16" s="18" t="s">
        <v>87</v>
      </c>
      <c r="AP16" s="19">
        <v>100</v>
      </c>
      <c r="AQ16" s="19">
        <v>200</v>
      </c>
      <c r="AR16" s="19">
        <f t="shared" ca="1" si="21"/>
        <v>10789.731</v>
      </c>
      <c r="AS16" s="19">
        <v>180</v>
      </c>
      <c r="AT16" s="19">
        <v>165</v>
      </c>
      <c r="AU16" s="19">
        <v>300.39999999999998</v>
      </c>
      <c r="AV16" s="19">
        <v>1446.8</v>
      </c>
      <c r="AW16" s="20">
        <f t="shared" ca="1" si="9"/>
        <v>59.942949999999996</v>
      </c>
      <c r="AX16" s="20">
        <f t="shared" ca="1" si="10"/>
        <v>35.917879494007991</v>
      </c>
      <c r="AY16" s="20">
        <f t="shared" ca="1" si="11"/>
        <v>7.457652059717998</v>
      </c>
      <c r="AZ16" s="21">
        <v>800</v>
      </c>
      <c r="BA16" s="22">
        <f t="shared" si="12"/>
        <v>0.11404478849875588</v>
      </c>
      <c r="BB16" s="22">
        <f t="shared" si="13"/>
        <v>1.8085</v>
      </c>
      <c r="BC16" s="23">
        <f t="shared" si="14"/>
        <v>0.20625000000000002</v>
      </c>
      <c r="BD16" s="98">
        <v>252</v>
      </c>
      <c r="BE16" s="23">
        <f t="shared" si="15"/>
        <v>6.9610375725068785E-2</v>
      </c>
      <c r="BF16" t="s">
        <v>112</v>
      </c>
      <c r="BG16" s="23">
        <f t="shared" si="16"/>
        <v>0.15996225865400127</v>
      </c>
      <c r="BH16" s="24">
        <v>15</v>
      </c>
      <c r="BI16" s="24">
        <v>25</v>
      </c>
      <c r="BJ16" s="25">
        <f ca="1">(BD16*BH16+$AP16-$AQ16)/$H16</f>
        <v>4509.7486550409922</v>
      </c>
      <c r="BK16" s="25">
        <f ca="1">(BF16*BI16+$AP16-$AQ16)/$H16</f>
        <v>11458.192914302521</v>
      </c>
      <c r="BL16" s="23">
        <f t="shared" ca="1" si="18"/>
        <v>-0.19206539792849897</v>
      </c>
      <c r="BM16" s="23">
        <f t="shared" ca="1" si="19"/>
        <v>-2.6426000842472375E-2</v>
      </c>
      <c r="BN16" s="95" t="s">
        <v>685</v>
      </c>
      <c r="BO16" s="95" t="s">
        <v>104</v>
      </c>
      <c r="BP16" s="95" t="s">
        <v>687</v>
      </c>
    </row>
    <row r="17" spans="1:68" ht="15" customHeight="1" x14ac:dyDescent="0.35">
      <c r="A17" s="86" t="e" vm="14">
        <v>#VALUE!</v>
      </c>
      <c r="B17" s="10" t="str">
        <f t="array" aca="1" ref="B17" ca="1">_FV(A17,"Símbolo bursátil",TRUE())</f>
        <v>HLMA</v>
      </c>
      <c r="C17" s="88" t="s">
        <v>114</v>
      </c>
      <c r="D17" s="88" t="s">
        <v>77</v>
      </c>
      <c r="E17" s="11" t="str">
        <f t="array" aca="1" ref="E17" ca="1">_FV(A17,"Abreviatura de intercambio",TRUE())</f>
        <v>XLON</v>
      </c>
      <c r="F17" s="11" t="str">
        <f t="array" aca="1" ref="F17" ca="1">_FV(A17,"Moneda")</f>
        <v>GBp</v>
      </c>
      <c r="G17" s="12">
        <f t="array" aca="1" ref="G17" ca="1">_FV(A17,"Precio")</f>
        <v>3576</v>
      </c>
      <c r="H17" s="13">
        <f t="array" aca="1" ref="H17" ca="1">_FV(A17,"Acciones en circulación",TRUE())/1000000</f>
        <v>379.64530000000002</v>
      </c>
      <c r="I17" s="14">
        <f ca="1">G17/100*H17</f>
        <v>13576.115927999999</v>
      </c>
      <c r="J17" s="91">
        <v>2</v>
      </c>
      <c r="K17" s="91">
        <v>6</v>
      </c>
      <c r="L17" s="91">
        <v>3</v>
      </c>
      <c r="M17" s="91">
        <v>1</v>
      </c>
      <c r="N17" s="91">
        <v>0</v>
      </c>
      <c r="O17" s="91">
        <v>0.86</v>
      </c>
      <c r="P17" s="91">
        <v>1</v>
      </c>
      <c r="Q17" s="91">
        <v>0</v>
      </c>
      <c r="R17" s="26">
        <f t="shared" si="1"/>
        <v>13</v>
      </c>
      <c r="S17" s="16">
        <f t="shared" si="2"/>
        <v>8.1300000000000008</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7.82</v>
      </c>
      <c r="AO17" s="18" t="s">
        <v>115</v>
      </c>
      <c r="AP17" s="19">
        <v>100</v>
      </c>
      <c r="AQ17" s="19">
        <v>400</v>
      </c>
      <c r="AR17" s="19">
        <f t="shared" ca="1" si="21"/>
        <v>13876.115927999999</v>
      </c>
      <c r="AS17" s="19">
        <v>400</v>
      </c>
      <c r="AT17" s="19">
        <v>370</v>
      </c>
      <c r="AU17" s="19">
        <v>515</v>
      </c>
      <c r="AV17" s="19">
        <v>2340</v>
      </c>
      <c r="AW17" s="20">
        <f t="shared" ca="1" si="9"/>
        <v>34.690289819999997</v>
      </c>
      <c r="AX17" s="20">
        <f t="shared" ca="1" si="10"/>
        <v>26.943914423300971</v>
      </c>
      <c r="AY17" s="20">
        <f t="shared" ca="1" si="11"/>
        <v>5.9299640717948714</v>
      </c>
      <c r="AZ17" s="21">
        <v>2100</v>
      </c>
      <c r="BA17" s="22">
        <f t="shared" si="12"/>
        <v>0.15811965811965811</v>
      </c>
      <c r="BB17" s="22">
        <f t="shared" si="13"/>
        <v>1.1142857142857143</v>
      </c>
      <c r="BC17" s="23">
        <f t="shared" si="14"/>
        <v>0.1761904761904762</v>
      </c>
      <c r="BD17" s="98">
        <v>511</v>
      </c>
      <c r="BE17" s="23">
        <f t="shared" si="15"/>
        <v>5.0200405794756708E-2</v>
      </c>
      <c r="BF17" t="s">
        <v>116</v>
      </c>
      <c r="BG17" s="23">
        <f t="shared" si="16"/>
        <v>0.13000795103795748</v>
      </c>
      <c r="BH17" s="24">
        <v>18</v>
      </c>
      <c r="BI17" s="24">
        <v>28</v>
      </c>
      <c r="BJ17" s="25">
        <f ca="1">(BD17*BH17+$AP17-$AQ17)/$H17*100</f>
        <v>2343.766668519273</v>
      </c>
      <c r="BK17" s="25">
        <f ca="1">(BF17*BI17+$AP17-$AQ17)/$H17*100</f>
        <v>5356.5788908752456</v>
      </c>
      <c r="BL17" s="23">
        <f t="shared" ca="1" si="18"/>
        <v>-8.1025685978894257E-2</v>
      </c>
      <c r="BM17" s="23">
        <f t="shared" ca="1" si="19"/>
        <v>8.4171531047791737E-2</v>
      </c>
      <c r="BN17" s="93" t="s">
        <v>97</v>
      </c>
      <c r="BO17" s="94" t="s">
        <v>117</v>
      </c>
      <c r="BP17" s="93" t="s">
        <v>118</v>
      </c>
    </row>
    <row r="18" spans="1:68" ht="15" customHeight="1" x14ac:dyDescent="0.3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1143.33</v>
      </c>
      <c r="H18" s="13">
        <f t="array" aca="1" ref="H18" ca="1">_FV(A18,"Acciones en circulación",TRUE())/1000000</f>
        <v>21.597639999999998</v>
      </c>
      <c r="I18" s="14">
        <f t="shared" ref="I18:I25" ca="1" si="22">G18*H18</f>
        <v>24693.229741199997</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7.19</v>
      </c>
      <c r="AO18" s="18" t="s">
        <v>78</v>
      </c>
      <c r="AP18" s="19">
        <v>200</v>
      </c>
      <c r="AQ18" s="19">
        <v>2400</v>
      </c>
      <c r="AR18" s="19">
        <f t="shared" ca="1" si="21"/>
        <v>26893.229741199997</v>
      </c>
      <c r="AS18" s="19">
        <v>730</v>
      </c>
      <c r="AT18" s="19">
        <v>640</v>
      </c>
      <c r="AU18" s="19">
        <v>875</v>
      </c>
      <c r="AV18" s="19">
        <v>1720</v>
      </c>
      <c r="AW18" s="20">
        <f t="shared" ca="1" si="9"/>
        <v>36.840040741369862</v>
      </c>
      <c r="AX18" s="20">
        <f t="shared" ca="1" si="10"/>
        <v>30.73511970422857</v>
      </c>
      <c r="AY18" s="20">
        <f t="shared" ca="1" si="11"/>
        <v>15.635598686744185</v>
      </c>
      <c r="AZ18" s="21">
        <v>2200</v>
      </c>
      <c r="BA18" s="22">
        <f t="shared" si="12"/>
        <v>0.37209302325581395</v>
      </c>
      <c r="BB18" s="22">
        <f t="shared" si="13"/>
        <v>0.78181818181818186</v>
      </c>
      <c r="BC18" s="23">
        <f t="shared" si="14"/>
        <v>0.29090909090909089</v>
      </c>
      <c r="BD18" s="98">
        <v>1073</v>
      </c>
      <c r="BE18" s="23">
        <f t="shared" si="15"/>
        <v>8.0078627468473051E-2</v>
      </c>
      <c r="BF18" t="s">
        <v>119</v>
      </c>
      <c r="BG18" s="23">
        <f t="shared" si="16"/>
        <v>0.17999107424955563</v>
      </c>
      <c r="BH18" s="24">
        <v>18</v>
      </c>
      <c r="BI18" s="24">
        <v>26</v>
      </c>
      <c r="BJ18" s="25">
        <f t="shared" ref="BJ18:BJ25" ca="1" si="23">(BD18*BH18+$AP18-$AQ18)/$H18</f>
        <v>792.40139200394128</v>
      </c>
      <c r="BK18" s="25">
        <f t="shared" ref="BK18:BK25" ca="1" si="24">(BF18*BI18+$AP18-$AQ18)/$H18</f>
        <v>1908.5418592031353</v>
      </c>
      <c r="BL18" s="23">
        <f t="shared" ca="1" si="18"/>
        <v>-7.07025913355247E-2</v>
      </c>
      <c r="BM18" s="23">
        <f t="shared" ca="1" si="19"/>
        <v>0.10791391779857418</v>
      </c>
      <c r="BN18" s="93" t="s">
        <v>83</v>
      </c>
      <c r="BO18" s="93" t="s">
        <v>84</v>
      </c>
      <c r="BP18" s="93" t="s">
        <v>120</v>
      </c>
    </row>
    <row r="19" spans="1:68" ht="15" customHeight="1" x14ac:dyDescent="0.35">
      <c r="A19" s="86" t="e" vm="16">
        <v>#VALUE!</v>
      </c>
      <c r="B19" s="10" t="str">
        <f t="array" aca="1" ref="B19" ca="1">_FV(A19,"Símbolo bursátil",TRUE())</f>
        <v>LIFCO B</v>
      </c>
      <c r="C19" s="88" t="s">
        <v>121</v>
      </c>
      <c r="D19" s="88" t="s">
        <v>77</v>
      </c>
      <c r="E19" s="11" t="str">
        <f t="array" aca="1" ref="E19" ca="1">_FV(A19,"Abreviatura de intercambio",TRUE())</f>
        <v>XSTO</v>
      </c>
      <c r="F19" s="11" t="str">
        <f t="array" aca="1" ref="F19" ca="1">_FV(A19,"Moneda")</f>
        <v>SEK</v>
      </c>
      <c r="G19" s="12">
        <f t="array" aca="1" ref="G19" ca="1">_FV(A19,"Precio")</f>
        <v>317.2</v>
      </c>
      <c r="H19" s="13">
        <f t="array" aca="1" ref="H19" ca="1">_FV(A19,"Acciones en circulación",TRUE())/1000000</f>
        <v>423.8365</v>
      </c>
      <c r="I19" s="14">
        <f t="shared" ca="1" si="22"/>
        <v>134440.93779999999</v>
      </c>
      <c r="J19" s="91">
        <v>0</v>
      </c>
      <c r="K19" s="91">
        <v>7</v>
      </c>
      <c r="L19" s="91">
        <v>3</v>
      </c>
      <c r="M19" s="91">
        <v>1</v>
      </c>
      <c r="N19" s="91">
        <v>0</v>
      </c>
      <c r="O19" s="91">
        <v>0.7</v>
      </c>
      <c r="P19" s="91">
        <v>0.5</v>
      </c>
      <c r="Q19" s="91">
        <v>1</v>
      </c>
      <c r="R19" s="26">
        <f t="shared" si="1"/>
        <v>12.5</v>
      </c>
      <c r="S19" s="16">
        <f t="shared" si="2"/>
        <v>7.81</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7.94</v>
      </c>
      <c r="AO19" s="18" t="s">
        <v>122</v>
      </c>
      <c r="AP19" s="19">
        <v>3000</v>
      </c>
      <c r="AQ19" s="19">
        <v>12500</v>
      </c>
      <c r="AR19" s="19">
        <f t="shared" ca="1" si="21"/>
        <v>143940.93779999999</v>
      </c>
      <c r="AS19" s="19">
        <v>3800</v>
      </c>
      <c r="AT19" s="19">
        <v>3400</v>
      </c>
      <c r="AU19" s="19">
        <v>6627</v>
      </c>
      <c r="AV19" s="19">
        <v>29251</v>
      </c>
      <c r="AW19" s="20">
        <f t="shared" ca="1" si="9"/>
        <v>37.87919415789473</v>
      </c>
      <c r="AX19" s="20">
        <f t="shared" ca="1" si="10"/>
        <v>21.720376912630147</v>
      </c>
      <c r="AY19" s="20">
        <f t="shared" ca="1" si="11"/>
        <v>4.9208894670267682</v>
      </c>
      <c r="AZ19" s="21">
        <v>22000</v>
      </c>
      <c r="BA19" s="22">
        <f t="shared" si="12"/>
        <v>0.11623534238145704</v>
      </c>
      <c r="BB19" s="22">
        <f t="shared" si="13"/>
        <v>1.329590909090909</v>
      </c>
      <c r="BC19" s="23">
        <f t="shared" si="14"/>
        <v>0.15454545454545454</v>
      </c>
      <c r="BD19" s="98">
        <v>5330</v>
      </c>
      <c r="BE19" s="23">
        <f t="shared" si="15"/>
        <v>7.001218289169242E-2</v>
      </c>
      <c r="BF19" t="s">
        <v>123</v>
      </c>
      <c r="BG19" s="23">
        <f t="shared" si="16"/>
        <v>0.1699915026044907</v>
      </c>
      <c r="BH19" s="24">
        <v>16</v>
      </c>
      <c r="BI19" s="24">
        <v>26</v>
      </c>
      <c r="BJ19" s="25">
        <f t="shared" ca="1" si="23"/>
        <v>178.79536094696894</v>
      </c>
      <c r="BK19" s="25">
        <f t="shared" ca="1" si="24"/>
        <v>488.64597551178343</v>
      </c>
      <c r="BL19" s="23">
        <f t="shared" ca="1" si="18"/>
        <v>-0.10832905889492062</v>
      </c>
      <c r="BM19" s="23">
        <f t="shared" ca="1" si="19"/>
        <v>9.0265399313141259E-2</v>
      </c>
      <c r="BN19" s="99">
        <v>46256</v>
      </c>
      <c r="BO19" s="93" t="s">
        <v>124</v>
      </c>
      <c r="BP19" s="93" t="s">
        <v>125</v>
      </c>
    </row>
    <row r="20" spans="1:68" ht="15" customHeight="1" x14ac:dyDescent="0.35">
      <c r="A20" s="86" t="e" vm="17">
        <v>#VALUE!</v>
      </c>
      <c r="B20" s="10" t="str">
        <f t="array" aca="1" ref="B20" ca="1">_FV(A20,"Símbolo bursátil",TRUE())</f>
        <v>EVD</v>
      </c>
      <c r="C20" s="88" t="s">
        <v>109</v>
      </c>
      <c r="D20" s="88" t="s">
        <v>77</v>
      </c>
      <c r="E20" s="11" t="str">
        <f t="array" aca="1" ref="E20" ca="1">_FV(A20,"Abreviatura de intercambio",TRUE())</f>
        <v>XFRA</v>
      </c>
      <c r="F20" s="11" t="str">
        <f t="array" aca="1" ref="F20" ca="1">_FV(A20,"Moneda")</f>
        <v>EUR</v>
      </c>
      <c r="G20" s="12">
        <f t="array" aca="1" ref="G20" ca="1">_FV(A20,"Precio")</f>
        <v>59.6</v>
      </c>
      <c r="H20" s="13">
        <f t="array" aca="1" ref="H20" ca="1">_FV(A20,"Acciones en circulación",TRUE())/1000000</f>
        <v>96</v>
      </c>
      <c r="I20" s="14">
        <f t="shared" ca="1" si="22"/>
        <v>5721.6</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87</v>
      </c>
      <c r="AP20" s="19">
        <v>1360</v>
      </c>
      <c r="AQ20" s="19">
        <v>120</v>
      </c>
      <c r="AR20" s="19">
        <f t="shared" ca="1" si="21"/>
        <v>4481.6000000000004</v>
      </c>
      <c r="AS20" s="19">
        <v>274</v>
      </c>
      <c r="AT20" s="19">
        <v>332</v>
      </c>
      <c r="AU20" s="19">
        <v>529</v>
      </c>
      <c r="AV20" s="19">
        <v>3300</v>
      </c>
      <c r="AW20" s="20">
        <f t="shared" ca="1" si="9"/>
        <v>16.356204379562044</v>
      </c>
      <c r="AX20" s="20">
        <f t="shared" ca="1" si="10"/>
        <v>8.4718336483931953</v>
      </c>
      <c r="AY20" s="20">
        <f t="shared" ca="1" si="11"/>
        <v>1.3580606060606062</v>
      </c>
      <c r="AZ20" s="21">
        <v>1573</v>
      </c>
      <c r="BA20" s="22">
        <f t="shared" si="12"/>
        <v>0.1006060606060606</v>
      </c>
      <c r="BB20" s="22">
        <f t="shared" si="13"/>
        <v>2.0979020979020979</v>
      </c>
      <c r="BC20" s="23">
        <f t="shared" si="14"/>
        <v>0.21106166560712014</v>
      </c>
      <c r="BD20" s="98">
        <v>287</v>
      </c>
      <c r="BE20" s="23">
        <f t="shared" si="15"/>
        <v>9.3139290534360875E-3</v>
      </c>
      <c r="BF20">
        <v>527.29999999999995</v>
      </c>
      <c r="BG20" s="23">
        <f t="shared" si="16"/>
        <v>0.1398860577051344</v>
      </c>
      <c r="BH20" s="24">
        <v>12</v>
      </c>
      <c r="BI20" s="24">
        <v>20</v>
      </c>
      <c r="BJ20" s="25">
        <f t="shared" ca="1" si="23"/>
        <v>48.791666666666664</v>
      </c>
      <c r="BK20" s="25">
        <f t="shared" ca="1" si="24"/>
        <v>122.77083333333333</v>
      </c>
      <c r="BL20" s="23">
        <f t="shared" ca="1" si="18"/>
        <v>-3.9229015671845779E-2</v>
      </c>
      <c r="BM20" s="23">
        <f t="shared" ca="1" si="19"/>
        <v>0.15549957158625838</v>
      </c>
      <c r="BN20" s="96" t="s">
        <v>685</v>
      </c>
      <c r="BO20" t="s">
        <v>92</v>
      </c>
      <c r="BP20" t="s">
        <v>126</v>
      </c>
    </row>
    <row r="21" spans="1:68" ht="15" customHeight="1" x14ac:dyDescent="0.35">
      <c r="A21" s="86" t="e" vm="18">
        <v>#VALUE!</v>
      </c>
      <c r="B21" s="10" t="str">
        <f t="array" aca="1" ref="B21" ca="1">_FV(A21,"Símbolo bursátil",TRUE())</f>
        <v>MNST</v>
      </c>
      <c r="C21" s="88" t="s">
        <v>109</v>
      </c>
      <c r="D21" s="88" t="s">
        <v>77</v>
      </c>
      <c r="E21" s="11" t="str">
        <f t="array" aca="1" ref="E21" ca="1">_FV(A21,"Abreviatura de intercambio",TRUE())</f>
        <v>XNAS</v>
      </c>
      <c r="F21" s="11" t="str">
        <f t="array" aca="1" ref="F21" ca="1">_FV(A21,"Moneda")</f>
        <v>USD</v>
      </c>
      <c r="G21" s="12">
        <f t="array" aca="1" ref="G21" ca="1">_FV(A21,"Precio")</f>
        <v>48.61</v>
      </c>
      <c r="H21" s="13">
        <f t="array" aca="1" ref="H21" ca="1">_FV(A21,"Acciones en circulación",TRUE())/1000000</f>
        <v>1956.0160000000001</v>
      </c>
      <c r="I21" s="14">
        <f t="shared" ca="1" si="22"/>
        <v>95081.937760000001</v>
      </c>
      <c r="J21" s="91">
        <v>0</v>
      </c>
      <c r="K21" s="91">
        <v>7</v>
      </c>
      <c r="L21" s="91">
        <v>2</v>
      </c>
      <c r="M21" s="91">
        <v>1</v>
      </c>
      <c r="N21" s="91">
        <v>-1</v>
      </c>
      <c r="O21" s="91">
        <v>0.78</v>
      </c>
      <c r="P21" s="91">
        <v>1</v>
      </c>
      <c r="Q21" s="91">
        <v>1</v>
      </c>
      <c r="R21" s="26">
        <f t="shared" si="1"/>
        <v>11</v>
      </c>
      <c r="S21" s="16">
        <f t="shared" si="2"/>
        <v>6.88</v>
      </c>
      <c r="T21" s="91">
        <v>16</v>
      </c>
      <c r="U21" s="91">
        <v>17</v>
      </c>
      <c r="V21" s="91">
        <v>11</v>
      </c>
      <c r="W21" s="91">
        <v>9</v>
      </c>
      <c r="X21" s="91">
        <v>9</v>
      </c>
      <c r="Y21" s="91">
        <v>12</v>
      </c>
      <c r="Z21" s="91">
        <v>9</v>
      </c>
      <c r="AA21" s="91">
        <v>-9</v>
      </c>
      <c r="AB21" s="26">
        <f t="shared" si="3"/>
        <v>74</v>
      </c>
      <c r="AC21" s="16">
        <f t="shared" si="4"/>
        <v>7.4</v>
      </c>
      <c r="AD21" s="91">
        <v>13</v>
      </c>
      <c r="AE21" s="91">
        <v>-1</v>
      </c>
      <c r="AF21" s="91">
        <v>9</v>
      </c>
      <c r="AG21" s="91">
        <v>12</v>
      </c>
      <c r="AH21" s="91">
        <v>5</v>
      </c>
      <c r="AI21" s="91">
        <v>9</v>
      </c>
      <c r="AJ21" s="91">
        <v>13</v>
      </c>
      <c r="AK21" s="91">
        <v>-4</v>
      </c>
      <c r="AL21" s="26">
        <f t="shared" si="5"/>
        <v>56</v>
      </c>
      <c r="AM21" s="16">
        <f t="shared" si="6"/>
        <v>8</v>
      </c>
      <c r="AN21" s="17">
        <f t="shared" si="7"/>
        <v>7.54</v>
      </c>
      <c r="AO21" s="18" t="s">
        <v>78</v>
      </c>
      <c r="AP21" s="19">
        <v>4201</v>
      </c>
      <c r="AQ21" s="19">
        <v>0</v>
      </c>
      <c r="AR21" s="19">
        <f t="shared" ca="1" si="21"/>
        <v>90880.937760000001</v>
      </c>
      <c r="AS21" s="19">
        <v>1800</v>
      </c>
      <c r="AT21" s="19">
        <v>2043</v>
      </c>
      <c r="AU21" s="19">
        <v>2688</v>
      </c>
      <c r="AV21" s="19">
        <v>9219</v>
      </c>
      <c r="AW21" s="20">
        <f t="shared" ca="1" si="9"/>
        <v>50.489409866666669</v>
      </c>
      <c r="AX21" s="20">
        <f t="shared" ca="1" si="10"/>
        <v>33.809872678571431</v>
      </c>
      <c r="AY21" s="20">
        <f t="shared" ca="1" si="11"/>
        <v>9.8580038789456559</v>
      </c>
      <c r="AZ21" s="21">
        <v>5164</v>
      </c>
      <c r="BA21" s="22">
        <f t="shared" si="12"/>
        <v>0.22160754962577286</v>
      </c>
      <c r="BB21" s="22">
        <f t="shared" si="13"/>
        <v>1.7852439969016267</v>
      </c>
      <c r="BC21" s="23">
        <f t="shared" si="14"/>
        <v>0.39562354763749036</v>
      </c>
      <c r="BD21" s="98">
        <v>2190</v>
      </c>
      <c r="BE21" s="23">
        <f t="shared" si="15"/>
        <v>4.0002353139918068E-2</v>
      </c>
      <c r="BF21" t="s">
        <v>127</v>
      </c>
      <c r="BG21" s="23">
        <f t="shared" si="16"/>
        <v>0.10999233818109388</v>
      </c>
      <c r="BH21" s="24">
        <v>18</v>
      </c>
      <c r="BI21" s="24">
        <v>22</v>
      </c>
      <c r="BJ21" s="25">
        <f t="shared" ca="1" si="23"/>
        <v>22.300942323580173</v>
      </c>
      <c r="BK21" s="25">
        <f t="shared" ca="1" si="24"/>
        <v>36.260950830668051</v>
      </c>
      <c r="BL21" s="23">
        <f t="shared" ca="1" si="18"/>
        <v>-0.14430396685011082</v>
      </c>
      <c r="BM21" s="23">
        <f t="shared" ca="1" si="19"/>
        <v>-5.6932641321074229E-2</v>
      </c>
      <c r="BN21" s="95" t="s">
        <v>685</v>
      </c>
      <c r="BO21" s="93" t="s">
        <v>128</v>
      </c>
      <c r="BP21" s="95" t="s">
        <v>147</v>
      </c>
    </row>
    <row r="22" spans="1:68" ht="15" customHeight="1" x14ac:dyDescent="0.35">
      <c r="A22" s="86" t="e" vm="19">
        <v>#VALUE!</v>
      </c>
      <c r="B22" s="10" t="str">
        <f t="array" aca="1" ref="B22" ca="1">_FV(A22,"Símbolo bursátil",TRUE())</f>
        <v>ABNB</v>
      </c>
      <c r="C22" s="88" t="s">
        <v>109</v>
      </c>
      <c r="D22" s="88" t="s">
        <v>100</v>
      </c>
      <c r="E22" s="11" t="str">
        <f t="array" aca="1" ref="E22" ca="1">_FV(A22,"Abreviatura de intercambio",TRUE())</f>
        <v>XNAS</v>
      </c>
      <c r="F22" s="11" t="str">
        <f t="array" aca="1" ref="F22" ca="1">_FV(A22,"Moneda")</f>
        <v>USD</v>
      </c>
      <c r="G22" s="12">
        <f t="array" aca="1" ref="G22" ca="1">_FV(A22,"Precio")</f>
        <v>189.95</v>
      </c>
      <c r="H22" s="13">
        <f t="array" aca="1" ref="H22" ca="1">_FV(A22,"Acciones en circulación",TRUE())/1000000</f>
        <v>589.58569999999997</v>
      </c>
      <c r="I22" s="14">
        <f t="shared" ca="1" si="22"/>
        <v>111991.80371499999</v>
      </c>
      <c r="J22" s="90">
        <v>1.5</v>
      </c>
      <c r="K22" s="90">
        <v>6</v>
      </c>
      <c r="L22" s="90">
        <v>2</v>
      </c>
      <c r="M22" s="90">
        <v>1</v>
      </c>
      <c r="N22" s="90">
        <v>0</v>
      </c>
      <c r="O22" s="90">
        <v>0.82</v>
      </c>
      <c r="P22" s="90">
        <v>1</v>
      </c>
      <c r="Q22" s="90">
        <v>1</v>
      </c>
      <c r="R22" s="15">
        <f t="shared" si="1"/>
        <v>12.5</v>
      </c>
      <c r="S22" s="16">
        <f t="shared" si="2"/>
        <v>7.81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7.26</v>
      </c>
      <c r="AO22" s="18" t="s">
        <v>78</v>
      </c>
      <c r="AP22" s="19">
        <v>12069</v>
      </c>
      <c r="AQ22" s="19">
        <v>2496</v>
      </c>
      <c r="AR22" s="19">
        <f t="shared" ca="1" si="21"/>
        <v>102418.80371499999</v>
      </c>
      <c r="AS22" s="19">
        <v>4800</v>
      </c>
      <c r="AT22" s="19">
        <v>2081</v>
      </c>
      <c r="AU22" s="19">
        <v>2874</v>
      </c>
      <c r="AV22" s="19">
        <v>13159</v>
      </c>
      <c r="AW22" s="20">
        <f t="shared" ca="1" si="9"/>
        <v>21.337250773958331</v>
      </c>
      <c r="AX22" s="20">
        <f t="shared" ca="1" si="10"/>
        <v>35.636326971120383</v>
      </c>
      <c r="AY22" s="20">
        <f t="shared" ca="1" si="11"/>
        <v>7.783175295615167</v>
      </c>
      <c r="AZ22" s="21">
        <v>10662</v>
      </c>
      <c r="BA22" s="22">
        <f t="shared" si="12"/>
        <v>0.15814271601185501</v>
      </c>
      <c r="BB22" s="22">
        <f t="shared" si="13"/>
        <v>1.2341962108422435</v>
      </c>
      <c r="BC22" s="23">
        <f t="shared" si="14"/>
        <v>0.19517914087413243</v>
      </c>
      <c r="BD22" s="98">
        <v>5100</v>
      </c>
      <c r="BE22" s="23">
        <f t="shared" si="15"/>
        <v>1.2198729249942586E-2</v>
      </c>
      <c r="BF22">
        <v>9655</v>
      </c>
      <c r="BG22" s="23">
        <f t="shared" si="16"/>
        <v>0.15001156585905306</v>
      </c>
      <c r="BH22" s="24">
        <v>16</v>
      </c>
      <c r="BI22" s="24">
        <v>24</v>
      </c>
      <c r="BJ22" s="25">
        <f t="shared" ca="1" si="23"/>
        <v>154.63909657238975</v>
      </c>
      <c r="BK22" s="25">
        <f t="shared" ca="1" si="24"/>
        <v>409.25856919528411</v>
      </c>
      <c r="BL22" s="23">
        <f t="shared" ca="1" si="18"/>
        <v>-4.029888100678769E-2</v>
      </c>
      <c r="BM22" s="23">
        <f t="shared" ca="1" si="19"/>
        <v>0.16592790507589994</v>
      </c>
      <c r="BN22" s="95" t="s">
        <v>685</v>
      </c>
      <c r="BO22" s="95" t="s">
        <v>128</v>
      </c>
      <c r="BP22" s="95" t="s">
        <v>147</v>
      </c>
    </row>
    <row r="23" spans="1:68" ht="15" customHeight="1" x14ac:dyDescent="0.35">
      <c r="A23" s="86" t="e" vm="20">
        <v>#VALUE!</v>
      </c>
      <c r="B23" s="10" t="str">
        <f t="array" aca="1" ref="B23" ca="1">_FV(A23,"Símbolo bursátil",TRUE())</f>
        <v>DNP</v>
      </c>
      <c r="C23" s="88" t="s">
        <v>90</v>
      </c>
      <c r="D23" s="88" t="s">
        <v>90</v>
      </c>
      <c r="E23" s="11" t="str">
        <f t="array" aca="1" ref="E23" ca="1">_FV(A23,"Abreviatura de intercambio",TRUE())</f>
        <v>XWAR</v>
      </c>
      <c r="F23" s="11" t="str">
        <f t="array" aca="1" ref="F23" ca="1">_FV(A23,"Moneda")</f>
        <v>PLN</v>
      </c>
      <c r="G23" s="12">
        <f t="array" aca="1" ref="G23" ca="1">_FV(A23,"Precio")</f>
        <v>36.18</v>
      </c>
      <c r="H23" s="13">
        <f t="array" aca="1" ref="H23" ca="1">_FV(A23,"Acciones en circulación",TRUE())/1000000</f>
        <v>980.4</v>
      </c>
      <c r="I23" s="14">
        <f t="shared" ca="1" si="22"/>
        <v>35470.871999999996</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129</v>
      </c>
      <c r="AP23" s="19">
        <v>771</v>
      </c>
      <c r="AQ23" s="19">
        <v>852</v>
      </c>
      <c r="AR23" s="19">
        <f t="shared" ca="1" si="21"/>
        <v>35551.871999999996</v>
      </c>
      <c r="AS23" s="19">
        <v>1681</v>
      </c>
      <c r="AT23" s="19">
        <v>1656</v>
      </c>
      <c r="AU23" s="19">
        <v>2609</v>
      </c>
      <c r="AV23" s="19">
        <v>35628</v>
      </c>
      <c r="AW23" s="20">
        <f t="shared" ca="1" si="9"/>
        <v>21.149239738251037</v>
      </c>
      <c r="AX23" s="20">
        <f t="shared" ca="1" si="10"/>
        <v>13.626627826753543</v>
      </c>
      <c r="AY23" s="20">
        <f t="shared" ca="1" si="11"/>
        <v>0.99786325362074757</v>
      </c>
      <c r="AZ23" s="21">
        <v>9909</v>
      </c>
      <c r="BA23" s="22">
        <f t="shared" si="12"/>
        <v>4.6480296396092961E-2</v>
      </c>
      <c r="BB23" s="22">
        <f t="shared" si="13"/>
        <v>3.5955192249470178</v>
      </c>
      <c r="BC23" s="23">
        <f t="shared" si="14"/>
        <v>0.16712079927338783</v>
      </c>
      <c r="BD23" s="98">
        <v>1900</v>
      </c>
      <c r="BE23" s="23">
        <f t="shared" si="15"/>
        <v>2.4795424020782386E-2</v>
      </c>
      <c r="BF23">
        <v>3381</v>
      </c>
      <c r="BG23" s="23">
        <f t="shared" si="16"/>
        <v>0.1499937802242195</v>
      </c>
      <c r="BH23" s="24">
        <v>15</v>
      </c>
      <c r="BI23" s="24">
        <v>20</v>
      </c>
      <c r="BJ23" s="25">
        <f t="shared" ca="1" si="23"/>
        <v>28.98714810281518</v>
      </c>
      <c r="BK23" s="25">
        <f t="shared" ca="1" si="24"/>
        <v>68.889228886168908</v>
      </c>
      <c r="BL23" s="23">
        <f t="shared" ca="1" si="18"/>
        <v>-4.3362534677412246E-2</v>
      </c>
      <c r="BM23" s="23">
        <f t="shared" ca="1" si="19"/>
        <v>0.13746109747208712</v>
      </c>
      <c r="BN23" s="96" t="s">
        <v>685</v>
      </c>
      <c r="BO23" s="96" t="s">
        <v>88</v>
      </c>
      <c r="BP23" s="96" t="s">
        <v>684</v>
      </c>
    </row>
    <row r="24" spans="1:68" ht="15" customHeight="1" x14ac:dyDescent="0.35">
      <c r="A24" s="86" t="e" vm="21">
        <v>#VALUE!</v>
      </c>
      <c r="B24" s="10" t="str">
        <f t="array" aca="1" ref="B24" ca="1">_FV(A24,"Símbolo bursátil",TRUE())</f>
        <v>VLTO</v>
      </c>
      <c r="C24" s="88" t="s">
        <v>121</v>
      </c>
      <c r="D24" s="88" t="s">
        <v>77</v>
      </c>
      <c r="E24" s="11" t="str">
        <f t="array" aca="1" ref="E24" ca="1">_FV(A24,"Abreviatura de intercambio",TRUE())</f>
        <v>XNYS</v>
      </c>
      <c r="F24" s="11" t="str">
        <f t="array" aca="1" ref="F24" ca="1">_FV(A24,"Moneda")</f>
        <v>USD</v>
      </c>
      <c r="G24" s="12">
        <f t="array" aca="1" ref="G24" ca="1">_FV(A24,"Precio")</f>
        <v>98.194999999999993</v>
      </c>
      <c r="H24" s="13">
        <f t="array" aca="1" ref="H24" ca="1">_FV(A24,"Acciones en circulación",TRUE())/1000000</f>
        <v>243.79329999999999</v>
      </c>
      <c r="I24" s="14">
        <f t="shared" ca="1" si="22"/>
        <v>23939.283093499998</v>
      </c>
      <c r="J24" s="90">
        <v>2</v>
      </c>
      <c r="K24" s="90">
        <v>6.5</v>
      </c>
      <c r="L24" s="90">
        <v>1</v>
      </c>
      <c r="M24" s="90">
        <v>1</v>
      </c>
      <c r="N24" s="90">
        <v>0</v>
      </c>
      <c r="O24" s="90">
        <v>0</v>
      </c>
      <c r="P24" s="90">
        <v>0</v>
      </c>
      <c r="Q24" s="90">
        <v>0</v>
      </c>
      <c r="R24" s="15">
        <f t="shared" si="1"/>
        <v>10.5</v>
      </c>
      <c r="S24" s="16">
        <f t="shared" si="2"/>
        <v>6.56</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7.3</v>
      </c>
      <c r="AO24" s="18" t="s">
        <v>78</v>
      </c>
      <c r="AP24" s="19">
        <v>2120</v>
      </c>
      <c r="AQ24" s="19">
        <v>3590</v>
      </c>
      <c r="AR24" s="19">
        <f t="shared" ca="1" si="21"/>
        <v>25409.283093499998</v>
      </c>
      <c r="AS24" s="19">
        <v>1050</v>
      </c>
      <c r="AT24" s="19">
        <v>1062</v>
      </c>
      <c r="AU24" s="19">
        <v>1390</v>
      </c>
      <c r="AV24" s="19">
        <v>5700</v>
      </c>
      <c r="AW24" s="20">
        <f t="shared" ca="1" si="9"/>
        <v>24.199317231904761</v>
      </c>
      <c r="AX24" s="20">
        <f t="shared" ca="1" si="10"/>
        <v>18.280059779496401</v>
      </c>
      <c r="AY24" s="20">
        <f t="shared" ca="1" si="11"/>
        <v>4.4577689637719295</v>
      </c>
      <c r="AZ24" s="21">
        <v>6501</v>
      </c>
      <c r="BA24" s="22">
        <f t="shared" si="12"/>
        <v>0.18631578947368421</v>
      </c>
      <c r="BB24" s="22">
        <f t="shared" si="13"/>
        <v>0.8767881864328565</v>
      </c>
      <c r="BC24" s="23">
        <f t="shared" si="14"/>
        <v>0.16335948315643747</v>
      </c>
      <c r="BD24" s="98">
        <v>1277.2</v>
      </c>
      <c r="BE24" s="23">
        <f t="shared" si="15"/>
        <v>3.9953503039349858E-2</v>
      </c>
      <c r="BF24">
        <v>1850.9</v>
      </c>
      <c r="BG24" s="23">
        <f t="shared" si="16"/>
        <v>0.12005340658633479</v>
      </c>
      <c r="BH24" s="24">
        <v>12.5</v>
      </c>
      <c r="BI24" s="24">
        <v>20</v>
      </c>
      <c r="BJ24" s="25">
        <f t="shared" ca="1" si="23"/>
        <v>59.456104823225253</v>
      </c>
      <c r="BK24" s="25">
        <f t="shared" ca="1" si="24"/>
        <v>145.81204651645473</v>
      </c>
      <c r="BL24" s="23">
        <f t="shared" ca="1" si="18"/>
        <v>-9.5473248221805362E-2</v>
      </c>
      <c r="BM24" s="23">
        <f t="shared" ca="1" si="19"/>
        <v>8.2282923728493218E-2</v>
      </c>
      <c r="BN24" s="95" t="s">
        <v>685</v>
      </c>
      <c r="BO24" s="93" t="s">
        <v>131</v>
      </c>
      <c r="BP24" s="93" t="s">
        <v>132</v>
      </c>
    </row>
    <row r="25" spans="1:68" ht="15" customHeight="1" x14ac:dyDescent="0.35">
      <c r="A25" s="86" t="e" vm="22">
        <v>#VALUE!</v>
      </c>
      <c r="B25" s="10" t="str">
        <f t="array" aca="1" ref="B25" ca="1">_FV(A25,"Símbolo bursátil",TRUE())</f>
        <v>LR</v>
      </c>
      <c r="C25" s="88" t="s">
        <v>107</v>
      </c>
      <c r="D25" s="88" t="s">
        <v>77</v>
      </c>
      <c r="E25" s="11" t="str">
        <f t="array" aca="1" ref="E25" ca="1">_FV(A25,"Abreviatura de intercambio",TRUE())</f>
        <v>XPAR</v>
      </c>
      <c r="F25" s="11" t="str">
        <f t="array" aca="1" ref="F25" ca="1">_FV(A25,"Moneda")</f>
        <v>EUR</v>
      </c>
      <c r="G25" s="12">
        <f t="array" aca="1" ref="G25" ca="1">_FV(A25,"Precio")</f>
        <v>136.5</v>
      </c>
      <c r="H25" s="13">
        <f t="array" aca="1" ref="H25" ca="1">_FV(A25,"Acciones en circulación",TRUE())/1000000</f>
        <v>262.2457</v>
      </c>
      <c r="I25" s="14">
        <f t="shared" ca="1" si="22"/>
        <v>35796.538050000003</v>
      </c>
      <c r="J25" s="91">
        <v>1</v>
      </c>
      <c r="K25" s="91">
        <v>6</v>
      </c>
      <c r="L25" s="91">
        <v>2</v>
      </c>
      <c r="M25" s="91">
        <v>1</v>
      </c>
      <c r="N25" s="91">
        <v>0</v>
      </c>
      <c r="O25" s="91">
        <v>1</v>
      </c>
      <c r="P25" s="91">
        <v>0</v>
      </c>
      <c r="Q25" s="91">
        <v>0</v>
      </c>
      <c r="R25" s="26">
        <f t="shared" si="1"/>
        <v>10</v>
      </c>
      <c r="S25" s="16">
        <f t="shared" si="2"/>
        <v>6.25</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6.98</v>
      </c>
      <c r="AO25" s="18" t="s">
        <v>87</v>
      </c>
      <c r="AP25" s="19">
        <v>1971</v>
      </c>
      <c r="AQ25" s="19">
        <v>7724</v>
      </c>
      <c r="AR25" s="19">
        <f t="shared" ca="1" si="21"/>
        <v>41549.538050000003</v>
      </c>
      <c r="AS25" s="19">
        <v>1340</v>
      </c>
      <c r="AT25" s="19">
        <v>1409</v>
      </c>
      <c r="AU25" s="19">
        <v>2319</v>
      </c>
      <c r="AV25" s="19">
        <v>10107</v>
      </c>
      <c r="AW25" s="20">
        <f t="shared" ca="1" si="9"/>
        <v>31.007117947761195</v>
      </c>
      <c r="AX25" s="20">
        <f t="shared" ca="1" si="10"/>
        <v>17.917006489866324</v>
      </c>
      <c r="AY25" s="20">
        <f t="shared" ca="1" si="11"/>
        <v>4.1109664638369452</v>
      </c>
      <c r="AZ25" s="21">
        <v>15683</v>
      </c>
      <c r="BA25" s="22">
        <f t="shared" si="12"/>
        <v>0.13940833085980014</v>
      </c>
      <c r="BB25" s="22">
        <f t="shared" si="13"/>
        <v>0.64445578014410509</v>
      </c>
      <c r="BC25" s="23">
        <f t="shared" si="14"/>
        <v>8.9842504622840019E-2</v>
      </c>
      <c r="BD25" s="98">
        <v>1794</v>
      </c>
      <c r="BE25" s="23">
        <f t="shared" si="15"/>
        <v>6.0091929105499542E-2</v>
      </c>
      <c r="BF25">
        <v>2696</v>
      </c>
      <c r="BG25" s="23">
        <f t="shared" si="16"/>
        <v>0.15006667139119911</v>
      </c>
      <c r="BH25" s="24">
        <v>13</v>
      </c>
      <c r="BI25" s="24">
        <v>24</v>
      </c>
      <c r="BJ25" s="25">
        <f t="shared" ca="1" si="23"/>
        <v>66.994425456737702</v>
      </c>
      <c r="BK25" s="25">
        <f t="shared" ca="1" si="24"/>
        <v>224.79300899881295</v>
      </c>
      <c r="BL25" s="23">
        <f t="shared" ca="1" si="18"/>
        <v>-0.13267632141108832</v>
      </c>
      <c r="BM25" s="23">
        <f t="shared" ca="1" si="19"/>
        <v>0.10491795222211375</v>
      </c>
      <c r="BN25" s="95" t="s">
        <v>685</v>
      </c>
      <c r="BO25" s="95" t="s">
        <v>128</v>
      </c>
      <c r="BP25" s="95" t="s">
        <v>147</v>
      </c>
    </row>
    <row r="26" spans="1:68" ht="15" customHeight="1" x14ac:dyDescent="0.35">
      <c r="A26" s="86" t="e" vm="23">
        <v>#VALUE!</v>
      </c>
      <c r="B26" s="10" t="str">
        <f t="array" aca="1" ref="B26" ca="1">_FV(A26,"Símbolo bursátil",TRUE())</f>
        <v>JDG</v>
      </c>
      <c r="C26" s="88" t="s">
        <v>114</v>
      </c>
      <c r="D26" s="88" t="s">
        <v>77</v>
      </c>
      <c r="E26" s="11" t="str">
        <f t="array" aca="1" ref="E26" ca="1">_FV(A26,"Abreviatura de intercambio",TRUE())</f>
        <v>XLON</v>
      </c>
      <c r="F26" s="11" t="str">
        <f t="array" aca="1" ref="F26" ca="1">_FV(A26,"Moneda")</f>
        <v>GBp</v>
      </c>
      <c r="G26" s="12">
        <f t="array" aca="1" ref="G26" ca="1">_FV(A26,"Precio")</f>
        <v>4050</v>
      </c>
      <c r="H26" s="13">
        <f t="array" aca="1" ref="H26" ca="1">_FV(A26,"Acciones en circulación",TRUE())/1000000</f>
        <v>6.6606899999999998</v>
      </c>
      <c r="I26" s="14">
        <f ca="1">G26/100*H26</f>
        <v>269.75794500000001</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115</v>
      </c>
      <c r="AP26" s="19">
        <v>19.399999999999999</v>
      </c>
      <c r="AQ26" s="19">
        <v>65.2</v>
      </c>
      <c r="AR26" s="19">
        <f t="shared" ca="1" si="21"/>
        <v>315.55794500000002</v>
      </c>
      <c r="AS26" s="19">
        <v>24.2</v>
      </c>
      <c r="AT26" s="19">
        <v>8.4</v>
      </c>
      <c r="AU26" s="19">
        <v>29.2</v>
      </c>
      <c r="AV26" s="19">
        <v>145.80000000000001</v>
      </c>
      <c r="AW26" s="20">
        <f t="shared" ca="1" si="9"/>
        <v>13.039584504132232</v>
      </c>
      <c r="AX26" s="20">
        <f t="shared" ca="1" si="10"/>
        <v>10.806778938356166</v>
      </c>
      <c r="AY26" s="20">
        <f t="shared" ca="1" si="11"/>
        <v>2.1643206104252402</v>
      </c>
      <c r="AZ26" s="21">
        <v>158</v>
      </c>
      <c r="BA26" s="22">
        <f t="shared" si="12"/>
        <v>5.761316872427983E-2</v>
      </c>
      <c r="BB26" s="22">
        <f t="shared" si="13"/>
        <v>0.92278481012658231</v>
      </c>
      <c r="BC26" s="23">
        <f t="shared" si="14"/>
        <v>5.3164556962025315E-2</v>
      </c>
      <c r="BD26" s="98">
        <v>25.9</v>
      </c>
      <c r="BE26" s="23">
        <f t="shared" si="15"/>
        <v>1.3670667699461791E-2</v>
      </c>
      <c r="BF26">
        <v>55.7</v>
      </c>
      <c r="BG26" s="23">
        <f t="shared" si="16"/>
        <v>0.18142992153499971</v>
      </c>
      <c r="BH26" s="24">
        <v>10</v>
      </c>
      <c r="BI26" s="24">
        <v>20</v>
      </c>
      <c r="BJ26" s="25">
        <f ca="1">(BD26*BH26+$AP26-$AQ26)/$H26*100</f>
        <v>3200.8695795780918</v>
      </c>
      <c r="BK26" s="25">
        <f ca="1">(BF26*BI26+$AP26-$AQ26)/$H26*100</f>
        <v>16037.377508936763</v>
      </c>
      <c r="BL26" s="23">
        <f t="shared" ca="1" si="18"/>
        <v>-4.596877066919991E-2</v>
      </c>
      <c r="BM26" s="23">
        <f t="shared" ca="1" si="19"/>
        <v>0.31684805256802173</v>
      </c>
      <c r="BN26" s="95" t="s">
        <v>685</v>
      </c>
      <c r="BO26" s="95" t="s">
        <v>150</v>
      </c>
      <c r="BP26" s="95" t="s">
        <v>688</v>
      </c>
    </row>
    <row r="27" spans="1:68" ht="15" customHeight="1" x14ac:dyDescent="0.35">
      <c r="A27" s="86" t="e" vm="24">
        <v>#VALUE!</v>
      </c>
      <c r="B27" s="10" t="str">
        <f t="array" aca="1" ref="B27" ca="1">_FV(A27,"Símbolo bursátil",TRUE())</f>
        <v>STMN</v>
      </c>
      <c r="C27" s="88" t="s">
        <v>114</v>
      </c>
      <c r="D27" s="88" t="s">
        <v>77</v>
      </c>
      <c r="E27" s="11" t="str">
        <f t="array" aca="1" ref="E27" ca="1">_FV(A27,"Abreviatura de intercambio",TRUE())</f>
        <v>XSWX</v>
      </c>
      <c r="F27" s="11" t="str">
        <f t="array" aca="1" ref="F27" ca="1">_FV(A27,"Moneda")</f>
        <v>CHF</v>
      </c>
      <c r="G27" s="12">
        <f t="array" aca="1" ref="G27" ca="1">_FV(A27,"Precio")</f>
        <v>91.54</v>
      </c>
      <c r="H27" s="13">
        <f t="array" aca="1" ref="H27" ca="1">_FV(A27,"Acciones en circulación",TRUE())/1000000</f>
        <v>159.45519999999999</v>
      </c>
      <c r="I27" s="14">
        <f t="shared" ref="I27:I60" ca="1" si="25">G27*H27</f>
        <v>14596.529008</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133</v>
      </c>
      <c r="AP27" s="19">
        <v>415</v>
      </c>
      <c r="AQ27" s="19">
        <v>475</v>
      </c>
      <c r="AR27" s="19">
        <f t="shared" ca="1" si="21"/>
        <v>14656.529008</v>
      </c>
      <c r="AS27" s="19">
        <v>384</v>
      </c>
      <c r="AT27" s="19">
        <v>528</v>
      </c>
      <c r="AU27" s="19">
        <v>779</v>
      </c>
      <c r="AV27" s="19">
        <v>2637</v>
      </c>
      <c r="AW27" s="20">
        <f t="shared" ca="1" si="9"/>
        <v>38.168044291666668</v>
      </c>
      <c r="AX27" s="20">
        <f t="shared" ca="1" si="10"/>
        <v>18.814543014120666</v>
      </c>
      <c r="AY27" s="20">
        <f t="shared" ca="1" si="11"/>
        <v>5.5580314781949181</v>
      </c>
      <c r="AZ27" s="21">
        <v>3139</v>
      </c>
      <c r="BA27" s="22">
        <f t="shared" si="12"/>
        <v>0.20022753128555176</v>
      </c>
      <c r="BB27" s="22">
        <f t="shared" si="13"/>
        <v>0.84007645747053206</v>
      </c>
      <c r="BC27" s="23">
        <f t="shared" si="14"/>
        <v>0.16820643517043646</v>
      </c>
      <c r="BD27" s="98">
        <v>514</v>
      </c>
      <c r="BE27" s="23">
        <f t="shared" si="15"/>
        <v>6.0050069698980524E-2</v>
      </c>
      <c r="BF27">
        <v>807</v>
      </c>
      <c r="BG27" s="23">
        <f t="shared" si="16"/>
        <v>0.160134820735226</v>
      </c>
      <c r="BH27" s="24">
        <v>18</v>
      </c>
      <c r="BI27" s="24">
        <v>25</v>
      </c>
      <c r="BJ27" s="25">
        <f t="shared" ref="BJ27:BJ32" ca="1" si="26">(BD27*BH27+$AP27-$AQ27)/$H27</f>
        <v>57.646285602476432</v>
      </c>
      <c r="BK27" s="25">
        <f t="shared" ref="BK27:BK32" ca="1" si="27">(BF27*BI27+$AP27-$AQ27)/$H27</f>
        <v>126.14828491011896</v>
      </c>
      <c r="BL27" s="23">
        <f t="shared" ca="1" si="18"/>
        <v>-8.8341712743059575E-2</v>
      </c>
      <c r="BM27" s="23">
        <f t="shared" ca="1" si="19"/>
        <v>6.6237833093061527E-2</v>
      </c>
      <c r="BN27" s="95" t="s">
        <v>685</v>
      </c>
      <c r="BO27" s="100" t="s">
        <v>134</v>
      </c>
      <c r="BP27" s="95" t="s">
        <v>108</v>
      </c>
    </row>
    <row r="28" spans="1:68" ht="15" customHeight="1" x14ac:dyDescent="0.3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565.05999999999995</v>
      </c>
      <c r="H28" s="13">
        <f t="array" aca="1" ref="H28" ca="1">_FV(A28,"Acciones en circulación",TRUE())/1000000</f>
        <v>2547.5059999999999</v>
      </c>
      <c r="I28" s="14">
        <f t="shared" ca="1" si="25"/>
        <v>1439493.7403599997</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6.66</v>
      </c>
      <c r="AO28" s="18" t="s">
        <v>78</v>
      </c>
      <c r="AP28" s="19">
        <v>90260</v>
      </c>
      <c r="AQ28" s="19">
        <v>112320</v>
      </c>
      <c r="AR28" s="19">
        <f t="shared" ca="1" si="21"/>
        <v>1461553.7403599997</v>
      </c>
      <c r="AS28" s="19">
        <v>85640</v>
      </c>
      <c r="AT28" s="19">
        <v>67631</v>
      </c>
      <c r="AU28" s="19">
        <v>109660</v>
      </c>
      <c r="AV28" s="19">
        <v>228250</v>
      </c>
      <c r="AW28" s="20">
        <f t="shared" ca="1" si="9"/>
        <v>17.066251055114428</v>
      </c>
      <c r="AX28" s="20">
        <f t="shared" ca="1" si="10"/>
        <v>13.328047969724601</v>
      </c>
      <c r="AY28" s="20">
        <f t="shared" ca="1" si="11"/>
        <v>6.4033022578751355</v>
      </c>
      <c r="AZ28" s="21">
        <v>393577</v>
      </c>
      <c r="BA28" s="22">
        <f t="shared" si="12"/>
        <v>0.29630230010952902</v>
      </c>
      <c r="BB28" s="22">
        <f t="shared" si="13"/>
        <v>0.57993734389966889</v>
      </c>
      <c r="BC28" s="23">
        <f t="shared" si="14"/>
        <v>0.17183676891688282</v>
      </c>
      <c r="BD28" s="98">
        <v>65043.1</v>
      </c>
      <c r="BE28" s="23">
        <f t="shared" si="15"/>
        <v>-5.3534223870456921E-2</v>
      </c>
      <c r="BF28">
        <v>179873.1</v>
      </c>
      <c r="BG28" s="23">
        <f t="shared" si="16"/>
        <v>0.15999979420395416</v>
      </c>
      <c r="BH28" s="24">
        <v>18</v>
      </c>
      <c r="BI28" s="24">
        <v>26</v>
      </c>
      <c r="BJ28" s="25">
        <f t="shared" ca="1" si="26"/>
        <v>450.91779960478999</v>
      </c>
      <c r="BK28" s="25">
        <f t="shared" ca="1" si="27"/>
        <v>1827.1362658223379</v>
      </c>
      <c r="BL28" s="23">
        <f t="shared" ca="1" si="18"/>
        <v>-4.4126189439631758E-2</v>
      </c>
      <c r="BM28" s="23">
        <f t="shared" ca="1" si="19"/>
        <v>0.26454787038117189</v>
      </c>
      <c r="BN28" s="95" t="s">
        <v>685</v>
      </c>
      <c r="BO28" s="93" t="s">
        <v>84</v>
      </c>
      <c r="BP28" s="93" t="s">
        <v>85</v>
      </c>
    </row>
    <row r="29" spans="1:68" ht="15" customHeight="1" x14ac:dyDescent="0.35">
      <c r="A29" s="86" t="e" vm="26">
        <v>#VALUE!</v>
      </c>
      <c r="B29" s="10" t="str">
        <f t="array" aca="1" ref="B29" ca="1">_FV(A29,"Símbolo bursátil",TRUE())</f>
        <v>KKR</v>
      </c>
      <c r="C29" s="88" t="s">
        <v>89</v>
      </c>
      <c r="D29" s="88" t="s">
        <v>77</v>
      </c>
      <c r="E29" s="11" t="str">
        <f t="array" aca="1" ref="E29" ca="1">_FV(A29,"Abreviatura de intercambio",TRUE())</f>
        <v>XNYS</v>
      </c>
      <c r="F29" s="11" t="str">
        <f t="array" aca="1" ref="F29" ca="1">_FV(A29,"Moneda")</f>
        <v>USD</v>
      </c>
      <c r="G29" s="12">
        <f t="array" aca="1" ref="G29" ca="1">_FV(A29,"Precio")</f>
        <v>107.58</v>
      </c>
      <c r="H29" s="13">
        <f t="array" aca="1" ref="H29" ca="1">_FV(A29,"Acciones en circulación",TRUE())/1000000</f>
        <v>897.63559999999995</v>
      </c>
      <c r="I29" s="14">
        <f t="shared" ca="1" si="25"/>
        <v>96567.637847999998</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6.83</v>
      </c>
      <c r="AO29" s="18" t="s">
        <v>78</v>
      </c>
      <c r="AP29" s="19">
        <v>21080</v>
      </c>
      <c r="AQ29" s="19">
        <v>56164</v>
      </c>
      <c r="AR29" s="19">
        <f t="shared" ca="1" si="21"/>
        <v>131651.63784799998</v>
      </c>
      <c r="AS29" s="19">
        <v>5000</v>
      </c>
      <c r="AT29" s="19">
        <v>5176</v>
      </c>
      <c r="AU29" s="19">
        <v>6752</v>
      </c>
      <c r="AV29" s="19">
        <v>25833</v>
      </c>
      <c r="AW29" s="20">
        <f t="shared" ca="1" si="9"/>
        <v>26.330327569599998</v>
      </c>
      <c r="AX29" s="20">
        <f t="shared" ca="1" si="10"/>
        <v>19.498169112559239</v>
      </c>
      <c r="AY29" s="20">
        <f t="shared" ca="1" si="11"/>
        <v>5.0962581909960125</v>
      </c>
      <c r="AZ29" s="21">
        <v>80000</v>
      </c>
      <c r="BA29" s="22">
        <f t="shared" si="12"/>
        <v>0.20036387566291178</v>
      </c>
      <c r="BB29" s="22">
        <f t="shared" si="13"/>
        <v>0.32291249999999999</v>
      </c>
      <c r="BC29" s="23">
        <f t="shared" si="14"/>
        <v>6.4699999999999994E-2</v>
      </c>
      <c r="BD29" s="98">
        <v>7013</v>
      </c>
      <c r="BE29" s="23">
        <f t="shared" si="15"/>
        <v>7.0007364782187942E-2</v>
      </c>
      <c r="BF29">
        <v>12442</v>
      </c>
      <c r="BG29" s="23">
        <f t="shared" si="16"/>
        <v>0.20000771595015565</v>
      </c>
      <c r="BH29" s="24">
        <v>15</v>
      </c>
      <c r="BI29" s="24">
        <v>25</v>
      </c>
      <c r="BJ29" s="25">
        <f t="shared" ca="1" si="26"/>
        <v>78.106305052963592</v>
      </c>
      <c r="BK29" s="25">
        <f t="shared" ca="1" si="27"/>
        <v>307.43655888870717</v>
      </c>
      <c r="BL29" s="23">
        <f t="shared" ca="1" si="18"/>
        <v>-6.2025761416033554E-2</v>
      </c>
      <c r="BM29" s="23">
        <f t="shared" ca="1" si="19"/>
        <v>0.23368644814706618</v>
      </c>
      <c r="BN29" s="95" t="s">
        <v>685</v>
      </c>
      <c r="BO29" s="95" t="s">
        <v>106</v>
      </c>
      <c r="BP29" s="95" t="s">
        <v>173</v>
      </c>
    </row>
    <row r="30" spans="1:68" ht="15" customHeight="1" x14ac:dyDescent="0.35">
      <c r="A30" s="86" t="e" vm="27">
        <v>#VALUE!</v>
      </c>
      <c r="B30" s="10" t="str">
        <f t="array" aca="1" ref="B30" ca="1">_FV(A30,"Símbolo bursátil",TRUE())</f>
        <v>NET</v>
      </c>
      <c r="C30" s="88" t="s">
        <v>99</v>
      </c>
      <c r="D30" s="88" t="s">
        <v>100</v>
      </c>
      <c r="E30" s="11" t="str">
        <f t="array" aca="1" ref="E30" ca="1">_FV(A30,"Abreviatura de intercambio",TRUE())</f>
        <v>XNYS</v>
      </c>
      <c r="F30" s="11" t="str">
        <f t="array" aca="1" ref="F30" ca="1">_FV(A30,"Moneda")</f>
        <v>USD</v>
      </c>
      <c r="G30" s="12">
        <f t="array" aca="1" ref="G30" ca="1">_FV(A30,"Precio")</f>
        <v>275.81</v>
      </c>
      <c r="H30" s="13">
        <f t="array" aca="1" ref="H30" ca="1">_FV(A30,"Acciones en circulación",TRUE())/1000000</f>
        <v>356.0797</v>
      </c>
      <c r="I30" s="14">
        <f t="shared" ca="1" si="25"/>
        <v>98210.342057000002</v>
      </c>
      <c r="J30" s="90">
        <v>1</v>
      </c>
      <c r="K30" s="90">
        <v>5</v>
      </c>
      <c r="L30" s="90">
        <v>3</v>
      </c>
      <c r="M30" s="90">
        <v>0</v>
      </c>
      <c r="N30" s="90">
        <v>0</v>
      </c>
      <c r="O30" s="90">
        <v>1</v>
      </c>
      <c r="P30" s="90">
        <v>1</v>
      </c>
      <c r="Q30" s="90">
        <v>0</v>
      </c>
      <c r="R30" s="15">
        <f t="shared" si="1"/>
        <v>10</v>
      </c>
      <c r="S30" s="16">
        <f t="shared" si="2"/>
        <v>6.25</v>
      </c>
      <c r="T30" s="90">
        <v>8</v>
      </c>
      <c r="U30" s="90">
        <v>13</v>
      </c>
      <c r="V30" s="90">
        <v>16</v>
      </c>
      <c r="W30" s="90">
        <v>9</v>
      </c>
      <c r="X30" s="90">
        <v>7</v>
      </c>
      <c r="Y30" s="90">
        <v>12</v>
      </c>
      <c r="Z30" s="90">
        <v>6</v>
      </c>
      <c r="AA30" s="90">
        <v>-12</v>
      </c>
      <c r="AB30" s="15">
        <f t="shared" si="3"/>
        <v>59</v>
      </c>
      <c r="AC30" s="16">
        <f t="shared" si="4"/>
        <v>5.9</v>
      </c>
      <c r="AD30" s="90">
        <v>13</v>
      </c>
      <c r="AE30" s="90">
        <v>-1</v>
      </c>
      <c r="AF30" s="90">
        <v>6</v>
      </c>
      <c r="AG30" s="90">
        <v>10</v>
      </c>
      <c r="AH30" s="90">
        <v>3</v>
      </c>
      <c r="AI30" s="90">
        <v>8</v>
      </c>
      <c r="AJ30" s="90">
        <v>11</v>
      </c>
      <c r="AK30" s="90">
        <v>-4</v>
      </c>
      <c r="AL30" s="15">
        <f t="shared" si="5"/>
        <v>46</v>
      </c>
      <c r="AM30" s="16">
        <f t="shared" si="6"/>
        <v>6.57</v>
      </c>
      <c r="AN30" s="17">
        <f t="shared" si="7"/>
        <v>6.24</v>
      </c>
      <c r="AO30" s="18" t="s">
        <v>78</v>
      </c>
      <c r="AP30" s="19">
        <v>4163</v>
      </c>
      <c r="AQ30" s="19">
        <v>3529</v>
      </c>
      <c r="AR30" s="19">
        <f t="shared" ca="1" si="21"/>
        <v>97576.342057000002</v>
      </c>
      <c r="AS30" s="19">
        <v>342</v>
      </c>
      <c r="AT30" s="19">
        <v>-195</v>
      </c>
      <c r="AU30" s="19">
        <v>-2</v>
      </c>
      <c r="AV30" s="19">
        <v>2512</v>
      </c>
      <c r="AW30" s="20">
        <f t="shared" ca="1" si="9"/>
        <v>285.31094168713452</v>
      </c>
      <c r="AX30" s="20">
        <f t="shared" ca="1" si="10"/>
        <v>-48788.171028500001</v>
      </c>
      <c r="AY30" s="20">
        <f t="shared" ca="1" si="11"/>
        <v>38.844085213773887</v>
      </c>
      <c r="AZ30" s="21">
        <v>3846</v>
      </c>
      <c r="BA30" s="22">
        <f t="shared" si="12"/>
        <v>-7.7627388535031844E-2</v>
      </c>
      <c r="BB30" s="22">
        <f t="shared" si="13"/>
        <v>0.65314612584503384</v>
      </c>
      <c r="BC30" s="23">
        <f t="shared" si="14"/>
        <v>-5.0702028081123243E-2</v>
      </c>
      <c r="BD30" s="98">
        <v>658</v>
      </c>
      <c r="BE30" s="23">
        <f t="shared" si="15"/>
        <v>0.1398296698745809</v>
      </c>
      <c r="BF30">
        <v>1175</v>
      </c>
      <c r="BG30" s="23">
        <f t="shared" si="16"/>
        <v>0.27997754896055094</v>
      </c>
      <c r="BH30" s="24">
        <v>20</v>
      </c>
      <c r="BI30" s="24">
        <v>30</v>
      </c>
      <c r="BJ30" s="25">
        <f t="shared" ca="1" si="26"/>
        <v>38.73851837102761</v>
      </c>
      <c r="BK30" s="25">
        <f t="shared" ca="1" si="27"/>
        <v>100.77519162142633</v>
      </c>
      <c r="BL30" s="23">
        <f t="shared" ca="1" si="18"/>
        <v>-0.32468468389562533</v>
      </c>
      <c r="BM30" s="23">
        <f t="shared" ca="1" si="19"/>
        <v>-0.18238523641727311</v>
      </c>
      <c r="BN30" s="95" t="s">
        <v>685</v>
      </c>
      <c r="BO30" s="95" t="s">
        <v>128</v>
      </c>
      <c r="BP30" s="95" t="s">
        <v>147</v>
      </c>
    </row>
    <row r="31" spans="1:68" ht="15" customHeight="1" x14ac:dyDescent="0.35">
      <c r="A31" s="86" t="e" vm="28">
        <v>#VALUE!</v>
      </c>
      <c r="B31" s="10" t="str">
        <f t="array" aca="1" ref="B31" ca="1">_FV(A31,"Símbolo bursátil",TRUE())</f>
        <v>CRWD</v>
      </c>
      <c r="C31" s="88" t="s">
        <v>99</v>
      </c>
      <c r="D31" s="88" t="s">
        <v>100</v>
      </c>
      <c r="E31" s="11" t="str">
        <f t="array" aca="1" ref="E31" ca="1">_FV(A31,"Abreviatura de intercambio",TRUE())</f>
        <v>XNAS</v>
      </c>
      <c r="F31" s="11" t="str">
        <f t="array" aca="1" ref="F31" ca="1">_FV(A31,"Moneda")</f>
        <v>USD</v>
      </c>
      <c r="G31" s="12">
        <f t="array" aca="1" ref="G31" ca="1">_FV(A31,"Precio")</f>
        <v>183.3</v>
      </c>
      <c r="H31" s="13">
        <f t="array" aca="1" ref="H31" ca="1">_FV(A31,"Acciones en circulación",TRUE())/1000000</f>
        <v>1018.322</v>
      </c>
      <c r="I31" s="14">
        <f t="shared" ca="1" si="25"/>
        <v>186658.42260000002</v>
      </c>
      <c r="J31" s="91">
        <v>1</v>
      </c>
      <c r="K31" s="91">
        <v>6</v>
      </c>
      <c r="L31" s="91">
        <v>2</v>
      </c>
      <c r="M31" s="91">
        <v>0</v>
      </c>
      <c r="N31" s="91">
        <v>0</v>
      </c>
      <c r="O31" s="91">
        <v>0</v>
      </c>
      <c r="P31" s="91">
        <v>1</v>
      </c>
      <c r="Q31" s="91">
        <v>0</v>
      </c>
      <c r="R31" s="26">
        <f t="shared" si="1"/>
        <v>10</v>
      </c>
      <c r="S31" s="16">
        <f t="shared" si="2"/>
        <v>6.25</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6.53</v>
      </c>
      <c r="AO31" s="18" t="s">
        <v>78</v>
      </c>
      <c r="AP31" s="19">
        <v>4550</v>
      </c>
      <c r="AQ31" s="19">
        <v>821</v>
      </c>
      <c r="AR31" s="19">
        <f t="shared" ca="1" si="21"/>
        <v>182929.42260000002</v>
      </c>
      <c r="AS31" s="19">
        <v>1510</v>
      </c>
      <c r="AT31" s="19">
        <v>-160</v>
      </c>
      <c r="AU31" s="19">
        <v>59</v>
      </c>
      <c r="AV31" s="19">
        <v>5090</v>
      </c>
      <c r="AW31" s="20">
        <f t="shared" ca="1" si="9"/>
        <v>121.14531298013246</v>
      </c>
      <c r="AX31" s="20">
        <f t="shared" ca="1" si="10"/>
        <v>3100.4986881355935</v>
      </c>
      <c r="AY31" s="20">
        <f t="shared" ca="1" si="11"/>
        <v>35.938982829076622</v>
      </c>
      <c r="AZ31" s="21">
        <v>7154</v>
      </c>
      <c r="BA31" s="22">
        <f t="shared" si="12"/>
        <v>-3.1434184675834968E-2</v>
      </c>
      <c r="BB31" s="22">
        <f t="shared" si="13"/>
        <v>0.71149007548224774</v>
      </c>
      <c r="BC31" s="23">
        <f t="shared" si="14"/>
        <v>-2.2365110427732735E-2</v>
      </c>
      <c r="BD31" s="98">
        <v>2661.4</v>
      </c>
      <c r="BE31" s="23">
        <f t="shared" si="15"/>
        <v>0.12002222612003988</v>
      </c>
      <c r="BF31">
        <v>4795.5</v>
      </c>
      <c r="BG31" s="23">
        <f t="shared" si="16"/>
        <v>0.26000245008299205</v>
      </c>
      <c r="BH31" s="24">
        <v>20</v>
      </c>
      <c r="BI31" s="24">
        <v>30</v>
      </c>
      <c r="BJ31" s="25">
        <f t="shared" ca="1" si="26"/>
        <v>55.932210047509528</v>
      </c>
      <c r="BK31" s="25">
        <f t="shared" ca="1" si="27"/>
        <v>144.93843794006219</v>
      </c>
      <c r="BL31" s="23">
        <f t="shared" ca="1" si="18"/>
        <v>-0.21132167938899171</v>
      </c>
      <c r="BM31" s="23">
        <f t="shared" ca="1" si="19"/>
        <v>-4.5877313596097258E-2</v>
      </c>
      <c r="BN31" s="96" t="s">
        <v>685</v>
      </c>
      <c r="BO31" t="s">
        <v>80</v>
      </c>
      <c r="BP31" t="s">
        <v>101</v>
      </c>
    </row>
    <row r="32" spans="1:68" ht="15" customHeight="1" x14ac:dyDescent="0.3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343.32510000000002</v>
      </c>
      <c r="H32" s="13">
        <f t="array" aca="1" ref="H32" ca="1">_FV(A32,"Acciones en circulación",TRUE())/1000000</f>
        <v>12230</v>
      </c>
      <c r="I32" s="14">
        <f t="shared" ca="1" si="25"/>
        <v>4198865.9730000002</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6</v>
      </c>
      <c r="AG32" s="90">
        <v>11</v>
      </c>
      <c r="AH32" s="90">
        <v>4</v>
      </c>
      <c r="AI32" s="90">
        <v>7</v>
      </c>
      <c r="AJ32" s="90">
        <v>13</v>
      </c>
      <c r="AK32" s="90">
        <v>-6</v>
      </c>
      <c r="AL32" s="15">
        <f t="shared" si="5"/>
        <v>43</v>
      </c>
      <c r="AM32" s="16">
        <f t="shared" si="6"/>
        <v>6.14</v>
      </c>
      <c r="AN32" s="17">
        <f t="shared" si="7"/>
        <v>6.6</v>
      </c>
      <c r="AO32" s="18" t="s">
        <v>78</v>
      </c>
      <c r="AP32" s="19">
        <v>242470</v>
      </c>
      <c r="AQ32" s="19">
        <v>120790</v>
      </c>
      <c r="AR32" s="19">
        <f t="shared" ca="1" si="21"/>
        <v>4077185.9730000002</v>
      </c>
      <c r="AS32" s="19">
        <v>119475</v>
      </c>
      <c r="AT32" s="19">
        <v>120466</v>
      </c>
      <c r="AU32" s="19">
        <v>173160</v>
      </c>
      <c r="AV32" s="19">
        <v>445870</v>
      </c>
      <c r="AW32" s="20">
        <f t="shared" ca="1" si="9"/>
        <v>34.125850370370372</v>
      </c>
      <c r="AX32" s="20">
        <f t="shared" ca="1" si="10"/>
        <v>23.54577253984754</v>
      </c>
      <c r="AY32" s="20">
        <f t="shared" ca="1" si="11"/>
        <v>9.1443379751945635</v>
      </c>
      <c r="AZ32" s="21">
        <v>795872</v>
      </c>
      <c r="BA32" s="22">
        <f t="shared" si="12"/>
        <v>0.27018189158274836</v>
      </c>
      <c r="BB32" s="22">
        <f t="shared" si="13"/>
        <v>0.5602282779140364</v>
      </c>
      <c r="BC32" s="23">
        <f t="shared" si="14"/>
        <v>0.15136353584495998</v>
      </c>
      <c r="BD32" s="98">
        <v>152483.6</v>
      </c>
      <c r="BE32" s="23">
        <f t="shared" si="15"/>
        <v>4.999980763361922E-2</v>
      </c>
      <c r="BF32">
        <v>240307.20000000001</v>
      </c>
      <c r="BG32" s="23">
        <f t="shared" si="16"/>
        <v>0.15000028715511782</v>
      </c>
      <c r="BH32" s="24">
        <v>20</v>
      </c>
      <c r="BI32" s="24">
        <v>30</v>
      </c>
      <c r="BJ32" s="25">
        <f t="shared" ca="1" si="26"/>
        <v>259.30923957481605</v>
      </c>
      <c r="BK32" s="25">
        <f t="shared" ca="1" si="27"/>
        <v>599.41913327882253</v>
      </c>
      <c r="BL32" s="23">
        <f t="shared" ca="1" si="18"/>
        <v>-5.4585002792887805E-2</v>
      </c>
      <c r="BM32" s="23">
        <f t="shared" ca="1" si="19"/>
        <v>0.11790528475856199</v>
      </c>
      <c r="BN32" s="95" t="s">
        <v>685</v>
      </c>
      <c r="BO32" s="93" t="s">
        <v>136</v>
      </c>
      <c r="BP32" s="93" t="s">
        <v>132</v>
      </c>
    </row>
    <row r="33" spans="1:68" ht="15" customHeight="1" x14ac:dyDescent="0.35">
      <c r="A33" s="86" t="e" vm="30">
        <v>#VALUE!</v>
      </c>
      <c r="B33" s="10" t="str">
        <f t="array" aca="1" ref="B33" ca="1">_FV(A33,"Símbolo bursátil",TRUE())</f>
        <v>ABBNE</v>
      </c>
      <c r="C33" s="88" t="s">
        <v>107</v>
      </c>
      <c r="D33" s="88" t="s">
        <v>77</v>
      </c>
      <c r="E33" s="11" t="str">
        <f t="array" aca="1" ref="E33" ca="1">_FV(A33,"Abreviatura de intercambio",TRUE())</f>
        <v>XSWX</v>
      </c>
      <c r="F33" s="11" t="str">
        <f t="array" aca="1" ref="F33" ca="1">_FV(A33,"Moneda")</f>
        <v>CHF</v>
      </c>
      <c r="G33" s="12">
        <f t="array" aca="1" ref="G33" ca="1">_FV(A33,"Precio")</f>
        <v>79.86</v>
      </c>
      <c r="H33" s="13">
        <f t="array" aca="1" ref="H33" ca="1">_FV(A33,"Acciones en circulación",TRUE())/1000000</f>
        <v>1823.154</v>
      </c>
      <c r="I33" s="14">
        <f t="shared" ca="1" si="25"/>
        <v>145597.07844000001</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5860</v>
      </c>
      <c r="AQ33" s="19">
        <v>9150</v>
      </c>
      <c r="AR33" s="19">
        <f ca="1">I33*'Framework Notes'!E5-AP33+AQ33</f>
        <v>184718.519444084</v>
      </c>
      <c r="AS33" s="19">
        <v>4870</v>
      </c>
      <c r="AT33" s="19">
        <v>4811</v>
      </c>
      <c r="AU33" s="19">
        <v>7150</v>
      </c>
      <c r="AV33" s="19">
        <v>35750</v>
      </c>
      <c r="AW33" s="20">
        <f t="shared" ca="1" si="9"/>
        <v>37.929880789339627</v>
      </c>
      <c r="AX33" s="20">
        <f t="shared" ca="1" si="10"/>
        <v>25.834757964207551</v>
      </c>
      <c r="AY33" s="20">
        <f t="shared" ca="1" si="11"/>
        <v>5.1669515928415102</v>
      </c>
      <c r="AZ33" s="21">
        <v>27296</v>
      </c>
      <c r="BA33" s="22">
        <f t="shared" si="12"/>
        <v>0.13457342657342658</v>
      </c>
      <c r="BB33" s="22">
        <f t="shared" si="13"/>
        <v>1.3097157092614302</v>
      </c>
      <c r="BC33" s="23">
        <f t="shared" si="14"/>
        <v>0.17625293083235638</v>
      </c>
      <c r="BD33" s="98">
        <v>5925.2</v>
      </c>
      <c r="BE33" s="23">
        <f t="shared" si="15"/>
        <v>4.0003523289857901E-2</v>
      </c>
      <c r="BF33">
        <v>8582.7999999999993</v>
      </c>
      <c r="BG33" s="23">
        <f t="shared" si="16"/>
        <v>0.1200051154905597</v>
      </c>
      <c r="BH33" s="24">
        <v>14</v>
      </c>
      <c r="BI33" s="24">
        <v>25</v>
      </c>
      <c r="BJ33" s="25">
        <f ca="1">((BD33*BH33+$AP33-$AQ33)/$H33)/'Framework Notes'!E5</f>
        <v>35.065441902372577</v>
      </c>
      <c r="BK33" s="25">
        <f ca="1">((BF33*BI33+$AP33-$AQ33)/$H33)/'Framework Notes'!E5</f>
        <v>92.99982633215599</v>
      </c>
      <c r="BL33" s="23">
        <f t="shared" ca="1" si="18"/>
        <v>-0.15177708262240708</v>
      </c>
      <c r="BM33" s="23">
        <f t="shared" ca="1" si="19"/>
        <v>3.0933296240593267E-2</v>
      </c>
      <c r="BN33" s="95" t="s">
        <v>685</v>
      </c>
      <c r="BO33" s="93" t="s">
        <v>137</v>
      </c>
      <c r="BP33" s="93" t="s">
        <v>125</v>
      </c>
    </row>
    <row r="34" spans="1:68" ht="15" customHeight="1" x14ac:dyDescent="0.35">
      <c r="A34" s="86" t="e" vm="31">
        <v>#VALUE!</v>
      </c>
      <c r="B34" s="10" t="str">
        <f t="array" aca="1" ref="B34" ca="1">_FV(A34,"Símbolo bursátil",TRUE())</f>
        <v>GRMN</v>
      </c>
      <c r="C34" s="88" t="s">
        <v>138</v>
      </c>
      <c r="D34" s="88" t="s">
        <v>77</v>
      </c>
      <c r="E34" s="11" t="str">
        <f t="array" aca="1" ref="E34" ca="1">_FV(A34,"Abreviatura de intercambio",TRUE())</f>
        <v>XNYS</v>
      </c>
      <c r="F34" s="11" t="str">
        <f t="array" aca="1" ref="F34" ca="1">_FV(A34,"Moneda")</f>
        <v>USD</v>
      </c>
      <c r="G34" s="12">
        <f t="array" aca="1" ref="G34" ca="1">_FV(A34,"Precio")</f>
        <v>289.07</v>
      </c>
      <c r="H34" s="13">
        <f t="array" aca="1" ref="H34" ca="1">_FV(A34,"Acciones en circulación",TRUE())/1000000</f>
        <v>192.85249999999999</v>
      </c>
      <c r="I34" s="14">
        <f t="shared" ca="1" si="25"/>
        <v>55747.872174999997</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2670</v>
      </c>
      <c r="AQ34" s="19">
        <v>227</v>
      </c>
      <c r="AR34" s="19">
        <f ca="1">I34-AP34+AQ34</f>
        <v>53304.872174999997</v>
      </c>
      <c r="AS34" s="19">
        <v>1600</v>
      </c>
      <c r="AT34" s="19">
        <v>1754</v>
      </c>
      <c r="AU34" s="19">
        <v>2310</v>
      </c>
      <c r="AV34" s="19">
        <v>7670</v>
      </c>
      <c r="AW34" s="20">
        <f t="shared" ca="1" si="9"/>
        <v>33.315545109374995</v>
      </c>
      <c r="AX34" s="20">
        <f t="shared" ca="1" si="10"/>
        <v>23.075702240259737</v>
      </c>
      <c r="AY34" s="20">
        <f t="shared" ca="1" si="11"/>
        <v>6.9497877672750974</v>
      </c>
      <c r="AZ34" s="21">
        <v>9341</v>
      </c>
      <c r="BA34" s="22">
        <f t="shared" si="12"/>
        <v>0.22868318122555412</v>
      </c>
      <c r="BB34" s="22">
        <f t="shared" si="13"/>
        <v>0.82111123006102127</v>
      </c>
      <c r="BC34" s="23">
        <f t="shared" si="14"/>
        <v>0.18777432823038218</v>
      </c>
      <c r="BD34" s="98">
        <v>1947.1</v>
      </c>
      <c r="BE34" s="23">
        <f t="shared" si="15"/>
        <v>4.0048650492360505E-2</v>
      </c>
      <c r="BF34">
        <v>2947.7</v>
      </c>
      <c r="BG34" s="23">
        <f t="shared" si="16"/>
        <v>0.12998495129674725</v>
      </c>
      <c r="BH34" s="24">
        <v>18</v>
      </c>
      <c r="BI34" s="24">
        <v>26</v>
      </c>
      <c r="BJ34" s="25">
        <f ca="1">(BD34*BH34+$AP34-$AQ34)/$H34</f>
        <v>194.40142077494457</v>
      </c>
      <c r="BK34" s="25">
        <f ca="1">(BF34*BI34+$AP34-$AQ34)/$H34</f>
        <v>410.0709091144787</v>
      </c>
      <c r="BL34" s="23">
        <f t="shared" ca="1" si="18"/>
        <v>-7.628226402961813E-2</v>
      </c>
      <c r="BM34" s="23">
        <f t="shared" ca="1" si="19"/>
        <v>7.2435514956375791E-2</v>
      </c>
      <c r="BN34" s="95" t="s">
        <v>685</v>
      </c>
      <c r="BO34" s="93" t="s">
        <v>84</v>
      </c>
      <c r="BP34" s="93" t="s">
        <v>108</v>
      </c>
    </row>
    <row r="35" spans="1:68" ht="15" customHeight="1" x14ac:dyDescent="0.35">
      <c r="A35" s="86" t="e" vm="32">
        <v>#VALUE!</v>
      </c>
      <c r="B35" s="10" t="str">
        <f t="array" aca="1" ref="B35" ca="1">_FV(A35,"Símbolo bursátil",TRUE())</f>
        <v>KRX</v>
      </c>
      <c r="C35" s="88" t="s">
        <v>139</v>
      </c>
      <c r="D35" s="88" t="s">
        <v>77</v>
      </c>
      <c r="E35" s="11" t="s">
        <v>609</v>
      </c>
      <c r="F35" s="11" t="str">
        <f t="array" aca="1" ref="F35" ca="1">_FV(A35,"Moneda")</f>
        <v>EUR</v>
      </c>
      <c r="G35" s="12">
        <f t="array" aca="1" ref="G35" ca="1">_FV(A35,"Precio")</f>
        <v>102.2</v>
      </c>
      <c r="H35" s="13">
        <f t="array" aca="1" ref="H35" ca="1">_FV(A35,"Acciones en circulación",TRUE())/1000000</f>
        <v>180.3699</v>
      </c>
      <c r="I35" s="14">
        <f t="shared" ca="1" si="25"/>
        <v>18433.803780000002</v>
      </c>
      <c r="J35" s="91">
        <v>1</v>
      </c>
      <c r="K35" s="91">
        <v>5</v>
      </c>
      <c r="L35" s="91">
        <v>2</v>
      </c>
      <c r="M35" s="91">
        <v>0</v>
      </c>
      <c r="N35" s="91">
        <v>0</v>
      </c>
      <c r="O35" s="91">
        <v>0</v>
      </c>
      <c r="P35" s="91">
        <v>1</v>
      </c>
      <c r="Q35" s="91">
        <v>1</v>
      </c>
      <c r="R35" s="26">
        <f t="shared" si="1"/>
        <v>10</v>
      </c>
      <c r="S35" s="16">
        <f t="shared" si="2"/>
        <v>6.25</v>
      </c>
      <c r="T35" s="91">
        <v>12</v>
      </c>
      <c r="U35" s="91">
        <v>13</v>
      </c>
      <c r="V35" s="91">
        <v>14</v>
      </c>
      <c r="W35" s="91">
        <v>9</v>
      </c>
      <c r="X35" s="91">
        <v>7</v>
      </c>
      <c r="Y35" s="91">
        <v>11</v>
      </c>
      <c r="Z35" s="91">
        <v>8</v>
      </c>
      <c r="AA35" s="91">
        <v>-9</v>
      </c>
      <c r="AB35" s="26">
        <f t="shared" si="3"/>
        <v>65</v>
      </c>
      <c r="AC35" s="16">
        <f t="shared" si="4"/>
        <v>6.5</v>
      </c>
      <c r="AD35" s="91">
        <v>12</v>
      </c>
      <c r="AE35" s="91">
        <v>-2</v>
      </c>
      <c r="AF35" s="91">
        <v>4</v>
      </c>
      <c r="AG35" s="91">
        <v>11</v>
      </c>
      <c r="AH35" s="91">
        <v>2</v>
      </c>
      <c r="AI35" s="91">
        <v>8</v>
      </c>
      <c r="AJ35" s="91">
        <v>10</v>
      </c>
      <c r="AK35" s="91">
        <v>-4</v>
      </c>
      <c r="AL35" s="26">
        <f t="shared" si="5"/>
        <v>41</v>
      </c>
      <c r="AM35" s="16">
        <f t="shared" si="6"/>
        <v>5.86</v>
      </c>
      <c r="AN35" s="17">
        <f t="shared" si="7"/>
        <v>6.19</v>
      </c>
      <c r="AO35" s="18" t="s">
        <v>87</v>
      </c>
      <c r="AP35" s="19">
        <v>590</v>
      </c>
      <c r="AQ35" s="19">
        <v>2450</v>
      </c>
      <c r="AR35" s="19">
        <f ca="1">I35-AP35+AQ35</f>
        <v>20293.803780000002</v>
      </c>
      <c r="AS35" s="19">
        <v>594</v>
      </c>
      <c r="AT35" s="19">
        <v>780</v>
      </c>
      <c r="AU35" s="19">
        <v>1277</v>
      </c>
      <c r="AV35" s="19">
        <v>9561</v>
      </c>
      <c r="AW35" s="20">
        <f t="shared" ca="1" si="9"/>
        <v>34.164652828282833</v>
      </c>
      <c r="AX35" s="20">
        <f t="shared" ca="1" si="10"/>
        <v>15.891780563821458</v>
      </c>
      <c r="AY35" s="20">
        <f t="shared" ca="1" si="11"/>
        <v>2.1225607969877629</v>
      </c>
      <c r="AZ35" s="21">
        <v>6500</v>
      </c>
      <c r="BA35" s="22">
        <f t="shared" si="12"/>
        <v>8.1581424537182298E-2</v>
      </c>
      <c r="BB35" s="22">
        <f t="shared" si="13"/>
        <v>1.470923076923077</v>
      </c>
      <c r="BC35" s="23">
        <f t="shared" si="14"/>
        <v>0.12</v>
      </c>
      <c r="BD35" s="98">
        <v>723</v>
      </c>
      <c r="BE35" s="23">
        <f t="shared" si="15"/>
        <v>4.0088681882963773E-2</v>
      </c>
      <c r="BF35">
        <v>1195</v>
      </c>
      <c r="BG35" s="23">
        <f t="shared" si="16"/>
        <v>0.15004886065720457</v>
      </c>
      <c r="BH35" s="24">
        <v>14</v>
      </c>
      <c r="BI35" s="24">
        <v>22</v>
      </c>
      <c r="BJ35" s="25">
        <f ca="1">(BD35*BH35+$AP35-$AQ35)/$H35</f>
        <v>45.805868939329677</v>
      </c>
      <c r="BK35" s="25">
        <f ca="1">(BF35*BI35+$AP35-$AQ35)/$H35</f>
        <v>135.44388503846818</v>
      </c>
      <c r="BL35" s="23">
        <f t="shared" ca="1" si="18"/>
        <v>-0.14828548995806867</v>
      </c>
      <c r="BM35" s="23">
        <f t="shared" ca="1" si="19"/>
        <v>5.7941616311690369E-2</v>
      </c>
      <c r="BN35" s="95" t="s">
        <v>685</v>
      </c>
      <c r="BO35" s="95" t="s">
        <v>104</v>
      </c>
      <c r="BP35" s="95" t="s">
        <v>689</v>
      </c>
    </row>
    <row r="36" spans="1:68" ht="15" customHeight="1" x14ac:dyDescent="0.35">
      <c r="A36" s="86" t="e" vm="33">
        <v>#VALUE!</v>
      </c>
      <c r="B36" s="10" t="str">
        <f t="array" aca="1" ref="B36" ca="1">_FV(A36,"Símbolo bursátil",TRUE())</f>
        <v>KSPI</v>
      </c>
      <c r="C36" s="88" t="s">
        <v>86</v>
      </c>
      <c r="D36" s="88" t="s">
        <v>100</v>
      </c>
      <c r="E36" s="11" t="str">
        <f t="array" aca="1" ref="E36" ca="1">_FV(A36,"Abreviatura de intercambio",TRUE())</f>
        <v>XNAS</v>
      </c>
      <c r="F36" s="11" t="str">
        <f t="array" aca="1" ref="F36" ca="1">_FV(A36,"Moneda")</f>
        <v>USD</v>
      </c>
      <c r="G36" s="12">
        <f t="array" aca="1" ref="G36" ca="1">_FV(A36,"Precio")</f>
        <v>108.17</v>
      </c>
      <c r="H36" s="13">
        <f t="array" aca="1" ref="H36" ca="1">_FV(A36,"Acciones en circulación",TRUE())/1000000</f>
        <v>189.33349999999999</v>
      </c>
      <c r="I36" s="14">
        <f t="shared" ca="1" si="25"/>
        <v>20480.204695</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140</v>
      </c>
      <c r="AP36" s="19">
        <v>900000</v>
      </c>
      <c r="AQ36" s="19">
        <v>100000</v>
      </c>
      <c r="AR36" s="19">
        <f ca="1">I36*'Framework Notes'!E6-AP36+AQ36</f>
        <v>8575428.1052770987</v>
      </c>
      <c r="AS36" s="19">
        <v>940085</v>
      </c>
      <c r="AT36" s="19">
        <v>1065825</v>
      </c>
      <c r="AU36" s="19">
        <v>1606052</v>
      </c>
      <c r="AV36" s="19">
        <v>4449504</v>
      </c>
      <c r="AW36" s="20">
        <f t="shared" ref="AW36:AW66" ca="1" si="35">AR36/AS36</f>
        <v>9.1219709975981953</v>
      </c>
      <c r="AX36" s="20">
        <f t="shared" ref="AX36:AX66" ca="1" si="36">AR36/AU36</f>
        <v>5.3394461108837685</v>
      </c>
      <c r="AY36" s="20">
        <f t="shared" ref="AY36:AY66" ca="1" si="37">AR36/AV36</f>
        <v>1.9272773111962813</v>
      </c>
      <c r="AZ36" s="21">
        <v>2601577</v>
      </c>
      <c r="BA36" s="22">
        <f t="shared" ref="BA36:BA66" si="38">AT36/AV36</f>
        <v>0.23953793501477919</v>
      </c>
      <c r="BB36" s="22">
        <f t="shared" ref="BB36:BB66" si="39">AV36/AZ36</f>
        <v>1.7103103233154353</v>
      </c>
      <c r="BC36" s="23">
        <f t="shared" ref="BC36:BC67" si="40">BA36*BB36</f>
        <v>0.40968420308143871</v>
      </c>
      <c r="BD36" s="98">
        <v>785000</v>
      </c>
      <c r="BE36" s="23">
        <f t="shared" ref="BE36:BE67" si="41">(BD36/AS36)^(1/5)-1</f>
        <v>-3.541499404818127E-2</v>
      </c>
      <c r="BF36">
        <v>2735000</v>
      </c>
      <c r="BG36" s="23">
        <f t="shared" ref="BG36:BG67" si="42">(BF36/AS36)^(1/5)-1</f>
        <v>0.23810660798655969</v>
      </c>
      <c r="BH36" s="24">
        <v>8</v>
      </c>
      <c r="BI36" s="24">
        <v>15</v>
      </c>
      <c r="BJ36" s="25">
        <f ca="1">((BD36*BH36+$AP36-$AQ36)/$H36)/'Framework Notes'!E6</f>
        <v>81.68625383292455</v>
      </c>
      <c r="BK36" s="25">
        <f ca="1">((BF36*BI36+$AP36-$AQ36)/$H36)/'Framework Notes'!E6</f>
        <v>482.56039075735447</v>
      </c>
      <c r="BL36" s="23">
        <f t="shared" ref="BL36:BL64" ca="1" si="43">($BJ36/G36)^(1/5)-1</f>
        <v>-5.4615603614305841E-2</v>
      </c>
      <c r="BM36" s="23">
        <f t="shared" ref="BM36:BM71" ca="1" si="44">(BK36/G36)^(1/5)-1</f>
        <v>0.34861805110601995</v>
      </c>
      <c r="BN36" s="96" t="s">
        <v>685</v>
      </c>
      <c r="BO36" t="s">
        <v>141</v>
      </c>
      <c r="BP36" s="96" t="s">
        <v>690</v>
      </c>
    </row>
    <row r="37" spans="1:68" ht="15" customHeight="1" x14ac:dyDescent="0.35">
      <c r="A37" s="86" t="e" vm="34">
        <v>#VALUE!</v>
      </c>
      <c r="B37" s="10" t="str">
        <f t="array" aca="1" ref="B37" ca="1">_FV(A37,"Símbolo bursátil",TRUE())</f>
        <v>CBAV</v>
      </c>
      <c r="C37" s="88" t="s">
        <v>114</v>
      </c>
      <c r="D37" s="88" t="s">
        <v>77</v>
      </c>
      <c r="E37" s="11" t="str">
        <f t="array" aca="1" ref="E37" ca="1">_FV(A37,"Abreviatura de intercambio",TRUE())</f>
        <v>BMEX</v>
      </c>
      <c r="F37" s="11" t="str">
        <f t="array" aca="1" ref="F37" ca="1">_FV(A37,"Moneda")</f>
        <v>EUR</v>
      </c>
      <c r="G37" s="12">
        <f t="array" aca="1" ref="G37" ca="1">_FV(A37,"Precio")</f>
        <v>59</v>
      </c>
      <c r="H37" s="13">
        <f t="array" aca="1" ref="H37" ca="1">_FV(A37,"Acciones en circulación",TRUE())/1000000</f>
        <v>16.307580000000002</v>
      </c>
      <c r="I37" s="14">
        <f t="shared" ca="1" si="25"/>
        <v>962.14722000000006</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87</v>
      </c>
      <c r="AP37" s="19">
        <v>51.6</v>
      </c>
      <c r="AQ37" s="19">
        <v>70</v>
      </c>
      <c r="AR37" s="19">
        <f ca="1">I37-AP37+AQ37</f>
        <v>980.54722000000004</v>
      </c>
      <c r="AS37" s="19">
        <v>42</v>
      </c>
      <c r="AT37" s="19">
        <v>50</v>
      </c>
      <c r="AU37" s="19">
        <v>95</v>
      </c>
      <c r="AV37" s="19">
        <v>320</v>
      </c>
      <c r="AW37" s="20">
        <f t="shared" ca="1" si="35"/>
        <v>23.346362380952382</v>
      </c>
      <c r="AX37" s="20">
        <f t="shared" ca="1" si="36"/>
        <v>10.321549684210527</v>
      </c>
      <c r="AY37" s="20">
        <f t="shared" ca="1" si="37"/>
        <v>3.0642100624999999</v>
      </c>
      <c r="AZ37" s="21">
        <v>220</v>
      </c>
      <c r="BA37" s="22">
        <f t="shared" si="38"/>
        <v>0.15625</v>
      </c>
      <c r="BB37" s="22">
        <f t="shared" si="39"/>
        <v>1.4545454545454546</v>
      </c>
      <c r="BC37" s="23">
        <f t="shared" si="40"/>
        <v>0.22727272727272729</v>
      </c>
      <c r="BD37" s="98">
        <v>56</v>
      </c>
      <c r="BE37" s="23">
        <f t="shared" si="41"/>
        <v>5.9223841048812176E-2</v>
      </c>
      <c r="BF37" t="s">
        <v>142</v>
      </c>
      <c r="BG37" s="23">
        <f t="shared" si="42"/>
        <v>0.16978946918768023</v>
      </c>
      <c r="BH37" s="24">
        <v>12</v>
      </c>
      <c r="BI37" s="24">
        <v>16.5</v>
      </c>
      <c r="BJ37" s="25">
        <f ca="1">(BD37*BH37+$AP37-$AQ37)/$H37</f>
        <v>40.07952130236368</v>
      </c>
      <c r="BK37" s="25">
        <f ca="1">(BF37*BI37+$AP37-$AQ37)/$H37</f>
        <v>91.957237063991087</v>
      </c>
      <c r="BL37" s="23">
        <f t="shared" ca="1" si="43"/>
        <v>-7.441969937976034E-2</v>
      </c>
      <c r="BM37" s="23">
        <f t="shared" ca="1" si="44"/>
        <v>9.2815334580940823E-2</v>
      </c>
      <c r="BN37" s="95" t="s">
        <v>685</v>
      </c>
      <c r="BO37" s="100" t="s">
        <v>84</v>
      </c>
      <c r="BP37" s="95" t="s">
        <v>687</v>
      </c>
    </row>
    <row r="38" spans="1:68" ht="15" customHeight="1" x14ac:dyDescent="0.35">
      <c r="A38" s="86" t="e" vm="35">
        <v>#VALUE!</v>
      </c>
      <c r="B38" s="10" t="str">
        <f t="array" aca="1" ref="B38" ca="1">_FV(A38,"Símbolo bursátil",TRUE())</f>
        <v>NVDA</v>
      </c>
      <c r="C38" s="88" t="s">
        <v>143</v>
      </c>
      <c r="D38" s="88" t="s">
        <v>100</v>
      </c>
      <c r="E38" s="11" t="str">
        <f t="array" aca="1" ref="E38" ca="1">_FV(A38,"Abreviatura de intercambio",TRUE())</f>
        <v>XNAS</v>
      </c>
      <c r="F38" s="11" t="str">
        <f t="array" aca="1" ref="F38" ca="1">_FV(A38,"Moneda")</f>
        <v>USD</v>
      </c>
      <c r="G38" s="12">
        <f t="array" aca="1" ref="G38" ca="1">_FV(A38,"Precio")</f>
        <v>212.26660000000001</v>
      </c>
      <c r="H38" s="13">
        <f t="array" aca="1" ref="H38" ca="1">_FV(A38,"Acciones en circulación",TRUE())/1000000</f>
        <v>24200</v>
      </c>
      <c r="I38" s="14">
        <f t="shared" ca="1" si="25"/>
        <v>5136851.7200000007</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53170</v>
      </c>
      <c r="AQ38" s="19">
        <v>12810</v>
      </c>
      <c r="AR38" s="19">
        <f ca="1">I38-AP38+AQ38</f>
        <v>5096491.7200000007</v>
      </c>
      <c r="AS38" s="19">
        <v>122365</v>
      </c>
      <c r="AT38" s="19">
        <v>136729</v>
      </c>
      <c r="AU38" s="19">
        <v>165510</v>
      </c>
      <c r="AV38" s="19">
        <v>253490</v>
      </c>
      <c r="AW38" s="20">
        <f t="shared" ca="1" si="35"/>
        <v>41.649913945981289</v>
      </c>
      <c r="AX38" s="20">
        <f t="shared" ca="1" si="36"/>
        <v>30.792651320161927</v>
      </c>
      <c r="AY38" s="20">
        <f t="shared" ca="1" si="37"/>
        <v>20.105296934790331</v>
      </c>
      <c r="AZ38" s="21">
        <v>215590</v>
      </c>
      <c r="BA38" s="22">
        <f t="shared" si="38"/>
        <v>0.53938616907964809</v>
      </c>
      <c r="BB38" s="22">
        <f t="shared" si="39"/>
        <v>1.1757966510506053</v>
      </c>
      <c r="BC38" s="23">
        <f t="shared" si="40"/>
        <v>0.63420845122686575</v>
      </c>
      <c r="BD38" s="98">
        <v>179795</v>
      </c>
      <c r="BE38" s="23">
        <f t="shared" si="41"/>
        <v>8.0000804777190515E-2</v>
      </c>
      <c r="BF38">
        <v>279941.5</v>
      </c>
      <c r="BG38" s="23">
        <f t="shared" si="42"/>
        <v>0.18000001862190462</v>
      </c>
      <c r="BH38" s="24">
        <v>20</v>
      </c>
      <c r="BI38" s="24">
        <v>30</v>
      </c>
      <c r="BJ38" s="25">
        <f ca="1">(BD38*BH38+$AP38-$AQ38)/$H38</f>
        <v>150.2586776859504</v>
      </c>
      <c r="BK38" s="25">
        <f ca="1">(BF38*BI38+$AP38-$AQ38)/$H38</f>
        <v>348.70268595041324</v>
      </c>
      <c r="BL38" s="23">
        <f t="shared" ca="1" si="43"/>
        <v>-6.6763793169846597E-2</v>
      </c>
      <c r="BM38" s="23">
        <f t="shared" ca="1" si="44"/>
        <v>0.1043703183777529</v>
      </c>
      <c r="BN38" s="96" t="s">
        <v>685</v>
      </c>
      <c r="BO38" t="s">
        <v>144</v>
      </c>
      <c r="BP38" t="s">
        <v>81</v>
      </c>
    </row>
    <row r="39" spans="1:68" ht="15" customHeight="1" x14ac:dyDescent="0.35">
      <c r="A39" s="86" t="e" vm="36">
        <v>#VALUE!</v>
      </c>
      <c r="B39" s="10" t="str">
        <f t="array" aca="1" ref="B39" ca="1">_FV(A39,"Símbolo bursátil",TRUE())</f>
        <v>COR</v>
      </c>
      <c r="C39" s="88" t="s">
        <v>145</v>
      </c>
      <c r="D39" s="88" t="s">
        <v>90</v>
      </c>
      <c r="E39" s="11" t="str">
        <f t="array" aca="1" ref="E39" ca="1">_FV(A39,"Abreviatura de intercambio",TRUE())</f>
        <v>XLIS</v>
      </c>
      <c r="F39" s="11" t="str">
        <f t="array" aca="1" ref="F39" ca="1">_FV(A39,"Moneda")</f>
        <v>EUR</v>
      </c>
      <c r="G39" s="12">
        <f t="array" aca="1" ref="G39" ca="1">_FV(A39,"Precio")</f>
        <v>7.06</v>
      </c>
      <c r="H39" s="13">
        <f t="array" aca="1" ref="H39" ca="1">_FV(A39,"Acciones en circulación",TRUE())/1000000</f>
        <v>133</v>
      </c>
      <c r="I39" s="14">
        <f t="shared" ca="1" si="25"/>
        <v>938.9799999999999</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87</v>
      </c>
      <c r="AP39" s="19">
        <v>40</v>
      </c>
      <c r="AQ39" s="19">
        <v>140</v>
      </c>
      <c r="AR39" s="19">
        <f ca="1">I39-AP39+AQ39</f>
        <v>1038.98</v>
      </c>
      <c r="AS39" s="19">
        <v>80</v>
      </c>
      <c r="AT39" s="19">
        <v>100</v>
      </c>
      <c r="AU39" s="19">
        <v>170</v>
      </c>
      <c r="AV39" s="19">
        <v>900</v>
      </c>
      <c r="AW39" s="20">
        <f t="shared" ca="1" si="35"/>
        <v>12.98725</v>
      </c>
      <c r="AX39" s="20">
        <f t="shared" ca="1" si="36"/>
        <v>6.1116470588235297</v>
      </c>
      <c r="AY39" s="20">
        <f t="shared" ca="1" si="37"/>
        <v>1.1544222222222222</v>
      </c>
      <c r="AZ39" s="21">
        <v>750</v>
      </c>
      <c r="BA39" s="22">
        <f t="shared" si="38"/>
        <v>0.1111111111111111</v>
      </c>
      <c r="BB39" s="22">
        <f t="shared" si="39"/>
        <v>1.2</v>
      </c>
      <c r="BC39" s="23">
        <f t="shared" si="40"/>
        <v>0.13333333333333333</v>
      </c>
      <c r="BD39" s="98">
        <v>80</v>
      </c>
      <c r="BE39" s="23">
        <f t="shared" si="41"/>
        <v>0</v>
      </c>
      <c r="BF39" t="s">
        <v>146</v>
      </c>
      <c r="BG39" s="23">
        <f t="shared" si="42"/>
        <v>8.9840705850404712E-2</v>
      </c>
      <c r="BH39" s="24">
        <v>8.5</v>
      </c>
      <c r="BI39" s="24">
        <v>12</v>
      </c>
      <c r="BJ39" s="25">
        <f ca="1">(BD39*BH39+$AP39-$AQ39)/$H39</f>
        <v>4.3609022556390977</v>
      </c>
      <c r="BK39" s="25">
        <f ca="1">(BF39*BI39+$AP39-$AQ39)/$H39</f>
        <v>10.345864661654135</v>
      </c>
      <c r="BL39" s="23">
        <f t="shared" ca="1" si="43"/>
        <v>-9.1856810600527417E-2</v>
      </c>
      <c r="BM39" s="23">
        <f t="shared" ca="1" si="44"/>
        <v>7.9424865939422329E-2</v>
      </c>
      <c r="BN39" s="93" t="s">
        <v>130</v>
      </c>
      <c r="BO39" s="94" t="s">
        <v>84</v>
      </c>
      <c r="BP39" s="93" t="s">
        <v>147</v>
      </c>
    </row>
    <row r="40" spans="1:68" ht="15" customHeight="1" x14ac:dyDescent="0.35">
      <c r="A40" s="86" t="e" vm="37">
        <v>#VALUE!</v>
      </c>
      <c r="B40" s="10" t="str">
        <f t="array" aca="1" ref="B40" ca="1">_FV(A40,"Símbolo bursátil",TRUE())</f>
        <v>TSM</v>
      </c>
      <c r="C40" s="88" t="s">
        <v>143</v>
      </c>
      <c r="D40" s="88" t="s">
        <v>77</v>
      </c>
      <c r="E40" s="11" t="str">
        <f t="array" aca="1" ref="E40" ca="1">_FV(A40,"Abreviatura de intercambio",TRUE())</f>
        <v>XNYS</v>
      </c>
      <c r="F40" s="11" t="str">
        <f t="array" aca="1" ref="F40" ca="1">_FV(A40,"Moneda")</f>
        <v>USD</v>
      </c>
      <c r="G40" s="12">
        <f t="array" aca="1" ref="G40" ca="1">_FV(A40,"Precio")</f>
        <v>415.64499999999998</v>
      </c>
      <c r="H40" s="13">
        <f t="array" aca="1" ref="H40" ca="1">_FV(A40,"Acciones en circulación",TRUE())/1000000</f>
        <v>5186.4740000000002</v>
      </c>
      <c r="I40" s="14">
        <f t="shared" ca="1" si="25"/>
        <v>2155731.9857299998</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110580</v>
      </c>
      <c r="AQ40" s="19">
        <v>33590</v>
      </c>
      <c r="AR40" s="19">
        <f ca="1">I40-AP40+AQ40</f>
        <v>2078741.9857299998</v>
      </c>
      <c r="AS40" s="19">
        <v>59255</v>
      </c>
      <c r="AT40" s="19">
        <v>65027</v>
      </c>
      <c r="AU40" s="19">
        <v>99560</v>
      </c>
      <c r="AV40" s="19">
        <v>139570</v>
      </c>
      <c r="AW40" s="20">
        <f t="shared" ca="1" si="35"/>
        <v>35.081292477090535</v>
      </c>
      <c r="AX40" s="20">
        <f t="shared" ca="1" si="36"/>
        <v>20.879288727701887</v>
      </c>
      <c r="AY40" s="20">
        <f t="shared" ca="1" si="37"/>
        <v>14.893902598910939</v>
      </c>
      <c r="AZ40" s="21">
        <v>244100</v>
      </c>
      <c r="BA40" s="22">
        <f t="shared" si="38"/>
        <v>0.46590957942251199</v>
      </c>
      <c r="BB40" s="22">
        <f t="shared" si="39"/>
        <v>0.57177386317083168</v>
      </c>
      <c r="BC40" s="23">
        <f t="shared" si="40"/>
        <v>0.26639492011470711</v>
      </c>
      <c r="BD40" s="98">
        <v>87064.2</v>
      </c>
      <c r="BE40" s="23">
        <f t="shared" si="41"/>
        <v>7.9997927963835647E-2</v>
      </c>
      <c r="BF40">
        <v>124455.7</v>
      </c>
      <c r="BG40" s="23">
        <f t="shared" si="42"/>
        <v>0.15999991626184928</v>
      </c>
      <c r="BH40" s="24">
        <v>14</v>
      </c>
      <c r="BI40" s="24">
        <v>22</v>
      </c>
      <c r="BJ40" s="25">
        <f ca="1">(BD40*BH40+$AP40-$AQ40)/$H40</f>
        <v>249.85930711307913</v>
      </c>
      <c r="BK40" s="25">
        <f ca="1">(BF40*BI40+$AP40-$AQ40)/$H40</f>
        <v>542.76092003931763</v>
      </c>
      <c r="BL40" s="23">
        <f t="shared" ca="1" si="43"/>
        <v>-9.6777819288964562E-2</v>
      </c>
      <c r="BM40" s="23">
        <f t="shared" ca="1" si="44"/>
        <v>5.4817197673405094E-2</v>
      </c>
      <c r="BN40" s="95" t="s">
        <v>685</v>
      </c>
      <c r="BO40" s="93" t="s">
        <v>137</v>
      </c>
      <c r="BP40" s="93" t="s">
        <v>148</v>
      </c>
    </row>
    <row r="41" spans="1:68" ht="15" customHeight="1" x14ac:dyDescent="0.35">
      <c r="A41" s="86" t="e" vm="38">
        <v>#VALUE!</v>
      </c>
      <c r="B41" s="10" t="str">
        <f t="array" aca="1" ref="B41" ca="1">_FV(A41,"Símbolo bursátil",TRUE())</f>
        <v>SPOT</v>
      </c>
      <c r="C41" s="88" t="s">
        <v>109</v>
      </c>
      <c r="D41" s="88" t="s">
        <v>100</v>
      </c>
      <c r="E41" s="11" t="str">
        <f t="array" aca="1" ref="E41" ca="1">_FV(A41,"Abreviatura de intercambio",TRUE())</f>
        <v>XNYS</v>
      </c>
      <c r="F41" s="11" t="str">
        <f t="array" aca="1" ref="F41" ca="1">_FV(A41,"Moneda")</f>
        <v>USD</v>
      </c>
      <c r="G41" s="12">
        <f t="array" aca="1" ref="G41" ca="1">_FV(A41,"Precio")</f>
        <v>551.82000000000005</v>
      </c>
      <c r="H41" s="13">
        <f t="array" aca="1" ref="H41" ca="1">_FV(A41,"Acciones en circulación",TRUE())/1000000</f>
        <v>205.5342</v>
      </c>
      <c r="I41" s="14">
        <f t="shared" ca="1" si="25"/>
        <v>113417.88224400001</v>
      </c>
      <c r="J41" s="91">
        <v>1</v>
      </c>
      <c r="K41" s="91">
        <v>4</v>
      </c>
      <c r="L41" s="91">
        <v>2</v>
      </c>
      <c r="M41" s="91">
        <v>0</v>
      </c>
      <c r="N41" s="91">
        <v>-2</v>
      </c>
      <c r="O41" s="91">
        <v>0</v>
      </c>
      <c r="P41" s="91">
        <v>1</v>
      </c>
      <c r="Q41" s="91">
        <v>1</v>
      </c>
      <c r="R41" s="26">
        <f t="shared" si="28"/>
        <v>7</v>
      </c>
      <c r="S41" s="16">
        <f t="shared" si="29"/>
        <v>4.38</v>
      </c>
      <c r="T41" s="91">
        <v>13</v>
      </c>
      <c r="U41" s="91">
        <v>11</v>
      </c>
      <c r="V41" s="91">
        <v>12</v>
      </c>
      <c r="W41" s="91">
        <v>9</v>
      </c>
      <c r="X41" s="91">
        <v>7</v>
      </c>
      <c r="Y41" s="91">
        <v>11</v>
      </c>
      <c r="Z41" s="91">
        <v>8</v>
      </c>
      <c r="AA41" s="91">
        <v>-12</v>
      </c>
      <c r="AB41" s="26">
        <f t="shared" si="30"/>
        <v>59</v>
      </c>
      <c r="AC41" s="16">
        <f t="shared" si="31"/>
        <v>5.9</v>
      </c>
      <c r="AD41" s="91">
        <v>10</v>
      </c>
      <c r="AE41" s="91">
        <v>-3</v>
      </c>
      <c r="AF41" s="91">
        <v>7</v>
      </c>
      <c r="AG41" s="91">
        <v>9</v>
      </c>
      <c r="AH41" s="91">
        <v>2</v>
      </c>
      <c r="AI41" s="91">
        <v>8</v>
      </c>
      <c r="AJ41" s="91">
        <v>9</v>
      </c>
      <c r="AK41" s="91">
        <v>-5</v>
      </c>
      <c r="AL41" s="26">
        <f t="shared" si="32"/>
        <v>37</v>
      </c>
      <c r="AM41" s="16">
        <f t="shared" si="33"/>
        <v>5.29</v>
      </c>
      <c r="AN41" s="17">
        <f t="shared" si="34"/>
        <v>5.35</v>
      </c>
      <c r="AO41" s="18" t="s">
        <v>87</v>
      </c>
      <c r="AP41" s="19">
        <v>6985</v>
      </c>
      <c r="AQ41" s="19">
        <v>466</v>
      </c>
      <c r="AR41" s="19">
        <f ca="1">I41*'Framework Notes'!E8-AP41+AQ41</f>
        <v>90657.441506659205</v>
      </c>
      <c r="AS41" s="19">
        <v>3267</v>
      </c>
      <c r="AT41" s="19">
        <v>2122</v>
      </c>
      <c r="AU41" s="19">
        <v>2750</v>
      </c>
      <c r="AV41" s="19">
        <v>18113</v>
      </c>
      <c r="AW41" s="20">
        <f t="shared" ca="1" si="35"/>
        <v>27.749446436075669</v>
      </c>
      <c r="AX41" s="20">
        <f t="shared" ca="1" si="36"/>
        <v>32.966342366057894</v>
      </c>
      <c r="AY41" s="20">
        <f t="shared" ca="1" si="37"/>
        <v>5.0051035999922266</v>
      </c>
      <c r="AZ41" s="21">
        <v>8834</v>
      </c>
      <c r="BA41" s="22">
        <f t="shared" si="38"/>
        <v>0.11715342571633633</v>
      </c>
      <c r="BB41" s="22">
        <f t="shared" si="39"/>
        <v>2.0503735567127008</v>
      </c>
      <c r="BC41" s="23">
        <f t="shared" si="40"/>
        <v>0.2402082861670817</v>
      </c>
      <c r="BD41" s="98">
        <v>3787</v>
      </c>
      <c r="BE41" s="23">
        <f t="shared" si="41"/>
        <v>2.9981049223496647E-2</v>
      </c>
      <c r="BF41">
        <v>5262</v>
      </c>
      <c r="BG41" s="23">
        <f t="shared" si="42"/>
        <v>0.10001939338601362</v>
      </c>
      <c r="BH41" s="24">
        <v>18</v>
      </c>
      <c r="BI41" s="24">
        <v>25</v>
      </c>
      <c r="BJ41" s="25">
        <f ca="1">((BD41*BH41+$AP41-$AQ41)/$H41)/'Framework Notes'!E8</f>
        <v>424.10152153159288</v>
      </c>
      <c r="BK41" s="25">
        <f ca="1">((BF41*BI41+$AP41-$AQ41)/$H41)/'Framework Notes'!E8</f>
        <v>784.02989859202648</v>
      </c>
      <c r="BL41" s="23">
        <f t="shared" ca="1" si="43"/>
        <v>-5.1287814644433882E-2</v>
      </c>
      <c r="BM41" s="23">
        <f t="shared" ca="1" si="44"/>
        <v>7.2771031468262803E-2</v>
      </c>
      <c r="BN41" s="95" t="s">
        <v>685</v>
      </c>
      <c r="BO41" s="95" t="s">
        <v>84</v>
      </c>
      <c r="BP41" s="95" t="s">
        <v>85</v>
      </c>
    </row>
    <row r="42" spans="1:68" ht="15" customHeight="1" x14ac:dyDescent="0.35">
      <c r="A42" s="86" t="e" vm="39">
        <v>#VALUE!</v>
      </c>
      <c r="B42" s="10" t="str">
        <f t="array" aca="1" ref="B42" ca="1">_FV(A42,"Símbolo bursátil",TRUE())</f>
        <v>PRY</v>
      </c>
      <c r="C42" s="88" t="s">
        <v>107</v>
      </c>
      <c r="D42" s="88" t="s">
        <v>77</v>
      </c>
      <c r="E42" s="11" t="str">
        <f t="array" aca="1" ref="E42" ca="1">_FV(A42,"Abreviatura de intercambio",TRUE())</f>
        <v>XMIL</v>
      </c>
      <c r="F42" s="11" t="str">
        <f t="array" aca="1" ref="F42" ca="1">_FV(A42,"Moneda")</f>
        <v>EUR</v>
      </c>
      <c r="G42" s="12">
        <f t="array" aca="1" ref="G42" ca="1">_FV(A42,"Precio")</f>
        <v>121</v>
      </c>
      <c r="H42" s="13">
        <f t="array" aca="1" ref="H42" ca="1">_FV(A42,"Acciones en circulación",TRUE())/1000000</f>
        <v>301.83679999999998</v>
      </c>
      <c r="I42" s="14">
        <f t="shared" ca="1" si="25"/>
        <v>36522.252799999995</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87</v>
      </c>
      <c r="AP42" s="19">
        <v>2600</v>
      </c>
      <c r="AQ42" s="19">
        <v>4917</v>
      </c>
      <c r="AR42" s="19">
        <f t="shared" ref="AR42:AR48" ca="1" si="45">I42-AP42+AQ42</f>
        <v>38839.252799999995</v>
      </c>
      <c r="AS42" s="19">
        <v>1171</v>
      </c>
      <c r="AT42" s="19">
        <v>1419</v>
      </c>
      <c r="AU42" s="19">
        <v>2398</v>
      </c>
      <c r="AV42" s="19">
        <v>19650</v>
      </c>
      <c r="AW42" s="20">
        <f t="shared" ca="1" si="35"/>
        <v>33.167594192997434</v>
      </c>
      <c r="AX42" s="20">
        <f t="shared" ca="1" si="36"/>
        <v>16.196519099249372</v>
      </c>
      <c r="AY42" s="20">
        <f t="shared" ca="1" si="37"/>
        <v>1.9765523053435112</v>
      </c>
      <c r="AZ42" s="21">
        <v>13130</v>
      </c>
      <c r="BA42" s="22">
        <f t="shared" si="38"/>
        <v>7.2213740458015263E-2</v>
      </c>
      <c r="BB42" s="22">
        <f t="shared" si="39"/>
        <v>1.4965727341964965</v>
      </c>
      <c r="BC42" s="23">
        <f t="shared" si="40"/>
        <v>0.10807311500380806</v>
      </c>
      <c r="BD42" s="98">
        <v>1701</v>
      </c>
      <c r="BE42" s="23">
        <f t="shared" si="41"/>
        <v>7.7530281153552538E-2</v>
      </c>
      <c r="BF42">
        <v>3496</v>
      </c>
      <c r="BG42" s="23">
        <f t="shared" si="42"/>
        <v>0.24452293859898422</v>
      </c>
      <c r="BH42" s="24">
        <v>18</v>
      </c>
      <c r="BI42" s="24">
        <v>22.5</v>
      </c>
      <c r="BJ42" s="25">
        <f t="shared" ref="BJ42:BJ48" ca="1" si="46">(BD42*BH42+$AP42-$AQ42)/$H42</f>
        <v>93.762589584835254</v>
      </c>
      <c r="BK42" s="25">
        <f t="shared" ref="BK42:BK48" ca="1" si="47">(BF42*BI42+$AP42-$AQ42)/$H42</f>
        <v>252.9280723887876</v>
      </c>
      <c r="BL42" s="23">
        <f t="shared" ca="1" si="43"/>
        <v>-4.9726004990056971E-2</v>
      </c>
      <c r="BM42" s="23">
        <f t="shared" ca="1" si="44"/>
        <v>0.15889031327299175</v>
      </c>
      <c r="BN42" s="95" t="s">
        <v>531</v>
      </c>
      <c r="BO42" s="93" t="s">
        <v>106</v>
      </c>
      <c r="BP42" s="93" t="s">
        <v>147</v>
      </c>
    </row>
    <row r="43" spans="1:68" ht="15" customHeight="1" x14ac:dyDescent="0.35">
      <c r="A43" s="86" t="e" vm="40">
        <v>#VALUE!</v>
      </c>
      <c r="B43" s="10" t="str">
        <f t="array" aca="1" ref="B43" ca="1">_FV(A43,"Símbolo bursátil",TRUE())</f>
        <v>JFN</v>
      </c>
      <c r="C43" s="88" t="s">
        <v>138</v>
      </c>
      <c r="D43" s="88" t="s">
        <v>90</v>
      </c>
      <c r="E43" s="11" t="str">
        <f t="array" aca="1" ref="E43" ca="1">_FV(A43,"Abreviatura de intercambio",TRUE())</f>
        <v>XSWX</v>
      </c>
      <c r="F43" s="11" t="str">
        <f t="array" aca="1" ref="F43" ca="1">_FV(A43,"Moneda")</f>
        <v>CHF</v>
      </c>
      <c r="G43" s="12">
        <f t="array" aca="1" ref="G43" ca="1">_FV(A43,"Precio")</f>
        <v>254.5</v>
      </c>
      <c r="H43" s="13">
        <f t="array" aca="1" ref="H43" ca="1">_FV(A43,"Acciones en circulación",TRUE())/1000000</f>
        <v>5.835</v>
      </c>
      <c r="I43" s="14">
        <f t="shared" ca="1" si="25"/>
        <v>1485.0074999999999</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133</v>
      </c>
      <c r="AP43" s="19">
        <v>75</v>
      </c>
      <c r="AQ43" s="19">
        <v>0</v>
      </c>
      <c r="AR43" s="19">
        <f t="shared" ca="1" si="45"/>
        <v>1410.0074999999999</v>
      </c>
      <c r="AS43" s="19">
        <v>75</v>
      </c>
      <c r="AT43" s="19">
        <v>78</v>
      </c>
      <c r="AU43" s="19">
        <v>138</v>
      </c>
      <c r="AV43" s="19">
        <v>306</v>
      </c>
      <c r="AW43" s="20">
        <f t="shared" ca="1" si="35"/>
        <v>18.8001</v>
      </c>
      <c r="AX43" s="20">
        <f t="shared" ca="1" si="36"/>
        <v>10.217445652173913</v>
      </c>
      <c r="AY43" s="20">
        <f t="shared" ca="1" si="37"/>
        <v>4.6078676470588231</v>
      </c>
      <c r="AZ43" s="21">
        <v>450</v>
      </c>
      <c r="BA43" s="22">
        <f t="shared" si="38"/>
        <v>0.25490196078431371</v>
      </c>
      <c r="BB43" s="22">
        <f t="shared" si="39"/>
        <v>0.68</v>
      </c>
      <c r="BC43" s="23">
        <f t="shared" si="40"/>
        <v>0.17333333333333334</v>
      </c>
      <c r="BD43" s="98">
        <v>55</v>
      </c>
      <c r="BE43" s="23">
        <f t="shared" si="41"/>
        <v>-6.0146235650011426E-2</v>
      </c>
      <c r="BF43" t="s">
        <v>149</v>
      </c>
      <c r="BG43" s="23">
        <f t="shared" si="42"/>
        <v>5.2773380130115566E-3</v>
      </c>
      <c r="BH43" s="24">
        <v>15</v>
      </c>
      <c r="BI43" s="24">
        <v>22</v>
      </c>
      <c r="BJ43" s="25">
        <f t="shared" ca="1" si="46"/>
        <v>154.24164524421593</v>
      </c>
      <c r="BK43" s="25">
        <f t="shared" ca="1" si="47"/>
        <v>303.17052270779777</v>
      </c>
      <c r="BL43" s="23">
        <f t="shared" ca="1" si="43"/>
        <v>-9.5303786822472536E-2</v>
      </c>
      <c r="BM43" s="23">
        <f t="shared" ca="1" si="44"/>
        <v>3.561858876315771E-2</v>
      </c>
      <c r="BN43" s="93" t="s">
        <v>105</v>
      </c>
      <c r="BO43" s="93" t="s">
        <v>150</v>
      </c>
      <c r="BP43" s="93" t="s">
        <v>151</v>
      </c>
    </row>
    <row r="44" spans="1:68" ht="15" customHeight="1" x14ac:dyDescent="0.35">
      <c r="A44" s="86" t="e" vm="41">
        <v>#VALUE!</v>
      </c>
      <c r="B44" s="10" t="str">
        <f t="array" aca="1" ref="B44" ca="1">_FV(A44,"Símbolo bursátil",TRUE())</f>
        <v>CPR</v>
      </c>
      <c r="C44" s="88" t="s">
        <v>145</v>
      </c>
      <c r="D44" s="88" t="s">
        <v>90</v>
      </c>
      <c r="E44" s="11" t="str">
        <f t="array" aca="1" ref="E44" ca="1">_FV(A44,"Abreviatura de intercambio",TRUE())</f>
        <v>XMIL</v>
      </c>
      <c r="F44" s="11" t="str">
        <f t="array" aca="1" ref="F44" ca="1">_FV(A44,"Moneda")</f>
        <v>EUR</v>
      </c>
      <c r="G44" s="12">
        <f t="array" aca="1" ref="G44" ca="1">_FV(A44,"Precio")</f>
        <v>5.9020000000000001</v>
      </c>
      <c r="H44" s="13">
        <f t="array" aca="1" ref="H44" ca="1">_FV(A44,"Acciones en circulación",TRUE())/1000000</f>
        <v>1231.268</v>
      </c>
      <c r="I44" s="14">
        <f t="shared" ca="1" si="25"/>
        <v>7266.9437360000002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5.5</v>
      </c>
      <c r="AO44" s="18" t="s">
        <v>87</v>
      </c>
      <c r="AP44" s="19">
        <v>711</v>
      </c>
      <c r="AQ44" s="19">
        <v>2806</v>
      </c>
      <c r="AR44" s="19">
        <f t="shared" ca="1" si="45"/>
        <v>9361.9437360000011</v>
      </c>
      <c r="AS44" s="19">
        <v>434</v>
      </c>
      <c r="AT44" s="19">
        <v>412</v>
      </c>
      <c r="AU44" s="19">
        <v>664</v>
      </c>
      <c r="AV44" s="19">
        <v>3035</v>
      </c>
      <c r="AW44" s="20">
        <f t="shared" ca="1" si="35"/>
        <v>21.571298930875578</v>
      </c>
      <c r="AX44" s="20">
        <f t="shared" ca="1" si="36"/>
        <v>14.099312855421688</v>
      </c>
      <c r="AY44" s="20">
        <f t="shared" ca="1" si="37"/>
        <v>3.0846602095551896</v>
      </c>
      <c r="AZ44" s="21">
        <v>7090</v>
      </c>
      <c r="BA44" s="22">
        <f t="shared" si="38"/>
        <v>0.1357495881383855</v>
      </c>
      <c r="BB44" s="22">
        <f t="shared" si="39"/>
        <v>0.42806770098730607</v>
      </c>
      <c r="BC44" s="23">
        <f t="shared" si="40"/>
        <v>5.8110014104372353E-2</v>
      </c>
      <c r="BD44" s="98">
        <v>503</v>
      </c>
      <c r="BE44" s="23">
        <f t="shared" si="41"/>
        <v>2.9948835977870125E-2</v>
      </c>
      <c r="BF44">
        <v>731</v>
      </c>
      <c r="BG44" s="23">
        <f t="shared" si="42"/>
        <v>0.10990428861091672</v>
      </c>
      <c r="BH44" s="24">
        <v>15</v>
      </c>
      <c r="BI44" s="24">
        <v>20</v>
      </c>
      <c r="BJ44" s="25">
        <f t="shared" ca="1" si="46"/>
        <v>4.4263312292693389</v>
      </c>
      <c r="BK44" s="25">
        <f t="shared" ca="1" si="47"/>
        <v>10.172440118641919</v>
      </c>
      <c r="BL44" s="23">
        <f t="shared" ca="1" si="43"/>
        <v>-5.5919687926566208E-2</v>
      </c>
      <c r="BM44" s="23">
        <f t="shared" ca="1" si="44"/>
        <v>0.11502649565910006</v>
      </c>
      <c r="BN44" s="95" t="s">
        <v>685</v>
      </c>
      <c r="BO44" s="95" t="s">
        <v>84</v>
      </c>
      <c r="BP44" s="95" t="s">
        <v>85</v>
      </c>
    </row>
    <row r="45" spans="1:68" ht="15" customHeight="1" x14ac:dyDescent="0.35">
      <c r="A45" s="86" t="e" vm="42">
        <v>#VALUE!</v>
      </c>
      <c r="B45" s="10" t="str">
        <f t="array" aca="1" ref="B45" ca="1">_FV(A45,"Símbolo bursátil",TRUE())</f>
        <v>SIKA</v>
      </c>
      <c r="C45" s="88" t="s">
        <v>139</v>
      </c>
      <c r="D45" s="88" t="s">
        <v>77</v>
      </c>
      <c r="E45" s="11" t="str">
        <f t="array" aca="1" ref="E45" ca="1">_FV(A45,"Abreviatura de intercambio",TRUE())</f>
        <v>XSWX</v>
      </c>
      <c r="F45" s="11" t="str">
        <f t="array" aca="1" ref="F45" ca="1">_FV(A45,"Moneda")</f>
        <v>CHF</v>
      </c>
      <c r="G45" s="12">
        <f t="array" aca="1" ref="G45" ca="1">_FV(A45,"Precio")</f>
        <v>190.35</v>
      </c>
      <c r="H45" s="13">
        <f t="array" aca="1" ref="H45" ca="1">_FV(A45,"Acciones en circulación",TRUE())/1000000</f>
        <v>160.47929999999999</v>
      </c>
      <c r="I45" s="14">
        <f t="shared" ca="1" si="25"/>
        <v>30547.234754999998</v>
      </c>
      <c r="J45" s="91">
        <v>1</v>
      </c>
      <c r="K45" s="91">
        <v>6</v>
      </c>
      <c r="L45" s="91">
        <v>1</v>
      </c>
      <c r="M45" s="91">
        <v>0</v>
      </c>
      <c r="N45" s="91">
        <v>0</v>
      </c>
      <c r="O45" s="91">
        <v>0</v>
      </c>
      <c r="P45" s="91">
        <v>0</v>
      </c>
      <c r="Q45" s="91">
        <v>0</v>
      </c>
      <c r="R45" s="26">
        <f t="shared" si="28"/>
        <v>8</v>
      </c>
      <c r="S45" s="16">
        <f t="shared" si="29"/>
        <v>5</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5.51</v>
      </c>
      <c r="AO45" s="18" t="s">
        <v>133</v>
      </c>
      <c r="AP45" s="19">
        <v>625</v>
      </c>
      <c r="AQ45" s="19">
        <v>6080</v>
      </c>
      <c r="AR45" s="19">
        <f t="shared" ca="1" si="45"/>
        <v>36002.234754999998</v>
      </c>
      <c r="AS45" s="19">
        <v>1320</v>
      </c>
      <c r="AT45" s="19">
        <v>1173</v>
      </c>
      <c r="AU45" s="19">
        <v>1940</v>
      </c>
      <c r="AV45" s="19">
        <v>11110</v>
      </c>
      <c r="AW45" s="20">
        <f t="shared" ca="1" si="35"/>
        <v>27.274420268939391</v>
      </c>
      <c r="AX45" s="20">
        <f t="shared" ca="1" si="36"/>
        <v>18.557852966494846</v>
      </c>
      <c r="AY45" s="20">
        <f t="shared" ca="1" si="37"/>
        <v>3.2405251804680466</v>
      </c>
      <c r="AZ45" s="21">
        <v>12207</v>
      </c>
      <c r="BA45" s="22">
        <f t="shared" si="38"/>
        <v>0.10558055805580559</v>
      </c>
      <c r="BB45" s="22">
        <f t="shared" si="39"/>
        <v>0.91013352994183661</v>
      </c>
      <c r="BC45" s="23">
        <f t="shared" si="40"/>
        <v>9.6092405996559355E-2</v>
      </c>
      <c r="BD45" s="98">
        <v>1530</v>
      </c>
      <c r="BE45" s="23">
        <f t="shared" si="41"/>
        <v>2.9967449959592329E-2</v>
      </c>
      <c r="BF45">
        <v>2224.8000000000002</v>
      </c>
      <c r="BG45" s="23">
        <f t="shared" si="42"/>
        <v>0.11005221800763754</v>
      </c>
      <c r="BH45" s="24">
        <v>18</v>
      </c>
      <c r="BI45" s="24">
        <v>22.5</v>
      </c>
      <c r="BJ45" s="25">
        <f t="shared" ca="1" si="46"/>
        <v>137.61899509781011</v>
      </c>
      <c r="BK45" s="25">
        <f t="shared" ca="1" si="47"/>
        <v>277.93615749819452</v>
      </c>
      <c r="BL45" s="23">
        <f t="shared" ca="1" si="43"/>
        <v>-6.2815493539605138E-2</v>
      </c>
      <c r="BM45" s="23">
        <f t="shared" ca="1" si="44"/>
        <v>7.8644748935160935E-2</v>
      </c>
      <c r="BN45" s="95" t="s">
        <v>685</v>
      </c>
      <c r="BO45" s="93" t="s">
        <v>131</v>
      </c>
      <c r="BP45" s="93" t="s">
        <v>125</v>
      </c>
    </row>
    <row r="46" spans="1:68" ht="15" customHeight="1" x14ac:dyDescent="0.35">
      <c r="A46" s="86" t="e" vm="43">
        <v>#VALUE!</v>
      </c>
      <c r="B46" s="10" t="str">
        <f t="array" aca="1" ref="B46" ca="1">_FV(A46,"Símbolo bursátil",TRUE())</f>
        <v>CHKP</v>
      </c>
      <c r="C46" s="88" t="s">
        <v>99</v>
      </c>
      <c r="D46" s="88" t="s">
        <v>152</v>
      </c>
      <c r="E46" s="11" t="str">
        <f t="array" aca="1" ref="E46" ca="1">_FV(A46,"Abreviatura de intercambio",TRUE())</f>
        <v>XNAS</v>
      </c>
      <c r="F46" s="11" t="str">
        <f t="array" aca="1" ref="F46" ca="1">_FV(A46,"Moneda")</f>
        <v>USD</v>
      </c>
      <c r="G46" s="12">
        <f t="array" aca="1" ref="G46" ca="1">_FV(A46,"Precio")</f>
        <v>128.25</v>
      </c>
      <c r="H46" s="13">
        <f t="array" aca="1" ref="H46" ca="1">_FV(A46,"Acciones en circulación",TRUE())/1000000</f>
        <v>102.1006</v>
      </c>
      <c r="I46" s="14">
        <f t="shared" ca="1" si="25"/>
        <v>13094.401949999999</v>
      </c>
      <c r="J46" s="90">
        <v>1</v>
      </c>
      <c r="K46" s="90">
        <v>5</v>
      </c>
      <c r="L46" s="90">
        <v>1</v>
      </c>
      <c r="M46" s="90">
        <v>1</v>
      </c>
      <c r="N46" s="90">
        <v>0</v>
      </c>
      <c r="O46" s="90">
        <v>0</v>
      </c>
      <c r="P46" s="90">
        <v>0</v>
      </c>
      <c r="Q46" s="90">
        <v>0</v>
      </c>
      <c r="R46" s="15">
        <f t="shared" si="28"/>
        <v>8</v>
      </c>
      <c r="S46" s="16">
        <f t="shared" si="29"/>
        <v>5</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5.25</v>
      </c>
      <c r="AO46" s="18" t="s">
        <v>78</v>
      </c>
      <c r="AP46" s="19">
        <v>2280</v>
      </c>
      <c r="AQ46" s="19">
        <v>1970</v>
      </c>
      <c r="AR46" s="19">
        <f t="shared" ca="1" si="45"/>
        <v>12784.401949999999</v>
      </c>
      <c r="AS46" s="19">
        <v>1100</v>
      </c>
      <c r="AT46" s="19">
        <v>682</v>
      </c>
      <c r="AU46" s="19">
        <v>846</v>
      </c>
      <c r="AV46" s="19">
        <v>2760</v>
      </c>
      <c r="AW46" s="20">
        <f t="shared" ca="1" si="35"/>
        <v>11.62218359090909</v>
      </c>
      <c r="AX46" s="20">
        <f t="shared" ca="1" si="36"/>
        <v>15.111586229314421</v>
      </c>
      <c r="AY46" s="20">
        <f t="shared" ca="1" si="37"/>
        <v>4.6320296920289854</v>
      </c>
      <c r="AZ46" s="21">
        <v>5759</v>
      </c>
      <c r="BA46" s="22">
        <f t="shared" si="38"/>
        <v>0.24710144927536232</v>
      </c>
      <c r="BB46" s="22">
        <f t="shared" si="39"/>
        <v>0.47924986976905715</v>
      </c>
      <c r="BC46" s="23">
        <f t="shared" si="40"/>
        <v>0.11842333738496268</v>
      </c>
      <c r="BD46" s="98">
        <v>1214.2</v>
      </c>
      <c r="BE46" s="23">
        <f t="shared" si="41"/>
        <v>1.9951471069986848E-2</v>
      </c>
      <c r="BF46">
        <v>1771.8</v>
      </c>
      <c r="BG46" s="23">
        <f t="shared" si="42"/>
        <v>0.10002967843772681</v>
      </c>
      <c r="BH46" s="24">
        <v>6</v>
      </c>
      <c r="BI46" s="24">
        <v>15</v>
      </c>
      <c r="BJ46" s="25">
        <f t="shared" ca="1" si="46"/>
        <v>74.389376751948575</v>
      </c>
      <c r="BK46" s="25">
        <f t="shared" ca="1" si="47"/>
        <v>263.33831534780404</v>
      </c>
      <c r="BL46" s="23">
        <f t="shared" ca="1" si="43"/>
        <v>-0.10321009824795069</v>
      </c>
      <c r="BM46" s="23">
        <f t="shared" ca="1" si="44"/>
        <v>0.15475894702900495</v>
      </c>
      <c r="BN46" s="95" t="s">
        <v>685</v>
      </c>
      <c r="BO46" s="93" t="s">
        <v>106</v>
      </c>
      <c r="BP46" s="93" t="s">
        <v>85</v>
      </c>
    </row>
    <row r="47" spans="1:68" ht="15" customHeight="1" x14ac:dyDescent="0.35">
      <c r="A47" s="86" t="e" vm="44">
        <v>#VALUE!</v>
      </c>
      <c r="B47" s="10" t="str">
        <f t="array" aca="1" ref="B47" ca="1">_FV(A47,"Símbolo bursátil",TRUE())</f>
        <v>TGYM</v>
      </c>
      <c r="C47" s="88" t="s">
        <v>138</v>
      </c>
      <c r="D47" s="88" t="s">
        <v>77</v>
      </c>
      <c r="E47" s="11" t="str">
        <f t="array" aca="1" ref="E47" ca="1">_FV(A47,"Abreviatura de intercambio",TRUE())</f>
        <v>XMIL</v>
      </c>
      <c r="F47" s="11" t="str">
        <f t="array" aca="1" ref="F47" ca="1">_FV(A47,"Moneda")</f>
        <v>EUR</v>
      </c>
      <c r="G47" s="12">
        <f t="array" aca="1" ref="G47" ca="1">_FV(A47,"Precio")</f>
        <v>12.97</v>
      </c>
      <c r="H47" s="13">
        <f t="array" aca="1" ref="H47" ca="1">_FV(A47,"Acciones en circulación",TRUE())/1000000</f>
        <v>201.32749999999999</v>
      </c>
      <c r="I47" s="14">
        <f t="shared" ca="1" si="25"/>
        <v>2611.2176749999999</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87</v>
      </c>
      <c r="AP47" s="19">
        <v>100</v>
      </c>
      <c r="AQ47" s="19">
        <v>50</v>
      </c>
      <c r="AR47" s="19">
        <f t="shared" ca="1" si="45"/>
        <v>2561.2176749999999</v>
      </c>
      <c r="AS47" s="19">
        <v>95</v>
      </c>
      <c r="AT47" s="19">
        <v>90</v>
      </c>
      <c r="AU47" s="19">
        <v>140</v>
      </c>
      <c r="AV47" s="19">
        <v>840</v>
      </c>
      <c r="AW47" s="20">
        <f t="shared" ca="1" si="35"/>
        <v>26.960186052631578</v>
      </c>
      <c r="AX47" s="20">
        <f t="shared" ca="1" si="36"/>
        <v>18.294411964285715</v>
      </c>
      <c r="AY47" s="20">
        <f t="shared" ca="1" si="37"/>
        <v>3.0490686607142856</v>
      </c>
      <c r="AZ47" s="21">
        <v>450</v>
      </c>
      <c r="BA47" s="22">
        <f t="shared" si="38"/>
        <v>0.10714285714285714</v>
      </c>
      <c r="BB47" s="22">
        <f t="shared" si="39"/>
        <v>1.8666666666666667</v>
      </c>
      <c r="BC47" s="23">
        <f t="shared" si="40"/>
        <v>0.19999999999999998</v>
      </c>
      <c r="BD47" s="98">
        <v>116</v>
      </c>
      <c r="BE47" s="23">
        <f t="shared" si="41"/>
        <v>4.0751095710728658E-2</v>
      </c>
      <c r="BF47" t="s">
        <v>153</v>
      </c>
      <c r="BG47" s="23">
        <f t="shared" si="42"/>
        <v>0.1401066974124392</v>
      </c>
      <c r="BH47" s="24">
        <v>15</v>
      </c>
      <c r="BI47" s="24">
        <v>22.5</v>
      </c>
      <c r="BJ47" s="25">
        <f t="shared" ca="1" si="46"/>
        <v>8.8909860798946987</v>
      </c>
      <c r="BK47" s="25">
        <f t="shared" ca="1" si="47"/>
        <v>20.700103065900091</v>
      </c>
      <c r="BL47" s="23">
        <f t="shared" ca="1" si="43"/>
        <v>-7.2739006786783911E-2</v>
      </c>
      <c r="BM47" s="23">
        <f t="shared" ca="1" si="44"/>
        <v>9.8010533279345724E-2</v>
      </c>
      <c r="BN47" s="93" t="s">
        <v>83</v>
      </c>
      <c r="BO47" s="93" t="s">
        <v>106</v>
      </c>
      <c r="BP47" s="93" t="s">
        <v>147</v>
      </c>
    </row>
    <row r="48" spans="1:68" ht="15" customHeight="1" x14ac:dyDescent="0.35">
      <c r="A48" s="86" t="e" vm="45">
        <v>#VALUE!</v>
      </c>
      <c r="B48" s="10" t="str">
        <f t="array" aca="1" ref="B48" ca="1">_FV(A48,"Símbolo bursátil",TRUE())</f>
        <v>VID</v>
      </c>
      <c r="C48" s="88" t="s">
        <v>145</v>
      </c>
      <c r="D48" s="88" t="s">
        <v>90</v>
      </c>
      <c r="E48" s="11" t="str">
        <f t="array" aca="1" ref="E48" ca="1">_FV(A48,"Abreviatura de intercambio",TRUE())</f>
        <v>BMEX</v>
      </c>
      <c r="F48" s="11" t="str">
        <f t="array" aca="1" ref="F48" ca="1">_FV(A48,"Moneda")</f>
        <v>EUR</v>
      </c>
      <c r="G48" s="12">
        <f t="array" aca="1" ref="G48" ca="1">_FV(A48,"Precio")</f>
        <v>90.9</v>
      </c>
      <c r="H48" s="13">
        <f t="array" aca="1" ref="H48" ca="1">_FV(A48,"Acciones en circulación",TRUE())/1000000</f>
        <v>35.20626</v>
      </c>
      <c r="I48" s="14">
        <f t="shared" ca="1" si="25"/>
        <v>3200.2490340000004</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87</v>
      </c>
      <c r="AP48" s="19">
        <v>130</v>
      </c>
      <c r="AQ48" s="19">
        <v>235</v>
      </c>
      <c r="AR48" s="19">
        <f t="shared" ca="1" si="45"/>
        <v>3305.2490340000004</v>
      </c>
      <c r="AS48" s="19">
        <v>200</v>
      </c>
      <c r="AT48" s="19">
        <v>210</v>
      </c>
      <c r="AU48" s="19">
        <v>385</v>
      </c>
      <c r="AV48" s="19">
        <v>1465</v>
      </c>
      <c r="AW48" s="20">
        <f t="shared" ca="1" si="35"/>
        <v>16.526245170000003</v>
      </c>
      <c r="AX48" s="20">
        <f t="shared" ca="1" si="36"/>
        <v>8.5850624259740265</v>
      </c>
      <c r="AY48" s="20">
        <f t="shared" ca="1" si="37"/>
        <v>2.2561426853242326</v>
      </c>
      <c r="AZ48" s="21">
        <v>1200</v>
      </c>
      <c r="BA48" s="22">
        <f t="shared" si="38"/>
        <v>0.14334470989761092</v>
      </c>
      <c r="BB48" s="22">
        <f t="shared" si="39"/>
        <v>1.2208333333333334</v>
      </c>
      <c r="BC48" s="23">
        <f t="shared" si="40"/>
        <v>0.17500000000000002</v>
      </c>
      <c r="BD48" s="98">
        <v>210</v>
      </c>
      <c r="BE48" s="23">
        <f t="shared" si="41"/>
        <v>9.805797673485328E-3</v>
      </c>
      <c r="BF48" t="s">
        <v>154</v>
      </c>
      <c r="BG48" s="23">
        <f t="shared" si="42"/>
        <v>9.0194895299878342E-2</v>
      </c>
      <c r="BH48" s="24">
        <v>10</v>
      </c>
      <c r="BI48" s="24">
        <v>18</v>
      </c>
      <c r="BJ48" s="25">
        <f t="shared" ca="1" si="46"/>
        <v>56.666058820221174</v>
      </c>
      <c r="BK48" s="25">
        <f t="shared" ca="1" si="47"/>
        <v>154.48957088881352</v>
      </c>
      <c r="BL48" s="23">
        <f t="shared" ca="1" si="43"/>
        <v>-9.0187655809836231E-2</v>
      </c>
      <c r="BM48" s="23">
        <f t="shared" ca="1" si="44"/>
        <v>0.11190339617094747</v>
      </c>
      <c r="BN48" s="93" t="s">
        <v>130</v>
      </c>
      <c r="BO48" s="94" t="s">
        <v>155</v>
      </c>
      <c r="BP48" s="93" t="s">
        <v>125</v>
      </c>
    </row>
    <row r="49" spans="1:68" ht="15" customHeight="1" x14ac:dyDescent="0.35">
      <c r="A49" s="86" t="e" vm="46">
        <v>#VALUE!</v>
      </c>
      <c r="B49" s="10" t="str">
        <f t="array" aca="1" ref="B49" ca="1">_FV(A49,"Símbolo bursátil",TRUE())</f>
        <v>TFPM</v>
      </c>
      <c r="C49" s="88" t="s">
        <v>156</v>
      </c>
      <c r="D49" s="88" t="s">
        <v>157</v>
      </c>
      <c r="E49" s="11" t="str">
        <f t="array" aca="1" ref="E49" ca="1">_FV(A49,"Abreviatura de intercambio",TRUE())</f>
        <v>XTSE</v>
      </c>
      <c r="F49" s="11" t="str">
        <f t="array" aca="1" ref="F49" ca="1">_FV(A49,"Moneda")</f>
        <v>CAD</v>
      </c>
      <c r="G49" s="12">
        <f t="array" aca="1" ref="G49" ca="1">_FV(A49,"Precio")</f>
        <v>49.09</v>
      </c>
      <c r="H49" s="13">
        <f t="array" aca="1" ref="H49" ca="1">_FV(A49,"Acciones en circulación",TRUE())/1000000</f>
        <v>206.00299999999999</v>
      </c>
      <c r="I49" s="14">
        <f t="shared" ca="1" si="25"/>
        <v>10112.68727</v>
      </c>
      <c r="J49" s="91">
        <v>0</v>
      </c>
      <c r="K49" s="91">
        <v>6</v>
      </c>
      <c r="L49" s="91">
        <v>1</v>
      </c>
      <c r="M49" s="91">
        <v>1</v>
      </c>
      <c r="N49" s="91">
        <v>-1</v>
      </c>
      <c r="O49" s="91">
        <v>0</v>
      </c>
      <c r="P49" s="91">
        <v>0</v>
      </c>
      <c r="Q49" s="91">
        <v>0</v>
      </c>
      <c r="R49" s="26">
        <f t="shared" si="28"/>
        <v>7</v>
      </c>
      <c r="S49" s="16">
        <f t="shared" si="29"/>
        <v>4.38</v>
      </c>
      <c r="T49" s="91">
        <v>14</v>
      </c>
      <c r="U49" s="91">
        <v>12</v>
      </c>
      <c r="V49" s="91">
        <v>12</v>
      </c>
      <c r="W49" s="91">
        <v>6</v>
      </c>
      <c r="X49" s="91">
        <v>8</v>
      </c>
      <c r="Y49" s="91">
        <v>10</v>
      </c>
      <c r="Z49" s="91">
        <v>5</v>
      </c>
      <c r="AA49" s="91">
        <v>-11</v>
      </c>
      <c r="AB49" s="26">
        <f t="shared" si="30"/>
        <v>56</v>
      </c>
      <c r="AC49" s="16">
        <f t="shared" si="31"/>
        <v>5.6</v>
      </c>
      <c r="AD49" s="91">
        <v>11</v>
      </c>
      <c r="AE49" s="91">
        <v>-4</v>
      </c>
      <c r="AF49" s="91">
        <v>10</v>
      </c>
      <c r="AG49" s="91">
        <v>11</v>
      </c>
      <c r="AH49" s="91">
        <v>4</v>
      </c>
      <c r="AI49" s="91">
        <v>7</v>
      </c>
      <c r="AJ49" s="91">
        <v>9</v>
      </c>
      <c r="AK49" s="91">
        <v>-6</v>
      </c>
      <c r="AL49" s="26">
        <f t="shared" si="32"/>
        <v>42</v>
      </c>
      <c r="AM49" s="16">
        <f t="shared" si="33"/>
        <v>6</v>
      </c>
      <c r="AN49" s="17">
        <f t="shared" si="34"/>
        <v>5.52</v>
      </c>
      <c r="AO49" s="18" t="s">
        <v>78</v>
      </c>
      <c r="AP49" s="19">
        <v>35</v>
      </c>
      <c r="AQ49" s="19">
        <v>236</v>
      </c>
      <c r="AR49" s="19">
        <f ca="1">I49*'Framework Notes'!E7-AP49+AQ49</f>
        <v>7509.439090029</v>
      </c>
      <c r="AS49" s="19">
        <v>395</v>
      </c>
      <c r="AT49" s="19">
        <v>257</v>
      </c>
      <c r="AU49" s="19">
        <v>377</v>
      </c>
      <c r="AV49" s="19">
        <v>489</v>
      </c>
      <c r="AW49" s="20">
        <f t="shared" ca="1" si="35"/>
        <v>19.011238202605064</v>
      </c>
      <c r="AX49" s="20">
        <f t="shared" ca="1" si="36"/>
        <v>19.91893657832626</v>
      </c>
      <c r="AY49" s="20">
        <f t="shared" ca="1" si="37"/>
        <v>15.356726155478528</v>
      </c>
      <c r="AZ49" s="21">
        <v>2539</v>
      </c>
      <c r="BA49" s="22">
        <f t="shared" si="38"/>
        <v>0.52556237218813906</v>
      </c>
      <c r="BB49" s="22">
        <f t="shared" si="39"/>
        <v>0.19259551004332415</v>
      </c>
      <c r="BC49" s="23">
        <f t="shared" si="40"/>
        <v>0.10122095313115401</v>
      </c>
      <c r="BD49" s="98">
        <v>330</v>
      </c>
      <c r="BE49" s="23">
        <f t="shared" si="41"/>
        <v>-3.5319790890009584E-2</v>
      </c>
      <c r="BF49">
        <v>608</v>
      </c>
      <c r="BG49" s="23">
        <f t="shared" si="42"/>
        <v>9.0087342116624392E-2</v>
      </c>
      <c r="BH49" s="24">
        <v>18</v>
      </c>
      <c r="BI49" s="24">
        <v>22</v>
      </c>
      <c r="BJ49" s="25">
        <f ca="1">((BD49*BH49+$AP49-$AQ49)/$H49)/'Framework Notes'!E7</f>
        <v>38.548246284814027</v>
      </c>
      <c r="BK49" s="25">
        <f ca="1">((BF49*BI49+$AP49-$AQ49)/$H49)/'Framework Notes'!E7</f>
        <v>88.495059209343935</v>
      </c>
      <c r="BL49" s="23">
        <f t="shared" ca="1" si="43"/>
        <v>-4.7198749230701886E-2</v>
      </c>
      <c r="BM49" s="23">
        <f t="shared" ca="1" si="44"/>
        <v>0.12508464727548008</v>
      </c>
      <c r="BN49" s="95" t="s">
        <v>685</v>
      </c>
      <c r="BO49" s="95" t="s">
        <v>98</v>
      </c>
      <c r="BP49" s="95" t="s">
        <v>173</v>
      </c>
    </row>
    <row r="50" spans="1:68" ht="15" customHeight="1" x14ac:dyDescent="0.35">
      <c r="A50" s="86" t="e" vm="47">
        <v>#VALUE!</v>
      </c>
      <c r="B50" s="10" t="str">
        <f t="array" aca="1" ref="B50" ca="1">_FV(A50,"Símbolo bursátil",TRUE())</f>
        <v>NFLX</v>
      </c>
      <c r="C50" s="88" t="s">
        <v>109</v>
      </c>
      <c r="D50" s="88" t="s">
        <v>100</v>
      </c>
      <c r="E50" s="11" t="str">
        <f t="array" aca="1" ref="E50" ca="1">_FV(A50,"Abreviatura de intercambio",TRUE())</f>
        <v>XNAS</v>
      </c>
      <c r="F50" s="11" t="str">
        <f t="array" aca="1" ref="F50" ca="1">_FV(A50,"Moneda")</f>
        <v>USD</v>
      </c>
      <c r="G50" s="12">
        <f t="array" aca="1" ref="G50" ca="1">_FV(A50,"Precio")</f>
        <v>81.99</v>
      </c>
      <c r="H50" s="13">
        <f t="array" aca="1" ref="H50" ca="1">_FV(A50,"Acciones en circulación",TRUE())/1000000</f>
        <v>4163.9390000000003</v>
      </c>
      <c r="I50" s="14">
        <f t="shared" ca="1" si="25"/>
        <v>341401.35861</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9130</v>
      </c>
      <c r="AQ50" s="19">
        <f>1000+13360</f>
        <v>14360</v>
      </c>
      <c r="AR50" s="19">
        <f t="shared" ref="AR50:AR62" ca="1" si="48">I50-AP50+AQ50</f>
        <v>346631.35861</v>
      </c>
      <c r="AS50" s="19">
        <v>11560</v>
      </c>
      <c r="AT50" s="19">
        <v>11876</v>
      </c>
      <c r="AU50" s="19">
        <v>14730</v>
      </c>
      <c r="AV50" s="19">
        <v>48370</v>
      </c>
      <c r="AW50" s="20">
        <f t="shared" ca="1" si="35"/>
        <v>29.985411644463667</v>
      </c>
      <c r="AX50" s="20">
        <f t="shared" ca="1" si="36"/>
        <v>23.532339348947726</v>
      </c>
      <c r="AY50" s="20">
        <f t="shared" ca="1" si="37"/>
        <v>7.1662468184825308</v>
      </c>
      <c r="AZ50" s="21">
        <v>46315</v>
      </c>
      <c r="BA50" s="22">
        <f t="shared" si="38"/>
        <v>0.24552408517676247</v>
      </c>
      <c r="BB50" s="22">
        <f t="shared" si="39"/>
        <v>1.044370074489906</v>
      </c>
      <c r="BC50" s="23">
        <f t="shared" si="40"/>
        <v>0.25641800712512147</v>
      </c>
      <c r="BD50" s="98">
        <v>14085.7</v>
      </c>
      <c r="BE50" s="23">
        <f t="shared" si="41"/>
        <v>4.0313226382584277E-2</v>
      </c>
      <c r="BF50">
        <v>19428.599999999999</v>
      </c>
      <c r="BG50" s="23">
        <f t="shared" si="42"/>
        <v>0.10942189995602014</v>
      </c>
      <c r="BH50" s="24">
        <v>17</v>
      </c>
      <c r="BI50" s="24">
        <v>25</v>
      </c>
      <c r="BJ50" s="25">
        <f t="shared" ref="BJ50:BJ60" ca="1" si="49">(BD50*BH50+$AP50-$AQ50)/$H50</f>
        <v>56.251280338160576</v>
      </c>
      <c r="BK50" s="25">
        <f t="shared" ref="BK50:BK60" ca="1" si="50">(BF50*BI50+$AP50-$AQ50)/$H50</f>
        <v>115.39194017971923</v>
      </c>
      <c r="BL50" s="23">
        <f t="shared" ca="1" si="43"/>
        <v>-7.2584595960507148E-2</v>
      </c>
      <c r="BM50" s="23">
        <f t="shared" ca="1" si="44"/>
        <v>7.0737265216964884E-2</v>
      </c>
      <c r="BN50" s="95" t="s">
        <v>685</v>
      </c>
      <c r="BO50" s="93" t="s">
        <v>137</v>
      </c>
      <c r="BP50" s="93" t="s">
        <v>158</v>
      </c>
    </row>
    <row r="51" spans="1:68" ht="15" customHeight="1" x14ac:dyDescent="0.35">
      <c r="A51" s="86" t="e" vm="48">
        <v>#VALUE!</v>
      </c>
      <c r="B51" s="10" t="str">
        <f t="array" aca="1" ref="B51" ca="1">_FV(A51,"Símbolo bursátil",TRUE())</f>
        <v>NKE</v>
      </c>
      <c r="C51" s="88" t="s">
        <v>109</v>
      </c>
      <c r="D51" s="88" t="s">
        <v>152</v>
      </c>
      <c r="E51" s="11" t="str">
        <f t="array" aca="1" ref="E51" ca="1">_FV(A51,"Abreviatura de intercambio",TRUE())</f>
        <v>XNYS</v>
      </c>
      <c r="F51" s="11" t="str">
        <f t="array" aca="1" ref="F51" ca="1">_FV(A51,"Moneda")</f>
        <v>USD</v>
      </c>
      <c r="G51" s="12">
        <f t="array" aca="1" ref="G51" ca="1">_FV(A51,"Precio")</f>
        <v>39.67</v>
      </c>
      <c r="H51" s="13">
        <f t="array" aca="1" ref="H51" ca="1">_FV(A51,"Acciones en circulación",TRUE())/1000000</f>
        <v>1483.499</v>
      </c>
      <c r="I51" s="14">
        <f t="shared" ca="1" si="25"/>
        <v>58850.405330000001</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9030</v>
      </c>
      <c r="AQ51" s="19">
        <v>11040</v>
      </c>
      <c r="AR51" s="19">
        <f t="shared" ca="1" si="48"/>
        <v>60860.405330000001</v>
      </c>
      <c r="AS51" s="19">
        <v>2180</v>
      </c>
      <c r="AT51" s="19">
        <v>3331</v>
      </c>
      <c r="AU51" s="19">
        <v>4930</v>
      </c>
      <c r="AV51" s="19">
        <v>46400</v>
      </c>
      <c r="AW51" s="20">
        <f t="shared" ca="1" si="35"/>
        <v>27.917617123853212</v>
      </c>
      <c r="AX51" s="20">
        <f t="shared" ca="1" si="36"/>
        <v>12.344909803245436</v>
      </c>
      <c r="AY51" s="20">
        <f t="shared" ca="1" si="37"/>
        <v>1.3116466665948276</v>
      </c>
      <c r="AZ51" s="21">
        <v>25863</v>
      </c>
      <c r="BA51" s="22">
        <f t="shared" si="38"/>
        <v>7.1788793103448281E-2</v>
      </c>
      <c r="BB51" s="22">
        <f t="shared" si="39"/>
        <v>1.7940687468584464</v>
      </c>
      <c r="BC51" s="23">
        <f t="shared" si="40"/>
        <v>0.12879403008158374</v>
      </c>
      <c r="BD51" s="98">
        <v>2180</v>
      </c>
      <c r="BE51" s="23">
        <f t="shared" si="41"/>
        <v>0</v>
      </c>
      <c r="BF51">
        <v>3354.1</v>
      </c>
      <c r="BG51" s="23">
        <f t="shared" si="42"/>
        <v>8.9993486200476092E-2</v>
      </c>
      <c r="BH51" s="24">
        <v>14</v>
      </c>
      <c r="BI51" s="24">
        <v>21</v>
      </c>
      <c r="BJ51" s="25">
        <f t="shared" ca="1" si="49"/>
        <v>19.218078340463997</v>
      </c>
      <c r="BK51" s="25">
        <f t="shared" ca="1" si="50"/>
        <v>46.124803589351927</v>
      </c>
      <c r="BL51" s="23">
        <f t="shared" ca="1" si="43"/>
        <v>-0.13493338517207842</v>
      </c>
      <c r="BM51" s="23">
        <f t="shared" ca="1" si="44"/>
        <v>3.0610269988418981E-2</v>
      </c>
      <c r="BN51" s="95" t="s">
        <v>685</v>
      </c>
      <c r="BO51" s="93" t="s">
        <v>159</v>
      </c>
      <c r="BP51" s="93" t="s">
        <v>160</v>
      </c>
    </row>
    <row r="52" spans="1:68" ht="15" customHeight="1" x14ac:dyDescent="0.35">
      <c r="A52" s="86" t="e" vm="49">
        <v>#VALUE!</v>
      </c>
      <c r="B52" s="10" t="str">
        <f t="array" aca="1" ref="B52" ca="1">_FV(A52,"Símbolo bursátil",TRUE())</f>
        <v>MIPS</v>
      </c>
      <c r="C52" s="88" t="s">
        <v>102</v>
      </c>
      <c r="D52" s="88" t="s">
        <v>77</v>
      </c>
      <c r="E52" s="11" t="str">
        <f t="array" aca="1" ref="E52" ca="1">_FV(A52,"Abreviatura de intercambio",TRUE())</f>
        <v>XSTO</v>
      </c>
      <c r="F52" s="11" t="str">
        <f t="array" aca="1" ref="F52" ca="1">_FV(A52,"Moneda")</f>
        <v>SEK</v>
      </c>
      <c r="G52" s="12">
        <f t="array" aca="1" ref="G52" ca="1">_FV(A52,"Precio")</f>
        <v>366.6</v>
      </c>
      <c r="H52" s="13">
        <f t="array" aca="1" ref="H52" ca="1">_FV(A52,"Acciones en circulación",TRUE())/1000000</f>
        <v>26.491119999999999</v>
      </c>
      <c r="I52" s="14">
        <f t="shared" ca="1" si="25"/>
        <v>9711.6445920000006</v>
      </c>
      <c r="J52" s="90">
        <v>2</v>
      </c>
      <c r="K52" s="90">
        <v>4</v>
      </c>
      <c r="L52" s="90">
        <v>2</v>
      </c>
      <c r="M52" s="90">
        <v>0</v>
      </c>
      <c r="N52" s="90">
        <v>-1</v>
      </c>
      <c r="O52" s="90">
        <v>0</v>
      </c>
      <c r="P52" s="90">
        <v>0</v>
      </c>
      <c r="Q52" s="90">
        <v>0</v>
      </c>
      <c r="R52" s="15">
        <f t="shared" si="28"/>
        <v>7</v>
      </c>
      <c r="S52" s="16">
        <f t="shared" si="29"/>
        <v>4.38</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4.8499999999999996</v>
      </c>
      <c r="AO52" s="18" t="s">
        <v>122</v>
      </c>
      <c r="AP52" s="19">
        <v>180</v>
      </c>
      <c r="AQ52" s="19">
        <v>0</v>
      </c>
      <c r="AR52" s="19">
        <f t="shared" ca="1" si="48"/>
        <v>9531.6445920000006</v>
      </c>
      <c r="AS52" s="19">
        <v>118</v>
      </c>
      <c r="AT52" s="19">
        <v>143</v>
      </c>
      <c r="AU52" s="19">
        <v>182</v>
      </c>
      <c r="AV52" s="19">
        <v>485</v>
      </c>
      <c r="AW52" s="20">
        <f t="shared" ca="1" si="35"/>
        <v>80.77664908474577</v>
      </c>
      <c r="AX52" s="20">
        <f t="shared" ca="1" si="36"/>
        <v>52.371673582417586</v>
      </c>
      <c r="AY52" s="20">
        <f t="shared" ca="1" si="37"/>
        <v>19.65287544742268</v>
      </c>
      <c r="AZ52" s="21">
        <v>350</v>
      </c>
      <c r="BA52" s="22">
        <f t="shared" si="38"/>
        <v>0.29484536082474228</v>
      </c>
      <c r="BB52" s="22">
        <f t="shared" si="39"/>
        <v>1.3857142857142857</v>
      </c>
      <c r="BC52" s="23">
        <f t="shared" si="40"/>
        <v>0.40857142857142859</v>
      </c>
      <c r="BD52" s="98">
        <v>121</v>
      </c>
      <c r="BE52" s="23">
        <f t="shared" si="41"/>
        <v>5.0338114975041481E-3</v>
      </c>
      <c r="BF52" t="s">
        <v>111</v>
      </c>
      <c r="BG52" s="23">
        <f t="shared" si="42"/>
        <v>0.16386794389255699</v>
      </c>
      <c r="BH52" s="24">
        <v>17.5</v>
      </c>
      <c r="BI52" s="24">
        <v>22.5</v>
      </c>
      <c r="BJ52" s="25">
        <f t="shared" ca="1" si="49"/>
        <v>86.727174992978789</v>
      </c>
      <c r="BK52" s="25">
        <f t="shared" ca="1" si="50"/>
        <v>220.82871543370007</v>
      </c>
      <c r="BL52" s="23">
        <f t="shared" ca="1" si="43"/>
        <v>-0.25046391167669246</v>
      </c>
      <c r="BM52" s="23">
        <f t="shared" ca="1" si="44"/>
        <v>-9.6407500885144048E-2</v>
      </c>
      <c r="BN52" s="93" t="s">
        <v>105</v>
      </c>
      <c r="BO52" s="93" t="s">
        <v>137</v>
      </c>
      <c r="BP52" s="93" t="s">
        <v>161</v>
      </c>
    </row>
    <row r="53" spans="1:68" ht="15" customHeight="1" x14ac:dyDescent="0.35">
      <c r="A53" s="86" t="e" vm="50">
        <v>#VALUE!</v>
      </c>
      <c r="B53" s="10" t="str">
        <f t="array" aca="1" ref="B53" ca="1">_FV(A53,"Símbolo bursátil",TRUE())</f>
        <v>FERG</v>
      </c>
      <c r="C53" s="88" t="s">
        <v>139</v>
      </c>
      <c r="D53" s="88" t="s">
        <v>90</v>
      </c>
      <c r="E53" s="11" t="str">
        <f t="array" aca="1" ref="E53" ca="1">_FV(A53,"Abreviatura de intercambio",TRUE())</f>
        <v>XNYS</v>
      </c>
      <c r="F53" s="11" t="str">
        <f t="array" aca="1" ref="F53" ca="1">_FV(A53,"Moneda")</f>
        <v>USD</v>
      </c>
      <c r="G53" s="12">
        <f t="array" aca="1" ref="G53" ca="1">_FV(A53,"Precio")</f>
        <v>234.39</v>
      </c>
      <c r="H53" s="13">
        <f t="array" aca="1" ref="H53" ca="1">_FV(A53,"Acciones en circulación",TRUE())/1000000</f>
        <v>193.45269999999999</v>
      </c>
      <c r="I53" s="14">
        <f t="shared" ca="1" si="25"/>
        <v>45343.378352999993</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437</v>
      </c>
      <c r="AQ53" s="19">
        <v>6887</v>
      </c>
      <c r="AR53" s="19">
        <f t="shared" ca="1" si="48"/>
        <v>51793.378352999993</v>
      </c>
      <c r="AS53" s="19">
        <v>1118</v>
      </c>
      <c r="AT53" s="19">
        <v>2015</v>
      </c>
      <c r="AU53" s="19">
        <v>3071</v>
      </c>
      <c r="AV53" s="19">
        <v>31446</v>
      </c>
      <c r="AW53" s="20">
        <f t="shared" ca="1" si="35"/>
        <v>46.326814269230766</v>
      </c>
      <c r="AX53" s="20">
        <f t="shared" ca="1" si="36"/>
        <v>16.865313693585151</v>
      </c>
      <c r="AY53" s="20">
        <f t="shared" ca="1" si="37"/>
        <v>1.6470577610188892</v>
      </c>
      <c r="AZ53" s="21">
        <v>12926</v>
      </c>
      <c r="BA53" s="22">
        <f t="shared" si="38"/>
        <v>6.4078102143356866E-2</v>
      </c>
      <c r="BB53" s="22">
        <f t="shared" si="39"/>
        <v>2.4327711589045333</v>
      </c>
      <c r="BC53" s="23">
        <f t="shared" si="40"/>
        <v>0.15588735881169735</v>
      </c>
      <c r="BD53" s="98">
        <v>2522</v>
      </c>
      <c r="BE53" s="23">
        <f t="shared" si="41"/>
        <v>0.17668618806379421</v>
      </c>
      <c r="BF53" t="s">
        <v>162</v>
      </c>
      <c r="BG53" s="23">
        <f t="shared" si="42"/>
        <v>0.29322433620445487</v>
      </c>
      <c r="BH53" s="24">
        <v>12</v>
      </c>
      <c r="BI53" s="24">
        <v>18</v>
      </c>
      <c r="BJ53" s="25">
        <f t="shared" ca="1" si="49"/>
        <v>123.09985851838718</v>
      </c>
      <c r="BK53" s="25">
        <f t="shared" ca="1" si="50"/>
        <v>342.93654211081054</v>
      </c>
      <c r="BL53" s="23">
        <f t="shared" ca="1" si="43"/>
        <v>-0.12084855359515034</v>
      </c>
      <c r="BM53" s="23">
        <f t="shared" ca="1" si="44"/>
        <v>7.9083214732629026E-2</v>
      </c>
      <c r="BN53" s="95" t="s">
        <v>685</v>
      </c>
      <c r="BO53" s="95" t="s">
        <v>135</v>
      </c>
      <c r="BP53" s="95" t="s">
        <v>691</v>
      </c>
    </row>
    <row r="54" spans="1:68" ht="15" customHeight="1" x14ac:dyDescent="0.35">
      <c r="A54" s="86" t="e" vm="51">
        <v>#VALUE!</v>
      </c>
      <c r="B54" s="10" t="str">
        <f t="array" aca="1" ref="B54" ca="1">_FV(A54,"Símbolo bursátil",TRUE())</f>
        <v>S</v>
      </c>
      <c r="C54" s="88" t="s">
        <v>99</v>
      </c>
      <c r="D54" s="88" t="s">
        <v>100</v>
      </c>
      <c r="E54" s="11" t="str">
        <f t="array" aca="1" ref="E54" ca="1">_FV(A54,"Abreviatura de intercambio",TRUE())</f>
        <v>XNYS</v>
      </c>
      <c r="F54" s="11" t="str">
        <f t="array" aca="1" ref="F54" ca="1">_FV(A54,"Moneda")</f>
        <v>USD</v>
      </c>
      <c r="G54" s="12">
        <f t="array" aca="1" ref="G54" ca="1">_FV(A54,"Precio")</f>
        <v>20.206099999999999</v>
      </c>
      <c r="H54" s="13">
        <f t="array" aca="1" ref="H54" ca="1">_FV(A54,"Acciones en circulación",TRUE())/1000000</f>
        <v>342.80369999999999</v>
      </c>
      <c r="I54" s="14">
        <f t="shared" ca="1" si="25"/>
        <v>6926.7258425699993</v>
      </c>
      <c r="J54" s="90">
        <v>1</v>
      </c>
      <c r="K54" s="90">
        <v>4</v>
      </c>
      <c r="L54" s="90">
        <v>2</v>
      </c>
      <c r="M54" s="90">
        <v>-1</v>
      </c>
      <c r="N54" s="90">
        <v>0</v>
      </c>
      <c r="O54" s="90">
        <v>0</v>
      </c>
      <c r="P54" s="90">
        <v>1</v>
      </c>
      <c r="Q54" s="90">
        <v>0</v>
      </c>
      <c r="R54" s="15">
        <f t="shared" si="28"/>
        <v>7</v>
      </c>
      <c r="S54" s="16">
        <f t="shared" si="29"/>
        <v>4.38</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3.94</v>
      </c>
      <c r="AO54" s="18" t="s">
        <v>78</v>
      </c>
      <c r="AP54" s="19">
        <v>1100</v>
      </c>
      <c r="AQ54" s="19">
        <v>0</v>
      </c>
      <c r="AR54" s="19">
        <f t="shared" ca="1" si="48"/>
        <v>5826.7258425699993</v>
      </c>
      <c r="AS54" s="19">
        <v>50</v>
      </c>
      <c r="AT54" s="19">
        <v>-20</v>
      </c>
      <c r="AU54" s="19">
        <v>10</v>
      </c>
      <c r="AV54" s="19">
        <v>815</v>
      </c>
      <c r="AW54" s="20">
        <f t="shared" ca="1" si="35"/>
        <v>116.53451685139999</v>
      </c>
      <c r="AX54" s="20">
        <f t="shared" ca="1" si="36"/>
        <v>582.67258425699993</v>
      </c>
      <c r="AY54" s="20">
        <f t="shared" ca="1" si="37"/>
        <v>7.1493568620490793</v>
      </c>
      <c r="AZ54" s="21">
        <v>1500</v>
      </c>
      <c r="BA54" s="22">
        <f t="shared" si="38"/>
        <v>-2.4539877300613498E-2</v>
      </c>
      <c r="BB54" s="22">
        <f t="shared" si="39"/>
        <v>0.54333333333333333</v>
      </c>
      <c r="BC54" s="23">
        <f t="shared" si="40"/>
        <v>-1.3333333333333334E-2</v>
      </c>
      <c r="BD54" s="98">
        <v>73</v>
      </c>
      <c r="BE54" s="23">
        <f t="shared" si="41"/>
        <v>7.8625221439269977E-2</v>
      </c>
      <c r="BF54" t="s">
        <v>163</v>
      </c>
      <c r="BG54" s="23">
        <f t="shared" si="42"/>
        <v>0.30049470405023282</v>
      </c>
      <c r="BH54" s="24">
        <v>18</v>
      </c>
      <c r="BI54" s="24">
        <v>26</v>
      </c>
      <c r="BJ54" s="25">
        <f t="shared" ca="1" si="49"/>
        <v>7.0419309943270738</v>
      </c>
      <c r="BK54" s="25">
        <f t="shared" ca="1" si="50"/>
        <v>17.31603246989458</v>
      </c>
      <c r="BL54" s="23">
        <f t="shared" ca="1" si="43"/>
        <v>-0.19008050366721119</v>
      </c>
      <c r="BM54" s="23">
        <f t="shared" ca="1" si="44"/>
        <v>-3.0398723223409752E-2</v>
      </c>
      <c r="BN54" t="s">
        <v>91</v>
      </c>
      <c r="BO54" t="s">
        <v>92</v>
      </c>
      <c r="BP54" t="s">
        <v>126</v>
      </c>
    </row>
    <row r="55" spans="1:68" ht="15" customHeight="1" x14ac:dyDescent="0.35">
      <c r="A55" s="86" t="e" vm="52">
        <v>#VALUE!</v>
      </c>
      <c r="B55" s="10" t="str">
        <f t="array" aca="1" ref="B55" ca="1">_FV(A55,"Símbolo bursátil",TRUE())</f>
        <v>TREX</v>
      </c>
      <c r="C55" s="88" t="s">
        <v>139</v>
      </c>
      <c r="D55" s="88" t="s">
        <v>77</v>
      </c>
      <c r="E55" s="11" t="str">
        <f t="array" aca="1" ref="E55" ca="1">_FV(A55,"Abreviatura de intercambio",TRUE())</f>
        <v>XNYS</v>
      </c>
      <c r="F55" s="11" t="str">
        <f t="array" aca="1" ref="F55" ca="1">_FV(A55,"Moneda")</f>
        <v>USD</v>
      </c>
      <c r="G55" s="12">
        <f t="array" aca="1" ref="G55" ca="1">_FV(A55,"Precio")</f>
        <v>46.85</v>
      </c>
      <c r="H55" s="13">
        <f t="array" aca="1" ref="H55" ca="1">_FV(A55,"Acciones en circulación",TRUE())/1000000</f>
        <v>101.8652</v>
      </c>
      <c r="I55" s="14">
        <f t="shared" ca="1" si="25"/>
        <v>4772.3846199999998</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6.5</v>
      </c>
      <c r="AQ55" s="19">
        <v>303</v>
      </c>
      <c r="AR55" s="19">
        <f t="shared" ca="1" si="48"/>
        <v>5068.8846199999998</v>
      </c>
      <c r="AS55" s="19">
        <v>283</v>
      </c>
      <c r="AT55" s="19">
        <v>183</v>
      </c>
      <c r="AU55" s="19">
        <v>313</v>
      </c>
      <c r="AV55" s="19">
        <v>1208</v>
      </c>
      <c r="AW55" s="20">
        <f t="shared" ca="1" si="35"/>
        <v>17.911253074204947</v>
      </c>
      <c r="AX55" s="20">
        <f t="shared" ca="1" si="36"/>
        <v>16.194519552715654</v>
      </c>
      <c r="AY55" s="20">
        <f t="shared" ca="1" si="37"/>
        <v>4.1960965397350991</v>
      </c>
      <c r="AZ55" s="21">
        <v>1176</v>
      </c>
      <c r="BA55" s="22">
        <f t="shared" si="38"/>
        <v>0.15149006622516556</v>
      </c>
      <c r="BB55" s="22">
        <f t="shared" si="39"/>
        <v>1.0272108843537415</v>
      </c>
      <c r="BC55" s="23">
        <f t="shared" si="40"/>
        <v>0.15561224489795919</v>
      </c>
      <c r="BD55" s="98">
        <v>283</v>
      </c>
      <c r="BE55" s="23">
        <f t="shared" si="41"/>
        <v>0</v>
      </c>
      <c r="BF55">
        <v>545</v>
      </c>
      <c r="BG55" s="23">
        <f t="shared" si="42"/>
        <v>0.14004505026738068</v>
      </c>
      <c r="BH55" s="24">
        <v>12</v>
      </c>
      <c r="BI55" s="24">
        <v>18</v>
      </c>
      <c r="BJ55" s="25">
        <f t="shared" ca="1" si="49"/>
        <v>30.427466887612255</v>
      </c>
      <c r="BK55" s="25">
        <f t="shared" ca="1" si="50"/>
        <v>93.393033145765187</v>
      </c>
      <c r="BL55" s="23">
        <f t="shared" ca="1" si="43"/>
        <v>-8.2700322857376607E-2</v>
      </c>
      <c r="BM55" s="23">
        <f t="shared" ca="1" si="44"/>
        <v>0.14794472574933581</v>
      </c>
      <c r="BN55" s="95" t="s">
        <v>685</v>
      </c>
      <c r="BO55" s="95" t="s">
        <v>135</v>
      </c>
      <c r="BP55" s="95" t="s">
        <v>691</v>
      </c>
    </row>
    <row r="56" spans="1:68" ht="15" customHeight="1" x14ac:dyDescent="0.35">
      <c r="A56" s="86" t="e" vm="53">
        <v>#VALUE!</v>
      </c>
      <c r="B56" s="10" t="str">
        <f t="array" aca="1" ref="B56" ca="1">_FV(A56,"Símbolo bursátil",TRUE())</f>
        <v>SGO</v>
      </c>
      <c r="C56" s="88" t="s">
        <v>139</v>
      </c>
      <c r="D56" s="88" t="s">
        <v>152</v>
      </c>
      <c r="E56" s="11" t="str">
        <f t="array" aca="1" ref="E56" ca="1">_FV(A56,"Abreviatura de intercambio",TRUE())</f>
        <v>XPAR</v>
      </c>
      <c r="F56" s="11" t="str">
        <f t="array" aca="1" ref="F56" ca="1">_FV(A56,"Moneda")</f>
        <v>EUR</v>
      </c>
      <c r="G56" s="12">
        <f t="array" aca="1" ref="G56" ca="1">_FV(A56,"Precio")</f>
        <v>81.260000000000005</v>
      </c>
      <c r="H56" s="13">
        <f t="array" aca="1" ref="H56" ca="1">_FV(A56,"Acciones en circulación",TRUE())/1000000</f>
        <v>494.834</v>
      </c>
      <c r="I56" s="14">
        <f t="shared" ca="1" si="25"/>
        <v>40210.21084</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87</v>
      </c>
      <c r="AP56" s="19">
        <v>5751</v>
      </c>
      <c r="AQ56" s="19">
        <v>17270</v>
      </c>
      <c r="AR56" s="19">
        <f t="shared" ca="1" si="48"/>
        <v>51729.21084</v>
      </c>
      <c r="AS56" s="19">
        <v>3378</v>
      </c>
      <c r="AT56" s="19">
        <v>3632</v>
      </c>
      <c r="AU56" s="19">
        <v>7337</v>
      </c>
      <c r="AV56" s="19">
        <v>46226</v>
      </c>
      <c r="AW56" s="20">
        <f t="shared" ca="1" si="35"/>
        <v>15.313561527531084</v>
      </c>
      <c r="AX56" s="20">
        <f t="shared" ca="1" si="36"/>
        <v>7.0504580673299717</v>
      </c>
      <c r="AY56" s="20">
        <f t="shared" ca="1" si="37"/>
        <v>1.1190501198459741</v>
      </c>
      <c r="AZ56" s="21">
        <v>43914</v>
      </c>
      <c r="BA56" s="22">
        <f t="shared" si="38"/>
        <v>7.8570501449400768E-2</v>
      </c>
      <c r="BB56" s="22">
        <f t="shared" si="39"/>
        <v>1.0526483581545749</v>
      </c>
      <c r="BC56" s="23">
        <f t="shared" si="40"/>
        <v>8.2707109350093372E-2</v>
      </c>
      <c r="BD56" s="98">
        <v>3550</v>
      </c>
      <c r="BE56" s="23">
        <f t="shared" si="41"/>
        <v>9.9822505848099485E-3</v>
      </c>
      <c r="BF56">
        <v>5198</v>
      </c>
      <c r="BG56" s="23">
        <f t="shared" si="42"/>
        <v>9.0022157010193116E-2</v>
      </c>
      <c r="BH56" s="24">
        <v>12</v>
      </c>
      <c r="BI56" s="24">
        <v>16</v>
      </c>
      <c r="BJ56" s="25">
        <f t="shared" ca="1" si="49"/>
        <v>62.810962868355851</v>
      </c>
      <c r="BK56" s="25">
        <f t="shared" ca="1" si="50"/>
        <v>144.79401172918594</v>
      </c>
      <c r="BL56" s="23">
        <f t="shared" ca="1" si="43"/>
        <v>-5.0200959300861658E-2</v>
      </c>
      <c r="BM56" s="23">
        <f t="shared" ca="1" si="44"/>
        <v>0.12247003636339482</v>
      </c>
      <c r="BN56" s="95" t="s">
        <v>685</v>
      </c>
      <c r="BO56" s="95" t="s">
        <v>106</v>
      </c>
      <c r="BP56" s="95" t="s">
        <v>108</v>
      </c>
    </row>
    <row r="57" spans="1:68" ht="15" customHeight="1" x14ac:dyDescent="0.35">
      <c r="A57" s="86" t="e" vm="54">
        <v>#VALUE!</v>
      </c>
      <c r="B57" s="10" t="str">
        <f t="array" aca="1" ref="B57" ca="1">_FV(A57,"Símbolo bursátil",TRUE())</f>
        <v>TFF</v>
      </c>
      <c r="C57" s="88" t="s">
        <v>145</v>
      </c>
      <c r="D57" s="88" t="s">
        <v>152</v>
      </c>
      <c r="E57" s="11" t="str">
        <f t="array" aca="1" ref="E57" ca="1">_FV(A57,"Abreviatura de intercambio",TRUE())</f>
        <v>XPAR</v>
      </c>
      <c r="F57" s="11" t="str">
        <f t="array" aca="1" ref="F57" ca="1">_FV(A57,"Moneda")</f>
        <v>EUR</v>
      </c>
      <c r="G57" s="12">
        <f t="array" aca="1" ref="G57" ca="1">_FV(A57,"Precio")</f>
        <v>16.68</v>
      </c>
      <c r="H57" s="13">
        <f t="array" aca="1" ref="H57" ca="1">_FV(A57,"Acciones en circulación",TRUE())/1000000</f>
        <v>21.68</v>
      </c>
      <c r="I57" s="14">
        <f t="shared" ca="1" si="25"/>
        <v>361.62239999999997</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3.53</v>
      </c>
      <c r="AO57" s="18" t="s">
        <v>87</v>
      </c>
      <c r="AP57" s="19">
        <v>25</v>
      </c>
      <c r="AQ57" s="19">
        <v>365</v>
      </c>
      <c r="AR57" s="19">
        <f t="shared" ca="1" si="48"/>
        <v>701.62239999999997</v>
      </c>
      <c r="AS57" s="19">
        <v>25</v>
      </c>
      <c r="AT57" s="19">
        <v>20</v>
      </c>
      <c r="AU57" s="19">
        <v>55</v>
      </c>
      <c r="AV57" s="19">
        <v>320</v>
      </c>
      <c r="AW57" s="20">
        <f t="shared" ca="1" si="35"/>
        <v>28.064895999999997</v>
      </c>
      <c r="AX57" s="20">
        <f t="shared" ca="1" si="36"/>
        <v>12.756770909090909</v>
      </c>
      <c r="AY57" s="20">
        <f t="shared" ca="1" si="37"/>
        <v>2.1925699999999999</v>
      </c>
      <c r="AZ57" s="21">
        <v>500</v>
      </c>
      <c r="BA57" s="22">
        <f t="shared" si="38"/>
        <v>6.25E-2</v>
      </c>
      <c r="BB57" s="22">
        <f t="shared" si="39"/>
        <v>0.64</v>
      </c>
      <c r="BC57" s="23">
        <f t="shared" si="40"/>
        <v>0.04</v>
      </c>
      <c r="BD57" s="98">
        <v>25</v>
      </c>
      <c r="BE57" s="23">
        <f t="shared" si="41"/>
        <v>0</v>
      </c>
      <c r="BF57" t="s">
        <v>164</v>
      </c>
      <c r="BG57" s="23">
        <f t="shared" si="42"/>
        <v>0.11970220528043152</v>
      </c>
      <c r="BH57" s="24">
        <v>6</v>
      </c>
      <c r="BI57" s="24">
        <v>12.5</v>
      </c>
      <c r="BJ57" s="25">
        <f t="shared" ca="1" si="49"/>
        <v>-8.7638376383763834</v>
      </c>
      <c r="BK57" s="25">
        <f t="shared" ca="1" si="50"/>
        <v>9.6863468634686356</v>
      </c>
      <c r="BL57" s="23">
        <f t="shared" ca="1" si="43"/>
        <v>-1.8792242448232659</v>
      </c>
      <c r="BM57" s="23">
        <f t="shared" ca="1" si="44"/>
        <v>-0.10299927489502325</v>
      </c>
      <c r="BN57" s="93" t="s">
        <v>105</v>
      </c>
      <c r="BO57" s="93" t="s">
        <v>165</v>
      </c>
      <c r="BP57" s="93" t="s">
        <v>166</v>
      </c>
    </row>
    <row r="58" spans="1:68" ht="15" customHeight="1" x14ac:dyDescent="0.35">
      <c r="A58" s="86" t="e" vm="55">
        <v>#VALUE!</v>
      </c>
      <c r="B58" s="10" t="str">
        <f t="array" aca="1" ref="B58" ca="1">_FV(A58,"Símbolo bursátil",TRUE)</f>
        <v>CELH</v>
      </c>
      <c r="C58" s="88" t="s">
        <v>109</v>
      </c>
      <c r="D58" s="88" t="s">
        <v>100</v>
      </c>
      <c r="E58" s="11" t="str">
        <f t="array" aca="1" ref="E58" ca="1">_FV(A58,"Abreviatura de intercambio",TRUE())</f>
        <v>XNAS</v>
      </c>
      <c r="F58" s="11" t="str">
        <f t="array" aca="1" ref="F58" ca="1">_FV(A58,"Moneda")</f>
        <v>USD</v>
      </c>
      <c r="G58" s="12">
        <f t="array" aca="1" ref="G58" ca="1">_FV(A58,"Precio")</f>
        <v>35.384999999999998</v>
      </c>
      <c r="H58" s="13">
        <f t="array" aca="1" ref="H58" ca="1">_FV(A58,"Acciones en circulación",TRUE())/1000000</f>
        <v>253.035</v>
      </c>
      <c r="I58" s="14">
        <f t="shared" ca="1" si="25"/>
        <v>8953.6434749999989</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8990.6434749999989</v>
      </c>
      <c r="AS58" s="19">
        <v>447</v>
      </c>
      <c r="AT58" s="19">
        <v>430</v>
      </c>
      <c r="AU58" s="19">
        <v>719</v>
      </c>
      <c r="AV58" s="19">
        <v>3047</v>
      </c>
      <c r="AW58" s="20">
        <f t="shared" ca="1" si="35"/>
        <v>20.113296364653241</v>
      </c>
      <c r="AX58" s="20">
        <f t="shared" ca="1" si="36"/>
        <v>12.504372009735743</v>
      </c>
      <c r="AY58" s="20">
        <f t="shared" ca="1" si="37"/>
        <v>2.9506542418772561</v>
      </c>
      <c r="AZ58" s="21">
        <v>3400</v>
      </c>
      <c r="BA58" s="22">
        <f t="shared" si="38"/>
        <v>0.14112241549064652</v>
      </c>
      <c r="BB58" s="22">
        <f t="shared" si="39"/>
        <v>0.89617647058823524</v>
      </c>
      <c r="BC58" s="23">
        <f t="shared" si="40"/>
        <v>0.12647058823529408</v>
      </c>
      <c r="BD58" s="98">
        <v>427</v>
      </c>
      <c r="BE58" s="23">
        <f t="shared" si="41"/>
        <v>-9.1131376215403126E-3</v>
      </c>
      <c r="BF58">
        <v>1467</v>
      </c>
      <c r="BG58" s="23">
        <f t="shared" si="42"/>
        <v>0.26830737596549037</v>
      </c>
      <c r="BH58" s="24">
        <v>16</v>
      </c>
      <c r="BI58" s="24">
        <v>22.5</v>
      </c>
      <c r="BJ58" s="25">
        <f t="shared" ca="1" si="49"/>
        <v>26.853992530677573</v>
      </c>
      <c r="BK58" s="25">
        <f t="shared" ca="1" si="50"/>
        <v>130.30015610488667</v>
      </c>
      <c r="BL58" s="23">
        <f t="shared" ca="1" si="43"/>
        <v>-5.3680187428046922E-2</v>
      </c>
      <c r="BM58" s="23">
        <f t="shared" ca="1" si="44"/>
        <v>0.29785192981163666</v>
      </c>
      <c r="BN58" s="96" t="s">
        <v>685</v>
      </c>
      <c r="BO58" t="s">
        <v>128</v>
      </c>
      <c r="BP58" s="96" t="s">
        <v>147</v>
      </c>
    </row>
    <row r="59" spans="1:68" ht="15" customHeight="1" x14ac:dyDescent="0.35">
      <c r="A59" s="86" t="e" vm="56">
        <v>#VALUE!</v>
      </c>
      <c r="B59" s="10" t="str">
        <f t="array" aca="1" ref="B59" ca="1">_FV(A59,"Símbolo bursátil",TRUE())</f>
        <v>BFIT</v>
      </c>
      <c r="C59" s="88" t="s">
        <v>138</v>
      </c>
      <c r="D59" s="88" t="s">
        <v>100</v>
      </c>
      <c r="E59" s="11" t="str">
        <f t="array" aca="1" ref="E59" ca="1">_FV(A59,"Abreviatura de intercambio",TRUE())</f>
        <v>XAMS</v>
      </c>
      <c r="F59" s="11" t="str">
        <f t="array" aca="1" ref="F59" ca="1">_FV(A59,"Moneda")</f>
        <v>EUR</v>
      </c>
      <c r="G59" s="12">
        <f t="array" aca="1" ref="G59" ca="1">_FV(A59,"Precio")</f>
        <v>33.64</v>
      </c>
      <c r="H59" s="13">
        <f t="array" aca="1" ref="H59" ca="1">_FV(A59,"Acciones en circulación",TRUE())/1000000</f>
        <v>66</v>
      </c>
      <c r="I59" s="14">
        <f t="shared" ca="1" si="25"/>
        <v>2220.2400000000002</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87</v>
      </c>
      <c r="AP59" s="19">
        <v>40</v>
      </c>
      <c r="AQ59" s="19">
        <v>740</v>
      </c>
      <c r="AR59" s="19">
        <f t="shared" ca="1" si="48"/>
        <v>2920.2400000000002</v>
      </c>
      <c r="AS59" s="19">
        <v>80</v>
      </c>
      <c r="AT59" s="19">
        <v>50</v>
      </c>
      <c r="AU59" s="19">
        <v>260</v>
      </c>
      <c r="AV59" s="19">
        <v>1250</v>
      </c>
      <c r="AW59" s="20">
        <f t="shared" ca="1" si="35"/>
        <v>36.503</v>
      </c>
      <c r="AX59" s="20">
        <f t="shared" ca="1" si="36"/>
        <v>11.231692307692308</v>
      </c>
      <c r="AY59" s="20">
        <f t="shared" ca="1" si="37"/>
        <v>2.336192</v>
      </c>
      <c r="AZ59" s="21">
        <v>1500</v>
      </c>
      <c r="BA59" s="22">
        <f t="shared" si="38"/>
        <v>0.04</v>
      </c>
      <c r="BB59" s="22">
        <f t="shared" si="39"/>
        <v>0.83333333333333337</v>
      </c>
      <c r="BC59" s="23">
        <f t="shared" si="40"/>
        <v>3.3333333333333333E-2</v>
      </c>
      <c r="BD59" s="98">
        <v>88</v>
      </c>
      <c r="BE59" s="23">
        <f t="shared" si="41"/>
        <v>1.9244876491456564E-2</v>
      </c>
      <c r="BF59" t="s">
        <v>167</v>
      </c>
      <c r="BG59" s="23">
        <f t="shared" si="42"/>
        <v>0.15996225865400127</v>
      </c>
      <c r="BH59" s="24">
        <v>12</v>
      </c>
      <c r="BI59" s="24">
        <v>18</v>
      </c>
      <c r="BJ59" s="25">
        <f t="shared" ca="1" si="49"/>
        <v>5.3939393939393936</v>
      </c>
      <c r="BK59" s="25">
        <f t="shared" ca="1" si="50"/>
        <v>35.212121212121211</v>
      </c>
      <c r="BL59" s="23">
        <f t="shared" ca="1" si="43"/>
        <v>-0.30655820303229342</v>
      </c>
      <c r="BM59" s="23">
        <f t="shared" ca="1" si="44"/>
        <v>9.176758778506322E-3</v>
      </c>
      <c r="BN59" s="93" t="s">
        <v>130</v>
      </c>
      <c r="BO59" s="93" t="s">
        <v>131</v>
      </c>
      <c r="BP59" s="93" t="s">
        <v>132</v>
      </c>
    </row>
    <row r="60" spans="1:68" ht="15" customHeight="1" x14ac:dyDescent="0.35">
      <c r="A60" s="86" t="e" vm="57">
        <v>#VALUE!</v>
      </c>
      <c r="B60" s="10" t="str">
        <f t="array" aca="1" ref="B60" ca="1">_FV(A60,"Símbolo bursátil",TRUE())</f>
        <v>VRLA</v>
      </c>
      <c r="C60" s="88" t="s">
        <v>145</v>
      </c>
      <c r="D60" s="88" t="s">
        <v>152</v>
      </c>
      <c r="E60" s="11" t="s">
        <v>608</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87</v>
      </c>
      <c r="AP60" s="19">
        <v>365</v>
      </c>
      <c r="AQ60" s="19">
        <v>2261</v>
      </c>
      <c r="AR60" s="19">
        <f t="shared" ca="1" si="48"/>
        <v>4242.3304470000003</v>
      </c>
      <c r="AS60" s="19">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s="98">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0.18376417218175689</v>
      </c>
      <c r="BN60" s="93" t="s">
        <v>130</v>
      </c>
      <c r="BO60" s="93" t="s">
        <v>131</v>
      </c>
      <c r="BP60" s="93" t="s">
        <v>85</v>
      </c>
    </row>
    <row r="61" spans="1:68" ht="15" customHeight="1" x14ac:dyDescent="0.35">
      <c r="A61" s="86" t="e" vm="58">
        <v>#VALUE!</v>
      </c>
      <c r="B61" s="10" t="str">
        <f t="array" aca="1" ref="B61" ca="1">_FV(A61,"Símbolo bursátil",TRUE())</f>
        <v>KIST</v>
      </c>
      <c r="C61" s="88" t="s">
        <v>156</v>
      </c>
      <c r="D61" s="88" t="s">
        <v>157</v>
      </c>
      <c r="E61" s="11" t="str">
        <f t="array" aca="1" ref="E61" ca="1">_FV(A61,"Abreviatura de intercambio",TRUE())</f>
        <v>XLON</v>
      </c>
      <c r="F61" s="11" t="str">
        <f t="array" aca="1" ref="F61" ca="1">_FV(A61,"Moneda")</f>
        <v>GBp</v>
      </c>
      <c r="G61" s="12">
        <f t="array" aca="1" ref="G61" ca="1">_FV(A61,"Precio")</f>
        <v>282.5</v>
      </c>
      <c r="H61" s="13">
        <f t="array" aca="1" ref="H61" ca="1">_FV(A61,"Acciones en circulación",TRUE())/1000000</f>
        <v>83.117649999999998</v>
      </c>
      <c r="I61" s="14">
        <f ca="1">G61/100*H61</f>
        <v>234.80736125000001</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215</v>
      </c>
      <c r="AQ61" s="19">
        <f>300+148</f>
        <v>448</v>
      </c>
      <c r="AR61" s="19">
        <f ca="1">I61*'Framework Notes'!$E$9-AP61+AQ61</f>
        <v>553.30072148112504</v>
      </c>
      <c r="AS61" s="19">
        <v>55</v>
      </c>
      <c r="AT61" s="19">
        <f>390-230</f>
        <v>160</v>
      </c>
      <c r="AU61" s="19">
        <v>400</v>
      </c>
      <c r="AV61" s="19">
        <v>480</v>
      </c>
      <c r="AW61" s="20">
        <f t="shared" ca="1" si="35"/>
        <v>10.060013117838636</v>
      </c>
      <c r="AX61" s="20">
        <f t="shared" ca="1" si="36"/>
        <v>1.3832518037028125</v>
      </c>
      <c r="AY61" s="20">
        <f t="shared" ca="1" si="37"/>
        <v>1.1527098364190105</v>
      </c>
      <c r="AZ61" s="21">
        <v>300</v>
      </c>
      <c r="BA61" s="22">
        <f t="shared" si="38"/>
        <v>0.33333333333333331</v>
      </c>
      <c r="BB61" s="22">
        <f t="shared" si="39"/>
        <v>1.6</v>
      </c>
      <c r="BC61" s="23">
        <f t="shared" si="40"/>
        <v>0.53333333333333333</v>
      </c>
      <c r="BD61" s="98">
        <v>60</v>
      </c>
      <c r="BE61" s="23">
        <f t="shared" si="41"/>
        <v>1.7554577175587616E-2</v>
      </c>
      <c r="BF61">
        <v>115</v>
      </c>
      <c r="BG61" s="23">
        <f t="shared" si="42"/>
        <v>0.15895621875417865</v>
      </c>
      <c r="BH61" s="24">
        <v>5.5</v>
      </c>
      <c r="BI61" s="24">
        <v>8</v>
      </c>
      <c r="BJ61" s="25">
        <f ca="1">((BD61*BH61+$AP61-$AQ61)/$H61)/'Framework Notes'!$E$9*100</f>
        <v>85.552414222753484</v>
      </c>
      <c r="BK61" s="25">
        <f ca="1">((BF61*BI61+$AP61-$AQ61)/$H61)/'Framework Notes'!$E$9*100</f>
        <v>605.92276877352197</v>
      </c>
      <c r="BL61" s="23">
        <f t="shared" ca="1" si="43"/>
        <v>-0.21251414167426375</v>
      </c>
      <c r="BM61" s="23">
        <f t="shared" ca="1" si="44"/>
        <v>0.1648761782657362</v>
      </c>
      <c r="BN61" s="93" t="s">
        <v>105</v>
      </c>
      <c r="BO61" s="93" t="s">
        <v>168</v>
      </c>
      <c r="BP61" s="93" t="s">
        <v>160</v>
      </c>
    </row>
    <row r="62" spans="1:68" ht="15" customHeight="1" x14ac:dyDescent="0.35">
      <c r="A62" s="86" t="e" vm="59">
        <v>#VALUE!</v>
      </c>
      <c r="B62" s="10" t="str">
        <f t="array" aca="1" ref="B62" ca="1">_FV(A62,"Símbolo bursátil",TRUE())</f>
        <v>WOSG</v>
      </c>
      <c r="C62" s="88" t="s">
        <v>109</v>
      </c>
      <c r="D62" s="88" t="s">
        <v>152</v>
      </c>
      <c r="E62" s="11" t="str">
        <f t="array" aca="1" ref="E62" ca="1">_FV(A62,"Abreviatura de intercambio",TRUE())</f>
        <v>XLON</v>
      </c>
      <c r="F62" s="11" t="str">
        <f t="array" aca="1" ref="F62" ca="1">_FV(A62,"Moneda")</f>
        <v>GBp</v>
      </c>
      <c r="G62" s="12">
        <f t="array" aca="1" ref="G62" ca="1">_FV(A62,"Precio")</f>
        <v>685</v>
      </c>
      <c r="H62" s="13">
        <f t="array" aca="1" ref="H62" ca="1">_FV(A62,"Acciones en circulación",TRUE())/1000000</f>
        <v>233.30160000000001</v>
      </c>
      <c r="I62" s="14">
        <f ca="1">G62/100*H62</f>
        <v>1598.1159599999999</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115</v>
      </c>
      <c r="AP62" s="19">
        <v>70</v>
      </c>
      <c r="AQ62" s="19">
        <v>270</v>
      </c>
      <c r="AR62" s="19">
        <f t="shared" ca="1" si="48"/>
        <v>1798.1159599999999</v>
      </c>
      <c r="AS62" s="19">
        <v>90</v>
      </c>
      <c r="AT62" s="19">
        <v>80</v>
      </c>
      <c r="AU62" s="19">
        <v>170</v>
      </c>
      <c r="AV62" s="19">
        <v>1700</v>
      </c>
      <c r="AW62" s="20">
        <f t="shared" ca="1" si="35"/>
        <v>19.979066222222222</v>
      </c>
      <c r="AX62" s="20">
        <f t="shared" ca="1" si="36"/>
        <v>10.577152705882352</v>
      </c>
      <c r="AY62" s="20">
        <f t="shared" ca="1" si="37"/>
        <v>1.0577152705882351</v>
      </c>
      <c r="AZ62" s="21">
        <v>900</v>
      </c>
      <c r="BA62" s="22">
        <f t="shared" si="38"/>
        <v>4.7058823529411764E-2</v>
      </c>
      <c r="BB62" s="22">
        <f t="shared" si="39"/>
        <v>1.8888888888888888</v>
      </c>
      <c r="BC62" s="23">
        <f t="shared" si="40"/>
        <v>8.8888888888888878E-2</v>
      </c>
      <c r="BD62" s="98">
        <v>90</v>
      </c>
      <c r="BE62" s="23">
        <f t="shared" si="41"/>
        <v>0</v>
      </c>
      <c r="BF62" t="s">
        <v>169</v>
      </c>
      <c r="BG62" s="23">
        <f t="shared" si="42"/>
        <v>0.1396217223413001</v>
      </c>
      <c r="BH62" s="24">
        <v>8</v>
      </c>
      <c r="BI62" s="24">
        <v>14</v>
      </c>
      <c r="BJ62" s="25">
        <f ca="1">(BD62*BH62+$AP62-$AQ62)/$H62*100</f>
        <v>222.88745555109779</v>
      </c>
      <c r="BK62" s="25">
        <f ca="1">(BF62*BI62+$AP62-$AQ62)/$H62*100</f>
        <v>952.41524275872939</v>
      </c>
      <c r="BL62" s="23">
        <f t="shared" ca="1" si="43"/>
        <v>-0.20112466810997442</v>
      </c>
      <c r="BM62" s="23">
        <f t="shared" ca="1" si="44"/>
        <v>6.8137477131613222E-2</v>
      </c>
      <c r="BN62" t="s">
        <v>105</v>
      </c>
      <c r="BO62" t="s">
        <v>124</v>
      </c>
      <c r="BP62" t="s">
        <v>170</v>
      </c>
    </row>
    <row r="63" spans="1:68" ht="15" customHeight="1" x14ac:dyDescent="0.35">
      <c r="A63" s="86" t="e" vm="60">
        <v>#VALUE!</v>
      </c>
      <c r="B63" s="10" t="str">
        <f t="array" aca="1" ref="B63" ca="1">_FV(A63,"Símbolo bursátil",TRUE())</f>
        <v>IPCO</v>
      </c>
      <c r="C63" s="88" t="s">
        <v>156</v>
      </c>
      <c r="D63" s="88" t="s">
        <v>157</v>
      </c>
      <c r="E63" s="11" t="str">
        <f t="array" aca="1" ref="E63" ca="1">_FV(A63,"Abreviatura de intercambio",TRUE())</f>
        <v>XTSE</v>
      </c>
      <c r="F63" s="11" t="str">
        <f t="array" aca="1" ref="F63" ca="1">_FV(A63,"Moneda")</f>
        <v>CAD</v>
      </c>
      <c r="G63" s="12">
        <f t="array" aca="1" ref="G63" ca="1">_FV(A63,"Precio")</f>
        <v>35.090000000000003</v>
      </c>
      <c r="H63" s="13">
        <f t="array" aca="1" ref="H63" ca="1">_FV(A63,"Acciones en circulación",TRUE())/1000000</f>
        <v>112.82680000000001</v>
      </c>
      <c r="I63" s="14">
        <f ca="1">G63*H63</f>
        <v>3959.0924120000004</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11.3</v>
      </c>
      <c r="AQ63" s="19">
        <v>517</v>
      </c>
      <c r="AR63" s="19">
        <f ca="1">I63*'Framework Notes'!E7-AP63+AQ63</f>
        <v>3366.9360861524001</v>
      </c>
      <c r="AS63" s="19">
        <v>18.600000000000001</v>
      </c>
      <c r="AT63" s="19">
        <v>76</v>
      </c>
      <c r="AU63" s="19">
        <v>253</v>
      </c>
      <c r="AV63" s="19">
        <v>707</v>
      </c>
      <c r="AW63" s="20">
        <f t="shared" ca="1" si="35"/>
        <v>181.01806914797848</v>
      </c>
      <c r="AX63" s="20">
        <f t="shared" ca="1" si="36"/>
        <v>13.30804777135336</v>
      </c>
      <c r="AY63" s="20">
        <f t="shared" ca="1" si="37"/>
        <v>4.7622858361420084</v>
      </c>
      <c r="AZ63" s="21">
        <v>1833</v>
      </c>
      <c r="BA63" s="22">
        <f t="shared" si="38"/>
        <v>0.1074964639321075</v>
      </c>
      <c r="BB63" s="22">
        <f t="shared" si="39"/>
        <v>0.38570649208947083</v>
      </c>
      <c r="BC63" s="23">
        <f t="shared" si="40"/>
        <v>4.1462084015275506E-2</v>
      </c>
      <c r="BD63" s="98">
        <v>178</v>
      </c>
      <c r="BE63" s="23">
        <f t="shared" si="41"/>
        <v>0.57101890653493736</v>
      </c>
      <c r="BF63" t="s">
        <v>171</v>
      </c>
      <c r="BG63" s="23">
        <f t="shared" si="42"/>
        <v>0.85177584943680928</v>
      </c>
      <c r="BH63" s="24">
        <v>10</v>
      </c>
      <c r="BI63" s="24">
        <v>15</v>
      </c>
      <c r="BJ63" s="25">
        <f ca="1">((BD63*BH63+$AP63-$AQ63)/$H63)/'Framework Notes'!$E$7</f>
        <v>15.627926411388863</v>
      </c>
      <c r="BK63" s="25">
        <f ca="1">((BF63*BI63+$AP63-$AQ63)/$H63)/'Framework Notes'!$E$7</f>
        <v>68.301507151336423</v>
      </c>
      <c r="BL63" s="23">
        <f t="shared" ca="1" si="43"/>
        <v>-0.14936431494277813</v>
      </c>
      <c r="BM63" s="23">
        <f t="shared" ca="1" si="44"/>
        <v>0.14248204562663958</v>
      </c>
      <c r="BN63" s="95" t="s">
        <v>685</v>
      </c>
      <c r="BO63" s="95" t="s">
        <v>135</v>
      </c>
      <c r="BP63" s="95" t="s">
        <v>691</v>
      </c>
    </row>
    <row r="64" spans="1:68" ht="15" customHeight="1" x14ac:dyDescent="0.35">
      <c r="A64" s="86" t="e" vm="61">
        <v>#VALUE!</v>
      </c>
      <c r="B64" s="10" t="str">
        <f t="array" aca="1" ref="B64" ca="1">_FV(A64,"Símbolo bursátil",TRUE())</f>
        <v>OTLY</v>
      </c>
      <c r="C64" s="88" t="s">
        <v>109</v>
      </c>
      <c r="D64" s="88" t="s">
        <v>152</v>
      </c>
      <c r="E64" s="11" t="str">
        <f t="array" aca="1" ref="E64" ca="1">_FV(A64,"Abreviatura de intercambio",TRUE())</f>
        <v>XNAS</v>
      </c>
      <c r="F64" s="11" t="str">
        <f t="array" aca="1" ref="F64" ca="1">_FV(A64,"Moneda")</f>
        <v>USD</v>
      </c>
      <c r="G64" s="12">
        <f t="array" aca="1" ref="G64" ca="1">_FV(A64,"Precio")</f>
        <v>15.76</v>
      </c>
      <c r="H64" s="13">
        <f t="array" aca="1" ref="H64" ca="1">_FV(A64,"Acciones en circulación",TRUE())/1000000</f>
        <v>31.91226</v>
      </c>
      <c r="I64" s="14">
        <f ca="1">G64*H64</f>
        <v>502.9372176</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517.79999999999995</v>
      </c>
      <c r="AR64" s="19">
        <f t="shared" ref="AR64:AR71" ca="1" si="51">I64-AP64+AQ64</f>
        <v>976.13721759999999</v>
      </c>
      <c r="AS64" s="19">
        <v>-50</v>
      </c>
      <c r="AT64" s="19">
        <v>-100</v>
      </c>
      <c r="AU64" s="19">
        <v>-10</v>
      </c>
      <c r="AV64" s="19">
        <v>830</v>
      </c>
      <c r="AW64" s="20">
        <f t="shared" ca="1" si="35"/>
        <v>-19.522744352</v>
      </c>
      <c r="AX64" s="20">
        <f t="shared" ca="1" si="36"/>
        <v>-97.613721760000004</v>
      </c>
      <c r="AY64" s="20">
        <f t="shared" ca="1" si="37"/>
        <v>1.1760689368674699</v>
      </c>
      <c r="AZ64" s="21">
        <v>650</v>
      </c>
      <c r="BA64" s="22">
        <f t="shared" si="38"/>
        <v>-0.12048192771084337</v>
      </c>
      <c r="BB64" s="22">
        <f t="shared" si="39"/>
        <v>1.2769230769230768</v>
      </c>
      <c r="BC64" s="23">
        <f t="shared" si="40"/>
        <v>-0.15384615384615383</v>
      </c>
      <c r="BD64" s="98">
        <v>-50</v>
      </c>
      <c r="BE64" s="23">
        <f t="shared" si="41"/>
        <v>0</v>
      </c>
      <c r="BF64" t="s">
        <v>172</v>
      </c>
      <c r="BG64" s="23">
        <f t="shared" si="42"/>
        <v>-2.179198639369468</v>
      </c>
      <c r="BH64" s="24">
        <v>12</v>
      </c>
      <c r="BI64" s="24">
        <v>16</v>
      </c>
      <c r="BJ64" s="25">
        <f ca="1">(BD64*BH64+$AP64-$AQ64)/$H64</f>
        <v>-33.629708456875186</v>
      </c>
      <c r="BK64" s="25">
        <f ca="1">(BF64*BI64+$AP64-$AQ64)/$H64</f>
        <v>42.328559619406462</v>
      </c>
      <c r="BL64" s="23">
        <f t="shared" ca="1" si="43"/>
        <v>-2.1636794844959226</v>
      </c>
      <c r="BM64" s="23">
        <f t="shared" ca="1" si="44"/>
        <v>0.21847172422912342</v>
      </c>
      <c r="BN64" s="93" t="s">
        <v>79</v>
      </c>
      <c r="BO64" s="93" t="s">
        <v>136</v>
      </c>
      <c r="BP64" s="93" t="s">
        <v>173</v>
      </c>
    </row>
    <row r="65" spans="1:68" x14ac:dyDescent="0.3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3052.29</v>
      </c>
      <c r="H65" s="13">
        <f t="array" aca="1" ref="H65" ca="1">_FV(A65,"Acciones en circulación",TRUE())/1000000</f>
        <v>21.19153</v>
      </c>
      <c r="I65" s="14">
        <f ca="1">G65*H65</f>
        <v>64682.695103699996</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47788.18375144399</v>
      </c>
      <c r="AS65" s="19">
        <v>2700</v>
      </c>
      <c r="AT65" s="19">
        <v>1400</v>
      </c>
      <c r="AU65" s="19">
        <v>3428</v>
      </c>
      <c r="AV65" s="19">
        <v>12641</v>
      </c>
      <c r="AW65" s="20">
        <f t="shared" ca="1" si="35"/>
        <v>17.699327315349628</v>
      </c>
      <c r="AX65" s="20">
        <f t="shared" ca="1" si="36"/>
        <v>13.940543684785295</v>
      </c>
      <c r="AY65" s="20">
        <f t="shared" ca="1" si="37"/>
        <v>3.7804116566287469</v>
      </c>
      <c r="AZ65" s="21">
        <v>5000</v>
      </c>
      <c r="BA65" s="22">
        <f t="shared" si="38"/>
        <v>0.11075073174590618</v>
      </c>
      <c r="BB65" s="22">
        <f t="shared" si="39"/>
        <v>2.5282</v>
      </c>
      <c r="BC65" s="23">
        <f t="shared" si="40"/>
        <v>0.27999999999999997</v>
      </c>
      <c r="BD65" s="98">
        <v>3100</v>
      </c>
      <c r="BE65" s="23">
        <f t="shared" si="41"/>
        <v>2.8015317995883304E-2</v>
      </c>
      <c r="BF65">
        <v>5200</v>
      </c>
      <c r="BG65" s="23">
        <f t="shared" si="42"/>
        <v>0.14006054485197472</v>
      </c>
      <c r="BH65" s="24">
        <v>12</v>
      </c>
      <c r="BI65" s="24">
        <v>22</v>
      </c>
      <c r="BJ65" s="25">
        <f ca="1">((BD65*BH65+$AP65-$AQ65)/$H65)/'Framework Notes'!$E$7</f>
        <v>2360.9350103705701</v>
      </c>
      <c r="BK65" s="25">
        <f ca="1">((BF65*BI65+$AP65-$AQ65)/$H65)/'Framework Notes'!$E$7</f>
        <v>7401.7055950436161</v>
      </c>
      <c r="BL65" s="23">
        <f ca="1">(BJ65/G65)^(1/5)-1</f>
        <v>-5.0069903219847944E-2</v>
      </c>
      <c r="BM65" s="23">
        <f t="shared" ca="1" si="44"/>
        <v>0.19382646615642507</v>
      </c>
      <c r="BN65" s="95" t="s">
        <v>685</v>
      </c>
      <c r="BO65" s="95" t="s">
        <v>692</v>
      </c>
      <c r="BP65" s="95" t="s">
        <v>147</v>
      </c>
    </row>
    <row r="66" spans="1:68" x14ac:dyDescent="0.35">
      <c r="A66" s="86" t="e" vm="63">
        <v>#VALUE!</v>
      </c>
      <c r="B66" s="10" t="str">
        <f t="array" aca="1" ref="B66" ca="1">_FV(A66,"Símbolo bursátil",TRUE())</f>
        <v>UBER</v>
      </c>
      <c r="C66" s="88" t="s">
        <v>177</v>
      </c>
      <c r="D66" s="88" t="s">
        <v>77</v>
      </c>
      <c r="E66" s="11" t="str">
        <f t="array" aca="1" ref="E66" ca="1">_FV(A66,"Abreviatura de intercambio",TRUE())</f>
        <v>XNYS</v>
      </c>
      <c r="F66" s="11" t="str">
        <f t="array" aca="1" ref="F66" ca="1">_FV(A66,"Moneda")</f>
        <v>USD</v>
      </c>
      <c r="G66" s="12">
        <f t="array" aca="1" ref="G66" ca="1">_FV(A66,"Precio")</f>
        <v>79.81</v>
      </c>
      <c r="H66" s="13">
        <f t="array" aca="1" ref="H66" ca="1">_FV(A66,"Acciones en circulación",TRUE())/1000000</f>
        <v>2042.56</v>
      </c>
      <c r="I66" s="14">
        <f ca="1">G66*H66</f>
        <v>163016.71359999999</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172356.71359999999</v>
      </c>
      <c r="AS66" s="19">
        <v>10116</v>
      </c>
      <c r="AT66" s="19">
        <v>5025</v>
      </c>
      <c r="AU66" s="19">
        <v>7475</v>
      </c>
      <c r="AV66" s="19">
        <v>55227</v>
      </c>
      <c r="AW66" s="20">
        <f t="shared" ca="1" si="35"/>
        <v>17.038030209568998</v>
      </c>
      <c r="AX66" s="20">
        <f t="shared" ca="1" si="36"/>
        <v>23.057754327759195</v>
      </c>
      <c r="AY66" s="20">
        <f t="shared" ca="1" si="37"/>
        <v>3.120877715610118</v>
      </c>
      <c r="AZ66" s="21">
        <v>37739</v>
      </c>
      <c r="BA66" s="22">
        <f t="shared" si="38"/>
        <v>9.098810364495627E-2</v>
      </c>
      <c r="BB66" s="22">
        <f t="shared" si="39"/>
        <v>1.463393306658894</v>
      </c>
      <c r="BC66" s="23">
        <f t="shared" si="40"/>
        <v>0.13315138185961473</v>
      </c>
      <c r="BD66" s="98">
        <v>8970</v>
      </c>
      <c r="BE66" s="23">
        <f t="shared" si="41"/>
        <v>-2.3759716293729527E-2</v>
      </c>
      <c r="BF66">
        <v>26900</v>
      </c>
      <c r="BG66" s="23">
        <f t="shared" si="42"/>
        <v>0.21604232728416428</v>
      </c>
      <c r="BH66" s="24">
        <v>14</v>
      </c>
      <c r="BI66" s="24">
        <v>24</v>
      </c>
      <c r="BJ66" s="25">
        <f ca="1">(BD66*BH66+AP66-AQ66)/H66</f>
        <v>56.908976970076765</v>
      </c>
      <c r="BK66" s="25">
        <f ca="1">(BF66*BI66+AP66-AQ66)/H66</f>
        <v>311.50125332915559</v>
      </c>
      <c r="BL66" s="23">
        <f ca="1">(BJ66/G66)^(1/5)-1</f>
        <v>-6.5402330914239526E-2</v>
      </c>
      <c r="BM66" s="23">
        <f t="shared" ca="1" si="44"/>
        <v>0.31304768252822446</v>
      </c>
      <c r="BN66" s="95" t="s">
        <v>685</v>
      </c>
      <c r="BO66" s="95" t="s">
        <v>98</v>
      </c>
      <c r="BP66" s="95" t="s">
        <v>691</v>
      </c>
    </row>
    <row r="67" spans="1:68" x14ac:dyDescent="0.35">
      <c r="A67" s="86" t="e" vm="64">
        <v>#VALUE!</v>
      </c>
      <c r="B67" s="10" t="str">
        <f t="array" aca="1" ref="B67" ca="1">_FV(A67,"Símbolo bursátil",TRUE())</f>
        <v>SOM</v>
      </c>
      <c r="C67" s="88" t="s">
        <v>139</v>
      </c>
      <c r="D67" s="88" t="s">
        <v>152</v>
      </c>
      <c r="E67" s="11" t="str">
        <f ca="1">_FV(A67,"Abreviatura de intercambio",TRUE)</f>
        <v>XLON</v>
      </c>
      <c r="F67" s="11" t="str">
        <f ca="1">_FV(A67,"Moneda")</f>
        <v>GBp</v>
      </c>
      <c r="G67" s="12">
        <f ca="1">_FV(A67,"Precio")</f>
        <v>240</v>
      </c>
      <c r="H67" s="13">
        <f ca="1">_FV(A67,"Acciones en circulación",TRUE)/1000000</f>
        <v>51.776020000000003</v>
      </c>
      <c r="I67" s="14">
        <f ca="1">G67/100*H67</f>
        <v>124.26244800000001</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SUM(T67:AA67)</f>
        <v>33</v>
      </c>
      <c r="AC67" s="16">
        <f>ROUND(AB67/10,2)</f>
        <v>3.3</v>
      </c>
      <c r="AD67" s="90">
        <v>10</v>
      </c>
      <c r="AE67" s="90">
        <v>-2</v>
      </c>
      <c r="AF67" s="90">
        <v>7</v>
      </c>
      <c r="AG67" s="90">
        <v>9</v>
      </c>
      <c r="AH67" s="90">
        <v>3</v>
      </c>
      <c r="AI67" s="90">
        <v>3</v>
      </c>
      <c r="AJ67" s="90">
        <v>8</v>
      </c>
      <c r="AK67" s="90">
        <v>-7</v>
      </c>
      <c r="AL67" s="15">
        <f>SUM(AD67:AK67)</f>
        <v>31</v>
      </c>
      <c r="AM67" s="16">
        <f>ROUND(AL67/70*10,2)</f>
        <v>4.43</v>
      </c>
      <c r="AN67" s="17">
        <f t="shared" si="34"/>
        <v>3.84</v>
      </c>
      <c r="AO67" s="18" t="s">
        <v>78</v>
      </c>
      <c r="AP67" s="19">
        <v>24.2</v>
      </c>
      <c r="AQ67" s="19">
        <v>2.1</v>
      </c>
      <c r="AR67" s="19">
        <f ca="1">I67*'Framework Notes'!$E$9-AP67+AQ67</f>
        <v>147.40640531680003</v>
      </c>
      <c r="AS67" s="19">
        <v>11.7</v>
      </c>
      <c r="AT67" s="19">
        <v>6.8</v>
      </c>
      <c r="AU67" s="19">
        <v>12.8</v>
      </c>
      <c r="AV67" s="19">
        <v>64.900000000000006</v>
      </c>
      <c r="AW67" s="20">
        <f ca="1">AR67/AS67</f>
        <v>12.59883806126496</v>
      </c>
      <c r="AX67" s="20">
        <f ca="1">AR67/AU67</f>
        <v>11.516125415375003</v>
      </c>
      <c r="AY67" s="20">
        <f ca="1">AR67/AV67</f>
        <v>2.2712851358520805</v>
      </c>
      <c r="AZ67" s="21">
        <v>51.47</v>
      </c>
      <c r="BA67" s="22">
        <f>AT67/AV67</f>
        <v>0.10477657935285052</v>
      </c>
      <c r="BB67" s="22">
        <f>AV67/AZ67</f>
        <v>1.2609286963279582</v>
      </c>
      <c r="BC67" s="23">
        <f t="shared" si="40"/>
        <v>0.13211579560909267</v>
      </c>
      <c r="BD67" s="98">
        <v>16</v>
      </c>
      <c r="BE67" s="23">
        <f t="shared" si="41"/>
        <v>6.4600888228827591E-2</v>
      </c>
      <c r="BF67">
        <v>27</v>
      </c>
      <c r="BG67" s="23">
        <f t="shared" si="42"/>
        <v>0.18204927370905</v>
      </c>
      <c r="BH67" s="24">
        <v>12</v>
      </c>
      <c r="BI67" s="24">
        <v>22</v>
      </c>
      <c r="BJ67" s="25">
        <f ca="1">((BD67*BH67+$AP67-$AQ67)/$H67)/'Framework Notes'!$E$9*100</f>
        <v>303.1389870132964</v>
      </c>
      <c r="BK67" s="25">
        <f ca="1">((BF67*BI67+$AP67-$AQ67)/$H67)/'Framework Notes'!$E$9*100</f>
        <v>872.3210177435401</v>
      </c>
      <c r="BL67" s="23">
        <f ca="1">(BJ67/G67)^(1/5)-1</f>
        <v>4.7818617486187209E-2</v>
      </c>
      <c r="BM67" s="23">
        <f t="shared" ca="1" si="44"/>
        <v>0.29447306727229905</v>
      </c>
      <c r="BN67" s="96" t="s">
        <v>531</v>
      </c>
      <c r="BO67" s="96" t="s">
        <v>539</v>
      </c>
      <c r="BP67" s="96" t="s">
        <v>540</v>
      </c>
    </row>
    <row r="68" spans="1:68" x14ac:dyDescent="0.35">
      <c r="A68" s="86" t="e" vm="65">
        <v>#VALUE!</v>
      </c>
      <c r="B68" s="10" t="str">
        <f t="array" aca="1" ref="B68" ca="1">_FV(A68,"Símbolo bursátil",TRUE())</f>
        <v>IP</v>
      </c>
      <c r="C68" s="88" t="s">
        <v>121</v>
      </c>
      <c r="D68" s="88" t="s">
        <v>77</v>
      </c>
      <c r="E68" s="11" t="str">
        <f t="shared" ref="E68:E71" ca="1" si="52">_FV(A68,"Abreviatura de intercambio",TRUE)</f>
        <v>XMIL</v>
      </c>
      <c r="F68" s="11" t="str">
        <f t="shared" ref="F68:F71" ca="1" si="53">_FV(A68,"Moneda")</f>
        <v>EUR</v>
      </c>
      <c r="G68" s="12">
        <f t="shared" ref="G68:G71" ca="1" si="54">_FV(A68,"Precio")</f>
        <v>37.840000000000003</v>
      </c>
      <c r="H68" s="13">
        <f t="shared" ref="H68:H71" ca="1" si="55">_FV(A68,"Acciones en circulación",TRUE)/1000000</f>
        <v>108.8793</v>
      </c>
      <c r="I68" s="14">
        <f ca="1">G68*H68</f>
        <v>4119.9927120000002</v>
      </c>
      <c r="J68" s="90">
        <v>1</v>
      </c>
      <c r="K68" s="90">
        <v>5</v>
      </c>
      <c r="L68" s="90">
        <v>1</v>
      </c>
      <c r="M68" s="90">
        <v>1</v>
      </c>
      <c r="N68" s="90">
        <v>-1</v>
      </c>
      <c r="O68" s="90">
        <v>0</v>
      </c>
      <c r="P68" s="90">
        <v>1</v>
      </c>
      <c r="Q68" s="90">
        <v>1</v>
      </c>
      <c r="R68" s="15">
        <f t="shared" ref="R68:R71" si="56">SUM(J68:N68)+SUM(P68:Q68)</f>
        <v>9</v>
      </c>
      <c r="S68" s="16">
        <f t="shared" ref="S68:S71" si="57">ROUND(R68/16*10,2)</f>
        <v>5.63</v>
      </c>
      <c r="T68" s="90">
        <v>13</v>
      </c>
      <c r="U68" s="90">
        <v>13</v>
      </c>
      <c r="V68" s="90">
        <v>9</v>
      </c>
      <c r="W68" s="90">
        <v>8</v>
      </c>
      <c r="X68" s="90">
        <v>6</v>
      </c>
      <c r="Y68" s="90">
        <v>10</v>
      </c>
      <c r="Z68" s="90">
        <v>8</v>
      </c>
      <c r="AA68" s="90">
        <v>-12</v>
      </c>
      <c r="AB68" s="15">
        <f>SUM(T68:AA68)</f>
        <v>55</v>
      </c>
      <c r="AC68" s="16">
        <f>ROUND(AB68/10,2)</f>
        <v>5.5</v>
      </c>
      <c r="AD68" s="90">
        <v>12</v>
      </c>
      <c r="AE68" s="90">
        <v>-2</v>
      </c>
      <c r="AF68" s="90">
        <v>4</v>
      </c>
      <c r="AG68" s="90">
        <v>9</v>
      </c>
      <c r="AH68" s="90">
        <v>4</v>
      </c>
      <c r="AI68" s="90">
        <v>5</v>
      </c>
      <c r="AJ68" s="90">
        <v>10</v>
      </c>
      <c r="AK68" s="90">
        <v>-6</v>
      </c>
      <c r="AL68" s="15">
        <f>SUM(AD68:AK68)</f>
        <v>36</v>
      </c>
      <c r="AM68" s="16">
        <f>ROUND(AL68/70*10,2)</f>
        <v>5.14</v>
      </c>
      <c r="AN68" s="17">
        <f t="shared" ref="AN68:AN71" si="58">ROUND(S68*0.2+AC68*0.4+AM68*0.4,2)</f>
        <v>5.38</v>
      </c>
      <c r="AO68" s="18" t="s">
        <v>87</v>
      </c>
      <c r="AP68" s="19">
        <v>370</v>
      </c>
      <c r="AQ68" s="19">
        <v>675</v>
      </c>
      <c r="AR68" s="19">
        <f t="shared" ca="1" si="51"/>
        <v>4424.9927120000002</v>
      </c>
      <c r="AS68" s="19">
        <v>263</v>
      </c>
      <c r="AT68" s="19">
        <v>229</v>
      </c>
      <c r="AU68" s="19">
        <v>446</v>
      </c>
      <c r="AV68" s="19">
        <v>2080</v>
      </c>
      <c r="AW68" s="20">
        <f ca="1">AR68/AS68</f>
        <v>16.825067346007604</v>
      </c>
      <c r="AX68" s="20">
        <f ca="1">AR68/AU68</f>
        <v>9.9215083228699559</v>
      </c>
      <c r="AY68" s="20">
        <f ca="1">AR68/AV68</f>
        <v>2.1274003423076926</v>
      </c>
      <c r="AZ68" s="21">
        <v>2401.1</v>
      </c>
      <c r="BA68" s="22">
        <f>AT68/AV68</f>
        <v>0.11009615384615384</v>
      </c>
      <c r="BB68" s="22">
        <f>AV68/AZ68</f>
        <v>0.86626962642122363</v>
      </c>
      <c r="BC68" s="23">
        <f>BA68*BB68</f>
        <v>9.5372954062721255E-2</v>
      </c>
      <c r="BD68" s="98">
        <v>225.5</v>
      </c>
      <c r="BE68" s="23">
        <f>(BD68/AS68)^(1/5)-1</f>
        <v>-3.0298294272315895E-2</v>
      </c>
      <c r="BF68">
        <v>548.9</v>
      </c>
      <c r="BG68" s="23">
        <f>(BF68/AS68)^(1/5)-1</f>
        <v>0.15853056601851723</v>
      </c>
      <c r="BH68" s="24">
        <v>16</v>
      </c>
      <c r="BI68" s="24">
        <v>20.5</v>
      </c>
      <c r="BJ68" s="25">
        <f ca="1">(BD68*BH68+$AP68-$AQ68)/$H68</f>
        <v>30.336344925068403</v>
      </c>
      <c r="BK68" s="25">
        <f ca="1">(BF68*BI68+$AP68-$AQ68)/$H68</f>
        <v>100.54666038448079</v>
      </c>
      <c r="BL68" s="23">
        <f ca="1">($BJ68/G68)^(1/5)-1</f>
        <v>-4.3241288682237089E-2</v>
      </c>
      <c r="BM68" s="23">
        <f t="shared" ca="1" si="44"/>
        <v>0.21585925378268067</v>
      </c>
      <c r="BN68" s="96" t="s">
        <v>685</v>
      </c>
      <c r="BO68" s="96" t="s">
        <v>128</v>
      </c>
      <c r="BP68" s="96" t="s">
        <v>549</v>
      </c>
    </row>
    <row r="69" spans="1:68" x14ac:dyDescent="0.35">
      <c r="A69" s="86" t="e" vm="66">
        <v>#VALUE!</v>
      </c>
      <c r="B69" s="10" t="str">
        <f t="array" aca="1" ref="B69" ca="1">_FV(A69,"Símbolo bursátil",TRUE())</f>
        <v>RBT</v>
      </c>
      <c r="C69" s="88" t="s">
        <v>109</v>
      </c>
      <c r="D69" s="88" t="s">
        <v>77</v>
      </c>
      <c r="E69" s="11" t="str">
        <f t="shared" ca="1" si="52"/>
        <v>XPAR</v>
      </c>
      <c r="F69" s="11" t="str">
        <f t="shared" ca="1" si="53"/>
        <v>EUR</v>
      </c>
      <c r="G69" s="12">
        <f t="shared" ca="1" si="54"/>
        <v>798</v>
      </c>
      <c r="H69" s="13">
        <f t="shared" ca="1" si="55"/>
        <v>2.1692999999999998</v>
      </c>
      <c r="I69" s="14">
        <f ca="1">G69*H69</f>
        <v>1731.1013999999998</v>
      </c>
      <c r="J69" s="90">
        <v>2</v>
      </c>
      <c r="K69" s="90">
        <v>6</v>
      </c>
      <c r="L69" s="90">
        <v>2</v>
      </c>
      <c r="M69" s="90">
        <v>1</v>
      </c>
      <c r="N69" s="90">
        <v>0</v>
      </c>
      <c r="O69" s="90">
        <v>0</v>
      </c>
      <c r="P69" s="90">
        <v>1</v>
      </c>
      <c r="Q69" s="90">
        <v>1</v>
      </c>
      <c r="R69" s="15">
        <f t="shared" si="56"/>
        <v>13</v>
      </c>
      <c r="S69" s="16">
        <f t="shared" si="57"/>
        <v>8.1300000000000008</v>
      </c>
      <c r="T69" s="90">
        <v>13</v>
      </c>
      <c r="U69" s="90">
        <v>15</v>
      </c>
      <c r="V69" s="90">
        <v>11</v>
      </c>
      <c r="W69" s="90">
        <v>9</v>
      </c>
      <c r="X69" s="90">
        <v>9</v>
      </c>
      <c r="Y69" s="90">
        <v>11</v>
      </c>
      <c r="Z69" s="90">
        <v>9</v>
      </c>
      <c r="AA69" s="90">
        <v>-9</v>
      </c>
      <c r="AB69" s="15">
        <f>SUM(T69:AA69)</f>
        <v>68</v>
      </c>
      <c r="AC69" s="16">
        <f>ROUND(AB69/10,2)</f>
        <v>6.8</v>
      </c>
      <c r="AD69" s="90">
        <v>14</v>
      </c>
      <c r="AE69" s="90">
        <v>-1</v>
      </c>
      <c r="AF69" s="90">
        <v>3</v>
      </c>
      <c r="AG69" s="90">
        <v>11</v>
      </c>
      <c r="AH69" s="90">
        <v>4</v>
      </c>
      <c r="AI69" s="90">
        <v>5</v>
      </c>
      <c r="AJ69" s="90">
        <v>13</v>
      </c>
      <c r="AK69" s="90">
        <v>-3</v>
      </c>
      <c r="AL69" s="15">
        <f>SUM(AD69:AK69)</f>
        <v>46</v>
      </c>
      <c r="AM69" s="16">
        <f>ROUND(AL69/70*10,2)</f>
        <v>6.57</v>
      </c>
      <c r="AN69" s="17">
        <f t="shared" si="58"/>
        <v>6.97</v>
      </c>
      <c r="AO69" s="18" t="s">
        <v>87</v>
      </c>
      <c r="AP69" s="19">
        <v>181</v>
      </c>
      <c r="AQ69" s="19">
        <v>253</v>
      </c>
      <c r="AR69" s="19">
        <f t="shared" ca="1" si="51"/>
        <v>1803.1013999999998</v>
      </c>
      <c r="AS69" s="19">
        <v>66.7</v>
      </c>
      <c r="AT69" s="19">
        <v>108.5</v>
      </c>
      <c r="AU69" s="19">
        <v>167</v>
      </c>
      <c r="AV69" s="19">
        <v>844</v>
      </c>
      <c r="AW69" s="20">
        <f ca="1">AR69/AS69</f>
        <v>27.033004497751119</v>
      </c>
      <c r="AX69" s="20">
        <f ca="1">AR69/AU69</f>
        <v>10.797014371257484</v>
      </c>
      <c r="AY69" s="20">
        <f ca="1">AR69/AV69</f>
        <v>2.1363760663507105</v>
      </c>
      <c r="AZ69" s="21">
        <v>713.6</v>
      </c>
      <c r="BA69" s="22">
        <f>AT69/AV69</f>
        <v>0.12855450236966826</v>
      </c>
      <c r="BB69" s="22">
        <f>AV69/AZ69</f>
        <v>1.1827354260089686</v>
      </c>
      <c r="BC69" s="23">
        <f>BA69*BB69</f>
        <v>0.15204596412556054</v>
      </c>
      <c r="BD69" s="98">
        <v>82.1</v>
      </c>
      <c r="BE69" s="23">
        <f>(BD69/AS69)^(1/5)-1</f>
        <v>4.242175081905053E-2</v>
      </c>
      <c r="BF69">
        <v>145</v>
      </c>
      <c r="BG69" s="23">
        <f>(BF69/AS69)^(1/5)-1</f>
        <v>0.16801503633750126</v>
      </c>
      <c r="BH69" s="24">
        <v>18</v>
      </c>
      <c r="BI69" s="24">
        <v>26</v>
      </c>
      <c r="BJ69" s="25">
        <f ca="1">(BD69*BH69+$AP69-$AQ69)/$H69</f>
        <v>648.04314755912048</v>
      </c>
      <c r="BK69" s="25">
        <f ca="1">(BF69*BI69+$AP69-$AQ69)/$H69</f>
        <v>1704.6973678145025</v>
      </c>
      <c r="BL69" s="23">
        <f ca="1">($BJ69/G69)^(1/5)-1</f>
        <v>-4.0775624735993499E-2</v>
      </c>
      <c r="BM69" s="23">
        <f t="shared" ca="1" si="44"/>
        <v>0.16393540749423563</v>
      </c>
      <c r="BN69" s="96" t="s">
        <v>685</v>
      </c>
      <c r="BO69" s="96" t="s">
        <v>128</v>
      </c>
      <c r="BP69" s="96" t="s">
        <v>551</v>
      </c>
    </row>
    <row r="70" spans="1:68" x14ac:dyDescent="0.35">
      <c r="A70" s="86" t="e" vm="67">
        <v>#VALUE!</v>
      </c>
      <c r="B70" s="10" t="str">
        <f t="array" aca="1" ref="B70" ca="1">_FV(A70,"Símbolo bursátil",TRUE())</f>
        <v>ROKO B</v>
      </c>
      <c r="C70" s="88" t="s">
        <v>121</v>
      </c>
      <c r="D70" s="88" t="s">
        <v>77</v>
      </c>
      <c r="E70" s="11" t="str">
        <f t="shared" ca="1" si="52"/>
        <v>XSTO</v>
      </c>
      <c r="F70" s="11" t="str">
        <f t="shared" ca="1" si="53"/>
        <v>SEK</v>
      </c>
      <c r="G70" s="12">
        <f t="shared" ca="1" si="54"/>
        <v>1884</v>
      </c>
      <c r="H70" s="13">
        <f t="shared" ca="1" si="55"/>
        <v>12.1365</v>
      </c>
      <c r="I70" s="14">
        <f ca="1">G70*H70</f>
        <v>22865.166000000001</v>
      </c>
      <c r="J70" s="90">
        <v>1</v>
      </c>
      <c r="K70" s="90">
        <v>5</v>
      </c>
      <c r="L70" s="90">
        <v>3</v>
      </c>
      <c r="M70" s="90">
        <v>0</v>
      </c>
      <c r="N70" s="90">
        <v>0</v>
      </c>
      <c r="O70" s="90">
        <v>0</v>
      </c>
      <c r="P70" s="90">
        <v>1</v>
      </c>
      <c r="Q70" s="90">
        <v>1</v>
      </c>
      <c r="R70" s="15">
        <f t="shared" si="56"/>
        <v>11</v>
      </c>
      <c r="S70" s="16">
        <f t="shared" si="57"/>
        <v>6.88</v>
      </c>
      <c r="T70" s="90">
        <v>12</v>
      </c>
      <c r="U70" s="90">
        <v>12</v>
      </c>
      <c r="V70" s="90">
        <v>15</v>
      </c>
      <c r="W70" s="90">
        <v>8</v>
      </c>
      <c r="X70" s="90">
        <v>7</v>
      </c>
      <c r="Y70" s="90">
        <v>12</v>
      </c>
      <c r="Z70" s="90">
        <v>10</v>
      </c>
      <c r="AA70" s="90">
        <v>-14</v>
      </c>
      <c r="AB70" s="15">
        <f>SUM(T70:AA70)</f>
        <v>62</v>
      </c>
      <c r="AC70" s="16">
        <f>ROUND(AB70/10,2)</f>
        <v>6.2</v>
      </c>
      <c r="AD70" s="90">
        <v>12</v>
      </c>
      <c r="AE70" s="90">
        <v>-3</v>
      </c>
      <c r="AF70" s="90">
        <v>8</v>
      </c>
      <c r="AG70" s="90">
        <v>12</v>
      </c>
      <c r="AH70" s="90">
        <v>1</v>
      </c>
      <c r="AI70" s="90">
        <v>9</v>
      </c>
      <c r="AJ70" s="90">
        <v>9</v>
      </c>
      <c r="AK70" s="90">
        <v>-7</v>
      </c>
      <c r="AL70" s="15">
        <f>SUM(AD70:AK70)</f>
        <v>41</v>
      </c>
      <c r="AM70" s="16">
        <f>ROUND(AL70/70*10,2)</f>
        <v>5.86</v>
      </c>
      <c r="AN70" s="17">
        <f t="shared" si="58"/>
        <v>6.2</v>
      </c>
      <c r="AO70" s="18" t="s">
        <v>122</v>
      </c>
      <c r="AP70" s="19">
        <v>435</v>
      </c>
      <c r="AQ70" s="19">
        <v>3020</v>
      </c>
      <c r="AR70" s="19">
        <f t="shared" ca="1" si="51"/>
        <v>25450.166000000001</v>
      </c>
      <c r="AS70" s="19">
        <v>1150</v>
      </c>
      <c r="AT70" s="19">
        <v>893</v>
      </c>
      <c r="AU70" s="19">
        <v>1560</v>
      </c>
      <c r="AV70" s="19">
        <v>7090</v>
      </c>
      <c r="AW70" s="20">
        <f ca="1">AR70/AS70</f>
        <v>22.130579130434782</v>
      </c>
      <c r="AX70" s="20">
        <f ca="1">AR70/AU70</f>
        <v>16.314208974358976</v>
      </c>
      <c r="AY70" s="20">
        <f ca="1">AR70/AV70</f>
        <v>3.5895861777150917</v>
      </c>
      <c r="AZ70" s="21">
        <v>9895</v>
      </c>
      <c r="BA70" s="22">
        <f>AT70/AV70</f>
        <v>0.12595204513399152</v>
      </c>
      <c r="BB70" s="22">
        <f>AV70/AZ70</f>
        <v>0.71652349671551285</v>
      </c>
      <c r="BC70" s="23">
        <f>BA70*BB70</f>
        <v>9.0247599797877706E-2</v>
      </c>
      <c r="BD70" s="98">
        <v>1150</v>
      </c>
      <c r="BE70" s="23">
        <f>(BD70/AS70)^(1/5)-1</f>
        <v>0</v>
      </c>
      <c r="BF70">
        <v>1900</v>
      </c>
      <c r="BG70" s="23">
        <f>(BF70/AS70)^(1/5)-1</f>
        <v>0.10563340590814718</v>
      </c>
      <c r="BH70" s="24">
        <v>22</v>
      </c>
      <c r="BI70" s="24">
        <v>30</v>
      </c>
      <c r="BJ70" s="25">
        <f ca="1">(BD70*BH70+$AP70-$AQ70)/$H70</f>
        <v>1871.6269105590575</v>
      </c>
      <c r="BK70" s="25">
        <f ca="1">(BF70*BI70+$AP70-$AQ70)/$H70</f>
        <v>4483.5825814691225</v>
      </c>
      <c r="BL70" s="23">
        <f ca="1">($BJ70/G70)^(1/5)-1</f>
        <v>-1.3169556271558358E-3</v>
      </c>
      <c r="BM70" s="23">
        <f t="shared" ca="1" si="44"/>
        <v>0.18934774904737917</v>
      </c>
      <c r="BN70" s="96" t="s">
        <v>685</v>
      </c>
      <c r="BO70" s="96" t="s">
        <v>553</v>
      </c>
      <c r="BP70" s="96" t="s">
        <v>125</v>
      </c>
    </row>
    <row r="71" spans="1:68" x14ac:dyDescent="0.35">
      <c r="A71" s="86" t="e" vm="68">
        <v>#VALUE!</v>
      </c>
      <c r="B71" s="10" t="str">
        <f t="array" aca="1" ref="B71" ca="1">_FV(A71,"Símbolo bursátil",TRUE())</f>
        <v>USPH</v>
      </c>
      <c r="C71" s="88" t="s">
        <v>114</v>
      </c>
      <c r="D71" s="88" t="s">
        <v>77</v>
      </c>
      <c r="E71" s="11" t="str">
        <f t="shared" ca="1" si="52"/>
        <v>XNYS</v>
      </c>
      <c r="F71" s="11" t="str">
        <f t="shared" ca="1" si="53"/>
        <v>USD</v>
      </c>
      <c r="G71" s="12">
        <f t="shared" ca="1" si="54"/>
        <v>77.56</v>
      </c>
      <c r="H71" s="13">
        <f t="shared" ca="1" si="55"/>
        <v>14.922700000000001</v>
      </c>
      <c r="I71" s="14">
        <f ca="1">G71*H71</f>
        <v>1157.404612</v>
      </c>
      <c r="J71" s="90">
        <v>2</v>
      </c>
      <c r="K71" s="90">
        <v>4</v>
      </c>
      <c r="L71" s="90">
        <v>2</v>
      </c>
      <c r="M71" s="90">
        <v>-1</v>
      </c>
      <c r="N71" s="90">
        <v>-1</v>
      </c>
      <c r="O71" s="90">
        <v>0</v>
      </c>
      <c r="P71" s="90">
        <v>0</v>
      </c>
      <c r="Q71" s="90">
        <v>-1</v>
      </c>
      <c r="R71" s="15">
        <f t="shared" si="56"/>
        <v>5</v>
      </c>
      <c r="S71" s="16">
        <f t="shared" si="57"/>
        <v>3.13</v>
      </c>
      <c r="T71" s="90">
        <v>8</v>
      </c>
      <c r="U71" s="90">
        <v>8</v>
      </c>
      <c r="V71" s="90">
        <v>13</v>
      </c>
      <c r="W71" s="90">
        <v>7</v>
      </c>
      <c r="X71" s="90">
        <v>8</v>
      </c>
      <c r="Y71" s="90">
        <v>9</v>
      </c>
      <c r="Z71" s="90">
        <v>3</v>
      </c>
      <c r="AA71" s="90">
        <v>-20</v>
      </c>
      <c r="AB71" s="15">
        <f>SUM(T71:AA71)</f>
        <v>36</v>
      </c>
      <c r="AC71" s="16">
        <f>ROUND(AB71/10,2)</f>
        <v>3.6</v>
      </c>
      <c r="AD71" s="90">
        <v>12</v>
      </c>
      <c r="AE71" s="90">
        <v>-4</v>
      </c>
      <c r="AF71" s="90">
        <v>8</v>
      </c>
      <c r="AG71" s="90">
        <v>6</v>
      </c>
      <c r="AH71" s="90">
        <v>-3</v>
      </c>
      <c r="AI71" s="90">
        <v>4</v>
      </c>
      <c r="AJ71" s="90">
        <v>6</v>
      </c>
      <c r="AK71" s="90">
        <v>-9</v>
      </c>
      <c r="AL71" s="15">
        <f>SUM(AD71:AK71)</f>
        <v>20</v>
      </c>
      <c r="AM71" s="16">
        <f>ROUND(AL71/70*10,2)</f>
        <v>2.86</v>
      </c>
      <c r="AN71" s="17">
        <f t="shared" si="58"/>
        <v>3.21</v>
      </c>
      <c r="AO71" s="18" t="s">
        <v>78</v>
      </c>
      <c r="AP71" s="19">
        <v>24.9</v>
      </c>
      <c r="AQ71" s="19">
        <v>385.8</v>
      </c>
      <c r="AR71" s="19">
        <f t="shared" ca="1" si="51"/>
        <v>1518.3046119999999</v>
      </c>
      <c r="AS71" s="19">
        <v>62</v>
      </c>
      <c r="AT71" s="19">
        <v>57</v>
      </c>
      <c r="AU71" s="19">
        <v>96</v>
      </c>
      <c r="AV71" s="19">
        <v>804.3</v>
      </c>
      <c r="AW71" s="20">
        <f ca="1">AR71/AS71</f>
        <v>24.488784064516128</v>
      </c>
      <c r="AX71" s="20">
        <f ca="1">AR71/AU71</f>
        <v>15.815673041666665</v>
      </c>
      <c r="AY71" s="20">
        <f ca="1">AR71/AV71</f>
        <v>1.887734193708815</v>
      </c>
      <c r="AZ71" s="21">
        <v>1127.5999999999999</v>
      </c>
      <c r="BA71" s="22">
        <f>AT71/AV71</f>
        <v>7.0869078701976881E-2</v>
      </c>
      <c r="BB71" s="22">
        <f>AV71/AZ71</f>
        <v>0.71328485278467546</v>
      </c>
      <c r="BC71" s="23">
        <f>BA71*BB71</f>
        <v>5.054984036892516E-2</v>
      </c>
      <c r="BD71" s="98">
        <v>60</v>
      </c>
      <c r="BE71" s="23">
        <f>(BD71/AS71)^(1/5)-1</f>
        <v>-6.5365080443043899E-3</v>
      </c>
      <c r="BF71">
        <v>105</v>
      </c>
      <c r="BG71" s="23">
        <f>(BF71/AS71)^(1/5)-1</f>
        <v>0.11111630819510987</v>
      </c>
      <c r="BH71" s="24">
        <v>19</v>
      </c>
      <c r="BI71" s="24">
        <v>26</v>
      </c>
      <c r="BJ71" s="25">
        <f ca="1">(BD71*BH71+$AP71-$AQ71)/$H71</f>
        <v>52.209050640969807</v>
      </c>
      <c r="BK71" s="25">
        <f ca="1">(BF71*BI71+$AP71-$AQ71)/$H71</f>
        <v>158.75813358172448</v>
      </c>
      <c r="BL71" s="23">
        <f ca="1">($BJ71/G71)^(1/5)-1</f>
        <v>-7.6107164828045581E-2</v>
      </c>
      <c r="BM71" s="23">
        <f t="shared" ca="1" si="44"/>
        <v>0.15403674413348489</v>
      </c>
      <c r="BN71" s="96" t="s">
        <v>548</v>
      </c>
      <c r="BO71" s="96" t="s">
        <v>98</v>
      </c>
      <c r="BP71" s="96" t="s">
        <v>147</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2"/>
  <sheetViews>
    <sheetView zoomScaleNormal="100" workbookViewId="0">
      <selection activeCell="E16" sqref="E16"/>
    </sheetView>
  </sheetViews>
  <sheetFormatPr baseColWidth="10" defaultColWidth="8.54296875" defaultRowHeight="14.5" x14ac:dyDescent="0.35"/>
  <cols>
    <col min="1" max="1" width="110" customWidth="1"/>
    <col min="4" max="4" width="11.81640625" customWidth="1"/>
    <col min="5" max="5" width="9.54296875" customWidth="1"/>
  </cols>
  <sheetData>
    <row r="1" spans="1:6" ht="24" customHeight="1" x14ac:dyDescent="0.35">
      <c r="A1" s="106" t="s">
        <v>178</v>
      </c>
      <c r="B1" s="102"/>
      <c r="C1" s="102"/>
      <c r="D1" s="102"/>
      <c r="E1" s="102"/>
      <c r="F1" s="102"/>
    </row>
    <row r="3" spans="1:6" ht="15" customHeight="1" x14ac:dyDescent="0.35">
      <c r="A3" s="27" t="s">
        <v>179</v>
      </c>
    </row>
    <row r="4" spans="1:6" ht="15" customHeight="1" x14ac:dyDescent="0.35">
      <c r="A4" s="28" t="s">
        <v>180</v>
      </c>
      <c r="D4" t="e" vm="69">
        <v>#VALUE!</v>
      </c>
      <c r="E4" s="29">
        <f t="array" aca="1" ref="E4" ca="1">_FV(D4,"Precio")</f>
        <v>185.86</v>
      </c>
    </row>
    <row r="5" spans="1:6" ht="15" customHeight="1" x14ac:dyDescent="0.35">
      <c r="A5" s="28" t="s">
        <v>181</v>
      </c>
      <c r="D5" t="e" vm="70">
        <v>#VALUE!</v>
      </c>
      <c r="E5" s="30">
        <f t="array" aca="1" ref="E5" ca="1">_FV(D5,"Precio")</f>
        <v>1.2461</v>
      </c>
    </row>
    <row r="6" spans="1:6" ht="15" customHeight="1" x14ac:dyDescent="0.35">
      <c r="A6" s="28" t="s">
        <v>182</v>
      </c>
      <c r="D6" t="e" vm="71">
        <v>#VALUE!</v>
      </c>
      <c r="E6" s="31">
        <f t="array" aca="1" ref="E6" ca="1">_FV(D6,"Precio")</f>
        <v>457.78</v>
      </c>
    </row>
    <row r="7" spans="1:6" ht="15" customHeight="1" x14ac:dyDescent="0.35">
      <c r="D7" t="e" vm="72">
        <v>#VALUE!</v>
      </c>
      <c r="E7" s="30">
        <f t="array" aca="1" ref="E7" ca="1">_FV(D7,"Precio")</f>
        <v>0.72270000000000001</v>
      </c>
    </row>
    <row r="8" spans="1:6" ht="15" customHeight="1" x14ac:dyDescent="0.35">
      <c r="A8" s="27" t="s">
        <v>599</v>
      </c>
      <c r="D8" t="e" vm="73">
        <v>#VALUE!</v>
      </c>
      <c r="E8" s="87">
        <f t="array" aca="1" ref="E8" ca="1">_FV(D8,"Precio")</f>
        <v>0.85680000000000001</v>
      </c>
    </row>
    <row r="9" spans="1:6" ht="15" customHeight="1" x14ac:dyDescent="0.35">
      <c r="A9" s="28" t="s">
        <v>183</v>
      </c>
      <c r="C9" t="s">
        <v>607</v>
      </c>
      <c r="E9">
        <v>1.3641000000000001</v>
      </c>
    </row>
    <row r="10" spans="1:6" ht="15" customHeight="1" x14ac:dyDescent="0.35">
      <c r="A10" s="28" t="s">
        <v>184</v>
      </c>
    </row>
    <row r="11" spans="1:6" ht="15" customHeight="1" x14ac:dyDescent="0.35">
      <c r="A11" s="28" t="s">
        <v>185</v>
      </c>
    </row>
    <row r="12" spans="1:6" ht="15" customHeight="1" x14ac:dyDescent="0.35">
      <c r="A12" s="28" t="s">
        <v>186</v>
      </c>
    </row>
    <row r="13" spans="1:6" ht="15" customHeight="1" x14ac:dyDescent="0.35">
      <c r="A13" s="28" t="s">
        <v>187</v>
      </c>
    </row>
    <row r="14" spans="1:6" ht="15" customHeight="1" x14ac:dyDescent="0.35">
      <c r="A14" s="28" t="s">
        <v>600</v>
      </c>
    </row>
    <row r="15" spans="1:6" ht="15" customHeight="1" x14ac:dyDescent="0.35">
      <c r="A15" s="28" t="s">
        <v>188</v>
      </c>
    </row>
    <row r="16" spans="1:6" ht="15" customHeight="1" x14ac:dyDescent="0.35">
      <c r="A16" s="28" t="s">
        <v>189</v>
      </c>
    </row>
    <row r="18" spans="1:1" ht="15" customHeight="1" x14ac:dyDescent="0.35">
      <c r="A18" s="27" t="s">
        <v>190</v>
      </c>
    </row>
    <row r="19" spans="1:1" ht="15" customHeight="1" x14ac:dyDescent="0.35">
      <c r="A19" s="28" t="s">
        <v>191</v>
      </c>
    </row>
    <row r="20" spans="1:1" ht="15" customHeight="1" x14ac:dyDescent="0.35">
      <c r="A20" s="28" t="s">
        <v>192</v>
      </c>
    </row>
    <row r="21" spans="1:1" ht="15" customHeight="1" x14ac:dyDescent="0.35">
      <c r="A21" s="28" t="s">
        <v>193</v>
      </c>
    </row>
    <row r="22" spans="1:1" ht="15" customHeight="1" x14ac:dyDescent="0.35">
      <c r="A22" s="28" t="s">
        <v>194</v>
      </c>
    </row>
    <row r="23" spans="1:1" ht="15" customHeight="1" x14ac:dyDescent="0.35">
      <c r="A23" s="28" t="s">
        <v>195</v>
      </c>
    </row>
    <row r="24" spans="1:1" ht="15" customHeight="1" x14ac:dyDescent="0.35">
      <c r="A24" s="28" t="s">
        <v>196</v>
      </c>
    </row>
    <row r="25" spans="1:1" ht="15" customHeight="1" x14ac:dyDescent="0.35">
      <c r="A25" s="28" t="s">
        <v>197</v>
      </c>
    </row>
    <row r="26" spans="1:1" ht="15" customHeight="1" x14ac:dyDescent="0.35">
      <c r="A26" s="28" t="s">
        <v>198</v>
      </c>
    </row>
    <row r="28" spans="1:1" ht="15" customHeight="1" x14ac:dyDescent="0.35">
      <c r="A28" s="27" t="s">
        <v>199</v>
      </c>
    </row>
    <row r="29" spans="1:1" ht="15" customHeight="1" x14ac:dyDescent="0.35">
      <c r="A29" s="28" t="s">
        <v>200</v>
      </c>
    </row>
    <row r="30" spans="1:1" ht="15" customHeight="1" x14ac:dyDescent="0.35">
      <c r="A30" s="28" t="s">
        <v>201</v>
      </c>
    </row>
    <row r="31" spans="1:1" ht="15" customHeight="1" x14ac:dyDescent="0.35">
      <c r="A31" s="28" t="s">
        <v>202</v>
      </c>
    </row>
    <row r="32" spans="1:1" ht="15" customHeight="1" x14ac:dyDescent="0.35">
      <c r="A32" s="28" t="s">
        <v>203</v>
      </c>
    </row>
    <row r="33" spans="1:1" ht="15" customHeight="1" x14ac:dyDescent="0.35">
      <c r="A33" s="28" t="s">
        <v>204</v>
      </c>
    </row>
    <row r="34" spans="1:1" ht="15" customHeight="1" x14ac:dyDescent="0.35">
      <c r="A34" s="28" t="s">
        <v>205</v>
      </c>
    </row>
    <row r="35" spans="1:1" ht="15" customHeight="1" x14ac:dyDescent="0.35">
      <c r="A35" s="28" t="s">
        <v>206</v>
      </c>
    </row>
    <row r="36" spans="1:1" ht="15" customHeight="1" x14ac:dyDescent="0.35">
      <c r="A36" s="28" t="s">
        <v>207</v>
      </c>
    </row>
    <row r="38" spans="1:1" ht="15" customHeight="1" x14ac:dyDescent="0.35">
      <c r="A38" s="27" t="s">
        <v>208</v>
      </c>
    </row>
    <row r="39" spans="1:1" ht="15" customHeight="1" x14ac:dyDescent="0.35">
      <c r="A39" s="28" t="s">
        <v>601</v>
      </c>
    </row>
    <row r="40" spans="1:1" ht="15" customHeight="1" x14ac:dyDescent="0.35">
      <c r="A40" s="28" t="s">
        <v>602</v>
      </c>
    </row>
    <row r="41" spans="1:1" x14ac:dyDescent="0.35">
      <c r="A41" t="s">
        <v>603</v>
      </c>
    </row>
    <row r="42" spans="1:1" ht="15" customHeight="1" x14ac:dyDescent="0.35">
      <c r="A42" s="27" t="s">
        <v>209</v>
      </c>
    </row>
    <row r="43" spans="1:1" ht="15" customHeight="1" x14ac:dyDescent="0.35">
      <c r="A43" s="28" t="s">
        <v>210</v>
      </c>
    </row>
    <row r="44" spans="1:1" ht="15" customHeight="1" x14ac:dyDescent="0.35">
      <c r="A44" s="28" t="s">
        <v>211</v>
      </c>
    </row>
    <row r="45" spans="1:1" ht="15" customHeight="1" x14ac:dyDescent="0.35">
      <c r="A45" s="28" t="s">
        <v>212</v>
      </c>
    </row>
    <row r="46" spans="1:1" ht="15" customHeight="1" x14ac:dyDescent="0.35">
      <c r="A46" s="28" t="s">
        <v>213</v>
      </c>
    </row>
    <row r="47" spans="1:1" ht="15" customHeight="1" x14ac:dyDescent="0.35">
      <c r="A47" s="28" t="s">
        <v>214</v>
      </c>
    </row>
    <row r="49" spans="1:1" ht="15" customHeight="1" x14ac:dyDescent="0.35">
      <c r="A49" s="27"/>
    </row>
    <row r="50" spans="1:1" ht="15" customHeight="1" x14ac:dyDescent="0.35">
      <c r="A50" s="28" t="s">
        <v>637</v>
      </c>
    </row>
    <row r="51" spans="1:1" ht="15" customHeight="1" x14ac:dyDescent="0.35">
      <c r="A51" s="28" t="s">
        <v>638</v>
      </c>
    </row>
    <row r="52" spans="1:1" ht="15" customHeight="1" x14ac:dyDescent="0.35">
      <c r="A52" s="28" t="s">
        <v>639</v>
      </c>
    </row>
    <row r="53" spans="1:1" x14ac:dyDescent="0.35">
      <c r="A53" t="s">
        <v>640</v>
      </c>
    </row>
    <row r="54" spans="1:1" x14ac:dyDescent="0.35">
      <c r="A54" t="s">
        <v>641</v>
      </c>
    </row>
    <row r="55" spans="1:1" x14ac:dyDescent="0.35">
      <c r="A55" t="s">
        <v>642</v>
      </c>
    </row>
    <row r="56" spans="1:1" x14ac:dyDescent="0.35">
      <c r="A56" t="s">
        <v>643</v>
      </c>
    </row>
    <row r="57" spans="1:1" x14ac:dyDescent="0.35">
      <c r="A57" t="s">
        <v>644</v>
      </c>
    </row>
    <row r="58" spans="1:1" x14ac:dyDescent="0.35">
      <c r="A58" t="s">
        <v>784</v>
      </c>
    </row>
    <row r="59" spans="1:1" x14ac:dyDescent="0.35">
      <c r="A59" t="s">
        <v>645</v>
      </c>
    </row>
    <row r="62" spans="1:1" x14ac:dyDescent="0.35">
      <c r="A62" t="s">
        <v>660</v>
      </c>
    </row>
    <row r="63" spans="1:1" x14ac:dyDescent="0.35">
      <c r="A63" t="s">
        <v>661</v>
      </c>
    </row>
    <row r="64" spans="1:1" x14ac:dyDescent="0.35">
      <c r="A64" t="s">
        <v>662</v>
      </c>
    </row>
    <row r="65" spans="1:1" x14ac:dyDescent="0.35">
      <c r="A65" t="s">
        <v>663</v>
      </c>
    </row>
    <row r="66" spans="1:1" x14ac:dyDescent="0.35">
      <c r="A66" t="s">
        <v>664</v>
      </c>
    </row>
    <row r="67" spans="1:1" x14ac:dyDescent="0.35">
      <c r="A67" t="s">
        <v>665</v>
      </c>
    </row>
    <row r="68" spans="1:1" x14ac:dyDescent="0.35">
      <c r="A68" t="s">
        <v>666</v>
      </c>
    </row>
    <row r="69" spans="1:1" x14ac:dyDescent="0.35">
      <c r="A69" t="s">
        <v>667</v>
      </c>
    </row>
    <row r="70" spans="1:1" x14ac:dyDescent="0.35">
      <c r="A70" t="s">
        <v>668</v>
      </c>
    </row>
    <row r="71" spans="1:1" x14ac:dyDescent="0.35">
      <c r="A71" t="s">
        <v>669</v>
      </c>
    </row>
    <row r="72" spans="1:1" x14ac:dyDescent="0.35">
      <c r="A72" t="s">
        <v>785</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265625" defaultRowHeight="14.5" x14ac:dyDescent="0.35"/>
  <cols>
    <col min="1" max="14" width="13.26953125" customWidth="1"/>
    <col min="15" max="16" width="10.7265625" customWidth="1"/>
    <col min="17" max="17" width="16" customWidth="1"/>
    <col min="18" max="29" width="13.26953125" hidden="1" customWidth="1"/>
    <col min="30" max="30" width="2.81640625" customWidth="1"/>
    <col min="31" max="31" width="4.7265625" hidden="1" customWidth="1"/>
    <col min="32" max="32" width="13.26953125" hidden="1" customWidth="1"/>
    <col min="33" max="33" width="10.453125" customWidth="1"/>
    <col min="34" max="43" width="0.1796875" customWidth="1"/>
  </cols>
  <sheetData>
    <row r="1" spans="1:47" ht="45" customHeight="1" x14ac:dyDescent="0.6">
      <c r="A1" s="113" t="s">
        <v>215</v>
      </c>
      <c r="B1" s="102"/>
      <c r="C1" s="102"/>
      <c r="D1" s="102"/>
      <c r="E1" s="102"/>
      <c r="F1" s="102"/>
      <c r="G1" s="102"/>
      <c r="H1" s="102"/>
      <c r="I1" s="102"/>
      <c r="J1" s="102"/>
      <c r="K1" s="102"/>
      <c r="L1" s="102"/>
      <c r="M1" s="32"/>
      <c r="N1" s="32"/>
      <c r="O1" s="32"/>
      <c r="P1" s="32"/>
      <c r="Q1" s="32"/>
      <c r="R1" s="32"/>
    </row>
    <row r="2" spans="1:47" ht="24.75" customHeight="1" x14ac:dyDescent="0.35">
      <c r="A2" s="130" t="s">
        <v>216</v>
      </c>
      <c r="B2" s="131"/>
      <c r="C2" s="131"/>
      <c r="D2" s="131"/>
      <c r="E2" s="131"/>
      <c r="F2" s="131"/>
      <c r="G2" s="131"/>
      <c r="H2" s="131"/>
      <c r="I2" s="131"/>
      <c r="J2" s="131"/>
      <c r="K2" s="131"/>
      <c r="L2" s="131"/>
    </row>
    <row r="3" spans="1:47" ht="24.75" customHeight="1" x14ac:dyDescent="0.35">
      <c r="A3" s="136" t="s">
        <v>217</v>
      </c>
      <c r="B3" s="125"/>
      <c r="C3" s="157" t="s">
        <v>218</v>
      </c>
      <c r="D3" s="125"/>
      <c r="E3" s="158" t="s">
        <v>219</v>
      </c>
      <c r="F3" s="125"/>
      <c r="G3" s="124" t="s">
        <v>220</v>
      </c>
      <c r="H3" s="125"/>
      <c r="I3" s="126" t="s">
        <v>221</v>
      </c>
      <c r="J3" s="125"/>
      <c r="K3" s="162" t="s">
        <v>222</v>
      </c>
      <c r="L3" s="163"/>
    </row>
    <row r="4" spans="1:47" ht="49.5" customHeight="1" x14ac:dyDescent="0.35">
      <c r="A4" s="143">
        <f ca="1">COUNTA('Watchlist Ratings'!B4:B71)</f>
        <v>68</v>
      </c>
      <c r="B4" s="128"/>
      <c r="C4" s="159">
        <f>ROUND(AVERAGE('Watchlist Ratings'!AN4:AN71),2)</f>
        <v>5.98</v>
      </c>
      <c r="D4" s="128"/>
      <c r="E4" s="129" t="str">
        <f>TEXT(AVERAGE('Watchlist Ratings'!BC4:BC71),"0.0%")</f>
        <v>16.8%</v>
      </c>
      <c r="F4" s="128"/>
      <c r="G4" s="129" t="str">
        <f ca="1">TEXT(AVERAGE('Watchlist Ratings'!AW4:AW71),"0.0x")</f>
        <v>35.3x</v>
      </c>
      <c r="H4" s="128"/>
      <c r="I4" s="129">
        <f ca="1">COUNTIF('Watchlist Ratings'!BM4:BM71,"&gt;0")</f>
        <v>61</v>
      </c>
      <c r="J4" s="128"/>
      <c r="K4" s="114">
        <f>COUNTIF('Watchlist Ratings'!AN4:AN71,"&gt;7.5")</f>
        <v>16</v>
      </c>
      <c r="L4" s="115"/>
    </row>
    <row r="5" spans="1:47" ht="19.5" customHeight="1" x14ac:dyDescent="0.35">
      <c r="A5" s="139" t="s">
        <v>223</v>
      </c>
      <c r="B5" s="128"/>
      <c r="C5" s="127" t="s">
        <v>224</v>
      </c>
      <c r="D5" s="128"/>
      <c r="E5" s="127" t="s">
        <v>225</v>
      </c>
      <c r="F5" s="128"/>
      <c r="G5" s="127" t="s">
        <v>226</v>
      </c>
      <c r="H5" s="128"/>
      <c r="I5" s="127" t="s">
        <v>227</v>
      </c>
      <c r="J5" s="128"/>
      <c r="K5" s="164" t="s">
        <v>228</v>
      </c>
      <c r="L5" s="115"/>
    </row>
    <row r="6" spans="1:47" ht="18" customHeight="1" x14ac:dyDescent="0.35">
      <c r="A6" s="120" t="s">
        <v>229</v>
      </c>
      <c r="B6" s="121"/>
      <c r="C6" s="137" t="s">
        <v>230</v>
      </c>
      <c r="D6" s="121"/>
      <c r="E6" s="137" t="s">
        <v>231</v>
      </c>
      <c r="F6" s="121"/>
      <c r="G6" s="123" t="s">
        <v>232</v>
      </c>
      <c r="H6" s="121"/>
      <c r="I6" s="137" t="s">
        <v>233</v>
      </c>
      <c r="J6" s="121"/>
      <c r="K6" s="160" t="s">
        <v>234</v>
      </c>
      <c r="L6" s="161"/>
      <c r="O6" t="s">
        <v>235</v>
      </c>
      <c r="S6" t="s">
        <v>236</v>
      </c>
      <c r="V6" t="s">
        <v>237</v>
      </c>
      <c r="Y6" t="s">
        <v>238</v>
      </c>
      <c r="AA6" t="s">
        <v>239</v>
      </c>
      <c r="AE6" t="s">
        <v>240</v>
      </c>
      <c r="AF6" t="s">
        <v>241</v>
      </c>
      <c r="AH6" t="s">
        <v>240</v>
      </c>
      <c r="AI6" t="s">
        <v>241</v>
      </c>
      <c r="AJ6" t="s">
        <v>240</v>
      </c>
      <c r="AK6" t="s">
        <v>242</v>
      </c>
      <c r="AL6" t="s">
        <v>243</v>
      </c>
      <c r="AM6" t="s">
        <v>240</v>
      </c>
      <c r="AN6" t="s">
        <v>244</v>
      </c>
      <c r="AO6" t="s">
        <v>240</v>
      </c>
      <c r="AP6" t="s">
        <v>245</v>
      </c>
      <c r="AQ6" t="s">
        <v>246</v>
      </c>
      <c r="AS6" t="s">
        <v>240</v>
      </c>
      <c r="AT6" t="s">
        <v>244</v>
      </c>
      <c r="AU6" t="s">
        <v>246</v>
      </c>
    </row>
    <row r="7" spans="1:47" ht="15.75" customHeight="1" x14ac:dyDescent="0.35">
      <c r="A7" s="33" t="s">
        <v>247</v>
      </c>
      <c r="B7" s="34" t="s">
        <v>240</v>
      </c>
      <c r="C7" s="34" t="s">
        <v>248</v>
      </c>
      <c r="D7" s="34" t="s">
        <v>249</v>
      </c>
      <c r="E7" s="34" t="s">
        <v>250</v>
      </c>
      <c r="F7" s="34" t="s">
        <v>251</v>
      </c>
      <c r="G7" s="34" t="s">
        <v>242</v>
      </c>
      <c r="H7" s="34" t="s">
        <v>252</v>
      </c>
      <c r="I7" s="34" t="s">
        <v>62</v>
      </c>
      <c r="J7" s="35" t="s">
        <v>244</v>
      </c>
      <c r="K7" s="36"/>
      <c r="O7" t="s">
        <v>240</v>
      </c>
      <c r="P7" t="s">
        <v>251</v>
      </c>
      <c r="Q7" t="s">
        <v>253</v>
      </c>
      <c r="S7" t="s">
        <v>240</v>
      </c>
      <c r="T7" t="s">
        <v>62</v>
      </c>
      <c r="V7" t="s">
        <v>240</v>
      </c>
      <c r="W7" t="s">
        <v>242</v>
      </c>
      <c r="X7" t="s">
        <v>243</v>
      </c>
      <c r="Y7" t="s">
        <v>240</v>
      </c>
      <c r="Z7" t="s">
        <v>244</v>
      </c>
      <c r="AA7" t="s">
        <v>240</v>
      </c>
      <c r="AB7" t="s">
        <v>254</v>
      </c>
      <c r="AC7" t="s">
        <v>253</v>
      </c>
      <c r="AE7" t="s">
        <v>255</v>
      </c>
      <c r="AF7">
        <v>83.3333333333333</v>
      </c>
      <c r="AH7" t="s">
        <v>255</v>
      </c>
      <c r="AI7">
        <v>83.3</v>
      </c>
      <c r="AJ7" t="s">
        <v>256</v>
      </c>
      <c r="AK7">
        <v>8</v>
      </c>
      <c r="AL7">
        <v>3</v>
      </c>
      <c r="AM7" t="s">
        <v>257</v>
      </c>
      <c r="AN7">
        <v>52.2</v>
      </c>
      <c r="AO7" t="s">
        <v>256</v>
      </c>
      <c r="AP7">
        <v>4.5</v>
      </c>
      <c r="AQ7">
        <v>33.6</v>
      </c>
      <c r="AS7" t="s">
        <v>256</v>
      </c>
      <c r="AT7">
        <v>20.173600073636401</v>
      </c>
      <c r="AU7">
        <v>33.701681153345</v>
      </c>
    </row>
    <row r="8" spans="1:47" ht="30" customHeight="1" x14ac:dyDescent="0.35">
      <c r="A8" s="122" t="s">
        <v>258</v>
      </c>
      <c r="B8" s="102"/>
      <c r="C8" s="102"/>
      <c r="D8" s="102"/>
      <c r="E8" s="102"/>
      <c r="F8" s="102"/>
      <c r="G8" s="102"/>
      <c r="H8" s="102"/>
      <c r="I8" s="102"/>
      <c r="J8" s="102"/>
      <c r="K8" s="102"/>
      <c r="L8" s="102"/>
      <c r="O8" t="str">
        <f ca="1">'Watchlist Ratings'!B4</f>
        <v>VEEV</v>
      </c>
      <c r="P8" s="37">
        <f>'Watchlist Ratings'!AN4</f>
        <v>8.33</v>
      </c>
      <c r="Q8" s="23">
        <f ca="1">'Watchlist Ratings'!BM4</f>
        <v>0.21724859954203968</v>
      </c>
      <c r="S8" t="str">
        <f ca="1">'Watchlist Ratings'!B4</f>
        <v>VEEV</v>
      </c>
      <c r="T8" s="23">
        <f>'Watchlist Ratings'!BC4</f>
        <v>0.54</v>
      </c>
      <c r="V8" t="str">
        <f ca="1">'Watchlist Ratings'!B4</f>
        <v>VEEV</v>
      </c>
      <c r="W8" s="38">
        <f>'Watchlist Ratings'!K4</f>
        <v>8</v>
      </c>
      <c r="X8" s="38">
        <f>'Watchlist Ratings'!L4</f>
        <v>2</v>
      </c>
      <c r="Y8" t="str">
        <f ca="1">'Watchlist Ratings'!B4</f>
        <v>VEEV</v>
      </c>
      <c r="Z8">
        <f ca="1">'Watchlist Ratings'!AW4</f>
        <v>19.754374556097559</v>
      </c>
      <c r="AA8" t="str">
        <f ca="1">'Watchlist Ratings'!B4</f>
        <v>VEEV</v>
      </c>
      <c r="AB8">
        <f ca="1">'Watchlist Ratings'!BL4</f>
        <v>-2.9177844379771334E-2</v>
      </c>
      <c r="AC8">
        <f ca="1">'Watchlist Ratings'!BM4</f>
        <v>0.21724859954203968</v>
      </c>
      <c r="AE8" t="s">
        <v>259</v>
      </c>
      <c r="AF8">
        <v>83.3333333333333</v>
      </c>
      <c r="AH8" t="s">
        <v>259</v>
      </c>
      <c r="AI8">
        <v>83.3</v>
      </c>
      <c r="AJ8" t="s">
        <v>260</v>
      </c>
      <c r="AK8">
        <v>8</v>
      </c>
      <c r="AL8">
        <v>3</v>
      </c>
      <c r="AM8" t="s">
        <v>261</v>
      </c>
      <c r="AN8">
        <v>51.1</v>
      </c>
      <c r="AO8" t="s">
        <v>262</v>
      </c>
      <c r="AP8">
        <v>3.7</v>
      </c>
      <c r="AQ8">
        <v>32.4</v>
      </c>
      <c r="AS8" t="s">
        <v>260</v>
      </c>
      <c r="AT8">
        <v>44.5724369425714</v>
      </c>
      <c r="AU8">
        <v>10.123218193895701</v>
      </c>
    </row>
    <row r="9" spans="1:47" ht="15" customHeight="1" x14ac:dyDescent="0.3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0.21224118015235321</v>
      </c>
      <c r="J9" s="44">
        <f ca="1">'Watchlist Ratings'!AW5</f>
        <v>28.814635825177454</v>
      </c>
      <c r="O9" t="str">
        <f ca="1">'Watchlist Ratings'!B5</f>
        <v>MSFT</v>
      </c>
      <c r="P9" s="37">
        <f>'Watchlist Ratings'!AN5</f>
        <v>7.86</v>
      </c>
      <c r="Q9" s="23">
        <f ca="1">'Watchlist Ratings'!BM5</f>
        <v>0.12780422738436692</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28.814635825177454</v>
      </c>
      <c r="AA9" t="str">
        <f ca="1">'Watchlist Ratings'!B5</f>
        <v>MSFT</v>
      </c>
      <c r="AB9">
        <f ca="1">'Watchlist Ratings'!BL5</f>
        <v>-4.1895880509692951E-2</v>
      </c>
      <c r="AC9">
        <f ca="1">'Watchlist Ratings'!BM5</f>
        <v>0.12780422738436692</v>
      </c>
      <c r="AE9" t="s">
        <v>263</v>
      </c>
      <c r="AF9">
        <v>59.375</v>
      </c>
      <c r="AH9" t="s">
        <v>263</v>
      </c>
      <c r="AI9">
        <v>59.4</v>
      </c>
      <c r="AJ9" t="s">
        <v>261</v>
      </c>
      <c r="AK9">
        <v>8</v>
      </c>
      <c r="AL9">
        <v>1</v>
      </c>
      <c r="AM9" t="s">
        <v>264</v>
      </c>
      <c r="AN9">
        <v>45.6</v>
      </c>
      <c r="AO9" t="s">
        <v>265</v>
      </c>
      <c r="AP9">
        <v>1.1000000000000001</v>
      </c>
      <c r="AQ9">
        <v>28.4</v>
      </c>
      <c r="AS9" t="s">
        <v>265</v>
      </c>
      <c r="AT9">
        <v>28.571278521519002</v>
      </c>
      <c r="AU9">
        <v>28.414482662692301</v>
      </c>
    </row>
    <row r="10" spans="1:47" ht="15" customHeight="1" x14ac:dyDescent="0.3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0.24</v>
      </c>
      <c r="J10" s="50">
        <f ca="1">'Watchlist Ratings'!AW6</f>
        <v>30.102847924710428</v>
      </c>
      <c r="O10" t="str">
        <f ca="1">'Watchlist Ratings'!B6</f>
        <v>ADYEN</v>
      </c>
      <c r="P10" s="37">
        <f>'Watchlist Ratings'!AN6</f>
        <v>7.8</v>
      </c>
      <c r="Q10" s="23">
        <f ca="1">'Watchlist Ratings'!BM6</f>
        <v>0.21268691268480011</v>
      </c>
      <c r="S10" t="str">
        <f ca="1">'Watchlist Ratings'!B6</f>
        <v>ADYEN</v>
      </c>
      <c r="T10" s="23">
        <f>'Watchlist Ratings'!BC6</f>
        <v>0.24</v>
      </c>
      <c r="V10" t="str">
        <f ca="1">'Watchlist Ratings'!B6</f>
        <v>ADYEN</v>
      </c>
      <c r="W10" s="38">
        <f>'Watchlist Ratings'!K6</f>
        <v>7</v>
      </c>
      <c r="X10" s="38">
        <f>'Watchlist Ratings'!L6</f>
        <v>2</v>
      </c>
      <c r="Y10" t="str">
        <f ca="1">'Watchlist Ratings'!B6</f>
        <v>ADYEN</v>
      </c>
      <c r="Z10">
        <f ca="1">'Watchlist Ratings'!AW6</f>
        <v>30.102847924710428</v>
      </c>
      <c r="AA10" t="str">
        <f ca="1">'Watchlist Ratings'!B6</f>
        <v>ADYEN</v>
      </c>
      <c r="AB10">
        <f ca="1">'Watchlist Ratings'!BL6</f>
        <v>-7.5205385336348685E-2</v>
      </c>
      <c r="AC10">
        <f ca="1">'Watchlist Ratings'!BM6</f>
        <v>0.21268691268480011</v>
      </c>
      <c r="AE10" t="s">
        <v>256</v>
      </c>
      <c r="AF10">
        <v>54</v>
      </c>
      <c r="AH10" t="s">
        <v>256</v>
      </c>
      <c r="AI10">
        <v>54</v>
      </c>
      <c r="AJ10" t="s">
        <v>257</v>
      </c>
      <c r="AK10">
        <v>8</v>
      </c>
      <c r="AL10">
        <v>3</v>
      </c>
      <c r="AM10" t="s">
        <v>260</v>
      </c>
      <c r="AN10">
        <v>44.8</v>
      </c>
      <c r="AO10" t="s">
        <v>266</v>
      </c>
      <c r="AP10">
        <v>1.8</v>
      </c>
      <c r="AQ10">
        <v>25</v>
      </c>
      <c r="AS10" t="s">
        <v>267</v>
      </c>
      <c r="AT10">
        <v>24.369253736000001</v>
      </c>
      <c r="AU10">
        <v>23.4863412384314</v>
      </c>
    </row>
    <row r="11" spans="1:47" ht="15" customHeight="1" x14ac:dyDescent="0.3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6.1111111111111116E-2</v>
      </c>
      <c r="J11" s="44">
        <f ca="1">'Watchlist Ratings'!AW7</f>
        <v>17.899890907258065</v>
      </c>
      <c r="O11" t="str">
        <f ca="1">'Watchlist Ratings'!B7</f>
        <v>BN</v>
      </c>
      <c r="P11" s="37">
        <f>'Watchlist Ratings'!AN7</f>
        <v>7.97</v>
      </c>
      <c r="Q11" s="23">
        <f ca="1">'Watchlist Ratings'!BM7</f>
        <v>0.21900244611200459</v>
      </c>
      <c r="S11" t="str">
        <f ca="1">'Watchlist Ratings'!B7</f>
        <v>BN</v>
      </c>
      <c r="T11" s="23">
        <f>'Watchlist Ratings'!BC7</f>
        <v>6.1111111111111116E-2</v>
      </c>
      <c r="V11" t="str">
        <f ca="1">'Watchlist Ratings'!B7</f>
        <v>BN</v>
      </c>
      <c r="W11" s="38">
        <f>'Watchlist Ratings'!K7</f>
        <v>7</v>
      </c>
      <c r="X11" s="38">
        <f>'Watchlist Ratings'!L7</f>
        <v>3</v>
      </c>
      <c r="Y11" t="str">
        <f ca="1">'Watchlist Ratings'!B7</f>
        <v>BN</v>
      </c>
      <c r="Z11">
        <f ca="1">'Watchlist Ratings'!AW7</f>
        <v>17.899890907258065</v>
      </c>
      <c r="AA11" t="str">
        <f ca="1">'Watchlist Ratings'!B7</f>
        <v>BN</v>
      </c>
      <c r="AB11">
        <f ca="1">'Watchlist Ratings'!BL7</f>
        <v>1.6521030185501884E-2</v>
      </c>
      <c r="AC11">
        <f ca="1">'Watchlist Ratings'!BM7</f>
        <v>0.21900244611200459</v>
      </c>
      <c r="AE11" t="s">
        <v>268</v>
      </c>
      <c r="AF11">
        <v>41.6666666666667</v>
      </c>
      <c r="AH11" t="s">
        <v>268</v>
      </c>
      <c r="AI11">
        <v>41.7</v>
      </c>
      <c r="AJ11" t="s">
        <v>269</v>
      </c>
      <c r="AK11">
        <v>8</v>
      </c>
      <c r="AL11">
        <v>2</v>
      </c>
      <c r="AM11" t="s">
        <v>270</v>
      </c>
      <c r="AN11">
        <v>43.6</v>
      </c>
      <c r="AO11" t="s">
        <v>267</v>
      </c>
      <c r="AP11">
        <v>0.6</v>
      </c>
      <c r="AQ11">
        <v>23.3</v>
      </c>
      <c r="AS11" t="s">
        <v>261</v>
      </c>
      <c r="AT11">
        <v>51.179748126470599</v>
      </c>
      <c r="AU11">
        <v>0.80673234994763598</v>
      </c>
    </row>
    <row r="12" spans="1:47" ht="15" customHeight="1" x14ac:dyDescent="0.35">
      <c r="A12" s="45">
        <v>5</v>
      </c>
      <c r="B12" s="46" t="str">
        <f ca="1">'Watchlist Ratings'!B8</f>
        <v>COST</v>
      </c>
      <c r="C12" s="47">
        <f>'Watchlist Ratings'!S8</f>
        <v>7.81</v>
      </c>
      <c r="D12" s="47">
        <f>'Watchlist Ratings'!AC8</f>
        <v>7.8</v>
      </c>
      <c r="E12" s="47">
        <f>'Watchlist Ratings'!AM8</f>
        <v>8.43</v>
      </c>
      <c r="F12" s="47">
        <f>'Watchlist Ratings'!AN8</f>
        <v>8.0500000000000007</v>
      </c>
      <c r="G12" s="48">
        <f>'Watchlist Ratings'!K8</f>
        <v>8</v>
      </c>
      <c r="H12" s="48">
        <f>'Watchlist Ratings'!L8</f>
        <v>1</v>
      </c>
      <c r="I12" s="49">
        <f>'Watchlist Ratings'!BC8</f>
        <v>0.19061054057104165</v>
      </c>
      <c r="J12" s="50">
        <f ca="1">'Watchlist Ratings'!AW8</f>
        <v>34.843905292566141</v>
      </c>
      <c r="O12" t="str">
        <f ca="1">'Watchlist Ratings'!B8</f>
        <v>COST</v>
      </c>
      <c r="P12" s="37">
        <f>'Watchlist Ratings'!AN8</f>
        <v>8.0500000000000007</v>
      </c>
      <c r="Q12" s="23">
        <f ca="1">'Watchlist Ratings'!BM8</f>
        <v>8.4916787387159243E-2</v>
      </c>
      <c r="S12" t="str">
        <f ca="1">'Watchlist Ratings'!B8</f>
        <v>COST</v>
      </c>
      <c r="T12" s="23">
        <f>'Watchlist Ratings'!BC8</f>
        <v>0.19061054057104165</v>
      </c>
      <c r="V12" t="str">
        <f ca="1">'Watchlist Ratings'!B8</f>
        <v>COST</v>
      </c>
      <c r="W12" s="38">
        <f>'Watchlist Ratings'!K8</f>
        <v>8</v>
      </c>
      <c r="X12" s="38">
        <f>'Watchlist Ratings'!L8</f>
        <v>1</v>
      </c>
      <c r="Y12" t="str">
        <f ca="1">'Watchlist Ratings'!B8</f>
        <v>COST</v>
      </c>
      <c r="Z12">
        <f ca="1">'Watchlist Ratings'!AW8</f>
        <v>34.843905292566141</v>
      </c>
      <c r="AA12" t="str">
        <f ca="1">'Watchlist Ratings'!B8</f>
        <v>COST</v>
      </c>
      <c r="AB12">
        <f ca="1">'Watchlist Ratings'!BL8</f>
        <v>-4.9816250558583963E-2</v>
      </c>
      <c r="AC12">
        <f ca="1">'Watchlist Ratings'!BM8</f>
        <v>8.4916787387159243E-2</v>
      </c>
      <c r="AE12" t="s">
        <v>271</v>
      </c>
      <c r="AF12">
        <v>38.3333333333333</v>
      </c>
      <c r="AH12" t="s">
        <v>271</v>
      </c>
      <c r="AI12">
        <v>38.299999999999997</v>
      </c>
      <c r="AJ12" t="s">
        <v>265</v>
      </c>
      <c r="AK12">
        <v>7</v>
      </c>
      <c r="AL12">
        <v>3</v>
      </c>
      <c r="AM12" t="s">
        <v>263</v>
      </c>
      <c r="AN12">
        <v>40.299999999999997</v>
      </c>
      <c r="AO12" t="s">
        <v>272</v>
      </c>
      <c r="AP12">
        <v>-0.1</v>
      </c>
      <c r="AQ12">
        <v>20.8</v>
      </c>
      <c r="AS12" t="s">
        <v>272</v>
      </c>
      <c r="AT12">
        <v>25.7039266520833</v>
      </c>
      <c r="AU12">
        <v>20.9506730863196</v>
      </c>
    </row>
    <row r="13" spans="1:47" ht="15" customHeight="1" x14ac:dyDescent="0.3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0.10501193317422435</v>
      </c>
      <c r="J13" s="44">
        <f ca="1">'Watchlist Ratings'!AW9</f>
        <v>22.249565544483985</v>
      </c>
      <c r="L13" s="36" t="s">
        <v>273</v>
      </c>
      <c r="M13" t="s">
        <v>274</v>
      </c>
      <c r="O13" t="str">
        <f ca="1">'Watchlist Ratings'!B9</f>
        <v>DSGX</v>
      </c>
      <c r="P13" s="37">
        <f>'Watchlist Ratings'!AN9</f>
        <v>7.92</v>
      </c>
      <c r="Q13" s="23">
        <f ca="1">'Watchlist Ratings'!BM9</f>
        <v>0.19745985531708032</v>
      </c>
      <c r="S13" t="str">
        <f ca="1">'Watchlist Ratings'!B9</f>
        <v>DSGX</v>
      </c>
      <c r="T13" s="23">
        <f>'Watchlist Ratings'!BC9</f>
        <v>0.10501193317422435</v>
      </c>
      <c r="V13" t="str">
        <f ca="1">'Watchlist Ratings'!B9</f>
        <v>DSGX</v>
      </c>
      <c r="W13" s="38">
        <f>'Watchlist Ratings'!K9</f>
        <v>7</v>
      </c>
      <c r="X13" s="38">
        <f>'Watchlist Ratings'!L9</f>
        <v>2</v>
      </c>
      <c r="Y13" t="str">
        <f ca="1">'Watchlist Ratings'!B9</f>
        <v>DSGX</v>
      </c>
      <c r="Z13">
        <f ca="1">'Watchlist Ratings'!AW9</f>
        <v>22.249565544483985</v>
      </c>
      <c r="AA13" t="str">
        <f ca="1">'Watchlist Ratings'!B9</f>
        <v>DSGX</v>
      </c>
      <c r="AB13">
        <f ca="1">'Watchlist Ratings'!BL9</f>
        <v>-3.6669624209512586E-2</v>
      </c>
      <c r="AC13">
        <f ca="1">'Watchlist Ratings'!BM9</f>
        <v>0.19745985531708032</v>
      </c>
      <c r="AE13" t="s">
        <v>266</v>
      </c>
      <c r="AF13">
        <v>37.5</v>
      </c>
      <c r="AH13" t="s">
        <v>266</v>
      </c>
      <c r="AI13">
        <v>37.5</v>
      </c>
      <c r="AJ13" t="s">
        <v>267</v>
      </c>
      <c r="AK13">
        <v>7</v>
      </c>
      <c r="AL13">
        <v>3</v>
      </c>
      <c r="AM13" t="s">
        <v>275</v>
      </c>
      <c r="AN13">
        <v>38.9</v>
      </c>
      <c r="AO13" t="s">
        <v>276</v>
      </c>
      <c r="AP13">
        <v>4.7</v>
      </c>
      <c r="AQ13">
        <v>32.9</v>
      </c>
      <c r="AS13" t="s">
        <v>271</v>
      </c>
      <c r="AT13">
        <v>29.589673076923098</v>
      </c>
      <c r="AU13">
        <v>13.4877131347373</v>
      </c>
    </row>
    <row r="14" spans="1:47" ht="15" customHeight="1" x14ac:dyDescent="0.3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26.703442307692306</v>
      </c>
      <c r="L14" t="s">
        <v>277</v>
      </c>
      <c r="M14">
        <f>COUNTIF('Watchlist Ratings'!AN4:AN71,"&gt;=8")</f>
        <v>3</v>
      </c>
      <c r="O14" t="str">
        <f ca="1">'Watchlist Ratings'!B10</f>
        <v>RAA</v>
      </c>
      <c r="P14" s="37">
        <f>'Watchlist Ratings'!AN10</f>
        <v>7.78</v>
      </c>
      <c r="Q14" s="23">
        <f ca="1">'Watchlist Ratings'!BM10</f>
        <v>0.12867081613737774</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26.703442307692306</v>
      </c>
      <c r="AA14" t="str">
        <f ca="1">'Watchlist Ratings'!B10</f>
        <v>RAA</v>
      </c>
      <c r="AB14">
        <f ca="1">'Watchlist Ratings'!BL10</f>
        <v>-6.165003828172777E-2</v>
      </c>
      <c r="AC14">
        <f ca="1">'Watchlist Ratings'!BM10</f>
        <v>0.12867081613737774</v>
      </c>
      <c r="AE14" t="s">
        <v>278</v>
      </c>
      <c r="AF14">
        <v>37.142857142857103</v>
      </c>
      <c r="AH14" t="s">
        <v>278</v>
      </c>
      <c r="AI14">
        <v>37.1</v>
      </c>
      <c r="AJ14" t="s">
        <v>272</v>
      </c>
      <c r="AK14">
        <v>7</v>
      </c>
      <c r="AL14">
        <v>2</v>
      </c>
      <c r="AM14" t="s">
        <v>269</v>
      </c>
      <c r="AN14">
        <v>38.5</v>
      </c>
      <c r="AO14" t="s">
        <v>279</v>
      </c>
      <c r="AP14">
        <v>-4.2</v>
      </c>
      <c r="AQ14">
        <v>13.7</v>
      </c>
      <c r="AS14" t="s">
        <v>262</v>
      </c>
      <c r="AT14">
        <v>26.244954871232899</v>
      </c>
      <c r="AU14">
        <v>32.575210542620198</v>
      </c>
    </row>
    <row r="15" spans="1:47" ht="15" customHeight="1" x14ac:dyDescent="0.3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-2.9366978464215793E-2</v>
      </c>
      <c r="J15" s="44">
        <f ca="1">'Watchlist Ratings'!AW11</f>
        <v>26.560800363447559</v>
      </c>
      <c r="L15" t="s">
        <v>280</v>
      </c>
      <c r="M15">
        <f>COUNTIFS('Watchlist Ratings'!AN4:AN71,"&gt;=7",'Watchlist Ratings'!AN4:AN71,"&lt;8")</f>
        <v>18</v>
      </c>
      <c r="O15" t="str">
        <f ca="1">'Watchlist Ratings'!B11</f>
        <v>ZS</v>
      </c>
      <c r="P15" s="37">
        <f>'Watchlist Ratings'!AN11</f>
        <v>7.22</v>
      </c>
      <c r="Q15" s="23">
        <f ca="1">'Watchlist Ratings'!BM11</f>
        <v>0.25949207403006769</v>
      </c>
      <c r="S15" t="str">
        <f ca="1">'Watchlist Ratings'!B11</f>
        <v>ZS</v>
      </c>
      <c r="T15" s="23">
        <f>'Watchlist Ratings'!BC11</f>
        <v>-2.9366978464215793E-2</v>
      </c>
      <c r="V15" t="str">
        <f ca="1">'Watchlist Ratings'!B11</f>
        <v>ZS</v>
      </c>
      <c r="W15" s="38">
        <f>'Watchlist Ratings'!K11</f>
        <v>6</v>
      </c>
      <c r="X15" s="38">
        <f>'Watchlist Ratings'!L11</f>
        <v>2</v>
      </c>
      <c r="Y15" t="str">
        <f ca="1">'Watchlist Ratings'!B11</f>
        <v>ZS</v>
      </c>
      <c r="Z15">
        <f ca="1">'Watchlist Ratings'!AW11</f>
        <v>26.560800363447559</v>
      </c>
      <c r="AA15" t="str">
        <f ca="1">'Watchlist Ratings'!B11</f>
        <v>ZS</v>
      </c>
      <c r="AB15">
        <f ca="1">'Watchlist Ratings'!BL11</f>
        <v>-2.4255031214933664E-2</v>
      </c>
      <c r="AC15">
        <f ca="1">'Watchlist Ratings'!BM11</f>
        <v>0.25949207403006769</v>
      </c>
      <c r="AE15" t="s">
        <v>279</v>
      </c>
      <c r="AF15">
        <v>36.1111111111111</v>
      </c>
      <c r="AH15" t="s">
        <v>279</v>
      </c>
      <c r="AI15">
        <v>36.1</v>
      </c>
      <c r="AJ15" t="s">
        <v>271</v>
      </c>
      <c r="AK15">
        <v>7</v>
      </c>
      <c r="AL15">
        <v>2</v>
      </c>
      <c r="AM15" t="s">
        <v>281</v>
      </c>
      <c r="AN15">
        <v>37.700000000000003</v>
      </c>
      <c r="AO15" t="s">
        <v>271</v>
      </c>
      <c r="AP15">
        <v>-8</v>
      </c>
      <c r="AQ15">
        <v>13.5</v>
      </c>
      <c r="AS15" t="s">
        <v>282</v>
      </c>
      <c r="AT15">
        <v>27.905545425233299</v>
      </c>
      <c r="AU15">
        <v>8.8031472249346301</v>
      </c>
    </row>
    <row r="16" spans="1:47" ht="15" customHeight="1" x14ac:dyDescent="0.3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0.20337500000000003</v>
      </c>
      <c r="J16" s="50">
        <f ca="1">'Watchlist Ratings'!AW12</f>
        <v>36.235240624476425</v>
      </c>
      <c r="L16" t="s">
        <v>283</v>
      </c>
      <c r="M16">
        <f>COUNTIFS('Watchlist Ratings'!AN4:AN71,"&gt;=6",'Watchlist Ratings'!AN4:AN71,"&lt;7")</f>
        <v>16</v>
      </c>
      <c r="O16" t="str">
        <f ca="1">'Watchlist Ratings'!B12</f>
        <v>NTO</v>
      </c>
      <c r="P16" s="37">
        <f>'Watchlist Ratings'!AN12</f>
        <v>7.76</v>
      </c>
      <c r="Q16" s="23">
        <f ca="1">'Watchlist Ratings'!BM12</f>
        <v>2.2808301254799268E-2</v>
      </c>
      <c r="S16" t="str">
        <f ca="1">'Watchlist Ratings'!B12</f>
        <v>NTO</v>
      </c>
      <c r="T16" s="23">
        <f>'Watchlist Ratings'!BC12</f>
        <v>0.20337500000000003</v>
      </c>
      <c r="V16" t="str">
        <f ca="1">'Watchlist Ratings'!B12</f>
        <v>NTO</v>
      </c>
      <c r="W16" s="38">
        <f>'Watchlist Ratings'!K12</f>
        <v>7</v>
      </c>
      <c r="X16" s="38">
        <f>'Watchlist Ratings'!L12</f>
        <v>3</v>
      </c>
      <c r="Y16" t="str">
        <f ca="1">'Watchlist Ratings'!B12</f>
        <v>NTO</v>
      </c>
      <c r="Z16">
        <f ca="1">'Watchlist Ratings'!AW12</f>
        <v>36.235240624476425</v>
      </c>
      <c r="AA16" t="str">
        <f ca="1">'Watchlist Ratings'!B12</f>
        <v>NTO</v>
      </c>
      <c r="AB16">
        <f ca="1">'Watchlist Ratings'!BL12</f>
        <v>-0.12449674769032804</v>
      </c>
      <c r="AC16">
        <f ca="1">'Watchlist Ratings'!BM12</f>
        <v>2.2808301254799268E-2</v>
      </c>
      <c r="AE16" t="s">
        <v>260</v>
      </c>
      <c r="AF16">
        <v>32.142857142857103</v>
      </c>
      <c r="AH16" t="s">
        <v>260</v>
      </c>
      <c r="AI16">
        <v>32.1</v>
      </c>
      <c r="AJ16" t="s">
        <v>282</v>
      </c>
      <c r="AK16">
        <v>7</v>
      </c>
      <c r="AL16">
        <v>3</v>
      </c>
      <c r="AM16" t="s">
        <v>271</v>
      </c>
      <c r="AN16">
        <v>29.6</v>
      </c>
      <c r="AO16" t="s">
        <v>269</v>
      </c>
      <c r="AP16">
        <v>-7.9</v>
      </c>
      <c r="AQ16">
        <v>12.3</v>
      </c>
      <c r="AS16" t="s">
        <v>257</v>
      </c>
      <c r="AT16">
        <v>52.2229498644231</v>
      </c>
      <c r="AU16">
        <v>4.7817205741696798</v>
      </c>
    </row>
    <row r="17" spans="1:47" ht="15" customHeight="1" x14ac:dyDescent="0.3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37.159060432515382</v>
      </c>
      <c r="L17" t="s">
        <v>284</v>
      </c>
      <c r="M17">
        <f>COUNTIF('Watchlist Ratings'!AN4:AN71,"&lt;6")</f>
        <v>31</v>
      </c>
      <c r="O17" t="str">
        <f ca="1">'Watchlist Ratings'!B13</f>
        <v>AMZN</v>
      </c>
      <c r="P17" s="37">
        <f>'Watchlist Ratings'!AN13</f>
        <v>7.81</v>
      </c>
      <c r="Q17" s="23">
        <f ca="1">'Watchlist Ratings'!BM13</f>
        <v>0.11301923910271405</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37.159060432515382</v>
      </c>
      <c r="AA17" t="str">
        <f ca="1">'Watchlist Ratings'!B13</f>
        <v>AMZN</v>
      </c>
      <c r="AB17">
        <f ca="1">'Watchlist Ratings'!BL13</f>
        <v>-6.0627169269325321E-2</v>
      </c>
      <c r="AC17">
        <f ca="1">'Watchlist Ratings'!BM13</f>
        <v>0.11301923910271405</v>
      </c>
      <c r="AS17" t="s">
        <v>281</v>
      </c>
      <c r="AT17">
        <v>37.736707694444398</v>
      </c>
      <c r="AU17">
        <v>5.3744270407932504</v>
      </c>
    </row>
    <row r="18" spans="1:47" ht="15" customHeight="1" x14ac:dyDescent="0.35">
      <c r="A18" s="45">
        <v>11</v>
      </c>
      <c r="B18" s="46" t="str">
        <f ca="1">'Watchlist Ratings'!B14</f>
        <v>SU</v>
      </c>
      <c r="C18" s="47">
        <f>'Watchlist Ratings'!S14</f>
        <v>8.1300000000000008</v>
      </c>
      <c r="D18" s="47">
        <f>'Watchlist Ratings'!AC14</f>
        <v>7.7</v>
      </c>
      <c r="E18" s="47">
        <f>'Watchlist Ratings'!AM14</f>
        <v>7.71</v>
      </c>
      <c r="F18" s="47">
        <f>'Watchlist Ratings'!AN14</f>
        <v>7.79</v>
      </c>
      <c r="G18" s="48">
        <f>'Watchlist Ratings'!K14</f>
        <v>7</v>
      </c>
      <c r="H18" s="48">
        <f>'Watchlist Ratings'!L14</f>
        <v>3</v>
      </c>
      <c r="I18" s="49">
        <f>'Watchlist Ratings'!BC14</f>
        <v>0.13238863589079727</v>
      </c>
      <c r="J18" s="50">
        <f ca="1">'Watchlist Ratings'!AW14</f>
        <v>30.323395819870765</v>
      </c>
      <c r="O18" t="str">
        <f ca="1">'Watchlist Ratings'!B14</f>
        <v>SU</v>
      </c>
      <c r="P18" s="37">
        <f>'Watchlist Ratings'!AN14</f>
        <v>7.79</v>
      </c>
      <c r="Q18" s="23">
        <f ca="1">'Watchlist Ratings'!BM14</f>
        <v>9.4174490275463096E-2</v>
      </c>
      <c r="V18" t="str">
        <f ca="1">'Watchlist Ratings'!B14</f>
        <v>SU</v>
      </c>
      <c r="W18" s="38">
        <f>'Watchlist Ratings'!K14</f>
        <v>7</v>
      </c>
      <c r="X18" s="38">
        <f>'Watchlist Ratings'!L14</f>
        <v>3</v>
      </c>
      <c r="Y18" t="str">
        <f ca="1">'Watchlist Ratings'!B14</f>
        <v>SU</v>
      </c>
      <c r="Z18">
        <f ca="1">'Watchlist Ratings'!AW14</f>
        <v>30.323395819870765</v>
      </c>
      <c r="AA18" t="str">
        <f ca="1">'Watchlist Ratings'!B14</f>
        <v>SU</v>
      </c>
      <c r="AB18">
        <f ca="1">'Watchlist Ratings'!BL14</f>
        <v>-6.5815112928822916E-2</v>
      </c>
      <c r="AC18">
        <f ca="1">'Watchlist Ratings'!BM14</f>
        <v>9.4174490275463096E-2</v>
      </c>
      <c r="AS18" t="s">
        <v>279</v>
      </c>
      <c r="AT18">
        <v>24.612029698461502</v>
      </c>
      <c r="AU18">
        <v>13.683807480135</v>
      </c>
    </row>
    <row r="19" spans="1:47" ht="15" customHeight="1" x14ac:dyDescent="0.35">
      <c r="A19" s="39">
        <v>12</v>
      </c>
      <c r="B19" s="40" t="str">
        <f ca="1">'Watchlist Ratings'!B15</f>
        <v>ITX</v>
      </c>
      <c r="C19" s="41">
        <f>'Watchlist Ratings'!S15</f>
        <v>7.19</v>
      </c>
      <c r="D19" s="41">
        <f>'Watchlist Ratings'!AC15</f>
        <v>7.7</v>
      </c>
      <c r="E19" s="41">
        <f>'Watchlist Ratings'!AM15</f>
        <v>8.14</v>
      </c>
      <c r="F19" s="41">
        <f>'Watchlist Ratings'!AN15</f>
        <v>7.77</v>
      </c>
      <c r="G19" s="42">
        <f>'Watchlist Ratings'!K15</f>
        <v>6.5</v>
      </c>
      <c r="H19" s="42">
        <f>'Watchlist Ratings'!L15</f>
        <v>2</v>
      </c>
      <c r="I19" s="43">
        <f>'Watchlist Ratings'!BC15</f>
        <v>0.26337260125712858</v>
      </c>
      <c r="J19" s="44">
        <f ca="1">'Watchlist Ratings'!AW15</f>
        <v>25.124783886363637</v>
      </c>
      <c r="O19" t="str">
        <f ca="1">'Watchlist Ratings'!B15</f>
        <v>ITX</v>
      </c>
      <c r="P19" s="37">
        <f>'Watchlist Ratings'!AN15</f>
        <v>7.77</v>
      </c>
      <c r="Q19" s="23">
        <f ca="1">'Watchlist Ratings'!BM15</f>
        <v>0.10741088468091919</v>
      </c>
      <c r="V19" t="str">
        <f ca="1">'Watchlist Ratings'!B15</f>
        <v>ITX</v>
      </c>
      <c r="W19" s="38">
        <f>'Watchlist Ratings'!K15</f>
        <v>6.5</v>
      </c>
      <c r="X19" s="38">
        <f>'Watchlist Ratings'!L15</f>
        <v>2</v>
      </c>
      <c r="Y19" t="str">
        <f ca="1">'Watchlist Ratings'!B15</f>
        <v>ITX</v>
      </c>
      <c r="Z19">
        <f ca="1">'Watchlist Ratings'!AW15</f>
        <v>25.124783886363637</v>
      </c>
      <c r="AA19" t="str">
        <f ca="1">'Watchlist Ratings'!B15</f>
        <v>ITX</v>
      </c>
      <c r="AB19">
        <f ca="1">'Watchlist Ratings'!BL15</f>
        <v>-4.8314012051720368E-2</v>
      </c>
      <c r="AC19">
        <f ca="1">'Watchlist Ratings'!BM15</f>
        <v>0.10741088468091919</v>
      </c>
      <c r="AS19" t="s">
        <v>264</v>
      </c>
      <c r="AT19">
        <v>45.617441111111098</v>
      </c>
      <c r="AU19">
        <v>3.6173393375436902</v>
      </c>
    </row>
    <row r="20" spans="1:47" ht="15" customHeight="1" x14ac:dyDescent="0.35">
      <c r="A20" s="45">
        <v>13</v>
      </c>
      <c r="B20" s="46" t="str">
        <f ca="1">'Watchlist Ratings'!B16</f>
        <v>LOTB</v>
      </c>
      <c r="C20" s="47">
        <f>'Watchlist Ratings'!S16</f>
        <v>7.5</v>
      </c>
      <c r="D20" s="47">
        <f>'Watchlist Ratings'!AC16</f>
        <v>8</v>
      </c>
      <c r="E20" s="47">
        <f>'Watchlist Ratings'!AM16</f>
        <v>8</v>
      </c>
      <c r="F20" s="47">
        <f>'Watchlist Ratings'!AN16</f>
        <v>7.9</v>
      </c>
      <c r="G20" s="48">
        <f>'Watchlist Ratings'!K16</f>
        <v>7</v>
      </c>
      <c r="H20" s="48">
        <f>'Watchlist Ratings'!L16</f>
        <v>3</v>
      </c>
      <c r="I20" s="49">
        <f>'Watchlist Ratings'!BC16</f>
        <v>0.20625000000000002</v>
      </c>
      <c r="J20" s="50">
        <f ca="1">'Watchlist Ratings'!AW16</f>
        <v>59.942949999999996</v>
      </c>
      <c r="O20" t="str">
        <f ca="1">'Watchlist Ratings'!B16</f>
        <v>LOTB</v>
      </c>
      <c r="P20" s="37">
        <f>'Watchlist Ratings'!AN16</f>
        <v>7.9</v>
      </c>
      <c r="Q20" s="23">
        <f ca="1">'Watchlist Ratings'!BM16</f>
        <v>-2.6426000842472375E-2</v>
      </c>
      <c r="V20" t="str">
        <f ca="1">'Watchlist Ratings'!B16</f>
        <v>LOTB</v>
      </c>
      <c r="W20" s="38">
        <f>'Watchlist Ratings'!K16</f>
        <v>7</v>
      </c>
      <c r="X20" s="38">
        <f>'Watchlist Ratings'!L16</f>
        <v>3</v>
      </c>
      <c r="Y20" t="str">
        <f ca="1">'Watchlist Ratings'!B16</f>
        <v>LOTB</v>
      </c>
      <c r="Z20">
        <f ca="1">'Watchlist Ratings'!AW16</f>
        <v>59.942949999999996</v>
      </c>
      <c r="AA20" t="str">
        <f ca="1">'Watchlist Ratings'!B16</f>
        <v>LOTB</v>
      </c>
      <c r="AB20">
        <f ca="1">'Watchlist Ratings'!BL16</f>
        <v>-0.19206539792849897</v>
      </c>
      <c r="AC20">
        <f ca="1">'Watchlist Ratings'!BM16</f>
        <v>-2.6426000842472375E-2</v>
      </c>
      <c r="AS20" t="s">
        <v>270</v>
      </c>
      <c r="AT20">
        <v>43.630936634999998</v>
      </c>
      <c r="AU20">
        <v>4.3482859737552504</v>
      </c>
    </row>
    <row r="21" spans="1:47" ht="15" customHeight="1" x14ac:dyDescent="0.35">
      <c r="A21" s="39">
        <v>14</v>
      </c>
      <c r="B21" s="40" t="str">
        <f ca="1">'Watchlist Ratings'!B17</f>
        <v>HLMA</v>
      </c>
      <c r="C21" s="41">
        <f>'Watchlist Ratings'!S17</f>
        <v>8.1300000000000008</v>
      </c>
      <c r="D21" s="41">
        <f>'Watchlist Ratings'!AC17</f>
        <v>7.2</v>
      </c>
      <c r="E21" s="41">
        <f>'Watchlist Ratings'!AM17</f>
        <v>8.2899999999999991</v>
      </c>
      <c r="F21" s="41">
        <f>'Watchlist Ratings'!AN17</f>
        <v>7.82</v>
      </c>
      <c r="G21" s="42">
        <f>'Watchlist Ratings'!K17</f>
        <v>6</v>
      </c>
      <c r="H21" s="42">
        <f>'Watchlist Ratings'!L17</f>
        <v>3</v>
      </c>
      <c r="I21" s="43">
        <f>'Watchlist Ratings'!BC17</f>
        <v>0.1761904761904762</v>
      </c>
      <c r="J21" s="44">
        <f ca="1">'Watchlist Ratings'!AW17</f>
        <v>34.690289819999997</v>
      </c>
      <c r="O21" t="str">
        <f ca="1">'Watchlist Ratings'!B17</f>
        <v>HLMA</v>
      </c>
      <c r="P21" s="37">
        <f>'Watchlist Ratings'!AN17</f>
        <v>7.82</v>
      </c>
      <c r="Q21" s="23">
        <f ca="1">'Watchlist Ratings'!BM17</f>
        <v>8.4171531047791737E-2</v>
      </c>
      <c r="V21" t="str">
        <f ca="1">'Watchlist Ratings'!B17</f>
        <v>HLMA</v>
      </c>
      <c r="W21" s="38">
        <f>'Watchlist Ratings'!K17</f>
        <v>6</v>
      </c>
      <c r="X21" s="38">
        <f>'Watchlist Ratings'!L17</f>
        <v>3</v>
      </c>
      <c r="Y21" t="str">
        <f ca="1">'Watchlist Ratings'!B17</f>
        <v>HLMA</v>
      </c>
      <c r="Z21">
        <f ca="1">'Watchlist Ratings'!AW17</f>
        <v>34.690289819999997</v>
      </c>
      <c r="AA21" t="str">
        <f ca="1">'Watchlist Ratings'!B17</f>
        <v>HLMA</v>
      </c>
      <c r="AB21">
        <f ca="1">'Watchlist Ratings'!BL17</f>
        <v>-8.1025685978894257E-2</v>
      </c>
      <c r="AC21">
        <f ca="1">'Watchlist Ratings'!BM17</f>
        <v>8.4171531047791737E-2</v>
      </c>
      <c r="AS21" t="s">
        <v>269</v>
      </c>
      <c r="AT21">
        <v>38.120501266027397</v>
      </c>
      <c r="AU21">
        <v>12.615575978128</v>
      </c>
    </row>
    <row r="22" spans="1:47" ht="15" customHeight="1" x14ac:dyDescent="0.35">
      <c r="A22" s="51">
        <v>15</v>
      </c>
      <c r="B22" s="52" t="str">
        <f ca="1">'Watchlist Ratings'!B18</f>
        <v>FICO</v>
      </c>
      <c r="C22" s="53">
        <f>'Watchlist Ratings'!S18</f>
        <v>6.88</v>
      </c>
      <c r="D22" s="53">
        <f>'Watchlist Ratings'!AC18</f>
        <v>6.4</v>
      </c>
      <c r="E22" s="53">
        <f>'Watchlist Ratings'!AM18</f>
        <v>8.14</v>
      </c>
      <c r="F22" s="53">
        <f>'Watchlist Ratings'!AN18</f>
        <v>7.19</v>
      </c>
      <c r="G22" s="54">
        <f>'Watchlist Ratings'!K18</f>
        <v>8</v>
      </c>
      <c r="H22" s="54">
        <f>'Watchlist Ratings'!L18</f>
        <v>2</v>
      </c>
      <c r="I22" s="55">
        <f>'Watchlist Ratings'!BC18</f>
        <v>0.29090909090909089</v>
      </c>
      <c r="J22" s="56">
        <f ca="1">'Watchlist Ratings'!AW18</f>
        <v>36.840040741369862</v>
      </c>
      <c r="O22" t="str">
        <f ca="1">'Watchlist Ratings'!B18</f>
        <v>FICO</v>
      </c>
      <c r="P22" s="37">
        <f>'Watchlist Ratings'!AN18</f>
        <v>7.19</v>
      </c>
      <c r="Q22" s="23">
        <f ca="1">'Watchlist Ratings'!BM18</f>
        <v>0.10791391779857418</v>
      </c>
      <c r="V22" t="str">
        <f ca="1">'Watchlist Ratings'!B18</f>
        <v>FICO</v>
      </c>
      <c r="W22" s="38">
        <f>'Watchlist Ratings'!K18</f>
        <v>8</v>
      </c>
      <c r="X22" s="38">
        <f>'Watchlist Ratings'!L18</f>
        <v>2</v>
      </c>
      <c r="Y22" t="str">
        <f ca="1">'Watchlist Ratings'!B18</f>
        <v>FICO</v>
      </c>
      <c r="Z22">
        <f ca="1">'Watchlist Ratings'!AW18</f>
        <v>36.840040741369862</v>
      </c>
      <c r="AA22" t="str">
        <f ca="1">'Watchlist Ratings'!B18</f>
        <v>FICO</v>
      </c>
      <c r="AB22">
        <f ca="1">'Watchlist Ratings'!BL18</f>
        <v>-7.07025913355247E-2</v>
      </c>
      <c r="AC22">
        <f ca="1">'Watchlist Ratings'!BM18</f>
        <v>0.10791391779857418</v>
      </c>
    </row>
    <row r="23" spans="1:47" ht="15" customHeight="1" x14ac:dyDescent="0.35">
      <c r="O23" t="str">
        <f ca="1">'Watchlist Ratings'!B19</f>
        <v>LIFCO B</v>
      </c>
      <c r="P23" s="37">
        <f>'Watchlist Ratings'!AN19</f>
        <v>7.94</v>
      </c>
      <c r="Q23" s="23">
        <f ca="1">'Watchlist Ratings'!BM19</f>
        <v>9.0265399313141259E-2</v>
      </c>
    </row>
    <row r="24" spans="1:47" ht="30" customHeight="1" x14ac:dyDescent="0.4">
      <c r="A24" s="168" t="s">
        <v>285</v>
      </c>
      <c r="B24" s="102"/>
      <c r="C24" s="102"/>
      <c r="D24" s="102"/>
      <c r="E24" s="102"/>
      <c r="F24" s="102"/>
      <c r="G24" s="102"/>
      <c r="H24" s="102"/>
      <c r="I24" s="102"/>
      <c r="J24" s="102"/>
      <c r="K24" s="102"/>
      <c r="L24" s="102"/>
      <c r="M24" s="102"/>
      <c r="N24" s="102"/>
      <c r="O24" s="102"/>
      <c r="P24" s="102"/>
      <c r="Q24" s="102"/>
      <c r="R24" s="102"/>
    </row>
    <row r="25" spans="1:47" ht="4.5" customHeight="1" x14ac:dyDescent="0.35">
      <c r="O25" t="str">
        <f ca="1">'Watchlist Ratings'!B21</f>
        <v>MNST</v>
      </c>
      <c r="P25" s="37">
        <f>'Watchlist Ratings'!AN21</f>
        <v>7.54</v>
      </c>
      <c r="Q25">
        <f ca="1">'Watchlist Ratings'!BM21</f>
        <v>-5.6932641321074229E-2</v>
      </c>
    </row>
    <row r="26" spans="1:47" ht="19.5" customHeight="1" x14ac:dyDescent="0.35">
      <c r="O26" t="str">
        <f ca="1">'Watchlist Ratings'!B22</f>
        <v>ABNB</v>
      </c>
      <c r="P26" s="37">
        <f>'Watchlist Ratings'!AN22</f>
        <v>7.26</v>
      </c>
      <c r="Q26">
        <f ca="1">'Watchlist Ratings'!BM22</f>
        <v>0.16592790507589994</v>
      </c>
    </row>
    <row r="27" spans="1:47" ht="19.5" customHeight="1" x14ac:dyDescent="0.35">
      <c r="O27" t="str">
        <f ca="1">'Watchlist Ratings'!B23</f>
        <v>DNP</v>
      </c>
      <c r="P27" s="37">
        <f>'Watchlist Ratings'!AN23</f>
        <v>7.48</v>
      </c>
      <c r="Q27">
        <f ca="1">'Watchlist Ratings'!BM23</f>
        <v>0.13746109747208712</v>
      </c>
    </row>
    <row r="28" spans="1:47" ht="19.5" customHeight="1" x14ac:dyDescent="0.35"/>
    <row r="29" spans="1:47" ht="19.5" customHeight="1" x14ac:dyDescent="0.35"/>
    <row r="30" spans="1:47" ht="19.5" customHeight="1" x14ac:dyDescent="0.35"/>
    <row r="31" spans="1:47" ht="19.5" customHeight="1" x14ac:dyDescent="0.35"/>
    <row r="32" spans="1:47" ht="19.5" customHeight="1" x14ac:dyDescent="0.35"/>
    <row r="33" spans="2:18" ht="19.5" customHeight="1" x14ac:dyDescent="0.35"/>
    <row r="34" spans="2:18" ht="19.5" customHeight="1" x14ac:dyDescent="0.35"/>
    <row r="35" spans="2:18" ht="19.5" customHeight="1" x14ac:dyDescent="0.35"/>
    <row r="36" spans="2:18" ht="19.5" customHeight="1" x14ac:dyDescent="0.35"/>
    <row r="37" spans="2:18" ht="19.5" customHeight="1" x14ac:dyDescent="0.35"/>
    <row r="38" spans="2:18" ht="19.5" customHeight="1" x14ac:dyDescent="0.35"/>
    <row r="39" spans="2:18" ht="19.5" customHeight="1" x14ac:dyDescent="0.35"/>
    <row r="40" spans="2:18" ht="19.5" customHeight="1" x14ac:dyDescent="0.45">
      <c r="L40" s="176"/>
      <c r="M40" s="102"/>
      <c r="N40" s="102"/>
      <c r="O40" s="102"/>
      <c r="P40" s="102"/>
      <c r="Q40" s="102"/>
      <c r="R40" s="102"/>
    </row>
    <row r="41" spans="2:18" ht="19.5" customHeight="1" x14ac:dyDescent="0.35">
      <c r="L41" s="57"/>
      <c r="M41" s="57"/>
      <c r="N41" s="57"/>
      <c r="O41" s="57"/>
      <c r="P41" s="57"/>
      <c r="Q41" s="57"/>
    </row>
    <row r="42" spans="2:18" ht="19.5" customHeight="1" x14ac:dyDescent="0.35">
      <c r="J42" s="178"/>
      <c r="K42" s="102"/>
      <c r="L42" s="102"/>
      <c r="M42" s="102"/>
      <c r="N42" s="102"/>
      <c r="O42" s="102"/>
      <c r="P42" s="102"/>
      <c r="Q42" s="102"/>
    </row>
    <row r="43" spans="2:18" ht="19.5" customHeight="1" x14ac:dyDescent="0.35">
      <c r="B43" s="58"/>
      <c r="C43" s="58"/>
      <c r="D43" s="58"/>
      <c r="E43" s="58"/>
      <c r="F43" s="58"/>
      <c r="G43" s="58"/>
      <c r="H43" s="58"/>
      <c r="J43" s="59"/>
      <c r="K43" s="59"/>
      <c r="L43" s="59"/>
      <c r="M43" s="59"/>
      <c r="N43" s="59"/>
      <c r="O43" s="59"/>
      <c r="P43" s="59"/>
      <c r="Q43" s="59"/>
    </row>
    <row r="44" spans="2:18" ht="19.5" customHeight="1" x14ac:dyDescent="0.35">
      <c r="E44" s="60"/>
      <c r="F44" s="60"/>
      <c r="G44" s="60"/>
    </row>
    <row r="45" spans="2:18" ht="19.5" customHeight="1" x14ac:dyDescent="0.35">
      <c r="E45" s="60"/>
      <c r="F45" s="60"/>
      <c r="G45" s="60"/>
    </row>
    <row r="46" spans="2:18" ht="19.5" customHeight="1" x14ac:dyDescent="0.35">
      <c r="E46" s="60"/>
      <c r="F46" s="60"/>
      <c r="G46" s="60"/>
    </row>
    <row r="47" spans="2:18" ht="19.5" customHeight="1" x14ac:dyDescent="0.35">
      <c r="E47" s="60"/>
      <c r="F47" s="60"/>
      <c r="G47" s="60"/>
    </row>
    <row r="48" spans="2:18" ht="19.5" customHeight="1" x14ac:dyDescent="0.35">
      <c r="E48" s="60"/>
      <c r="F48" s="60"/>
      <c r="G48" s="60"/>
    </row>
    <row r="49" spans="1:17" ht="19.5" customHeight="1" x14ac:dyDescent="0.35">
      <c r="E49" s="60"/>
      <c r="F49" s="60"/>
      <c r="G49" s="60"/>
    </row>
    <row r="50" spans="1:17" ht="19.5" customHeight="1" x14ac:dyDescent="0.35">
      <c r="E50" s="60"/>
      <c r="F50" s="60"/>
      <c r="G50" s="60"/>
    </row>
    <row r="51" spans="1:17" ht="19.5" customHeight="1" x14ac:dyDescent="0.35">
      <c r="E51" s="60"/>
      <c r="F51" s="60"/>
      <c r="G51" s="60"/>
    </row>
    <row r="52" spans="1:17" ht="19.5" customHeight="1" x14ac:dyDescent="0.35">
      <c r="E52" s="60"/>
      <c r="F52" s="60"/>
      <c r="G52" s="60"/>
    </row>
    <row r="53" spans="1:17" ht="19.5" customHeight="1" x14ac:dyDescent="0.35">
      <c r="E53" s="60"/>
      <c r="F53" s="60"/>
      <c r="G53" s="60"/>
    </row>
    <row r="54" spans="1:17" ht="19.5" customHeight="1" x14ac:dyDescent="0.35"/>
    <row r="55" spans="1:17" ht="19.5" customHeight="1" x14ac:dyDescent="0.35"/>
    <row r="56" spans="1:17" ht="4.5" customHeight="1" x14ac:dyDescent="0.35"/>
    <row r="57" spans="1:17" ht="4.5" customHeight="1" x14ac:dyDescent="0.35"/>
    <row r="58" spans="1:17" ht="4.5" customHeight="1" x14ac:dyDescent="0.35"/>
    <row r="59" spans="1:17" ht="4.5" customHeight="1" x14ac:dyDescent="0.35"/>
    <row r="60" spans="1:17" ht="4.5" customHeight="1" x14ac:dyDescent="0.35"/>
    <row r="61" spans="1:17" ht="4.5" customHeight="1" x14ac:dyDescent="0.35"/>
    <row r="62" spans="1:17" ht="4.5" customHeight="1" x14ac:dyDescent="0.45">
      <c r="A62" s="147" t="s">
        <v>286</v>
      </c>
      <c r="B62" s="102"/>
      <c r="C62" s="102"/>
      <c r="D62" s="102"/>
      <c r="E62" s="102"/>
      <c r="F62" s="102"/>
      <c r="G62" s="102"/>
      <c r="H62" s="102"/>
      <c r="J62" s="154" t="s">
        <v>287</v>
      </c>
      <c r="K62" s="102"/>
      <c r="L62" s="102"/>
      <c r="M62" s="102"/>
      <c r="N62" s="102"/>
      <c r="O62" s="102"/>
      <c r="P62" s="102"/>
      <c r="Q62" s="102"/>
    </row>
    <row r="63" spans="1:17" ht="4.5" customHeight="1" x14ac:dyDescent="0.35">
      <c r="A63" s="61" t="s">
        <v>240</v>
      </c>
      <c r="B63" s="61" t="s">
        <v>288</v>
      </c>
      <c r="C63" s="61" t="s">
        <v>289</v>
      </c>
      <c r="D63" s="61" t="s">
        <v>290</v>
      </c>
      <c r="E63" s="61" t="s">
        <v>254</v>
      </c>
      <c r="F63" s="61" t="s">
        <v>253</v>
      </c>
      <c r="G63" s="61" t="s">
        <v>291</v>
      </c>
      <c r="H63" s="61" t="s">
        <v>292</v>
      </c>
      <c r="J63" s="62" t="s">
        <v>240</v>
      </c>
      <c r="K63" s="62" t="s">
        <v>293</v>
      </c>
      <c r="L63" s="62" t="s">
        <v>294</v>
      </c>
      <c r="M63" s="62" t="s">
        <v>295</v>
      </c>
      <c r="N63" s="62" t="s">
        <v>296</v>
      </c>
      <c r="O63" s="62" t="s">
        <v>242</v>
      </c>
      <c r="P63" s="62" t="s">
        <v>297</v>
      </c>
      <c r="Q63" s="62" t="s">
        <v>298</v>
      </c>
    </row>
    <row r="64" spans="1:17" ht="4.5" customHeight="1" x14ac:dyDescent="0.35">
      <c r="A64" s="63" t="str">
        <f ca="1">'Watchlist Ratings'!B4</f>
        <v>VEEV</v>
      </c>
      <c r="B64" s="64">
        <f ca="1">'Watchlist Ratings'!G4</f>
        <v>243.84</v>
      </c>
      <c r="C64" s="64">
        <f ca="1">'Watchlist Ratings'!BJ4</f>
        <v>210.28260322217045</v>
      </c>
      <c r="D64" s="64">
        <f ca="1">'Watchlist Ratings'!BK4</f>
        <v>651.6304458232504</v>
      </c>
      <c r="E64" s="65">
        <f ca="1">'Watchlist Ratings'!BL4</f>
        <v>-2.9177844379771334E-2</v>
      </c>
      <c r="F64" s="65">
        <f ca="1">'Watchlist Ratings'!BM4</f>
        <v>0.21724859954203968</v>
      </c>
      <c r="G64" s="65">
        <f t="shared" ref="G64:G71" ca="1" si="0">F64-E64</f>
        <v>0.24642644392181101</v>
      </c>
      <c r="H64" s="63" t="str">
        <f t="shared" ref="H64:H71" ca="1" si="1">IF(E64&gt;0,"🟢 BUY",IF(E64&gt;-0.05,"🟡 HOLD","🔴 PASS"))</f>
        <v>🟡 HOLD</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35">
      <c r="A65" s="63" t="str">
        <f ca="1">'Watchlist Ratings'!B5</f>
        <v>MSFT</v>
      </c>
      <c r="B65" s="64">
        <f ca="1">'Watchlist Ratings'!G5</f>
        <v>489.83</v>
      </c>
      <c r="C65" s="64">
        <f ca="1">'Watchlist Ratings'!BJ5</f>
        <v>395.4657873597157</v>
      </c>
      <c r="D65" s="64">
        <f ca="1">'Watchlist Ratings'!BK5</f>
        <v>893.74571159423317</v>
      </c>
      <c r="E65" s="65">
        <f ca="1">'Watchlist Ratings'!BL5</f>
        <v>-4.1895880509692951E-2</v>
      </c>
      <c r="F65" s="65">
        <f ca="1">'Watchlist Ratings'!BM5</f>
        <v>0.12780422738436692</v>
      </c>
      <c r="G65" s="65">
        <f t="shared" ca="1" si="0"/>
        <v>0.16970010789405987</v>
      </c>
      <c r="H65" s="63" t="str">
        <f t="shared" ca="1" si="1"/>
        <v>🟡 HOLD</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35">
      <c r="A66" s="63" t="str">
        <f ca="1">'Watchlist Ratings'!B6</f>
        <v>ADYEN</v>
      </c>
      <c r="B66" s="64">
        <f ca="1">'Watchlist Ratings'!G6</f>
        <v>1079</v>
      </c>
      <c r="C66" s="64">
        <f ca="1">'Watchlist Ratings'!BJ6</f>
        <v>729.87401979891774</v>
      </c>
      <c r="D66" s="64">
        <f ca="1">'Watchlist Ratings'!BK6</f>
        <v>2829.85965903442</v>
      </c>
      <c r="E66" s="65">
        <f ca="1">'Watchlist Ratings'!BL6</f>
        <v>-7.5205385336348685E-2</v>
      </c>
      <c r="F66" s="65">
        <f ca="1">'Watchlist Ratings'!BM6</f>
        <v>0.21268691268480011</v>
      </c>
      <c r="G66" s="65">
        <f t="shared" ca="1" si="0"/>
        <v>0.2878922980211488</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35">
      <c r="A67" s="63" t="str">
        <f ca="1">'Watchlist Ratings'!B7</f>
        <v>BN</v>
      </c>
      <c r="B67" s="64">
        <f ca="1">'Watchlist Ratings'!G7</f>
        <v>42.075000000000003</v>
      </c>
      <c r="C67" s="64">
        <f ca="1">'Watchlist Ratings'!BJ7</f>
        <v>45.66736611995114</v>
      </c>
      <c r="D67" s="64">
        <f ca="1">'Watchlist Ratings'!BK7</f>
        <v>113.25229463500978</v>
      </c>
      <c r="E67" s="65">
        <f ca="1">'Watchlist Ratings'!BL7</f>
        <v>1.6521030185501884E-2</v>
      </c>
      <c r="F67" s="65">
        <f ca="1">'Watchlist Ratings'!BM7</f>
        <v>0.21900244611200459</v>
      </c>
      <c r="G67" s="65">
        <f t="shared" ca="1" si="0"/>
        <v>0.20248141592650271</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35">
      <c r="A68" s="63" t="str">
        <f ca="1">'Watchlist Ratings'!B8</f>
        <v>COST</v>
      </c>
      <c r="B68" s="64">
        <f ca="1">'Watchlist Ratings'!G8</f>
        <v>961.91</v>
      </c>
      <c r="C68" s="64">
        <f ca="1">'Watchlist Ratings'!BJ8</f>
        <v>745.02772173100504</v>
      </c>
      <c r="D68" s="64">
        <f ca="1">'Watchlist Ratings'!BK8</f>
        <v>1445.8278501700645</v>
      </c>
      <c r="E68" s="65">
        <f ca="1">'Watchlist Ratings'!BL8</f>
        <v>-4.9816250558583963E-2</v>
      </c>
      <c r="F68" s="65">
        <f ca="1">'Watchlist Ratings'!BM8</f>
        <v>8.4916787387159243E-2</v>
      </c>
      <c r="G68" s="65">
        <f t="shared" ca="1" si="0"/>
        <v>0.13473303794574321</v>
      </c>
      <c r="H68" s="63" t="str">
        <f t="shared" ca="1" si="1"/>
        <v>🟡 HOLD</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35">
      <c r="A69" s="63" t="str">
        <f ca="1">'Watchlist Ratings'!B9</f>
        <v>DSGX</v>
      </c>
      <c r="B69" s="64">
        <f ca="1">'Watchlist Ratings'!G9</f>
        <v>77.3</v>
      </c>
      <c r="C69" s="64">
        <f ca="1">'Watchlist Ratings'!BJ9</f>
        <v>64.129191910771823</v>
      </c>
      <c r="D69" s="64">
        <f ca="1">'Watchlist Ratings'!BK9</f>
        <v>190.31994663158585</v>
      </c>
      <c r="E69" s="65">
        <f ca="1">'Watchlist Ratings'!BL9</f>
        <v>-3.6669624209512586E-2</v>
      </c>
      <c r="F69" s="65">
        <f ca="1">'Watchlist Ratings'!BM9</f>
        <v>0.19745985531708032</v>
      </c>
      <c r="G69" s="65">
        <f t="shared" ca="1" si="0"/>
        <v>0.23412947952659291</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35">
      <c r="A70" s="63" t="str">
        <f ca="1">'Watchlist Ratings'!B10</f>
        <v>RAA</v>
      </c>
      <c r="B70" s="64">
        <f ca="1">'Watchlist Ratings'!G10</f>
        <v>633.5</v>
      </c>
      <c r="C70" s="64">
        <f ca="1">'Watchlist Ratings'!BJ10</f>
        <v>460.86191732629732</v>
      </c>
      <c r="D70" s="64">
        <f ca="1">'Watchlist Ratings'!BK10</f>
        <v>1160.3342128408092</v>
      </c>
      <c r="E70" s="65">
        <f ca="1">'Watchlist Ratings'!BL10</f>
        <v>-6.165003828172777E-2</v>
      </c>
      <c r="F70" s="65">
        <f ca="1">'Watchlist Ratings'!BM10</f>
        <v>0.12867081613737774</v>
      </c>
      <c r="G70" s="65">
        <f t="shared" ca="1" si="0"/>
        <v>0.19032085441910551</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35">
      <c r="A71" s="63" t="str">
        <f ca="1">'Watchlist Ratings'!B11</f>
        <v>ZS</v>
      </c>
      <c r="B71" s="64">
        <f ca="1">'Watchlist Ratings'!G11</f>
        <v>168.5</v>
      </c>
      <c r="C71" s="64">
        <f ca="1">'Watchlist Ratings'!BJ11</f>
        <v>149.03267897062327</v>
      </c>
      <c r="D71" s="64">
        <f ca="1">'Watchlist Ratings'!BK11</f>
        <v>534.04407285904665</v>
      </c>
      <c r="E71" s="65">
        <f ca="1">'Watchlist Ratings'!BL11</f>
        <v>-2.4255031214933664E-2</v>
      </c>
      <c r="F71" s="65">
        <f ca="1">'Watchlist Ratings'!BM11</f>
        <v>0.25949207403006769</v>
      </c>
      <c r="G71" s="65">
        <f t="shared" ca="1" si="0"/>
        <v>0.28374710524500135</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35">
      <c r="A72" s="165" t="str">
        <f ca="1">'Watchlist Ratings'!B12</f>
        <v>NTO</v>
      </c>
      <c r="B72" s="166"/>
      <c r="C72" s="166"/>
      <c r="D72" s="166"/>
      <c r="E72" s="166"/>
      <c r="F72" s="166"/>
      <c r="G72" s="166"/>
      <c r="H72" s="166"/>
      <c r="I72" s="167"/>
      <c r="J72" s="175" t="str">
        <f ca="1">'Watchlist Ratings'!B12</f>
        <v>NTO</v>
      </c>
      <c r="K72" s="166"/>
      <c r="L72" s="166"/>
      <c r="M72" s="166"/>
      <c r="N72" s="166"/>
      <c r="O72" s="166"/>
      <c r="P72" s="166"/>
      <c r="Q72" s="167"/>
    </row>
    <row r="73" spans="1:17" ht="19.5" customHeight="1" x14ac:dyDescent="0.35">
      <c r="A73" s="68" t="str">
        <f ca="1">'Watchlist Ratings'!B13</f>
        <v>AMZN</v>
      </c>
      <c r="B73" s="69">
        <f ca="1">'Watchlist Ratings'!G13</f>
        <v>260.22000000000003</v>
      </c>
      <c r="C73" s="69">
        <f ca="1">'Watchlist Ratings'!BJ13</f>
        <v>190.34025537927243</v>
      </c>
      <c r="D73" s="69">
        <f ca="1">'Watchlist Ratings'!BK13</f>
        <v>444.48184782376921</v>
      </c>
      <c r="E73" s="70">
        <f ca="1">'Watchlist Ratings'!BL13</f>
        <v>-6.0627169269325321E-2</v>
      </c>
      <c r="F73" s="70">
        <f ca="1">'Watchlist Ratings'!BM13</f>
        <v>0.11301923910271405</v>
      </c>
      <c r="G73" s="70">
        <f ca="1">F73-E73</f>
        <v>0.17364640837203937</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35">
      <c r="A74" s="75" t="s">
        <v>256</v>
      </c>
      <c r="B74" s="76" t="str">
        <f ca="1">VLOOKUP(A74,'Watchlist Ratings'!$B$4:$BM$71,4,FALSE())</f>
        <v>XNYS</v>
      </c>
      <c r="C74" s="76">
        <f ca="1">VLOOKUP(A74,'Watchlist Ratings'!$B$4:$BM$71,59,FALSE())</f>
        <v>18</v>
      </c>
      <c r="D74" s="76">
        <f ca="1">VLOOKUP(A74,'Watchlist Ratings'!$B$4:$BM$71,60,FALSE())</f>
        <v>30</v>
      </c>
      <c r="E74" s="77">
        <f ca="1">VLOOKUP(A74,'Watchlist Ratings'!$B$4:$BM$71,61,FALSE())</f>
        <v>210.28260322217045</v>
      </c>
      <c r="F74" s="77">
        <f ca="1">VLOOKUP(A74,'Watchlist Ratings'!$B$4:$BM$71,64,FALSE())</f>
        <v>0.21724859954203968</v>
      </c>
      <c r="G74" s="77">
        <f ca="1">F74-E74</f>
        <v>-210.0653546226284</v>
      </c>
      <c r="H74" s="75" t="str">
        <f ca="1">IF(E74&gt;0,"🟢 BUY",IF(E74&gt;-0.05,"🟡 HOLD","🔴 PASS"))</f>
        <v>🟢 BUY</v>
      </c>
      <c r="J74" s="78" t="s">
        <v>256</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39610.174271999997</v>
      </c>
      <c r="P74" s="78">
        <f ca="1">VLOOKUP(J74,'Watchlist Ratings'!$B$4:$BM$71,9,FALSE())</f>
        <v>1.5</v>
      </c>
      <c r="Q74" s="78" t="str">
        <f ca="1">IF(K74&gt;=8.5,"🟢 ALTO",IF(K74&gt;=7.5,"🟡 MEDIO","🔴 BAJO"))</f>
        <v>🔴 BAJO</v>
      </c>
    </row>
    <row r="75" spans="1:17" ht="19.5" customHeight="1" x14ac:dyDescent="0.35">
      <c r="A75" s="79" t="s">
        <v>260</v>
      </c>
      <c r="B75" s="80" t="str">
        <f ca="1">VLOOKUP(A75,'Watchlist Ratings'!$B$4:$BM$71,4,FALSE())</f>
        <v>XNAS</v>
      </c>
      <c r="C75" s="80">
        <f ca="1">VLOOKUP(A75,'Watchlist Ratings'!$B$4:$BM$71,59,FALSE())</f>
        <v>20</v>
      </c>
      <c r="D75" s="80">
        <f ca="1">VLOOKUP(A75,'Watchlist Ratings'!$B$4:$BM$71,60,FALSE())</f>
        <v>30</v>
      </c>
      <c r="E75" s="81">
        <f ca="1">VLOOKUP(A75,'Watchlist Ratings'!$B$4:$BM$71,61,FALSE())</f>
        <v>395.4657873597157</v>
      </c>
      <c r="F75" s="81">
        <f ca="1">VLOOKUP(A75,'Watchlist Ratings'!$B$4:$BM$71,64,FALSE())</f>
        <v>0.12780422738436692</v>
      </c>
      <c r="G75" s="81">
        <f ca="1">F75-E75</f>
        <v>-395.33798313233132</v>
      </c>
      <c r="H75" s="79" t="str">
        <f ca="1">IF(E75&gt;0,"🟢 BUY",IF(E75&gt;-0.05,"🟡 HOLD","🔴 PASS"))</f>
        <v>🟢 BUY</v>
      </c>
      <c r="J75" s="79" t="s">
        <v>260</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3637254.7073499998</v>
      </c>
      <c r="P75" s="79">
        <f ca="1">VLOOKUP(J75,'Watchlist Ratings'!$B$4:$BM$71,9,FALSE())</f>
        <v>1</v>
      </c>
      <c r="Q75" s="79" t="str">
        <f ca="1">IF(K75&gt;=8.5,"🟢 ALTO",IF(K75&gt;=7.5,"🟡 MEDIO","🔴 BAJO"))</f>
        <v>🔴 BAJO</v>
      </c>
    </row>
    <row r="76" spans="1:17" ht="19.5" customHeight="1" x14ac:dyDescent="0.45">
      <c r="A76" s="140" t="s">
        <v>299</v>
      </c>
      <c r="B76" s="102"/>
      <c r="C76" s="102"/>
      <c r="D76" s="102"/>
      <c r="E76" s="102"/>
      <c r="F76" s="102"/>
      <c r="G76" s="102"/>
      <c r="H76" s="102"/>
      <c r="I76" s="102"/>
      <c r="J76" s="102"/>
      <c r="K76" s="102"/>
      <c r="L76" s="102"/>
      <c r="M76" s="102"/>
      <c r="N76" s="102"/>
      <c r="O76" s="102"/>
      <c r="P76" s="102"/>
      <c r="Q76" s="102"/>
    </row>
    <row r="77" spans="1:17" ht="19.5" customHeight="1" x14ac:dyDescent="0.35">
      <c r="A77" s="79" t="s">
        <v>267</v>
      </c>
      <c r="B77" s="80" t="str">
        <f ca="1">VLOOKUP(A77,'Watchlist Ratings'!$B$4:$BM$71,4,FALSE())</f>
        <v>XNYS</v>
      </c>
      <c r="C77" s="80">
        <f ca="1">VLOOKUP(A77,'Watchlist Ratings'!$B$4:$BM$71,59,FALSE())</f>
        <v>17.5</v>
      </c>
      <c r="D77" s="80">
        <f ca="1">VLOOKUP(A77,'Watchlist Ratings'!$B$4:$BM$71,60,FALSE())</f>
        <v>25</v>
      </c>
      <c r="E77" s="81">
        <f ca="1">VLOOKUP(A77,'Watchlist Ratings'!$B$4:$BM$71,61,FALSE())</f>
        <v>45.66736611995114</v>
      </c>
      <c r="F77" s="81">
        <f ca="1">VLOOKUP(A77,'Watchlist Ratings'!$B$4:$BM$71,64,FALSE())</f>
        <v>0.21900244611200459</v>
      </c>
      <c r="G77" s="81">
        <f ca="1">F77-E77</f>
        <v>-45.448363673839133</v>
      </c>
      <c r="H77" s="79" t="str">
        <f ca="1">IF(E77&gt;0,"🟢 BUY",IF(E77&gt;-0.05,"🟡 HOLD","🔴 PASS"))</f>
        <v>🟢 BUY</v>
      </c>
      <c r="J77" s="79" t="s">
        <v>267</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103164.323625</v>
      </c>
      <c r="P77" s="79">
        <f ca="1">VLOOKUP(J77,'Watchlist Ratings'!$B$4:$BM$71,9,FALSE())</f>
        <v>1</v>
      </c>
      <c r="Q77" s="79" t="str">
        <f ca="1">IF(K77&gt;=8.5,"🟢 ALTO",IF(K77&gt;=7.5,"🟡 MEDIO","🔴 BAJO"))</f>
        <v>🔴 BAJO</v>
      </c>
    </row>
    <row r="78" spans="1:17" ht="19.5" customHeight="1" x14ac:dyDescent="0.35">
      <c r="A78" s="132" t="s">
        <v>300</v>
      </c>
      <c r="B78" s="117"/>
      <c r="C78" s="116" t="s">
        <v>301</v>
      </c>
      <c r="D78" s="117"/>
      <c r="E78" s="135" t="s">
        <v>302</v>
      </c>
      <c r="F78" s="117"/>
      <c r="G78" s="135" t="s">
        <v>303</v>
      </c>
      <c r="H78" s="117"/>
      <c r="I78" s="112" t="s">
        <v>304</v>
      </c>
      <c r="J78" s="102"/>
      <c r="K78" s="132" t="s">
        <v>305</v>
      </c>
      <c r="L78" s="117"/>
      <c r="M78" s="132" t="s">
        <v>306</v>
      </c>
      <c r="N78" s="117"/>
      <c r="O78" s="132" t="s">
        <v>307</v>
      </c>
      <c r="P78" s="117"/>
      <c r="Q78" s="82" t="str">
        <f>IF(K78&gt;=8.5,"🟢 ALTO",IF(K78&gt;=7.5,"🟡 MEDIO","🔴 BAJO"))</f>
        <v>🟢 ALTO</v>
      </c>
    </row>
    <row r="79" spans="1:17" ht="19.5" customHeight="1" x14ac:dyDescent="0.35">
      <c r="A79" s="141" t="str">
        <f ca="1">INDEX('Watchlist Ratings'!B:B,MATCH(MAX('Watchlist Ratings'!AN:AN),'Watchlist Ratings'!AN:AN,0))</f>
        <v>CSU</v>
      </c>
      <c r="B79" s="117"/>
      <c r="C79" s="169" t="str">
        <f ca="1">INDEX('Watchlist Ratings'!B:B,MATCH(MAX('Watchlist Ratings'!BM:BM),'Watchlist Ratings'!BM:BM,0))</f>
        <v>KSPI</v>
      </c>
      <c r="D79" s="117"/>
      <c r="E79" s="142" t="str">
        <f ca="1">INDEX('Watchlist Ratings'!B:B,MATCH(MAX('Watchlist Ratings'!BC:BC),'Watchlist Ratings'!BC:BC,0))</f>
        <v>NVDA</v>
      </c>
      <c r="F79" s="117"/>
      <c r="G79" s="142" t="str">
        <f ca="1">INDEX('Watchlist Ratings'!B:B,MATCH(MAX('Watchlist Ratings'!K:K),'Watchlist Ratings'!K:K,0))</f>
        <v>VEEV</v>
      </c>
      <c r="H79" s="117"/>
      <c r="I79" s="153" t="str">
        <f ca="1">INDEX('Watchlist Ratings'!B:B,MATCH(MAX('Watchlist Ratings'!L:L),'Watchlist Ratings'!L:L,0))</f>
        <v>MSFT</v>
      </c>
      <c r="J79" s="102"/>
      <c r="K79" s="141" t="str">
        <f ca="1">INDEX('Watchlist Ratings'!B:B,MATCH(MAX('Watchlist Ratings'!AM:AM),'Watchlist Ratings'!AM:AM,0))</f>
        <v>DSGX</v>
      </c>
      <c r="L79" s="117"/>
      <c r="M79" s="141" t="str">
        <f t="array" aca="1" ref="M79" ca="1">INDEX('Watchlist Ratings'!B:B,MATCH(MIN('Watchlist Ratings'!AW4:AW64),'Watchlist Ratings'!AW4:AW64,0)+3)</f>
        <v>OTLY</v>
      </c>
      <c r="N79" s="117"/>
      <c r="O79" s="141" t="str">
        <f t="array" aca="1" ref="O79" ca="1">INDEX('Watchlist Ratings'!B:B,MATCH(MAX('Watchlist Ratings'!BM4:BM64-'Watchlist Ratings'!BL4:BL64),'Watchlist Ratings'!BM4:BM64-'Watchlist Ratings'!BL4:BL64,0)+3)</f>
        <v>OTLY</v>
      </c>
      <c r="P79" s="117"/>
      <c r="Q79" s="79" t="str">
        <f ca="1">IF(K79&gt;=8.5,"🟢 ALTO",IF(K79&gt;=7.5,"🟡 MEDIO","🔴 BAJO"))</f>
        <v>🟢 ALTO</v>
      </c>
    </row>
    <row r="80" spans="1:17" ht="19.5" customHeight="1" x14ac:dyDescent="0.35">
      <c r="A80" s="133">
        <f>MAX('Watchlist Ratings'!AN:AN)</f>
        <v>8.4499999999999993</v>
      </c>
      <c r="B80" s="117"/>
      <c r="C80" s="134">
        <f ca="1">MAX('Watchlist Ratings'!BM:BM)</f>
        <v>0.34861805110601995</v>
      </c>
      <c r="D80" s="117"/>
      <c r="E80" s="138">
        <f>MAX('Watchlist Ratings'!BC:BC)</f>
        <v>0.63420845122686575</v>
      </c>
      <c r="F80" s="117"/>
      <c r="G80" s="138" t="str">
        <f>MAX('Watchlist Ratings'!K:K)&amp;"/8"</f>
        <v>8/8</v>
      </c>
      <c r="H80" s="117"/>
      <c r="I80" s="171" t="str">
        <f>MAX('Watchlist Ratings'!L:L)&amp;"/3"</f>
        <v>3/3</v>
      </c>
      <c r="J80" s="102"/>
      <c r="K80" s="172">
        <f>MAX('Watchlist Ratings'!AM:AM)</f>
        <v>8.7100000000000009</v>
      </c>
      <c r="L80" s="117"/>
      <c r="M80" s="172" t="str">
        <f ca="1">MIN('Watchlist Ratings'!AW4:AW64)&amp;"x"</f>
        <v>-19.522744352x</v>
      </c>
      <c r="N80" s="117"/>
      <c r="O80" s="172" t="str">
        <f t="array" aca="1" ref="O80" ca="1">TEXT(MAX('Watchlist Ratings'!BM4:BM64-'Watchlist Ratings'!BL4:BL64),"0.0%")</f>
        <v>238.2%</v>
      </c>
      <c r="P80" s="117"/>
      <c r="Q80" s="82" t="str">
        <f>IF(K80&gt;=8.5,"🟢 ALTO",IF(K80&gt;=7.5,"🟡 MEDIO","🔴 BAJO"))</f>
        <v>🟢 ALTO</v>
      </c>
    </row>
    <row r="81" spans="1:17" ht="19.5" customHeight="1" x14ac:dyDescent="0.35">
      <c r="A81" s="79" t="s">
        <v>262</v>
      </c>
      <c r="B81" s="80" t="str">
        <f ca="1">VLOOKUP(A81,'Watchlist Ratings'!$B$4:$BM$71,4,FALSE())</f>
        <v>XNAS</v>
      </c>
      <c r="C81" s="80">
        <f ca="1">VLOOKUP(A81,'Watchlist Ratings'!$B$4:$BM$71,59,FALSE())</f>
        <v>20</v>
      </c>
      <c r="D81" s="80">
        <f ca="1">VLOOKUP(A81,'Watchlist Ratings'!$B$4:$BM$71,60,FALSE())</f>
        <v>30</v>
      </c>
      <c r="E81" s="81">
        <f ca="1">VLOOKUP(A81,'Watchlist Ratings'!$B$4:$BM$71,61,FALSE())</f>
        <v>149.03267897062327</v>
      </c>
      <c r="F81" s="81">
        <f ca="1">VLOOKUP(A81,'Watchlist Ratings'!$B$4:$BM$71,64,FALSE())</f>
        <v>0.25949207403006769</v>
      </c>
      <c r="G81" s="81">
        <f ca="1">F81-E81</f>
        <v>-148.77318689659319</v>
      </c>
      <c r="H81" s="79" t="str">
        <f ca="1">IF(E81&gt;0,"🟢 BUY",IF(E81&gt;-0.05,"🟡 HOLD","🔴 PASS"))</f>
        <v>🟢 BUY</v>
      </c>
      <c r="J81" s="79" t="s">
        <v>262</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27248.050749999999</v>
      </c>
      <c r="P81" s="79">
        <f ca="1">VLOOKUP(J81,'Watchlist Ratings'!$B$4:$BM$71,9,FALSE())</f>
        <v>1</v>
      </c>
      <c r="Q81" s="79" t="str">
        <f ca="1">IF(K81&gt;=8.5,"🟢 ALTO",IF(K81&gt;=7.5,"🟡 MEDIO","🔴 BAJO"))</f>
        <v>🔴 BAJO</v>
      </c>
    </row>
    <row r="82" spans="1:17" ht="19.5" customHeight="1" x14ac:dyDescent="0.35">
      <c r="A82" s="173" t="s">
        <v>308</v>
      </c>
      <c r="B82" s="102"/>
      <c r="C82" s="102"/>
      <c r="D82" s="102"/>
      <c r="E82" s="102"/>
      <c r="F82" s="102"/>
      <c r="G82" s="102"/>
      <c r="H82" s="102"/>
      <c r="I82" s="102"/>
      <c r="J82" s="102"/>
      <c r="K82" s="102"/>
      <c r="L82" s="102"/>
      <c r="M82" s="102"/>
      <c r="N82" s="102"/>
      <c r="O82" s="102"/>
      <c r="P82" s="102"/>
      <c r="Q82" s="102"/>
    </row>
    <row r="83" spans="1:17" ht="19.5" customHeight="1" x14ac:dyDescent="0.35">
      <c r="A83" s="83" t="s">
        <v>257</v>
      </c>
      <c r="B83" s="84" t="str">
        <f ca="1">VLOOKUP(A83,'Watchlist Ratings'!$B$4:$BM$71,4,FALSE())</f>
        <v>XNAS</v>
      </c>
      <c r="C83" s="84">
        <f ca="1">VLOOKUP(A83,'Watchlist Ratings'!$B$4:$BM$71,59,FALSE())</f>
        <v>22.5</v>
      </c>
      <c r="D83" s="84">
        <f ca="1">VLOOKUP(A83,'Watchlist Ratings'!$B$4:$BM$71,60,FALSE())</f>
        <v>30</v>
      </c>
      <c r="E83" s="85">
        <f ca="1">VLOOKUP(A83,'Watchlist Ratings'!$B$4:$BM$71,61,FALSE())</f>
        <v>190.34025537927243</v>
      </c>
      <c r="F83" s="85">
        <f ca="1">VLOOKUP(A83,'Watchlist Ratings'!$B$4:$BM$71,64,FALSE())</f>
        <v>0.11301923910271405</v>
      </c>
      <c r="G83" s="85">
        <f ca="1">F83-E83</f>
        <v>-190.22723614016971</v>
      </c>
      <c r="H83" s="83" t="str">
        <f ca="1">IF(E83&gt;0,"🟢 BUY",IF(E83&gt;-0.05,"🟡 HOLD","🔴 PASS"))</f>
        <v>🟢 BUY</v>
      </c>
      <c r="J83" s="83" t="s">
        <v>257</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2806813.5882000001</v>
      </c>
      <c r="P83" s="83">
        <f ca="1">VLOOKUP(J83,'Watchlist Ratings'!$B$4:$BM$71,9,FALSE())</f>
        <v>1.5</v>
      </c>
      <c r="Q83" s="83" t="str">
        <f ca="1">IF(K83&gt;=8.5,"🟢 ALTO",IF(K83&gt;=7.5,"🟡 MEDIO","🔴 BAJO"))</f>
        <v>🔴 BAJO</v>
      </c>
    </row>
    <row r="84" spans="1:17" ht="19.5" customHeight="1" x14ac:dyDescent="0.35"/>
    <row r="85" spans="1:17" ht="27.75" customHeight="1" x14ac:dyDescent="0.35">
      <c r="A85" s="152" t="s">
        <v>299</v>
      </c>
      <c r="B85" s="102"/>
      <c r="C85" s="102"/>
      <c r="D85" s="102"/>
      <c r="E85" s="102"/>
      <c r="F85" s="102"/>
      <c r="G85" s="102"/>
      <c r="H85" s="102"/>
      <c r="I85" s="102"/>
      <c r="J85" s="102"/>
      <c r="K85" s="102"/>
      <c r="L85" s="102"/>
      <c r="M85" s="102"/>
      <c r="N85" s="102"/>
      <c r="O85" s="102"/>
      <c r="P85" s="102"/>
      <c r="Q85" s="102"/>
    </row>
    <row r="86" spans="1:17" ht="19.5" customHeight="1" x14ac:dyDescent="0.35"/>
    <row r="87" spans="1:17" ht="19.5" customHeight="1" x14ac:dyDescent="0.35">
      <c r="A87" s="174" t="s">
        <v>300</v>
      </c>
      <c r="B87" s="102"/>
      <c r="C87" s="119" t="s">
        <v>301</v>
      </c>
      <c r="D87" s="102"/>
      <c r="E87" s="170" t="s">
        <v>302</v>
      </c>
      <c r="F87" s="102"/>
      <c r="G87" s="148" t="s">
        <v>303</v>
      </c>
      <c r="H87" s="102"/>
      <c r="I87" s="149" t="s">
        <v>304</v>
      </c>
      <c r="J87" s="102"/>
      <c r="K87" s="118" t="s">
        <v>305</v>
      </c>
      <c r="L87" s="102"/>
      <c r="M87" s="145" t="s">
        <v>306</v>
      </c>
      <c r="N87" s="102"/>
      <c r="O87" s="155" t="s">
        <v>307</v>
      </c>
      <c r="P87" s="102"/>
    </row>
    <row r="88" spans="1:17" ht="19.5" customHeight="1" x14ac:dyDescent="0.45">
      <c r="A88" s="146" t="str">
        <f ca="1">INDEX('Watchlist Ratings'!B$4:B$71,MATCH(MAX('Watchlist Ratings'!AN$4:AN$71),'Watchlist Ratings'!AN$4:AN$71,0))</f>
        <v>CSU</v>
      </c>
      <c r="B88" s="102"/>
      <c r="C88" s="156" t="str">
        <f ca="1">INDEX('Watchlist Ratings'!B$4:B$71,MATCH(MAX('Watchlist Ratings'!BM$4:BM$71),'Watchlist Ratings'!BM$4:BM$71,0))</f>
        <v>KSPI</v>
      </c>
      <c r="D88" s="102"/>
      <c r="E88" s="146" t="str">
        <f ca="1">INDEX('Watchlist Ratings'!B$4:B$71,MATCH(MAX('Watchlist Ratings'!BC$4:BC$71),'Watchlist Ratings'!BC$4:BC$71,0))</f>
        <v>NVDA</v>
      </c>
      <c r="F88" s="102"/>
      <c r="G88" s="146" t="str">
        <f ca="1">INDEX('Watchlist Ratings'!B$4:B$71,MATCH(MAX('Watchlist Ratings'!K$4:K$71),'Watchlist Ratings'!K$4:K$71,0))</f>
        <v>VEEV</v>
      </c>
      <c r="H88" s="102"/>
      <c r="I88" s="146" t="str">
        <f ca="1">INDEX('Watchlist Ratings'!B$4:B$71,MATCH(MAX('Watchlist Ratings'!L$4:L$71),'Watchlist Ratings'!L$4:L$71,0))</f>
        <v>MSFT</v>
      </c>
      <c r="J88" s="102"/>
      <c r="K88" s="146" t="str">
        <f ca="1">INDEX('Watchlist Ratings'!B$4:B$71,MATCH(MAX('Watchlist Ratings'!AM$4:AM$71),'Watchlist Ratings'!AM$4:AM$71,0))</f>
        <v>DSGX</v>
      </c>
      <c r="L88" s="102"/>
      <c r="M88" s="146" t="str">
        <f t="array" aca="1" ref="M88" ca="1">INDEX('Watchlist Ratings'!B$4:B$64,MATCH(MIN(IF('Watchlist Ratings'!AW$4:AW$64&gt;0,'Watchlist Ratings'!AW$4:AW$64)),IF('Watchlist Ratings'!AW$4:AW$64&gt;0,'Watchlist Ratings'!AW$4:AW$64),0))</f>
        <v>KSPI</v>
      </c>
      <c r="N88" s="102"/>
      <c r="O88" s="146" t="str">
        <f t="array" aca="1" ref="O88" ca="1">INDEX('Watchlist Ratings'!B$4:B$64,MATCH(MAX('Watchlist Ratings'!BM$4:BM$64-'Watchlist Ratings'!BL$4:BL$64),'Watchlist Ratings'!BM$4:BM$64-'Watchlist Ratings'!BL$4:BL$64,0))</f>
        <v>OTLY</v>
      </c>
      <c r="P88" s="102"/>
    </row>
    <row r="89" spans="1:17" ht="19.5" customHeight="1" x14ac:dyDescent="0.35">
      <c r="A89" s="144">
        <f>MAX('Watchlist Ratings'!AN$4:AN$71)</f>
        <v>8.4499999999999993</v>
      </c>
      <c r="B89" s="102"/>
      <c r="C89" s="151">
        <f ca="1">MAX('Watchlist Ratings'!BM$4:BM$64)</f>
        <v>0.34861805110601995</v>
      </c>
      <c r="D89" s="102"/>
      <c r="E89" s="151">
        <f>MAX('Watchlist Ratings'!BC$4:BC$71)</f>
        <v>0.63420845122686575</v>
      </c>
      <c r="F89" s="102"/>
      <c r="G89" s="150" t="str">
        <f>MAX('Watchlist Ratings'!K$4:K$71)&amp;"/8"</f>
        <v>8/8</v>
      </c>
      <c r="H89" s="102"/>
      <c r="I89" s="150" t="str">
        <f>MAX('Watchlist Ratings'!L$4:L$71)&amp;"/3"</f>
        <v>3/3</v>
      </c>
      <c r="J89" s="102"/>
      <c r="K89" s="177">
        <f>MAX('Watchlist Ratings'!AM$4:AM$71)</f>
        <v>8.7100000000000009</v>
      </c>
      <c r="L89" s="102"/>
      <c r="M89" s="150" t="str">
        <f t="array" aca="1" ref="M89" ca="1">MIN(IF('Watchlist Ratings'!AW$4:AW$64&gt;0,'Watchlist Ratings'!AW$4:AW$64))&amp;"x"</f>
        <v>9.1219709975982x</v>
      </c>
      <c r="N89" s="102"/>
      <c r="O89" s="150">
        <f t="array" aca="1" ref="O89" ca="1">MAX('Watchlist Ratings'!BM$4:BM$64-'Watchlist Ratings'!BL$4:BL$64)</f>
        <v>2.382151208725046</v>
      </c>
      <c r="P89" s="102"/>
    </row>
    <row r="90" spans="1:17" ht="19.5" customHeight="1" x14ac:dyDescent="0.35"/>
    <row r="91" spans="1:17" ht="19.5" customHeight="1" x14ac:dyDescent="0.35">
      <c r="A91" s="111" t="s">
        <v>308</v>
      </c>
      <c r="B91" s="102"/>
      <c r="C91" s="102"/>
      <c r="D91" s="102"/>
      <c r="E91" s="102"/>
      <c r="F91" s="102"/>
      <c r="G91" s="102"/>
      <c r="H91" s="102"/>
      <c r="I91" s="102"/>
      <c r="J91" s="102"/>
      <c r="K91" s="102"/>
      <c r="L91" s="102"/>
      <c r="M91" s="102"/>
      <c r="N91" s="102"/>
      <c r="O91" s="102"/>
      <c r="P91" s="102"/>
      <c r="Q91" s="102"/>
    </row>
  </sheetData>
  <mergeCells count="86">
    <mergeCell ref="I89:J89"/>
    <mergeCell ref="J72:Q72"/>
    <mergeCell ref="L40:R40"/>
    <mergeCell ref="K89:L89"/>
    <mergeCell ref="C89:D89"/>
    <mergeCell ref="O88:P88"/>
    <mergeCell ref="J42:Q42"/>
    <mergeCell ref="O89:P89"/>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12"/>
  <sheetViews>
    <sheetView topLeftCell="A91" workbookViewId="0">
      <selection activeCell="E84" sqref="E84"/>
    </sheetView>
  </sheetViews>
  <sheetFormatPr baseColWidth="10" defaultColWidth="9.1796875" defaultRowHeight="14.5" x14ac:dyDescent="0.35"/>
  <cols>
    <col min="2" max="2" width="10.453125" bestFit="1" customWidth="1"/>
    <col min="3" max="3" width="27.81640625" customWidth="1"/>
    <col min="4" max="4" width="52.81640625" bestFit="1" customWidth="1"/>
    <col min="5" max="5" width="192.26953125" bestFit="1" customWidth="1"/>
  </cols>
  <sheetData>
    <row r="1" spans="1:5" x14ac:dyDescent="0.35">
      <c r="A1" t="s">
        <v>240</v>
      </c>
      <c r="B1" t="s">
        <v>309</v>
      </c>
      <c r="C1" t="s">
        <v>310</v>
      </c>
      <c r="D1" t="s">
        <v>311</v>
      </c>
      <c r="E1" t="s">
        <v>312</v>
      </c>
    </row>
    <row r="2" spans="1:5" x14ac:dyDescent="0.35">
      <c r="A2" t="s">
        <v>313</v>
      </c>
      <c r="B2" t="s">
        <v>113</v>
      </c>
      <c r="C2" t="s">
        <v>314</v>
      </c>
      <c r="D2" t="s">
        <v>315</v>
      </c>
      <c r="E2" t="s">
        <v>316</v>
      </c>
    </row>
    <row r="3" spans="1:5" x14ac:dyDescent="0.35">
      <c r="A3" t="s">
        <v>278</v>
      </c>
      <c r="B3" t="s">
        <v>113</v>
      </c>
      <c r="C3" t="s">
        <v>317</v>
      </c>
      <c r="D3" t="s">
        <v>318</v>
      </c>
      <c r="E3" t="s">
        <v>319</v>
      </c>
    </row>
    <row r="4" spans="1:5" x14ac:dyDescent="0.35">
      <c r="A4" t="s">
        <v>320</v>
      </c>
      <c r="B4" t="s">
        <v>113</v>
      </c>
      <c r="C4" t="s">
        <v>321</v>
      </c>
      <c r="D4" t="s">
        <v>322</v>
      </c>
      <c r="E4" t="s">
        <v>323</v>
      </c>
    </row>
    <row r="5" spans="1:5" x14ac:dyDescent="0.35">
      <c r="A5" t="s">
        <v>324</v>
      </c>
      <c r="B5" t="s">
        <v>113</v>
      </c>
      <c r="C5" t="s">
        <v>325</v>
      </c>
      <c r="D5" t="s">
        <v>326</v>
      </c>
      <c r="E5" t="s">
        <v>327</v>
      </c>
    </row>
    <row r="6" spans="1:5" x14ac:dyDescent="0.35">
      <c r="A6" t="s">
        <v>174</v>
      </c>
      <c r="B6" t="s">
        <v>175</v>
      </c>
      <c r="C6" t="s">
        <v>328</v>
      </c>
      <c r="D6" t="s">
        <v>329</v>
      </c>
      <c r="E6" t="s">
        <v>330</v>
      </c>
    </row>
    <row r="7" spans="1:5" x14ac:dyDescent="0.35">
      <c r="A7" t="s">
        <v>255</v>
      </c>
      <c r="B7" t="s">
        <v>91</v>
      </c>
      <c r="C7" t="s">
        <v>331</v>
      </c>
      <c r="D7" t="s">
        <v>332</v>
      </c>
      <c r="E7" t="s">
        <v>333</v>
      </c>
    </row>
    <row r="8" spans="1:5" x14ac:dyDescent="0.35">
      <c r="A8" t="s">
        <v>334</v>
      </c>
      <c r="B8" t="s">
        <v>91</v>
      </c>
      <c r="C8" t="s">
        <v>331</v>
      </c>
      <c r="D8" t="s">
        <v>335</v>
      </c>
      <c r="E8" t="s">
        <v>336</v>
      </c>
    </row>
    <row r="9" spans="1:5" x14ac:dyDescent="0.35">
      <c r="A9" t="s">
        <v>256</v>
      </c>
      <c r="B9" t="s">
        <v>91</v>
      </c>
      <c r="C9" t="s">
        <v>331</v>
      </c>
      <c r="D9" t="s">
        <v>337</v>
      </c>
      <c r="E9" t="s">
        <v>338</v>
      </c>
    </row>
    <row r="10" spans="1:5" x14ac:dyDescent="0.35">
      <c r="A10" t="s">
        <v>261</v>
      </c>
      <c r="B10" t="s">
        <v>91</v>
      </c>
      <c r="C10" t="s">
        <v>331</v>
      </c>
      <c r="D10" t="s">
        <v>339</v>
      </c>
      <c r="E10" t="s">
        <v>340</v>
      </c>
    </row>
    <row r="11" spans="1:5" x14ac:dyDescent="0.35">
      <c r="A11" t="s">
        <v>262</v>
      </c>
      <c r="B11" t="s">
        <v>91</v>
      </c>
      <c r="C11" t="s">
        <v>331</v>
      </c>
      <c r="D11" t="s">
        <v>339</v>
      </c>
      <c r="E11" t="s">
        <v>341</v>
      </c>
    </row>
    <row r="12" spans="1:5" x14ac:dyDescent="0.35">
      <c r="A12" t="s">
        <v>342</v>
      </c>
      <c r="B12" t="s">
        <v>91</v>
      </c>
      <c r="C12" t="s">
        <v>331</v>
      </c>
      <c r="D12" t="s">
        <v>343</v>
      </c>
      <c r="E12" t="s">
        <v>344</v>
      </c>
    </row>
    <row r="13" spans="1:5" x14ac:dyDescent="0.35">
      <c r="A13" t="s">
        <v>279</v>
      </c>
      <c r="B13" t="s">
        <v>91</v>
      </c>
      <c r="C13" t="s">
        <v>331</v>
      </c>
      <c r="D13" t="s">
        <v>345</v>
      </c>
      <c r="E13" t="s">
        <v>346</v>
      </c>
    </row>
    <row r="14" spans="1:5" x14ac:dyDescent="0.35">
      <c r="A14" t="s">
        <v>347</v>
      </c>
      <c r="B14" t="s">
        <v>91</v>
      </c>
      <c r="C14" t="s">
        <v>331</v>
      </c>
      <c r="D14" t="s">
        <v>348</v>
      </c>
      <c r="E14" t="s">
        <v>349</v>
      </c>
    </row>
    <row r="15" spans="1:5" x14ac:dyDescent="0.35">
      <c r="A15" t="s">
        <v>267</v>
      </c>
      <c r="B15" t="s">
        <v>91</v>
      </c>
      <c r="C15" t="s">
        <v>331</v>
      </c>
      <c r="D15" t="s">
        <v>350</v>
      </c>
      <c r="E15" t="s">
        <v>351</v>
      </c>
    </row>
    <row r="16" spans="1:5" x14ac:dyDescent="0.35">
      <c r="A16" t="s">
        <v>352</v>
      </c>
      <c r="B16" t="s">
        <v>91</v>
      </c>
      <c r="C16" t="s">
        <v>331</v>
      </c>
      <c r="D16" t="s">
        <v>353</v>
      </c>
      <c r="E16" t="s">
        <v>354</v>
      </c>
    </row>
    <row r="17" spans="1:5" x14ac:dyDescent="0.35">
      <c r="A17" t="s">
        <v>276</v>
      </c>
      <c r="B17" t="s">
        <v>91</v>
      </c>
      <c r="C17" t="s">
        <v>331</v>
      </c>
      <c r="D17" t="s">
        <v>355</v>
      </c>
      <c r="E17" t="s">
        <v>356</v>
      </c>
    </row>
    <row r="18" spans="1:5" x14ac:dyDescent="0.35">
      <c r="A18" t="s">
        <v>272</v>
      </c>
      <c r="B18" t="s">
        <v>91</v>
      </c>
      <c r="C18" t="s">
        <v>331</v>
      </c>
      <c r="D18" t="s">
        <v>357</v>
      </c>
      <c r="E18" t="s">
        <v>358</v>
      </c>
    </row>
    <row r="19" spans="1:5" x14ac:dyDescent="0.35">
      <c r="A19" t="s">
        <v>359</v>
      </c>
      <c r="B19" t="s">
        <v>91</v>
      </c>
      <c r="C19" t="s">
        <v>360</v>
      </c>
      <c r="D19" t="s">
        <v>361</v>
      </c>
      <c r="E19" t="s">
        <v>362</v>
      </c>
    </row>
    <row r="20" spans="1:5" x14ac:dyDescent="0.35">
      <c r="A20" t="s">
        <v>363</v>
      </c>
      <c r="B20" t="s">
        <v>91</v>
      </c>
      <c r="C20" t="s">
        <v>331</v>
      </c>
      <c r="D20" t="s">
        <v>364</v>
      </c>
      <c r="E20" t="s">
        <v>365</v>
      </c>
    </row>
    <row r="21" spans="1:5" x14ac:dyDescent="0.35">
      <c r="A21" t="s">
        <v>260</v>
      </c>
      <c r="B21" t="s">
        <v>97</v>
      </c>
      <c r="C21" t="s">
        <v>331</v>
      </c>
      <c r="D21" t="s">
        <v>366</v>
      </c>
      <c r="E21" t="s">
        <v>367</v>
      </c>
    </row>
    <row r="22" spans="1:5" x14ac:dyDescent="0.35">
      <c r="A22" t="s">
        <v>271</v>
      </c>
      <c r="B22" t="s">
        <v>97</v>
      </c>
      <c r="C22" t="s">
        <v>331</v>
      </c>
      <c r="D22" t="s">
        <v>366</v>
      </c>
      <c r="E22" t="s">
        <v>368</v>
      </c>
    </row>
    <row r="23" spans="1:5" x14ac:dyDescent="0.35">
      <c r="A23" t="s">
        <v>282</v>
      </c>
      <c r="B23" t="s">
        <v>97</v>
      </c>
      <c r="C23" t="s">
        <v>331</v>
      </c>
      <c r="D23" t="s">
        <v>366</v>
      </c>
      <c r="E23" t="s">
        <v>369</v>
      </c>
    </row>
    <row r="24" spans="1:5" x14ac:dyDescent="0.35">
      <c r="A24" t="s">
        <v>257</v>
      </c>
      <c r="B24" t="s">
        <v>97</v>
      </c>
      <c r="C24" t="s">
        <v>331</v>
      </c>
      <c r="D24" t="s">
        <v>366</v>
      </c>
      <c r="E24" t="s">
        <v>370</v>
      </c>
    </row>
    <row r="25" spans="1:5" x14ac:dyDescent="0.35">
      <c r="A25" t="s">
        <v>270</v>
      </c>
      <c r="B25" t="s">
        <v>97</v>
      </c>
      <c r="C25" t="s">
        <v>331</v>
      </c>
      <c r="D25" t="s">
        <v>371</v>
      </c>
      <c r="E25" t="s">
        <v>372</v>
      </c>
    </row>
    <row r="26" spans="1:5" x14ac:dyDescent="0.35">
      <c r="A26" t="s">
        <v>269</v>
      </c>
      <c r="B26" t="s">
        <v>97</v>
      </c>
      <c r="C26" t="s">
        <v>331</v>
      </c>
      <c r="D26" t="s">
        <v>366</v>
      </c>
      <c r="E26" t="s">
        <v>373</v>
      </c>
    </row>
    <row r="27" spans="1:5" x14ac:dyDescent="0.35">
      <c r="A27" t="s">
        <v>263</v>
      </c>
      <c r="B27" t="s">
        <v>97</v>
      </c>
      <c r="C27" t="s">
        <v>331</v>
      </c>
      <c r="D27" t="s">
        <v>366</v>
      </c>
      <c r="E27" t="s">
        <v>374</v>
      </c>
    </row>
    <row r="28" spans="1:5" x14ac:dyDescent="0.35">
      <c r="A28" t="s">
        <v>266</v>
      </c>
      <c r="B28" t="s">
        <v>97</v>
      </c>
      <c r="C28" t="s">
        <v>331</v>
      </c>
      <c r="D28" t="s">
        <v>366</v>
      </c>
      <c r="E28" t="s">
        <v>374</v>
      </c>
    </row>
    <row r="29" spans="1:5" x14ac:dyDescent="0.35">
      <c r="A29" t="s">
        <v>375</v>
      </c>
      <c r="B29" t="s">
        <v>97</v>
      </c>
      <c r="C29" t="s">
        <v>331</v>
      </c>
      <c r="D29" t="s">
        <v>366</v>
      </c>
      <c r="E29" t="s">
        <v>373</v>
      </c>
    </row>
    <row r="30" spans="1:5" x14ac:dyDescent="0.35">
      <c r="A30" t="s">
        <v>376</v>
      </c>
      <c r="B30" t="s">
        <v>97</v>
      </c>
      <c r="C30" t="s">
        <v>331</v>
      </c>
      <c r="D30" t="s">
        <v>366</v>
      </c>
      <c r="E30" t="s">
        <v>374</v>
      </c>
    </row>
    <row r="31" spans="1:5" x14ac:dyDescent="0.35">
      <c r="A31" t="s">
        <v>377</v>
      </c>
      <c r="B31" t="s">
        <v>97</v>
      </c>
      <c r="C31" t="s">
        <v>331</v>
      </c>
      <c r="D31" t="s">
        <v>366</v>
      </c>
      <c r="E31" t="s">
        <v>367</v>
      </c>
    </row>
    <row r="32" spans="1:5" x14ac:dyDescent="0.35">
      <c r="A32" t="s">
        <v>378</v>
      </c>
      <c r="B32" t="s">
        <v>97</v>
      </c>
      <c r="C32" t="s">
        <v>331</v>
      </c>
      <c r="D32" t="s">
        <v>366</v>
      </c>
      <c r="E32" t="s">
        <v>367</v>
      </c>
    </row>
    <row r="33" spans="1:5" x14ac:dyDescent="0.35">
      <c r="A33" t="s">
        <v>379</v>
      </c>
      <c r="B33" t="s">
        <v>97</v>
      </c>
      <c r="C33" t="s">
        <v>331</v>
      </c>
      <c r="D33" t="s">
        <v>366</v>
      </c>
      <c r="E33" t="s">
        <v>380</v>
      </c>
    </row>
    <row r="34" spans="1:5" x14ac:dyDescent="0.35">
      <c r="A34" t="s">
        <v>381</v>
      </c>
      <c r="B34" t="s">
        <v>97</v>
      </c>
      <c r="C34" t="s">
        <v>331</v>
      </c>
      <c r="D34" t="s">
        <v>366</v>
      </c>
      <c r="E34" t="s">
        <v>374</v>
      </c>
    </row>
    <row r="35" spans="1:5" x14ac:dyDescent="0.35">
      <c r="A35" t="s">
        <v>382</v>
      </c>
      <c r="B35" t="s">
        <v>97</v>
      </c>
      <c r="C35" t="s">
        <v>331</v>
      </c>
      <c r="D35" t="s">
        <v>366</v>
      </c>
      <c r="E35" t="s">
        <v>383</v>
      </c>
    </row>
    <row r="36" spans="1:5" x14ac:dyDescent="0.35">
      <c r="A36" t="s">
        <v>384</v>
      </c>
      <c r="B36" t="s">
        <v>97</v>
      </c>
      <c r="C36" t="s">
        <v>331</v>
      </c>
      <c r="D36" t="s">
        <v>366</v>
      </c>
      <c r="E36" t="s">
        <v>367</v>
      </c>
    </row>
    <row r="37" spans="1:5" x14ac:dyDescent="0.35">
      <c r="A37" t="s">
        <v>385</v>
      </c>
      <c r="B37" t="s">
        <v>97</v>
      </c>
      <c r="C37" t="s">
        <v>331</v>
      </c>
      <c r="D37" t="s">
        <v>366</v>
      </c>
      <c r="E37" t="s">
        <v>380</v>
      </c>
    </row>
    <row r="38" spans="1:5" x14ac:dyDescent="0.35">
      <c r="A38" t="s">
        <v>386</v>
      </c>
      <c r="B38" t="s">
        <v>97</v>
      </c>
      <c r="C38" t="s">
        <v>331</v>
      </c>
      <c r="D38" t="s">
        <v>366</v>
      </c>
      <c r="E38" t="s">
        <v>373</v>
      </c>
    </row>
    <row r="39" spans="1:5" x14ac:dyDescent="0.35">
      <c r="A39" t="s">
        <v>387</v>
      </c>
      <c r="B39" t="s">
        <v>97</v>
      </c>
      <c r="C39" t="s">
        <v>331</v>
      </c>
      <c r="D39" t="s">
        <v>366</v>
      </c>
      <c r="E39" t="s">
        <v>388</v>
      </c>
    </row>
    <row r="40" spans="1:5" x14ac:dyDescent="0.35">
      <c r="A40" t="s">
        <v>389</v>
      </c>
      <c r="B40" t="s">
        <v>97</v>
      </c>
      <c r="C40" t="s">
        <v>331</v>
      </c>
      <c r="D40" t="s">
        <v>366</v>
      </c>
      <c r="E40" t="s">
        <v>368</v>
      </c>
    </row>
    <row r="41" spans="1:5" x14ac:dyDescent="0.35">
      <c r="A41" t="s">
        <v>259</v>
      </c>
      <c r="B41" t="s">
        <v>97</v>
      </c>
      <c r="C41" t="s">
        <v>331</v>
      </c>
      <c r="D41" t="s">
        <v>366</v>
      </c>
      <c r="E41" t="s">
        <v>388</v>
      </c>
    </row>
    <row r="42" spans="1:5" x14ac:dyDescent="0.35">
      <c r="A42" t="s">
        <v>390</v>
      </c>
      <c r="B42" t="s">
        <v>97</v>
      </c>
      <c r="C42" t="s">
        <v>331</v>
      </c>
      <c r="D42" t="s">
        <v>366</v>
      </c>
      <c r="E42" t="s">
        <v>367</v>
      </c>
    </row>
    <row r="43" spans="1:5" x14ac:dyDescent="0.35">
      <c r="A43" t="s">
        <v>391</v>
      </c>
      <c r="B43" t="s">
        <v>97</v>
      </c>
      <c r="C43" t="s">
        <v>331</v>
      </c>
      <c r="D43" t="s">
        <v>366</v>
      </c>
      <c r="E43" t="s">
        <v>380</v>
      </c>
    </row>
    <row r="44" spans="1:5" x14ac:dyDescent="0.35">
      <c r="A44" t="s">
        <v>392</v>
      </c>
      <c r="B44" t="s">
        <v>97</v>
      </c>
      <c r="C44" t="s">
        <v>331</v>
      </c>
      <c r="D44" t="s">
        <v>366</v>
      </c>
      <c r="E44" t="s">
        <v>380</v>
      </c>
    </row>
    <row r="45" spans="1:5" x14ac:dyDescent="0.35">
      <c r="A45" t="s">
        <v>393</v>
      </c>
      <c r="B45" t="s">
        <v>97</v>
      </c>
      <c r="C45" t="s">
        <v>331</v>
      </c>
      <c r="D45" t="s">
        <v>366</v>
      </c>
      <c r="E45" t="s">
        <v>374</v>
      </c>
    </row>
    <row r="46" spans="1:5" x14ac:dyDescent="0.35">
      <c r="A46" t="s">
        <v>394</v>
      </c>
      <c r="B46" t="s">
        <v>97</v>
      </c>
      <c r="C46" t="s">
        <v>331</v>
      </c>
      <c r="D46" t="s">
        <v>366</v>
      </c>
      <c r="E46" t="s">
        <v>380</v>
      </c>
    </row>
    <row r="47" spans="1:5" x14ac:dyDescent="0.35">
      <c r="A47" t="s">
        <v>395</v>
      </c>
      <c r="B47" t="s">
        <v>97</v>
      </c>
      <c r="C47" t="s">
        <v>331</v>
      </c>
      <c r="D47" t="s">
        <v>366</v>
      </c>
      <c r="E47" t="s">
        <v>367</v>
      </c>
    </row>
    <row r="48" spans="1:5" x14ac:dyDescent="0.35">
      <c r="A48" t="s">
        <v>268</v>
      </c>
      <c r="B48" t="s">
        <v>105</v>
      </c>
      <c r="C48" t="s">
        <v>396</v>
      </c>
      <c r="D48" t="s">
        <v>397</v>
      </c>
      <c r="E48" t="s">
        <v>398</v>
      </c>
    </row>
    <row r="49" spans="1:5" x14ac:dyDescent="0.35">
      <c r="A49" t="s">
        <v>313</v>
      </c>
      <c r="B49" t="s">
        <v>105</v>
      </c>
      <c r="C49" t="s">
        <v>396</v>
      </c>
      <c r="D49" t="s">
        <v>397</v>
      </c>
      <c r="E49" t="s">
        <v>399</v>
      </c>
    </row>
    <row r="50" spans="1:5" x14ac:dyDescent="0.35">
      <c r="A50" t="s">
        <v>400</v>
      </c>
      <c r="B50" t="s">
        <v>105</v>
      </c>
      <c r="C50" t="s">
        <v>396</v>
      </c>
      <c r="D50" t="s">
        <v>397</v>
      </c>
      <c r="E50" t="s">
        <v>401</v>
      </c>
    </row>
    <row r="51" spans="1:5" x14ac:dyDescent="0.35">
      <c r="A51" t="s">
        <v>275</v>
      </c>
      <c r="B51" t="s">
        <v>105</v>
      </c>
      <c r="C51" t="s">
        <v>396</v>
      </c>
      <c r="D51" t="s">
        <v>402</v>
      </c>
      <c r="E51" t="s">
        <v>403</v>
      </c>
    </row>
    <row r="52" spans="1:5" x14ac:dyDescent="0.35">
      <c r="A52" t="s">
        <v>404</v>
      </c>
      <c r="B52" t="s">
        <v>105</v>
      </c>
      <c r="C52" t="s">
        <v>396</v>
      </c>
      <c r="D52" t="s">
        <v>405</v>
      </c>
      <c r="E52" t="s">
        <v>406</v>
      </c>
    </row>
    <row r="53" spans="1:5" x14ac:dyDescent="0.35">
      <c r="A53" t="s">
        <v>278</v>
      </c>
      <c r="B53" t="s">
        <v>105</v>
      </c>
      <c r="C53" t="s">
        <v>396</v>
      </c>
      <c r="D53" t="s">
        <v>407</v>
      </c>
      <c r="E53" t="s">
        <v>408</v>
      </c>
    </row>
    <row r="54" spans="1:5" x14ac:dyDescent="0.35">
      <c r="A54" t="s">
        <v>359</v>
      </c>
      <c r="B54" t="s">
        <v>105</v>
      </c>
      <c r="C54" t="s">
        <v>396</v>
      </c>
      <c r="D54" t="s">
        <v>409</v>
      </c>
      <c r="E54" t="s">
        <v>410</v>
      </c>
    </row>
    <row r="55" spans="1:5" x14ac:dyDescent="0.35">
      <c r="A55" t="s">
        <v>411</v>
      </c>
      <c r="B55" t="s">
        <v>105</v>
      </c>
      <c r="C55" t="s">
        <v>396</v>
      </c>
      <c r="D55" t="s">
        <v>412</v>
      </c>
      <c r="E55" t="s">
        <v>413</v>
      </c>
    </row>
    <row r="56" spans="1:5" x14ac:dyDescent="0.35">
      <c r="A56" t="s">
        <v>324</v>
      </c>
      <c r="B56" t="s">
        <v>105</v>
      </c>
      <c r="C56" t="s">
        <v>396</v>
      </c>
      <c r="D56" t="s">
        <v>414</v>
      </c>
      <c r="E56" t="s">
        <v>415</v>
      </c>
    </row>
    <row r="57" spans="1:5" x14ac:dyDescent="0.35">
      <c r="A57" t="s">
        <v>393</v>
      </c>
      <c r="B57" t="s">
        <v>105</v>
      </c>
      <c r="C57" t="s">
        <v>416</v>
      </c>
      <c r="D57" t="s">
        <v>417</v>
      </c>
      <c r="E57" t="s">
        <v>418</v>
      </c>
    </row>
    <row r="58" spans="1:5" x14ac:dyDescent="0.35">
      <c r="A58" t="s">
        <v>260</v>
      </c>
      <c r="B58" t="s">
        <v>105</v>
      </c>
      <c r="C58" t="s">
        <v>267</v>
      </c>
      <c r="D58" t="s">
        <v>419</v>
      </c>
      <c r="E58" t="s">
        <v>420</v>
      </c>
    </row>
    <row r="59" spans="1:5" x14ac:dyDescent="0.35">
      <c r="A59" t="s">
        <v>378</v>
      </c>
      <c r="B59" t="s">
        <v>105</v>
      </c>
      <c r="C59" t="s">
        <v>267</v>
      </c>
      <c r="D59" t="s">
        <v>421</v>
      </c>
      <c r="E59" t="s">
        <v>422</v>
      </c>
    </row>
    <row r="60" spans="1:5" x14ac:dyDescent="0.35">
      <c r="A60" t="s">
        <v>257</v>
      </c>
      <c r="B60" t="s">
        <v>105</v>
      </c>
      <c r="C60" t="s">
        <v>267</v>
      </c>
      <c r="D60" t="s">
        <v>421</v>
      </c>
      <c r="E60" t="s">
        <v>423</v>
      </c>
    </row>
    <row r="61" spans="1:5" x14ac:dyDescent="0.35">
      <c r="A61" t="s">
        <v>382</v>
      </c>
      <c r="B61" t="s">
        <v>105</v>
      </c>
      <c r="C61" t="s">
        <v>267</v>
      </c>
      <c r="D61" t="s">
        <v>424</v>
      </c>
      <c r="E61" t="s">
        <v>425</v>
      </c>
    </row>
    <row r="62" spans="1:5" x14ac:dyDescent="0.35">
      <c r="A62" t="s">
        <v>379</v>
      </c>
      <c r="B62" t="s">
        <v>105</v>
      </c>
      <c r="C62" t="s">
        <v>267</v>
      </c>
      <c r="D62" t="s">
        <v>421</v>
      </c>
      <c r="E62" t="s">
        <v>426</v>
      </c>
    </row>
    <row r="63" spans="1:5" x14ac:dyDescent="0.35">
      <c r="A63" t="s">
        <v>267</v>
      </c>
      <c r="B63" t="s">
        <v>105</v>
      </c>
      <c r="C63" t="s">
        <v>267</v>
      </c>
      <c r="D63" t="s">
        <v>427</v>
      </c>
      <c r="E63" t="s">
        <v>428</v>
      </c>
    </row>
    <row r="64" spans="1:5" x14ac:dyDescent="0.35">
      <c r="A64" t="s">
        <v>385</v>
      </c>
      <c r="B64" t="s">
        <v>105</v>
      </c>
      <c r="C64" t="s">
        <v>267</v>
      </c>
      <c r="D64" t="s">
        <v>429</v>
      </c>
      <c r="E64" t="s">
        <v>430</v>
      </c>
    </row>
    <row r="65" spans="1:5" x14ac:dyDescent="0.35">
      <c r="A65" t="s">
        <v>281</v>
      </c>
      <c r="B65" t="s">
        <v>105</v>
      </c>
      <c r="C65" t="s">
        <v>267</v>
      </c>
      <c r="D65" t="s">
        <v>431</v>
      </c>
      <c r="E65" t="s">
        <v>432</v>
      </c>
    </row>
    <row r="66" spans="1:5" x14ac:dyDescent="0.35">
      <c r="A66" t="s">
        <v>433</v>
      </c>
      <c r="B66" t="s">
        <v>105</v>
      </c>
      <c r="C66" t="s">
        <v>267</v>
      </c>
      <c r="D66" t="s">
        <v>421</v>
      </c>
      <c r="E66" t="s">
        <v>434</v>
      </c>
    </row>
    <row r="67" spans="1:5" x14ac:dyDescent="0.35">
      <c r="A67" t="s">
        <v>376</v>
      </c>
      <c r="B67" t="s">
        <v>105</v>
      </c>
      <c r="C67" t="s">
        <v>267</v>
      </c>
      <c r="D67" t="s">
        <v>429</v>
      </c>
      <c r="E67" t="s">
        <v>435</v>
      </c>
    </row>
    <row r="68" spans="1:5" x14ac:dyDescent="0.35">
      <c r="A68" t="s">
        <v>387</v>
      </c>
      <c r="B68" t="s">
        <v>105</v>
      </c>
      <c r="C68" t="s">
        <v>267</v>
      </c>
      <c r="D68" t="s">
        <v>421</v>
      </c>
      <c r="E68" t="s">
        <v>436</v>
      </c>
    </row>
    <row r="69" spans="1:5" x14ac:dyDescent="0.35">
      <c r="A69" t="s">
        <v>265</v>
      </c>
      <c r="B69" t="s">
        <v>105</v>
      </c>
      <c r="C69" t="s">
        <v>267</v>
      </c>
      <c r="D69" t="s">
        <v>437</v>
      </c>
      <c r="E69" t="s">
        <v>438</v>
      </c>
    </row>
    <row r="70" spans="1:5" x14ac:dyDescent="0.35">
      <c r="A70" t="s">
        <v>377</v>
      </c>
      <c r="B70" t="s">
        <v>105</v>
      </c>
      <c r="C70" t="s">
        <v>416</v>
      </c>
      <c r="D70" t="s">
        <v>439</v>
      </c>
      <c r="E70" t="s">
        <v>440</v>
      </c>
    </row>
    <row r="71" spans="1:5" x14ac:dyDescent="0.35">
      <c r="A71" t="s">
        <v>269</v>
      </c>
      <c r="B71" t="s">
        <v>105</v>
      </c>
      <c r="C71" t="s">
        <v>267</v>
      </c>
      <c r="D71" t="s">
        <v>421</v>
      </c>
      <c r="E71" t="s">
        <v>441</v>
      </c>
    </row>
    <row r="72" spans="1:5" x14ac:dyDescent="0.35">
      <c r="A72" t="s">
        <v>381</v>
      </c>
      <c r="B72" t="s">
        <v>105</v>
      </c>
      <c r="C72" t="s">
        <v>267</v>
      </c>
      <c r="D72" t="s">
        <v>442</v>
      </c>
      <c r="E72" t="s">
        <v>443</v>
      </c>
    </row>
    <row r="73" spans="1:5" x14ac:dyDescent="0.35">
      <c r="A73" t="s">
        <v>259</v>
      </c>
      <c r="B73" t="s">
        <v>105</v>
      </c>
      <c r="C73" t="s">
        <v>267</v>
      </c>
      <c r="D73" t="s">
        <v>444</v>
      </c>
      <c r="E73" t="s">
        <v>445</v>
      </c>
    </row>
    <row r="74" spans="1:5" x14ac:dyDescent="0.35">
      <c r="A74" t="s">
        <v>266</v>
      </c>
      <c r="B74" t="s">
        <v>105</v>
      </c>
      <c r="C74" t="s">
        <v>267</v>
      </c>
      <c r="D74" t="s">
        <v>446</v>
      </c>
      <c r="E74" t="s">
        <v>447</v>
      </c>
    </row>
    <row r="75" spans="1:5" x14ac:dyDescent="0.35">
      <c r="A75" t="s">
        <v>263</v>
      </c>
      <c r="B75" t="s">
        <v>105</v>
      </c>
      <c r="C75" t="s">
        <v>267</v>
      </c>
      <c r="D75" t="s">
        <v>429</v>
      </c>
      <c r="E75" t="s">
        <v>448</v>
      </c>
    </row>
    <row r="76" spans="1:5" x14ac:dyDescent="0.35">
      <c r="A76" t="s">
        <v>391</v>
      </c>
      <c r="B76" t="s">
        <v>105</v>
      </c>
      <c r="C76" t="s">
        <v>267</v>
      </c>
      <c r="D76" t="s">
        <v>449</v>
      </c>
      <c r="E76" t="s">
        <v>450</v>
      </c>
    </row>
    <row r="77" spans="1:5" x14ac:dyDescent="0.35">
      <c r="A77" t="s">
        <v>392</v>
      </c>
      <c r="B77" t="s">
        <v>105</v>
      </c>
      <c r="C77" t="s">
        <v>267</v>
      </c>
      <c r="D77" t="s">
        <v>421</v>
      </c>
      <c r="E77" t="s">
        <v>451</v>
      </c>
    </row>
    <row r="78" spans="1:5" x14ac:dyDescent="0.35">
      <c r="A78" t="s">
        <v>394</v>
      </c>
      <c r="B78" t="s">
        <v>105</v>
      </c>
      <c r="C78" t="s">
        <v>267</v>
      </c>
      <c r="D78" t="s">
        <v>429</v>
      </c>
      <c r="E78" t="s">
        <v>452</v>
      </c>
    </row>
    <row r="79" spans="1:5" x14ac:dyDescent="0.35">
      <c r="A79" t="s">
        <v>255</v>
      </c>
      <c r="B79" t="s">
        <v>105</v>
      </c>
      <c r="C79" t="s">
        <v>267</v>
      </c>
      <c r="D79" t="s">
        <v>419</v>
      </c>
      <c r="E79" t="s">
        <v>453</v>
      </c>
    </row>
    <row r="80" spans="1:5" x14ac:dyDescent="0.35">
      <c r="A80" t="s">
        <v>320</v>
      </c>
      <c r="B80" t="s">
        <v>105</v>
      </c>
      <c r="C80" t="s">
        <v>267</v>
      </c>
      <c r="D80" t="s">
        <v>454</v>
      </c>
      <c r="E80" t="s">
        <v>455</v>
      </c>
    </row>
    <row r="81" spans="1:5" x14ac:dyDescent="0.35">
      <c r="A81" t="s">
        <v>390</v>
      </c>
      <c r="B81" t="s">
        <v>105</v>
      </c>
      <c r="C81" t="s">
        <v>416</v>
      </c>
      <c r="D81" t="s">
        <v>456</v>
      </c>
      <c r="E81" t="s">
        <v>457</v>
      </c>
    </row>
    <row r="82" spans="1:5" x14ac:dyDescent="0.35">
      <c r="A82" t="s">
        <v>395</v>
      </c>
      <c r="B82" t="s">
        <v>105</v>
      </c>
      <c r="C82" t="s">
        <v>416</v>
      </c>
      <c r="D82" t="s">
        <v>456</v>
      </c>
      <c r="E82" t="s">
        <v>458</v>
      </c>
    </row>
    <row r="83" spans="1:5" x14ac:dyDescent="0.35">
      <c r="A83" t="s">
        <v>459</v>
      </c>
      <c r="B83" t="s">
        <v>105</v>
      </c>
      <c r="C83" t="s">
        <v>460</v>
      </c>
      <c r="D83" t="s">
        <v>461</v>
      </c>
      <c r="E83" t="s">
        <v>462</v>
      </c>
    </row>
    <row r="84" spans="1:5" x14ac:dyDescent="0.35">
      <c r="A84" t="s">
        <v>385</v>
      </c>
      <c r="B84" t="s">
        <v>130</v>
      </c>
      <c r="C84" t="s">
        <v>463</v>
      </c>
      <c r="D84" t="s">
        <v>464</v>
      </c>
      <c r="E84" t="s">
        <v>465</v>
      </c>
    </row>
    <row r="85" spans="1:5" x14ac:dyDescent="0.35">
      <c r="A85" t="s">
        <v>466</v>
      </c>
      <c r="B85" t="s">
        <v>130</v>
      </c>
      <c r="C85" t="s">
        <v>463</v>
      </c>
      <c r="D85" t="s">
        <v>467</v>
      </c>
      <c r="E85" t="s">
        <v>468</v>
      </c>
    </row>
    <row r="86" spans="1:5" x14ac:dyDescent="0.35">
      <c r="A86" t="s">
        <v>375</v>
      </c>
      <c r="B86" t="s">
        <v>130</v>
      </c>
      <c r="C86" t="s">
        <v>463</v>
      </c>
      <c r="D86" t="s">
        <v>469</v>
      </c>
      <c r="E86" t="s">
        <v>470</v>
      </c>
    </row>
    <row r="87" spans="1:5" x14ac:dyDescent="0.35">
      <c r="A87" t="s">
        <v>382</v>
      </c>
      <c r="B87" t="s">
        <v>130</v>
      </c>
      <c r="C87" t="s">
        <v>463</v>
      </c>
      <c r="D87" t="s">
        <v>471</v>
      </c>
      <c r="E87" t="s">
        <v>472</v>
      </c>
    </row>
    <row r="88" spans="1:5" x14ac:dyDescent="0.35">
      <c r="A88" t="s">
        <v>384</v>
      </c>
      <c r="B88" t="s">
        <v>130</v>
      </c>
      <c r="C88" t="s">
        <v>463</v>
      </c>
      <c r="D88" t="s">
        <v>473</v>
      </c>
      <c r="E88" t="s">
        <v>474</v>
      </c>
    </row>
    <row r="89" spans="1:5" x14ac:dyDescent="0.35">
      <c r="A89" t="s">
        <v>475</v>
      </c>
      <c r="B89" t="s">
        <v>130</v>
      </c>
      <c r="C89" t="s">
        <v>463</v>
      </c>
      <c r="D89" t="s">
        <v>476</v>
      </c>
      <c r="E89" t="s">
        <v>477</v>
      </c>
    </row>
    <row r="90" spans="1:5" x14ac:dyDescent="0.35">
      <c r="A90" t="s">
        <v>390</v>
      </c>
      <c r="B90" t="s">
        <v>130</v>
      </c>
      <c r="C90" t="s">
        <v>463</v>
      </c>
      <c r="D90" t="s">
        <v>478</v>
      </c>
      <c r="E90" t="s">
        <v>479</v>
      </c>
    </row>
    <row r="91" spans="1:5" x14ac:dyDescent="0.35">
      <c r="A91" t="s">
        <v>480</v>
      </c>
      <c r="B91" t="s">
        <v>130</v>
      </c>
      <c r="C91" t="s">
        <v>463</v>
      </c>
      <c r="D91" t="s">
        <v>481</v>
      </c>
      <c r="E91" t="s">
        <v>482</v>
      </c>
    </row>
    <row r="92" spans="1:5" x14ac:dyDescent="0.35">
      <c r="A92" t="s">
        <v>395</v>
      </c>
      <c r="B92" t="s">
        <v>130</v>
      </c>
      <c r="C92" t="s">
        <v>463</v>
      </c>
      <c r="D92" t="s">
        <v>483</v>
      </c>
      <c r="E92" t="s">
        <v>484</v>
      </c>
    </row>
    <row r="93" spans="1:5" x14ac:dyDescent="0.35">
      <c r="A93" t="s">
        <v>269</v>
      </c>
      <c r="B93" t="s">
        <v>130</v>
      </c>
      <c r="C93" t="s">
        <v>485</v>
      </c>
      <c r="D93" t="s">
        <v>486</v>
      </c>
      <c r="E93" t="s">
        <v>487</v>
      </c>
    </row>
    <row r="94" spans="1:5" x14ac:dyDescent="0.35">
      <c r="A94" t="s">
        <v>352</v>
      </c>
      <c r="B94" t="s">
        <v>130</v>
      </c>
      <c r="C94" t="s">
        <v>485</v>
      </c>
      <c r="D94" t="s">
        <v>488</v>
      </c>
      <c r="E94" t="s">
        <v>489</v>
      </c>
    </row>
    <row r="95" spans="1:5" x14ac:dyDescent="0.35">
      <c r="A95" t="s">
        <v>386</v>
      </c>
      <c r="B95" t="s">
        <v>130</v>
      </c>
      <c r="C95" t="s">
        <v>485</v>
      </c>
      <c r="D95" t="s">
        <v>490</v>
      </c>
      <c r="E95" t="s">
        <v>491</v>
      </c>
    </row>
    <row r="96" spans="1:5" x14ac:dyDescent="0.35">
      <c r="A96" t="s">
        <v>260</v>
      </c>
      <c r="B96" t="s">
        <v>83</v>
      </c>
      <c r="C96" t="s">
        <v>463</v>
      </c>
      <c r="D96" t="s">
        <v>492</v>
      </c>
      <c r="E96" t="s">
        <v>493</v>
      </c>
    </row>
    <row r="97" spans="1:5" x14ac:dyDescent="0.35">
      <c r="A97" t="s">
        <v>378</v>
      </c>
      <c r="B97" t="s">
        <v>83</v>
      </c>
      <c r="C97" t="s">
        <v>463</v>
      </c>
      <c r="D97" t="s">
        <v>494</v>
      </c>
      <c r="E97" t="s">
        <v>495</v>
      </c>
    </row>
    <row r="98" spans="1:5" x14ac:dyDescent="0.35">
      <c r="A98" t="s">
        <v>269</v>
      </c>
      <c r="B98" t="s">
        <v>83</v>
      </c>
      <c r="C98" t="s">
        <v>463</v>
      </c>
      <c r="D98" t="s">
        <v>496</v>
      </c>
      <c r="E98" t="s">
        <v>497</v>
      </c>
    </row>
    <row r="99" spans="1:5" x14ac:dyDescent="0.35">
      <c r="A99" t="s">
        <v>281</v>
      </c>
      <c r="B99" t="s">
        <v>83</v>
      </c>
      <c r="C99" t="s">
        <v>463</v>
      </c>
      <c r="D99" t="s">
        <v>498</v>
      </c>
      <c r="E99" t="s">
        <v>499</v>
      </c>
    </row>
    <row r="100" spans="1:5" x14ac:dyDescent="0.35">
      <c r="A100" t="s">
        <v>387</v>
      </c>
      <c r="B100" t="s">
        <v>83</v>
      </c>
      <c r="C100" t="s">
        <v>463</v>
      </c>
      <c r="D100" t="s">
        <v>500</v>
      </c>
      <c r="E100" t="s">
        <v>501</v>
      </c>
    </row>
    <row r="101" spans="1:5" x14ac:dyDescent="0.35">
      <c r="A101" t="s">
        <v>259</v>
      </c>
      <c r="B101" t="s">
        <v>83</v>
      </c>
      <c r="C101" t="s">
        <v>463</v>
      </c>
      <c r="D101" t="s">
        <v>502</v>
      </c>
      <c r="E101" t="s">
        <v>503</v>
      </c>
    </row>
    <row r="102" spans="1:5" x14ac:dyDescent="0.35">
      <c r="A102" t="s">
        <v>504</v>
      </c>
      <c r="B102" t="s">
        <v>83</v>
      </c>
      <c r="C102" t="s">
        <v>463</v>
      </c>
      <c r="D102" t="s">
        <v>505</v>
      </c>
      <c r="E102" t="s">
        <v>506</v>
      </c>
    </row>
    <row r="103" spans="1:5" x14ac:dyDescent="0.35">
      <c r="A103" t="s">
        <v>176</v>
      </c>
      <c r="B103" t="s">
        <v>79</v>
      </c>
      <c r="C103" t="s">
        <v>507</v>
      </c>
      <c r="D103" t="s">
        <v>508</v>
      </c>
      <c r="E103" t="s">
        <v>509</v>
      </c>
    </row>
    <row r="104" spans="1:5" x14ac:dyDescent="0.35">
      <c r="A104" t="s">
        <v>256</v>
      </c>
      <c r="B104" t="s">
        <v>79</v>
      </c>
      <c r="C104" t="s">
        <v>510</v>
      </c>
      <c r="D104" t="s">
        <v>511</v>
      </c>
      <c r="E104" t="s">
        <v>512</v>
      </c>
    </row>
    <row r="105" spans="1:5" x14ac:dyDescent="0.35">
      <c r="A105" t="s">
        <v>265</v>
      </c>
      <c r="B105" t="s">
        <v>79</v>
      </c>
      <c r="C105" t="s">
        <v>513</v>
      </c>
      <c r="D105" t="s">
        <v>514</v>
      </c>
      <c r="E105" t="s">
        <v>515</v>
      </c>
    </row>
    <row r="106" spans="1:5" x14ac:dyDescent="0.35">
      <c r="A106" t="s">
        <v>267</v>
      </c>
      <c r="B106" t="s">
        <v>79</v>
      </c>
      <c r="C106" t="s">
        <v>516</v>
      </c>
      <c r="D106" t="s">
        <v>517</v>
      </c>
      <c r="E106" t="s">
        <v>518</v>
      </c>
    </row>
    <row r="107" spans="1:5" x14ac:dyDescent="0.35">
      <c r="A107" t="s">
        <v>363</v>
      </c>
      <c r="B107" t="s">
        <v>79</v>
      </c>
      <c r="C107" t="s">
        <v>519</v>
      </c>
      <c r="D107" t="s">
        <v>520</v>
      </c>
      <c r="E107" t="s">
        <v>521</v>
      </c>
    </row>
    <row r="108" spans="1:5" x14ac:dyDescent="0.35">
      <c r="A108" t="s">
        <v>263</v>
      </c>
      <c r="B108" t="s">
        <v>79</v>
      </c>
      <c r="C108" t="s">
        <v>522</v>
      </c>
      <c r="D108" t="s">
        <v>523</v>
      </c>
      <c r="E108" t="s">
        <v>524</v>
      </c>
    </row>
    <row r="109" spans="1:5" x14ac:dyDescent="0.35">
      <c r="A109" t="s">
        <v>352</v>
      </c>
      <c r="B109" t="s">
        <v>79</v>
      </c>
      <c r="C109" t="s">
        <v>525</v>
      </c>
      <c r="D109" t="s">
        <v>526</v>
      </c>
      <c r="E109" t="s">
        <v>527</v>
      </c>
    </row>
    <row r="110" spans="1:5" x14ac:dyDescent="0.35">
      <c r="A110" t="s">
        <v>395</v>
      </c>
      <c r="B110" t="s">
        <v>79</v>
      </c>
      <c r="C110" t="s">
        <v>528</v>
      </c>
      <c r="D110" t="s">
        <v>529</v>
      </c>
      <c r="E110" t="s">
        <v>530</v>
      </c>
    </row>
    <row r="111" spans="1:5" x14ac:dyDescent="0.35">
      <c r="A111" t="s">
        <v>387</v>
      </c>
      <c r="B111" s="97">
        <v>46254</v>
      </c>
      <c r="C111" t="s">
        <v>533</v>
      </c>
      <c r="D111" t="s">
        <v>534</v>
      </c>
      <c r="E111" t="s">
        <v>535</v>
      </c>
    </row>
    <row r="112" spans="1:5" x14ac:dyDescent="0.35">
      <c r="A112" t="s">
        <v>532</v>
      </c>
      <c r="B112" s="97">
        <v>46254</v>
      </c>
      <c r="C112" t="s">
        <v>536</v>
      </c>
      <c r="D112" t="s">
        <v>537</v>
      </c>
      <c r="E112" t="s">
        <v>538</v>
      </c>
    </row>
    <row r="113" spans="1:5" x14ac:dyDescent="0.35">
      <c r="A113" t="s">
        <v>532</v>
      </c>
      <c r="B113" s="97">
        <v>46254</v>
      </c>
      <c r="C113" t="s">
        <v>541</v>
      </c>
      <c r="D113" t="s">
        <v>542</v>
      </c>
      <c r="E113" t="s">
        <v>543</v>
      </c>
    </row>
    <row r="114" spans="1:5" x14ac:dyDescent="0.35">
      <c r="A114" t="s">
        <v>387</v>
      </c>
      <c r="B114" s="97">
        <v>46254</v>
      </c>
      <c r="C114" t="s">
        <v>544</v>
      </c>
      <c r="D114" t="s">
        <v>545</v>
      </c>
      <c r="E114" t="s">
        <v>546</v>
      </c>
    </row>
    <row r="115" spans="1:5" x14ac:dyDescent="0.35">
      <c r="A115" t="s">
        <v>547</v>
      </c>
      <c r="B115" s="97">
        <v>46255</v>
      </c>
      <c r="C115" t="s">
        <v>555</v>
      </c>
      <c r="D115" t="s">
        <v>556</v>
      </c>
      <c r="E115" t="s">
        <v>557</v>
      </c>
    </row>
    <row r="116" spans="1:5" x14ac:dyDescent="0.35">
      <c r="A116" t="s">
        <v>550</v>
      </c>
      <c r="B116" s="97">
        <v>46255</v>
      </c>
      <c r="C116" t="s">
        <v>558</v>
      </c>
      <c r="D116" t="s">
        <v>559</v>
      </c>
      <c r="E116" t="s">
        <v>560</v>
      </c>
    </row>
    <row r="117" spans="1:5" x14ac:dyDescent="0.35">
      <c r="A117" t="s">
        <v>552</v>
      </c>
      <c r="B117" s="97">
        <v>46255</v>
      </c>
      <c r="C117" t="s">
        <v>561</v>
      </c>
      <c r="D117" t="s">
        <v>562</v>
      </c>
      <c r="E117" t="s">
        <v>563</v>
      </c>
    </row>
    <row r="118" spans="1:5" x14ac:dyDescent="0.35">
      <c r="A118" t="s">
        <v>554</v>
      </c>
      <c r="B118" s="97">
        <v>46255</v>
      </c>
      <c r="C118" t="s">
        <v>564</v>
      </c>
      <c r="D118" t="s">
        <v>565</v>
      </c>
      <c r="E118" t="s">
        <v>566</v>
      </c>
    </row>
    <row r="119" spans="1:5" x14ac:dyDescent="0.35">
      <c r="A119" t="s">
        <v>387</v>
      </c>
      <c r="B119" s="97">
        <v>46255</v>
      </c>
      <c r="C119" t="s">
        <v>567</v>
      </c>
      <c r="D119" t="s">
        <v>568</v>
      </c>
      <c r="E119" t="s">
        <v>569</v>
      </c>
    </row>
    <row r="120" spans="1:5" x14ac:dyDescent="0.35">
      <c r="A120" t="s">
        <v>382</v>
      </c>
      <c r="B120" s="97">
        <v>46255</v>
      </c>
      <c r="C120" t="s">
        <v>570</v>
      </c>
      <c r="D120" t="s">
        <v>568</v>
      </c>
      <c r="E120" t="s">
        <v>571</v>
      </c>
    </row>
    <row r="121" spans="1:5" x14ac:dyDescent="0.35">
      <c r="A121" t="s">
        <v>381</v>
      </c>
      <c r="B121" s="97">
        <v>46255</v>
      </c>
      <c r="C121" t="s">
        <v>572</v>
      </c>
      <c r="D121" t="s">
        <v>568</v>
      </c>
      <c r="E121" t="s">
        <v>573</v>
      </c>
    </row>
    <row r="122" spans="1:5" x14ac:dyDescent="0.35">
      <c r="A122" t="s">
        <v>334</v>
      </c>
      <c r="B122" s="97">
        <v>46255</v>
      </c>
      <c r="C122" t="s">
        <v>574</v>
      </c>
      <c r="D122" t="s">
        <v>568</v>
      </c>
      <c r="E122" t="s">
        <v>575</v>
      </c>
    </row>
    <row r="123" spans="1:5" x14ac:dyDescent="0.35">
      <c r="A123" t="s">
        <v>262</v>
      </c>
      <c r="B123" s="97">
        <v>46255</v>
      </c>
      <c r="C123" t="s">
        <v>574</v>
      </c>
      <c r="D123" t="s">
        <v>568</v>
      </c>
      <c r="E123" t="s">
        <v>576</v>
      </c>
    </row>
    <row r="124" spans="1:5" x14ac:dyDescent="0.35">
      <c r="A124" t="s">
        <v>266</v>
      </c>
      <c r="B124" s="97">
        <v>46255</v>
      </c>
      <c r="C124" t="s">
        <v>577</v>
      </c>
      <c r="D124" t="s">
        <v>568</v>
      </c>
      <c r="E124" t="s">
        <v>578</v>
      </c>
    </row>
    <row r="125" spans="1:5" x14ac:dyDescent="0.35">
      <c r="A125" t="s">
        <v>392</v>
      </c>
      <c r="B125" s="97">
        <v>46255</v>
      </c>
      <c r="C125" t="s">
        <v>579</v>
      </c>
      <c r="D125" t="s">
        <v>568</v>
      </c>
      <c r="E125" t="s">
        <v>580</v>
      </c>
    </row>
    <row r="126" spans="1:5" x14ac:dyDescent="0.35">
      <c r="A126" t="s">
        <v>391</v>
      </c>
      <c r="B126" s="97">
        <v>46255</v>
      </c>
      <c r="C126" t="s">
        <v>581</v>
      </c>
      <c r="D126" t="s">
        <v>568</v>
      </c>
      <c r="E126" t="s">
        <v>582</v>
      </c>
    </row>
    <row r="127" spans="1:5" x14ac:dyDescent="0.35">
      <c r="A127" t="s">
        <v>475</v>
      </c>
      <c r="B127" s="97">
        <v>46255</v>
      </c>
      <c r="C127" t="s">
        <v>581</v>
      </c>
      <c r="D127" t="s">
        <v>568</v>
      </c>
      <c r="E127" t="s">
        <v>583</v>
      </c>
    </row>
    <row r="128" spans="1:5" x14ac:dyDescent="0.35">
      <c r="A128" t="s">
        <v>375</v>
      </c>
      <c r="B128" s="97">
        <v>46255</v>
      </c>
      <c r="C128" t="s">
        <v>581</v>
      </c>
      <c r="D128" t="s">
        <v>568</v>
      </c>
      <c r="E128" t="s">
        <v>584</v>
      </c>
    </row>
    <row r="129" spans="1:5" x14ac:dyDescent="0.35">
      <c r="A129" t="s">
        <v>552</v>
      </c>
      <c r="B129" s="97">
        <v>46255</v>
      </c>
      <c r="C129" t="s">
        <v>581</v>
      </c>
      <c r="D129" t="s">
        <v>568</v>
      </c>
      <c r="E129" t="s">
        <v>585</v>
      </c>
    </row>
    <row r="130" spans="1:5" x14ac:dyDescent="0.35">
      <c r="A130" t="s">
        <v>352</v>
      </c>
      <c r="B130" s="97">
        <v>46255</v>
      </c>
      <c r="C130" t="s">
        <v>581</v>
      </c>
      <c r="D130" t="s">
        <v>568</v>
      </c>
      <c r="E130" t="s">
        <v>586</v>
      </c>
    </row>
    <row r="131" spans="1:5" x14ac:dyDescent="0.35">
      <c r="A131" t="s">
        <v>554</v>
      </c>
      <c r="B131" s="97">
        <v>46255</v>
      </c>
      <c r="C131" t="s">
        <v>581</v>
      </c>
      <c r="D131" t="s">
        <v>568</v>
      </c>
      <c r="E131" t="s">
        <v>587</v>
      </c>
    </row>
    <row r="132" spans="1:5" x14ac:dyDescent="0.35">
      <c r="A132" t="s">
        <v>264</v>
      </c>
      <c r="B132" s="97">
        <v>46255</v>
      </c>
      <c r="C132" t="s">
        <v>588</v>
      </c>
      <c r="D132" t="s">
        <v>568</v>
      </c>
      <c r="E132" t="s">
        <v>589</v>
      </c>
    </row>
    <row r="133" spans="1:5" x14ac:dyDescent="0.35">
      <c r="A133" t="s">
        <v>271</v>
      </c>
      <c r="B133" s="97">
        <v>46255</v>
      </c>
      <c r="C133" t="s">
        <v>588</v>
      </c>
      <c r="D133" t="s">
        <v>568</v>
      </c>
      <c r="E133" t="s">
        <v>590</v>
      </c>
    </row>
    <row r="134" spans="1:5" x14ac:dyDescent="0.35">
      <c r="A134" t="s">
        <v>282</v>
      </c>
      <c r="B134" s="97">
        <v>46255</v>
      </c>
      <c r="C134" t="s">
        <v>588</v>
      </c>
      <c r="D134" t="s">
        <v>568</v>
      </c>
      <c r="E134" t="s">
        <v>591</v>
      </c>
    </row>
    <row r="135" spans="1:5" x14ac:dyDescent="0.35">
      <c r="A135" t="s">
        <v>386</v>
      </c>
      <c r="B135" s="97">
        <v>46255</v>
      </c>
      <c r="C135" t="s">
        <v>588</v>
      </c>
      <c r="D135" t="s">
        <v>568</v>
      </c>
      <c r="E135" t="s">
        <v>592</v>
      </c>
    </row>
    <row r="136" spans="1:5" x14ac:dyDescent="0.35">
      <c r="A136" t="s">
        <v>347</v>
      </c>
      <c r="B136" s="97">
        <v>46255</v>
      </c>
      <c r="C136" t="s">
        <v>593</v>
      </c>
      <c r="D136" t="s">
        <v>568</v>
      </c>
      <c r="E136" t="s">
        <v>594</v>
      </c>
    </row>
    <row r="137" spans="1:5" x14ac:dyDescent="0.35">
      <c r="A137" t="s">
        <v>395</v>
      </c>
      <c r="B137" s="97">
        <v>46255</v>
      </c>
      <c r="C137" t="s">
        <v>595</v>
      </c>
      <c r="D137" t="s">
        <v>568</v>
      </c>
      <c r="E137" t="s">
        <v>596</v>
      </c>
    </row>
    <row r="138" spans="1:5" x14ac:dyDescent="0.35">
      <c r="A138" t="s">
        <v>459</v>
      </c>
      <c r="B138" s="97">
        <v>46255</v>
      </c>
      <c r="C138" t="s">
        <v>597</v>
      </c>
      <c r="D138" t="s">
        <v>568</v>
      </c>
      <c r="E138" t="s">
        <v>598</v>
      </c>
    </row>
    <row r="139" spans="1:5" x14ac:dyDescent="0.35">
      <c r="A139" t="s">
        <v>459</v>
      </c>
      <c r="B139" s="97">
        <v>46255</v>
      </c>
      <c r="C139" t="s">
        <v>604</v>
      </c>
      <c r="D139" t="s">
        <v>605</v>
      </c>
      <c r="E139" t="s">
        <v>606</v>
      </c>
    </row>
    <row r="140" spans="1:5" x14ac:dyDescent="0.35">
      <c r="A140" t="s">
        <v>324</v>
      </c>
      <c r="B140" s="97">
        <v>46255</v>
      </c>
      <c r="C140" t="s">
        <v>610</v>
      </c>
      <c r="D140" t="s">
        <v>611</v>
      </c>
      <c r="E140" t="s">
        <v>612</v>
      </c>
    </row>
    <row r="141" spans="1:5" x14ac:dyDescent="0.35">
      <c r="A141" t="s">
        <v>532</v>
      </c>
      <c r="B141" s="97">
        <v>46255</v>
      </c>
      <c r="C141" t="s">
        <v>613</v>
      </c>
      <c r="D141" t="s">
        <v>611</v>
      </c>
      <c r="E141" t="s">
        <v>614</v>
      </c>
    </row>
    <row r="142" spans="1:5" x14ac:dyDescent="0.35">
      <c r="A142" t="s">
        <v>174</v>
      </c>
      <c r="B142" s="97">
        <v>46255</v>
      </c>
      <c r="C142" t="s">
        <v>615</v>
      </c>
      <c r="D142" t="s">
        <v>611</v>
      </c>
      <c r="E142" t="s">
        <v>616</v>
      </c>
    </row>
    <row r="143" spans="1:5" x14ac:dyDescent="0.35">
      <c r="A143" t="s">
        <v>394</v>
      </c>
      <c r="B143" s="97">
        <v>46255</v>
      </c>
      <c r="C143" t="s">
        <v>617</v>
      </c>
      <c r="D143" t="s">
        <v>611</v>
      </c>
      <c r="E143" t="s">
        <v>618</v>
      </c>
    </row>
    <row r="144" spans="1:5" x14ac:dyDescent="0.35">
      <c r="A144" t="s">
        <v>347</v>
      </c>
      <c r="B144" s="97">
        <v>46255</v>
      </c>
      <c r="C144" t="s">
        <v>593</v>
      </c>
      <c r="D144" t="s">
        <v>611</v>
      </c>
      <c r="E144" t="s">
        <v>619</v>
      </c>
    </row>
    <row r="145" spans="1:5" x14ac:dyDescent="0.35">
      <c r="A145" t="s">
        <v>459</v>
      </c>
      <c r="B145" s="97">
        <v>46255</v>
      </c>
      <c r="C145" t="s">
        <v>620</v>
      </c>
      <c r="D145" t="s">
        <v>611</v>
      </c>
      <c r="E145" t="s">
        <v>621</v>
      </c>
    </row>
    <row r="146" spans="1:5" x14ac:dyDescent="0.35">
      <c r="A146" t="s">
        <v>260</v>
      </c>
      <c r="B146" s="97">
        <v>46256</v>
      </c>
      <c r="C146" t="s">
        <v>622</v>
      </c>
      <c r="D146" t="s">
        <v>623</v>
      </c>
      <c r="E146" t="s">
        <v>624</v>
      </c>
    </row>
    <row r="147" spans="1:5" x14ac:dyDescent="0.35">
      <c r="A147" t="s">
        <v>257</v>
      </c>
      <c r="B147" s="97">
        <v>46256</v>
      </c>
      <c r="C147" t="s">
        <v>625</v>
      </c>
      <c r="D147" t="s">
        <v>626</v>
      </c>
      <c r="E147" t="s">
        <v>627</v>
      </c>
    </row>
    <row r="148" spans="1:5" x14ac:dyDescent="0.35">
      <c r="A148" t="s">
        <v>264</v>
      </c>
      <c r="B148" s="97">
        <v>46256</v>
      </c>
      <c r="C148" t="s">
        <v>628</v>
      </c>
      <c r="D148" t="s">
        <v>629</v>
      </c>
      <c r="E148" t="s">
        <v>630</v>
      </c>
    </row>
    <row r="149" spans="1:5" x14ac:dyDescent="0.35">
      <c r="A149" t="s">
        <v>272</v>
      </c>
      <c r="B149" s="97">
        <v>46256</v>
      </c>
      <c r="C149" t="s">
        <v>631</v>
      </c>
      <c r="D149" t="s">
        <v>632</v>
      </c>
      <c r="E149" t="s">
        <v>633</v>
      </c>
    </row>
    <row r="150" spans="1:5" x14ac:dyDescent="0.35">
      <c r="A150" t="s">
        <v>260</v>
      </c>
      <c r="B150" s="97">
        <v>46256</v>
      </c>
      <c r="C150" t="s">
        <v>634</v>
      </c>
      <c r="D150" t="s">
        <v>635</v>
      </c>
      <c r="E150" t="s">
        <v>636</v>
      </c>
    </row>
    <row r="151" spans="1:5" x14ac:dyDescent="0.35">
      <c r="A151" t="s">
        <v>257</v>
      </c>
      <c r="B151" s="97">
        <v>46256</v>
      </c>
      <c r="C151" t="s">
        <v>646</v>
      </c>
      <c r="D151" t="s">
        <v>647</v>
      </c>
      <c r="E151" t="s">
        <v>648</v>
      </c>
    </row>
    <row r="152" spans="1:5" x14ac:dyDescent="0.35">
      <c r="A152" t="s">
        <v>260</v>
      </c>
      <c r="B152" s="97">
        <v>46256</v>
      </c>
      <c r="C152" t="s">
        <v>646</v>
      </c>
      <c r="D152" t="s">
        <v>647</v>
      </c>
      <c r="E152" t="s">
        <v>649</v>
      </c>
    </row>
    <row r="153" spans="1:5" x14ac:dyDescent="0.35">
      <c r="A153" t="s">
        <v>174</v>
      </c>
      <c r="B153" s="97">
        <v>46256</v>
      </c>
      <c r="C153" t="s">
        <v>650</v>
      </c>
      <c r="D153" t="s">
        <v>647</v>
      </c>
      <c r="E153" t="s">
        <v>651</v>
      </c>
    </row>
    <row r="154" spans="1:5" x14ac:dyDescent="0.35">
      <c r="A154" t="s">
        <v>261</v>
      </c>
      <c r="B154" s="97">
        <v>46256</v>
      </c>
      <c r="C154" t="s">
        <v>652</v>
      </c>
      <c r="D154" t="s">
        <v>653</v>
      </c>
      <c r="E154" t="s">
        <v>654</v>
      </c>
    </row>
    <row r="155" spans="1:5" x14ac:dyDescent="0.35">
      <c r="A155" t="s">
        <v>267</v>
      </c>
      <c r="B155" s="97">
        <v>46256</v>
      </c>
      <c r="C155" t="s">
        <v>655</v>
      </c>
      <c r="D155" t="s">
        <v>653</v>
      </c>
      <c r="E155" t="s">
        <v>656</v>
      </c>
    </row>
    <row r="156" spans="1:5" x14ac:dyDescent="0.35">
      <c r="A156" t="s">
        <v>271</v>
      </c>
      <c r="B156" s="97">
        <v>46256</v>
      </c>
      <c r="C156" t="s">
        <v>628</v>
      </c>
      <c r="D156" t="s">
        <v>653</v>
      </c>
      <c r="E156" t="s">
        <v>657</v>
      </c>
    </row>
    <row r="157" spans="1:5" x14ac:dyDescent="0.35">
      <c r="A157" t="s">
        <v>275</v>
      </c>
      <c r="B157" s="97">
        <v>46256</v>
      </c>
      <c r="C157" t="s">
        <v>658</v>
      </c>
      <c r="D157" t="s">
        <v>653</v>
      </c>
      <c r="E157" t="s">
        <v>659</v>
      </c>
    </row>
    <row r="158" spans="1:5" x14ac:dyDescent="0.35">
      <c r="A158" t="s">
        <v>260</v>
      </c>
      <c r="B158" s="97">
        <v>46256</v>
      </c>
      <c r="C158" t="s">
        <v>670</v>
      </c>
      <c r="D158" t="s">
        <v>671</v>
      </c>
      <c r="E158" t="s">
        <v>672</v>
      </c>
    </row>
    <row r="159" spans="1:5" x14ac:dyDescent="0.35">
      <c r="A159" t="s">
        <v>264</v>
      </c>
      <c r="B159" s="97">
        <v>46256</v>
      </c>
      <c r="C159" t="s">
        <v>673</v>
      </c>
      <c r="D159" t="s">
        <v>671</v>
      </c>
      <c r="E159" t="s">
        <v>674</v>
      </c>
    </row>
    <row r="160" spans="1:5" x14ac:dyDescent="0.35">
      <c r="A160" t="s">
        <v>271</v>
      </c>
      <c r="B160" s="97">
        <v>46256</v>
      </c>
      <c r="C160" t="s">
        <v>675</v>
      </c>
      <c r="D160" t="s">
        <v>671</v>
      </c>
      <c r="E160" t="s">
        <v>676</v>
      </c>
    </row>
    <row r="161" spans="1:5" x14ac:dyDescent="0.35">
      <c r="A161" t="s">
        <v>174</v>
      </c>
      <c r="B161" s="97">
        <v>46256</v>
      </c>
      <c r="C161" t="s">
        <v>677</v>
      </c>
      <c r="D161" t="s">
        <v>671</v>
      </c>
      <c r="E161" t="s">
        <v>678</v>
      </c>
    </row>
    <row r="162" spans="1:5" x14ac:dyDescent="0.35">
      <c r="A162" t="s">
        <v>267</v>
      </c>
      <c r="B162" s="97">
        <v>46256</v>
      </c>
      <c r="C162" t="s">
        <v>677</v>
      </c>
      <c r="D162" t="s">
        <v>671</v>
      </c>
      <c r="E162" t="s">
        <v>679</v>
      </c>
    </row>
    <row r="163" spans="1:5" x14ac:dyDescent="0.35">
      <c r="A163" t="s">
        <v>257</v>
      </c>
      <c r="B163" s="97">
        <v>46256</v>
      </c>
      <c r="C163" t="s">
        <v>680</v>
      </c>
      <c r="D163" t="s">
        <v>671</v>
      </c>
      <c r="E163" t="s">
        <v>681</v>
      </c>
    </row>
    <row r="164" spans="1:5" x14ac:dyDescent="0.35">
      <c r="A164" t="s">
        <v>459</v>
      </c>
      <c r="B164" s="97">
        <v>46256</v>
      </c>
      <c r="C164" t="s">
        <v>682</v>
      </c>
      <c r="D164" t="s">
        <v>671</v>
      </c>
      <c r="E164" t="s">
        <v>683</v>
      </c>
    </row>
    <row r="165" spans="1:5" x14ac:dyDescent="0.35">
      <c r="A165" t="s">
        <v>459</v>
      </c>
      <c r="B165">
        <v>46259</v>
      </c>
      <c r="C165" t="s">
        <v>693</v>
      </c>
      <c r="D165" t="s">
        <v>694</v>
      </c>
      <c r="E165" t="s">
        <v>695</v>
      </c>
    </row>
    <row r="166" spans="1:5" x14ac:dyDescent="0.35">
      <c r="A166" t="s">
        <v>282</v>
      </c>
      <c r="B166">
        <v>46259</v>
      </c>
      <c r="C166" t="s">
        <v>696</v>
      </c>
      <c r="D166" t="s">
        <v>697</v>
      </c>
      <c r="E166" t="s">
        <v>698</v>
      </c>
    </row>
    <row r="167" spans="1:5" x14ac:dyDescent="0.35">
      <c r="A167" t="s">
        <v>266</v>
      </c>
      <c r="B167">
        <v>46259</v>
      </c>
      <c r="C167" t="s">
        <v>699</v>
      </c>
      <c r="D167" t="s">
        <v>700</v>
      </c>
      <c r="E167" t="s">
        <v>701</v>
      </c>
    </row>
    <row r="168" spans="1:5" x14ac:dyDescent="0.35">
      <c r="A168" t="s">
        <v>347</v>
      </c>
      <c r="B168">
        <v>46259</v>
      </c>
      <c r="C168" t="s">
        <v>699</v>
      </c>
      <c r="D168" t="s">
        <v>702</v>
      </c>
      <c r="E168" t="s">
        <v>703</v>
      </c>
    </row>
    <row r="169" spans="1:5" x14ac:dyDescent="0.35">
      <c r="A169" t="s">
        <v>376</v>
      </c>
      <c r="B169">
        <v>46259</v>
      </c>
      <c r="C169" t="s">
        <v>699</v>
      </c>
      <c r="D169" t="s">
        <v>704</v>
      </c>
      <c r="E169" t="s">
        <v>705</v>
      </c>
    </row>
    <row r="170" spans="1:5" x14ac:dyDescent="0.35">
      <c r="A170" t="s">
        <v>377</v>
      </c>
      <c r="B170">
        <v>46259</v>
      </c>
      <c r="C170" t="s">
        <v>699</v>
      </c>
      <c r="D170" t="s">
        <v>706</v>
      </c>
      <c r="E170" t="s">
        <v>707</v>
      </c>
    </row>
    <row r="171" spans="1:5" x14ac:dyDescent="0.35">
      <c r="A171" t="s">
        <v>379</v>
      </c>
      <c r="B171">
        <v>46259</v>
      </c>
      <c r="C171" t="s">
        <v>696</v>
      </c>
      <c r="D171" t="s">
        <v>708</v>
      </c>
      <c r="E171" t="s">
        <v>709</v>
      </c>
    </row>
    <row r="172" spans="1:5" x14ac:dyDescent="0.35">
      <c r="A172" t="s">
        <v>381</v>
      </c>
      <c r="B172">
        <v>46259</v>
      </c>
      <c r="C172" t="s">
        <v>699</v>
      </c>
      <c r="D172" t="s">
        <v>700</v>
      </c>
      <c r="E172" t="s">
        <v>710</v>
      </c>
    </row>
    <row r="173" spans="1:5" x14ac:dyDescent="0.35">
      <c r="A173" t="s">
        <v>711</v>
      </c>
      <c r="B173">
        <v>46259</v>
      </c>
      <c r="C173" t="s">
        <v>712</v>
      </c>
      <c r="D173" t="s">
        <v>713</v>
      </c>
      <c r="E173" t="s">
        <v>714</v>
      </c>
    </row>
    <row r="174" spans="1:5" x14ac:dyDescent="0.35">
      <c r="A174" t="s">
        <v>715</v>
      </c>
      <c r="B174">
        <v>46259</v>
      </c>
      <c r="C174" t="s">
        <v>716</v>
      </c>
      <c r="D174" t="s">
        <v>717</v>
      </c>
      <c r="E174" t="s">
        <v>718</v>
      </c>
    </row>
    <row r="175" spans="1:5" x14ac:dyDescent="0.35">
      <c r="A175" t="s">
        <v>386</v>
      </c>
      <c r="B175">
        <v>46259</v>
      </c>
      <c r="C175" t="s">
        <v>719</v>
      </c>
      <c r="D175" t="s">
        <v>720</v>
      </c>
      <c r="E175" t="s">
        <v>721</v>
      </c>
    </row>
    <row r="176" spans="1:5" x14ac:dyDescent="0.35">
      <c r="A176" t="s">
        <v>389</v>
      </c>
      <c r="B176">
        <v>46259</v>
      </c>
      <c r="C176" t="s">
        <v>699</v>
      </c>
      <c r="D176" t="s">
        <v>717</v>
      </c>
      <c r="E176" t="s">
        <v>722</v>
      </c>
    </row>
    <row r="177" spans="1:5" x14ac:dyDescent="0.35">
      <c r="A177" t="s">
        <v>391</v>
      </c>
      <c r="B177">
        <v>46259</v>
      </c>
      <c r="C177" t="s">
        <v>723</v>
      </c>
      <c r="D177" t="s">
        <v>724</v>
      </c>
      <c r="E177" t="s">
        <v>725</v>
      </c>
    </row>
    <row r="178" spans="1:5" x14ac:dyDescent="0.35">
      <c r="A178" t="s">
        <v>392</v>
      </c>
      <c r="B178">
        <v>46259</v>
      </c>
      <c r="C178" t="s">
        <v>726</v>
      </c>
      <c r="D178" t="s">
        <v>727</v>
      </c>
      <c r="E178" t="s">
        <v>728</v>
      </c>
    </row>
    <row r="179" spans="1:5" x14ac:dyDescent="0.35">
      <c r="A179" t="s">
        <v>393</v>
      </c>
      <c r="B179">
        <v>46259</v>
      </c>
      <c r="C179" t="s">
        <v>699</v>
      </c>
      <c r="D179" t="s">
        <v>729</v>
      </c>
      <c r="E179" t="s">
        <v>730</v>
      </c>
    </row>
    <row r="180" spans="1:5" x14ac:dyDescent="0.35">
      <c r="A180" t="s">
        <v>433</v>
      </c>
      <c r="B180">
        <v>46259</v>
      </c>
      <c r="C180" t="s">
        <v>699</v>
      </c>
      <c r="D180" t="s">
        <v>731</v>
      </c>
      <c r="E180" t="s">
        <v>732</v>
      </c>
    </row>
    <row r="181" spans="1:5" x14ac:dyDescent="0.35">
      <c r="A181" t="s">
        <v>394</v>
      </c>
      <c r="B181">
        <v>46259</v>
      </c>
      <c r="C181" t="s">
        <v>726</v>
      </c>
      <c r="D181" t="s">
        <v>729</v>
      </c>
      <c r="E181" t="s">
        <v>733</v>
      </c>
    </row>
    <row r="182" spans="1:5" x14ac:dyDescent="0.35">
      <c r="A182" t="s">
        <v>734</v>
      </c>
      <c r="B182">
        <v>46259</v>
      </c>
      <c r="C182" t="s">
        <v>735</v>
      </c>
      <c r="D182" t="s">
        <v>736</v>
      </c>
      <c r="E182" t="s">
        <v>737</v>
      </c>
    </row>
    <row r="183" spans="1:5" x14ac:dyDescent="0.35">
      <c r="A183" t="s">
        <v>176</v>
      </c>
      <c r="B183">
        <v>46259</v>
      </c>
      <c r="C183" t="s">
        <v>735</v>
      </c>
      <c r="D183" t="s">
        <v>738</v>
      </c>
      <c r="E183" t="s">
        <v>739</v>
      </c>
    </row>
    <row r="184" spans="1:5" x14ac:dyDescent="0.35">
      <c r="A184" t="s">
        <v>459</v>
      </c>
      <c r="B184">
        <v>46259</v>
      </c>
      <c r="C184" t="s">
        <v>740</v>
      </c>
      <c r="D184" t="s">
        <v>741</v>
      </c>
      <c r="E184" t="s">
        <v>742</v>
      </c>
    </row>
    <row r="185" spans="1:5" x14ac:dyDescent="0.35">
      <c r="A185" t="s">
        <v>459</v>
      </c>
      <c r="B185">
        <v>46259</v>
      </c>
      <c r="C185" t="s">
        <v>743</v>
      </c>
      <c r="D185" t="s">
        <v>744</v>
      </c>
      <c r="E185" t="s">
        <v>745</v>
      </c>
    </row>
    <row r="186" spans="1:5" x14ac:dyDescent="0.35">
      <c r="A186" t="s">
        <v>459</v>
      </c>
      <c r="B186">
        <v>46259</v>
      </c>
      <c r="C186" t="s">
        <v>746</v>
      </c>
      <c r="D186" t="s">
        <v>747</v>
      </c>
      <c r="E186" t="s">
        <v>748</v>
      </c>
    </row>
    <row r="187" spans="1:5" x14ac:dyDescent="0.35">
      <c r="A187" t="s">
        <v>267</v>
      </c>
      <c r="B187">
        <v>46259</v>
      </c>
      <c r="C187" t="s">
        <v>749</v>
      </c>
      <c r="D187" t="s">
        <v>750</v>
      </c>
      <c r="E187" t="s">
        <v>751</v>
      </c>
    </row>
    <row r="188" spans="1:5" x14ac:dyDescent="0.35">
      <c r="A188" t="s">
        <v>261</v>
      </c>
      <c r="B188">
        <v>46259</v>
      </c>
      <c r="C188" t="s">
        <v>752</v>
      </c>
      <c r="D188" t="s">
        <v>750</v>
      </c>
      <c r="E188" t="s">
        <v>753</v>
      </c>
    </row>
    <row r="189" spans="1:5" x14ac:dyDescent="0.35">
      <c r="A189" t="s">
        <v>272</v>
      </c>
      <c r="B189">
        <v>46259</v>
      </c>
      <c r="C189" t="s">
        <v>752</v>
      </c>
      <c r="D189" t="s">
        <v>750</v>
      </c>
      <c r="E189" t="s">
        <v>754</v>
      </c>
    </row>
    <row r="190" spans="1:5" x14ac:dyDescent="0.35">
      <c r="A190" t="s">
        <v>262</v>
      </c>
      <c r="B190">
        <v>46259</v>
      </c>
      <c r="C190" t="s">
        <v>752</v>
      </c>
      <c r="D190" t="s">
        <v>750</v>
      </c>
      <c r="E190" t="s">
        <v>755</v>
      </c>
    </row>
    <row r="191" spans="1:5" x14ac:dyDescent="0.35">
      <c r="A191" t="s">
        <v>281</v>
      </c>
      <c r="B191">
        <v>46259</v>
      </c>
      <c r="C191" t="s">
        <v>752</v>
      </c>
      <c r="D191" t="s">
        <v>750</v>
      </c>
      <c r="E191" t="s">
        <v>756</v>
      </c>
    </row>
    <row r="192" spans="1:5" x14ac:dyDescent="0.35">
      <c r="A192" t="s">
        <v>279</v>
      </c>
      <c r="B192">
        <v>46259</v>
      </c>
      <c r="C192" t="s">
        <v>752</v>
      </c>
      <c r="D192" t="s">
        <v>750</v>
      </c>
      <c r="E192" t="s">
        <v>757</v>
      </c>
    </row>
    <row r="193" spans="1:5" x14ac:dyDescent="0.35">
      <c r="A193" t="s">
        <v>276</v>
      </c>
      <c r="B193">
        <v>46259</v>
      </c>
      <c r="C193" t="s">
        <v>752</v>
      </c>
      <c r="D193" t="s">
        <v>750</v>
      </c>
      <c r="E193" t="s">
        <v>758</v>
      </c>
    </row>
    <row r="194" spans="1:5" x14ac:dyDescent="0.35">
      <c r="A194" t="s">
        <v>375</v>
      </c>
      <c r="B194">
        <v>46259</v>
      </c>
      <c r="C194" t="s">
        <v>752</v>
      </c>
      <c r="D194" t="s">
        <v>750</v>
      </c>
      <c r="E194" t="s">
        <v>759</v>
      </c>
    </row>
    <row r="195" spans="1:5" x14ac:dyDescent="0.35">
      <c r="A195" t="s">
        <v>734</v>
      </c>
      <c r="B195">
        <v>46259</v>
      </c>
      <c r="C195" t="s">
        <v>752</v>
      </c>
      <c r="D195" t="s">
        <v>750</v>
      </c>
      <c r="E195" t="s">
        <v>760</v>
      </c>
    </row>
    <row r="196" spans="1:5" x14ac:dyDescent="0.35">
      <c r="A196" t="s">
        <v>378</v>
      </c>
      <c r="B196">
        <v>46259</v>
      </c>
      <c r="C196" t="s">
        <v>752</v>
      </c>
      <c r="D196" t="s">
        <v>750</v>
      </c>
      <c r="E196" t="s">
        <v>761</v>
      </c>
    </row>
    <row r="197" spans="1:5" x14ac:dyDescent="0.35">
      <c r="A197" t="s">
        <v>334</v>
      </c>
      <c r="B197">
        <v>46259</v>
      </c>
      <c r="C197" t="s">
        <v>752</v>
      </c>
      <c r="D197" t="s">
        <v>750</v>
      </c>
      <c r="E197" t="s">
        <v>762</v>
      </c>
    </row>
    <row r="198" spans="1:5" x14ac:dyDescent="0.35">
      <c r="A198" t="s">
        <v>382</v>
      </c>
      <c r="B198">
        <v>46259</v>
      </c>
      <c r="C198" t="s">
        <v>752</v>
      </c>
      <c r="D198" t="s">
        <v>750</v>
      </c>
      <c r="E198" t="s">
        <v>763</v>
      </c>
    </row>
    <row r="199" spans="1:5" x14ac:dyDescent="0.35">
      <c r="A199" t="s">
        <v>400</v>
      </c>
      <c r="B199">
        <v>46259</v>
      </c>
      <c r="C199" t="s">
        <v>752</v>
      </c>
      <c r="D199" t="s">
        <v>750</v>
      </c>
      <c r="E199" t="s">
        <v>764</v>
      </c>
    </row>
    <row r="200" spans="1:5" x14ac:dyDescent="0.35">
      <c r="A200" t="s">
        <v>384</v>
      </c>
      <c r="B200">
        <v>46259</v>
      </c>
      <c r="C200" t="s">
        <v>752</v>
      </c>
      <c r="D200" t="s">
        <v>750</v>
      </c>
      <c r="E200" t="s">
        <v>765</v>
      </c>
    </row>
    <row r="201" spans="1:5" x14ac:dyDescent="0.35">
      <c r="A201" t="s">
        <v>255</v>
      </c>
      <c r="B201">
        <v>46259</v>
      </c>
      <c r="C201" t="s">
        <v>752</v>
      </c>
      <c r="D201" t="s">
        <v>750</v>
      </c>
      <c r="E201" t="s">
        <v>766</v>
      </c>
    </row>
    <row r="202" spans="1:5" x14ac:dyDescent="0.35">
      <c r="A202" t="s">
        <v>268</v>
      </c>
      <c r="B202">
        <v>46259</v>
      </c>
      <c r="C202" t="s">
        <v>752</v>
      </c>
      <c r="D202" t="s">
        <v>750</v>
      </c>
      <c r="E202" t="s">
        <v>767</v>
      </c>
    </row>
    <row r="203" spans="1:5" x14ac:dyDescent="0.35">
      <c r="A203" t="s">
        <v>475</v>
      </c>
      <c r="B203">
        <v>46259</v>
      </c>
      <c r="C203" t="s">
        <v>752</v>
      </c>
      <c r="D203" t="s">
        <v>750</v>
      </c>
      <c r="E203" t="s">
        <v>768</v>
      </c>
    </row>
    <row r="204" spans="1:5" x14ac:dyDescent="0.35">
      <c r="A204" t="s">
        <v>259</v>
      </c>
      <c r="B204">
        <v>46259</v>
      </c>
      <c r="C204" t="s">
        <v>752</v>
      </c>
      <c r="D204" t="s">
        <v>750</v>
      </c>
      <c r="E204" t="s">
        <v>769</v>
      </c>
    </row>
    <row r="205" spans="1:5" x14ac:dyDescent="0.35">
      <c r="A205" t="s">
        <v>313</v>
      </c>
      <c r="B205">
        <v>46259</v>
      </c>
      <c r="C205" t="s">
        <v>752</v>
      </c>
      <c r="D205" t="s">
        <v>750</v>
      </c>
      <c r="E205" t="s">
        <v>770</v>
      </c>
    </row>
    <row r="206" spans="1:5" x14ac:dyDescent="0.35">
      <c r="A206" t="s">
        <v>404</v>
      </c>
      <c r="B206">
        <v>46259</v>
      </c>
      <c r="C206" t="s">
        <v>752</v>
      </c>
      <c r="D206" t="s">
        <v>750</v>
      </c>
      <c r="E206" t="s">
        <v>771</v>
      </c>
    </row>
    <row r="207" spans="1:5" x14ac:dyDescent="0.35">
      <c r="A207" t="s">
        <v>547</v>
      </c>
      <c r="B207">
        <v>46259</v>
      </c>
      <c r="C207" t="s">
        <v>772</v>
      </c>
      <c r="D207" t="s">
        <v>750</v>
      </c>
      <c r="E207" t="s">
        <v>773</v>
      </c>
    </row>
    <row r="208" spans="1:5" x14ac:dyDescent="0.35">
      <c r="A208" t="s">
        <v>550</v>
      </c>
      <c r="B208">
        <v>46259</v>
      </c>
      <c r="C208" t="s">
        <v>772</v>
      </c>
      <c r="D208" t="s">
        <v>750</v>
      </c>
      <c r="E208" t="s">
        <v>774</v>
      </c>
    </row>
    <row r="209" spans="1:5" x14ac:dyDescent="0.35">
      <c r="A209" t="s">
        <v>552</v>
      </c>
      <c r="B209">
        <v>46259</v>
      </c>
      <c r="C209" t="s">
        <v>752</v>
      </c>
      <c r="D209" t="s">
        <v>750</v>
      </c>
      <c r="E209" t="s">
        <v>775</v>
      </c>
    </row>
    <row r="210" spans="1:5" x14ac:dyDescent="0.35">
      <c r="A210" t="s">
        <v>459</v>
      </c>
      <c r="B210">
        <v>46259</v>
      </c>
      <c r="C210" t="s">
        <v>776</v>
      </c>
      <c r="D210" t="s">
        <v>777</v>
      </c>
      <c r="E210" t="s">
        <v>778</v>
      </c>
    </row>
    <row r="211" spans="1:5" x14ac:dyDescent="0.35">
      <c r="A211" t="s">
        <v>459</v>
      </c>
      <c r="B211">
        <v>46259</v>
      </c>
      <c r="C211" t="s">
        <v>779</v>
      </c>
      <c r="D211" t="s">
        <v>780</v>
      </c>
      <c r="E211" t="s">
        <v>781</v>
      </c>
    </row>
    <row r="212" spans="1:5" x14ac:dyDescent="0.35">
      <c r="A212" t="s">
        <v>532</v>
      </c>
      <c r="B212">
        <v>46259</v>
      </c>
      <c r="C212" t="s">
        <v>782</v>
      </c>
      <c r="D212" t="s">
        <v>780</v>
      </c>
      <c r="E212" t="s">
        <v>783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2026-08-25T18:02:01Z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